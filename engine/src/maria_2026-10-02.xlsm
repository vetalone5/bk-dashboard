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Мои блогеры" sheetId="1" r:id="rId4"/>
    <sheet state="visible" name="Медиаплан" sheetId="2" r:id="rId5"/>
    <sheet state="visible" name="Июнь" sheetId="3" r:id="rId6"/>
    <sheet state="visible" name="Июль" sheetId="4" r:id="rId7"/>
    <sheet state="visible" name="Август" sheetId="5" r:id="rId8"/>
    <sheet state="visible" name="Сентябрь" sheetId="6" r:id="rId9"/>
    <sheet state="visible" name="Октябрь" sheetId="7" r:id="rId10"/>
    <sheet state="visible" name="Ноябрь" sheetId="8" r:id="rId11"/>
    <sheet state="visible" name="Декабрь" sheetId="9" r:id="rId12"/>
  </sheets>
  <definedNames>
    <definedName name="bloggers_list">'Мои блогеры'!$A$2:INDEX('Мои блогеры'!$A:$A,LOOKUP(2,1/(LEN('Мои блогеры'!$A$2:$A$682)&gt;0),ROW('Мои блогеры'!$A$2:$A$682)))</definedName>
    <definedName hidden="1" localSheetId="5" name="_xlnm._FilterDatabase">'Сентябрь'!$A$1:$AI$181</definedName>
  </definedNames>
  <calcPr/>
  <extLst>
    <ext uri="GoogleSheetsCustomDataVersion2">
      <go:sheetsCustomData xmlns:go="http://customooxmlschemas.google.com/" r:id="rId13" roundtripDataChecksum="cz1qwim+9PAlw0r9skDZxLSowo8eigk4kUEaNy9eLgc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B81">
      <text>
        <t xml:space="preserve">======
ID#AAACGQgjP9c
tc={4E5C5F57-06F2-4E75-B5AA-54C6ED6995FF}    (2026-08-31 07:30:16)
[Threaded comment]
Your version of Excel allows you to read this threaded comment; however, any edits to it will get removed if the file is opened in a newer version of Excel. Learn more: https://go.microsoft.com/fwlink/?linkid=870924
Comment:
    Боты запускаются только через Telegram-посевы. «Зелёный доктор»: 55 000 ₽ и 423 регистрации. «Клёвое место»: 150 000 ₽ и 1 000 регистраций. Охват и CTR — по августовскому Telegram-бенчмарку.</t>
      </text>
    </comment>
    <comment authorId="0" ref="B63">
      <text>
        <t xml:space="preserve">======
ID#AAACGQgjP9g
tc={3C25EB5C-9617-402C-933A-274A41CAB3B7}    (2026-08-31 07:30:16)
[Threaded comment]
Your version of Excel allows you to read this threaded comment; however, any edits to it will get removed if the file is opened in a newer version of Excel. Learn more: https://go.microsoft.com/fwlink/?linkid=870924
Comment:
    20% бюджета AminoTrigger-Fish (108 000 ₽) направлено на посевы с переходом на сайт: по 54 000 ₽ в Telegram и VK. Остальные 432 000 ₽ — MAX. Охват и CTR рассчитаны по августовским коэффициентам; CR принят консервативно: TG 17%, MAX 22%, VK 23%. Плановый DRR — около 30%.</t>
      </text>
    </comment>
  </commentList>
  <extLst>
    <ext uri="GoogleSheetsCustomDataVersion2">
      <go:sheetsCustomData xmlns:go="http://customooxmlschemas.google.com/" r:id="rId1" roundtripDataSignature="AMtx7mijNkmffGTePrGOnAXyxNCyLsTXbQ=="/>
    </ext>
  </extLst>
</comments>
</file>

<file path=xl/sharedStrings.xml><?xml version="1.0" encoding="utf-8"?>
<sst xmlns="http://schemas.openxmlformats.org/spreadsheetml/2006/main" count="5527" uniqueCount="1739">
  <si>
    <t>Блогер (ссылка на канал)</t>
  </si>
  <si>
    <t>Площадка</t>
  </si>
  <si>
    <t>Источник</t>
  </si>
  <si>
    <t>Тематика</t>
  </si>
  <si>
    <t>Подписчики</t>
  </si>
  <si>
    <t>Ср. охват/просмотры</t>
  </si>
  <si>
    <t>ER %</t>
  </si>
  <si>
    <t>Цена (посл.), ₽</t>
  </si>
  <si>
    <t>Контакты</t>
  </si>
  <si>
    <t>Основа промокода</t>
  </si>
  <si>
    <t>Ответственный</t>
  </si>
  <si>
    <t>Заметка о работе</t>
  </si>
  <si>
    <t>Комментарий</t>
  </si>
  <si>
    <t>Ссылка на канал (URL)</t>
  </si>
  <si>
    <t>Расчётный CPV, ₽</t>
  </si>
  <si>
    <t>Расчётный CPM, ₽</t>
  </si>
  <si>
    <t>Балл приоритета</t>
  </si>
  <si>
    <t>Приоритет</t>
  </si>
  <si>
    <t>НАСТРОЙКИ ПРИОРИТЕТА (свернуть →)</t>
  </si>
  <si>
    <t>RUTUBE: siberianfisherman</t>
  </si>
  <si>
    <t>Менеджер 2</t>
  </si>
  <si>
    <t>На согласовании</t>
  </si>
  <si>
    <t>https://rutube.ru/u/siberianfisherman</t>
  </si>
  <si>
    <t>@boroda4tv</t>
  </si>
  <si>
    <t>YouTube</t>
  </si>
  <si>
    <t>https://youtube.com/@boroda4tv</t>
  </si>
  <si>
    <t>VK: public211144585</t>
  </si>
  <si>
    <t>https://vk.ru/public211144585</t>
  </si>
  <si>
    <t>@Boroda44tv</t>
  </si>
  <si>
    <t>Telegram</t>
  </si>
  <si>
    <t>https://t.me/Boroda44tv</t>
  </si>
  <si>
    <t>@boroda.tv (дубль)</t>
  </si>
  <si>
    <t>https://www.tiktok.com/@boroda.tv</t>
  </si>
  <si>
    <t>@victorstepanych</t>
  </si>
  <si>
    <t>@oleg2655</t>
  </si>
  <si>
    <t>https://t.me/victorstepanych</t>
  </si>
  <si>
    <t>MAX: приглашение</t>
  </si>
  <si>
    <t>MAX</t>
  </si>
  <si>
    <t>https://max.ru/join/s_XaV2Rcf6dmcOj4iDEIefSVu1kt0Nuc4Xrut8limaQ</t>
  </si>
  <si>
    <t>@mendrul.aleksandr</t>
  </si>
  <si>
    <t>Рыбалка</t>
  </si>
  <si>
    <t>https://www.youtube.com/@mendrul.aleksandr</t>
  </si>
  <si>
    <t>MAX: sakhahunter</t>
  </si>
  <si>
    <t>https://max.ru/sakhahunter</t>
  </si>
  <si>
    <t>@sakhahunter</t>
  </si>
  <si>
    <t>https://t.me/sakhahunter</t>
  </si>
  <si>
    <t>@fishingondon</t>
  </si>
  <si>
    <t>https://youtube.com/@fishingondon</t>
  </si>
  <si>
    <t>@buhlopovar</t>
  </si>
  <si>
    <t>https://youtube.com/@buhlopovar</t>
  </si>
  <si>
    <t>@ribanutijj</t>
  </si>
  <si>
    <t>https://youtube.com/@ribanutij</t>
  </si>
  <si>
    <t>@mur-099</t>
  </si>
  <si>
    <t>https://www.youtube.com/@mur-099</t>
  </si>
  <si>
    <t>@derevenski_parenek8501</t>
  </si>
  <si>
    <t>https://youtube.com/@derevenski_parenek8501</t>
  </si>
  <si>
    <t>Рыбалка с Дрюней</t>
  </si>
  <si>
    <t>http://www.youtube.com/@drunea11</t>
  </si>
  <si>
    <t>Ribachim Inache</t>
  </si>
  <si>
    <t>https://youtube.com/@ribachim_inache</t>
  </si>
  <si>
    <t>@fishing.bez.pontov46</t>
  </si>
  <si>
    <t>https://youtube.com/@fishing.bez.pontov46</t>
  </si>
  <si>
    <t>@ribalka_prostaya</t>
  </si>
  <si>
    <t>https://t.me/ribalka_prostaya</t>
  </si>
  <si>
    <t>Рыбацкий канал (YouTube)</t>
  </si>
  <si>
    <t>https://t.me/rybalka_kanal_fishing</t>
  </si>
  <si>
    <t>@hmel_dobro</t>
  </si>
  <si>
    <t>https://youtube.com/@hmel_dobro</t>
  </si>
  <si>
    <t>@egorrybak57</t>
  </si>
  <si>
    <t>https://youtube.com/@egorrybak57</t>
  </si>
  <si>
    <t>На рыбалку с Ле</t>
  </si>
  <si>
    <t>https://vk.ru/rybalkale</t>
  </si>
  <si>
    <t>@hspin88</t>
  </si>
  <si>
    <t>https://youtube.com/@hspin88</t>
  </si>
  <si>
    <t>Мы и природа|We and nature (MAX)</t>
  </si>
  <si>
    <t>https://max.ru/we_and_nature</t>
  </si>
  <si>
    <t>Астраханская рыбалка и охота (MAX)</t>
  </si>
  <si>
    <t>https://max.ru/astrafishing30</t>
  </si>
  <si>
    <t>Рыбанутые</t>
  </si>
  <si>
    <t>https://max.ru/rybanutyye</t>
  </si>
  <si>
    <t>MAX: telefishing</t>
  </si>
  <si>
    <t>https://max.ru/telefishing</t>
  </si>
  <si>
    <t>@romanboldov</t>
  </si>
  <si>
    <t>https://www.youtube.com/@romanboldov</t>
  </si>
  <si>
    <t>@activefishing8893</t>
  </si>
  <si>
    <t>https://www.youtube.com/@activefishing8893</t>
  </si>
  <si>
    <t>@pikeordie</t>
  </si>
  <si>
    <t>https://www.youtube.com/@pikeordie</t>
  </si>
  <si>
    <t>Рыбалка в СПб. и ЛО | Рыбацкий Север (MAX)</t>
  </si>
  <si>
    <t>https://max.ru/rybalka_severozapad</t>
  </si>
  <si>
    <t>MAX: приглашение (MAX)</t>
  </si>
  <si>
    <t>https://max.ru/join/uCdz6lLBZaKQQ-TBrM1kCaXNxdhno0LlLSpv1_WO-yI</t>
  </si>
  <si>
    <t>MAX: rus_fishin</t>
  </si>
  <si>
    <t>https://max.ru/rus_fishin</t>
  </si>
  <si>
    <t>MAX: fishingspb1</t>
  </si>
  <si>
    <t>https://max.ru/fishingspb1</t>
  </si>
  <si>
    <t>MAX: Ribaki_Kubani</t>
  </si>
  <si>
    <t>https://max.ru/Ribaki_Kubani</t>
  </si>
  <si>
    <t>@%D0%BD%D0%B0%D1%80%D1%8B%D0%B1%D0%B0%D0%BB%D0%BA%D0%B5</t>
  </si>
  <si>
    <t>https://www.youtube.com/@нарыбалке</t>
  </si>
  <si>
    <t>@rybalka_spb_lenoblasti</t>
  </si>
  <si>
    <t>https://telega.in/tme/rybalka_spb_lenoblasti</t>
  </si>
  <si>
    <t>@agat777</t>
  </si>
  <si>
    <t>https://www.youtube.com/@agat777</t>
  </si>
  <si>
    <t>ribak.87 - Моя жизнь - Рыбалка</t>
  </si>
  <si>
    <t>YouTube-база</t>
  </si>
  <si>
    <t>ribak.87@mail.ru; @ribak87; https://vk.me/join/NzVLp4KHADmzhc/Zrc_nj2Lee1AySU6iDSQ=</t>
  </si>
  <si>
    <t>RIBAK87M</t>
  </si>
  <si>
    <t>https://www.youtube.com/channel/UCC2_I6U__JkSovoipSBinyA</t>
  </si>
  <si>
    <t>CPV отлично ≤</t>
  </si>
  <si>
    <t>вес</t>
  </si>
  <si>
    <t>Just Hook Up (Джасты)</t>
  </si>
  <si>
    <t>Отчёт Ани (внешний трафик)</t>
  </si>
  <si>
    <t>JUSTHOOK</t>
  </si>
  <si>
    <t>https://www.youtube.com/@just_hook_up/shorts</t>
  </si>
  <si>
    <t>CPV хорошо ≤</t>
  </si>
  <si>
    <t>Just Hook Up (Джасты) (Telegram)</t>
  </si>
  <si>
    <t>https://vkvideo.ru/@just_hook_up</t>
  </si>
  <si>
    <t>CPV средне ≤</t>
  </si>
  <si>
    <t>Just Hook Up (Джасты) (TikTok)</t>
  </si>
  <si>
    <t>TikTok</t>
  </si>
  <si>
    <t>https://www.tiktok.com/@justhookup?_r=1&amp;_t=ZN-97VhPIvCsha</t>
  </si>
  <si>
    <t>Охват большой ≥</t>
  </si>
  <si>
    <t>Рыболовная сводка Спб</t>
  </si>
  <si>
    <t>RYBOLOVN</t>
  </si>
  <si>
    <t>https://t.me/rybalka_spb_lenoblasti</t>
  </si>
  <si>
    <t>Охват средний ≥</t>
  </si>
  <si>
    <t>РЫБАКИ КУБАНЬ🪝АДЫГЕЯ | ОТЧЕТЫ</t>
  </si>
  <si>
    <t>RYBAKIKU</t>
  </si>
  <si>
    <t>https://max.ru/Fishing_Stavropol</t>
  </si>
  <si>
    <t>Охват малый ≥</t>
  </si>
  <si>
    <t>Рыбаки Ставрополья</t>
  </si>
  <si>
    <t>RYBAKIST</t>
  </si>
  <si>
    <t>https://telega.in/tme/Fishing_Stavropol</t>
  </si>
  <si>
    <t>Порог «Высокий» ≥</t>
  </si>
  <si>
    <t>Рыбалка. Рыба. Рыбаки</t>
  </si>
  <si>
    <t>RYBALKAR</t>
  </si>
  <si>
    <t>https://max.ru/rybalka555</t>
  </si>
  <si>
    <t>Порог «Средний» ≥</t>
  </si>
  <si>
    <t>РЫБАКИ МАЙКОПА | ОТЧЕТЫ</t>
  </si>
  <si>
    <t>RYBAKIMA</t>
  </si>
  <si>
    <t>https://max.ru/join/NB0LwHB6GVXMwdWkA_yH3rxmVEFKKGtCCevUd4nd89I</t>
  </si>
  <si>
    <t>Рыбаки ДВ | рыбалка на Дальнем Востоке</t>
  </si>
  <si>
    <t>RYBAKIDV</t>
  </si>
  <si>
    <t>https://max.ru/rybakidv</t>
  </si>
  <si>
    <t>Мы и природа|We and nature</t>
  </si>
  <si>
    <t>MYIPRIRO</t>
  </si>
  <si>
    <t>Рыбалка в СПб. и ЛО | Рыбацкий Север</t>
  </si>
  <si>
    <t>RYBALKAV</t>
  </si>
  <si>
    <t>Астраханская рыбалка и охота</t>
  </si>
  <si>
    <t>ASTRAHAN</t>
  </si>
  <si>
    <t>Рыбалка | Рыбанутые | Охота | Туризм</t>
  </si>
  <si>
    <t>Отчёты Рыбалка СПб</t>
  </si>
  <si>
    <t>OTCHETYR</t>
  </si>
  <si>
    <t>https://t.me/fishingspb1</t>
  </si>
  <si>
    <t>Диалоги про рыбалку | Рыбалка</t>
  </si>
  <si>
    <t>DIALOGIP</t>
  </si>
  <si>
    <t>https://t.me/dialogiproribalky</t>
  </si>
  <si>
    <t>Рыбалка на фидер в СПб.</t>
  </si>
  <si>
    <t>RYBALKAN</t>
  </si>
  <si>
    <t>https://max.ru/feederspb</t>
  </si>
  <si>
    <t>РЫБАЛКА В МОСКВЕ И ПОДМОСКОВЬЕ</t>
  </si>
  <si>
    <t>https://t.me/rubalkamoskva</t>
  </si>
  <si>
    <t>ДАЧНИКИ объявления Мга • Павлово • 45км • Горы</t>
  </si>
  <si>
    <t>DACHNIKI</t>
  </si>
  <si>
    <t>https://t.me/avito_dacha</t>
  </si>
  <si>
    <t>Рыбацкий канал</t>
  </si>
  <si>
    <t>RYBACKII</t>
  </si>
  <si>
    <t>Моя Дача. Сад и огород</t>
  </si>
  <si>
    <t>Telega.in</t>
  </si>
  <si>
    <t>Сад-огород</t>
  </si>
  <si>
    <t>Современный дачник</t>
  </si>
  <si>
    <t>Мой участок</t>
  </si>
  <si>
    <t>Дача: идеи и решения</t>
  </si>
  <si>
    <t>Библия Сада</t>
  </si>
  <si>
    <t>СУПЕР ОТПУСК на ДАЧЕ</t>
  </si>
  <si>
    <t>Родная дача</t>
  </si>
  <si>
    <t>Огород и дача - большая удача!</t>
  </si>
  <si>
    <t>Комнатные Растения 🌸</t>
  </si>
  <si>
    <t>Пионовый Рай</t>
  </si>
  <si>
    <t>Дача_садовод</t>
  </si>
  <si>
    <t>ДАЧНИК</t>
  </si>
  <si>
    <t>У Светланы ЛОДиСВЕТ</t>
  </si>
  <si>
    <t>Мебис дача</t>
  </si>
  <si>
    <t>уДачный проект🏠</t>
  </si>
  <si>
    <t>Мой урожай | Сад. Огород. Цветы</t>
  </si>
  <si>
    <t>На даче пригодится!</t>
  </si>
  <si>
    <t>Наш дом (дача, сад, огород, рецепты)</t>
  </si>
  <si>
    <t>world_plants</t>
  </si>
  <si>
    <t>Отчёт бота (telega.in)</t>
  </si>
  <si>
    <t>ТЁТЕЧКА ВАЛЕЧКА</t>
  </si>
  <si>
    <t>🌱Зелёный Базар | Цветы, Деревья, Саженцы, Растения</t>
  </si>
  <si>
    <t>Будни садовода ❤️</t>
  </si>
  <si>
    <t>УДачные моменты Светланы Агафоновой</t>
  </si>
  <si>
    <t>Фазенда с Васильевной</t>
  </si>
  <si>
    <t>Дачные хитрости от А до Я - Телеграмм</t>
  </si>
  <si>
    <t>Дача или Во саду ли в огороде</t>
  </si>
  <si>
    <t>Красивая усадьба🏡</t>
  </si>
  <si>
    <t>Загородная жизнь | Дача</t>
  </si>
  <si>
    <t>Мадам де Сад</t>
  </si>
  <si>
    <t>ИЗ ГОРОДА В ДЕРЕВНЮ</t>
  </si>
  <si>
    <t>Садовые дела</t>
  </si>
  <si>
    <t>Уютный сад</t>
  </si>
  <si>
    <t>ВСЕ В САД. Дача.Сад.Огород.</t>
  </si>
  <si>
    <t>Жизнь на хуторе Стуканов</t>
  </si>
  <si>
    <t>Дизайн участка | Оформление сада</t>
  </si>
  <si>
    <t>Находки для ДАЧИ 🌿</t>
  </si>
  <si>
    <t>Зеленые пальцы</t>
  </si>
  <si>
    <t>lenavolh1</t>
  </si>
  <si>
    <t>Надачеин</t>
  </si>
  <si>
    <t>Урожайный сад и огород</t>
  </si>
  <si>
    <t>Ландшафтный дизайн | Садовые растения | Экстерьер | Сад 🌳</t>
  </si>
  <si>
    <t>САД - ИНФО</t>
  </si>
  <si>
    <t>Garden Modern</t>
  </si>
  <si>
    <t>Сад в огороде / свой дом</t>
  </si>
  <si>
    <t>УЧЕНЫЙ АГРОНОМ</t>
  </si>
  <si>
    <t>Идеи для Дачи и Дома</t>
  </si>
  <si>
    <t>pcheltomsk</t>
  </si>
  <si>
    <t>Дача мечты. Полезные советы</t>
  </si>
  <si>
    <t>Дача|Вдохновение</t>
  </si>
  <si>
    <t>Ландшафтный дизайн | советы, лайфхаки</t>
  </si>
  <si>
    <t>Библия Сада - Огород, Дача, Стройка, Дизайн, Ремонт</t>
  </si>
  <si>
    <t>Веранда на Даче</t>
  </si>
  <si>
    <t>Зеленое Хобби</t>
  </si>
  <si>
    <t>Любимая дача</t>
  </si>
  <si>
    <t>Мой урожай | Дача</t>
  </si>
  <si>
    <t>Родная Деревенька</t>
  </si>
  <si>
    <t>Любимая Дача | Сад</t>
  </si>
  <si>
    <t>Вдали от города</t>
  </si>
  <si>
    <t>Домик у Старой Церкви</t>
  </si>
  <si>
    <t>💬 Дачники Садоводы | Набережные Челны №6</t>
  </si>
  <si>
    <t>Дачные Секреты</t>
  </si>
  <si>
    <t>Сад и огород. Дача. Советы агронома</t>
  </si>
  <si>
    <t>Бывалый огородник</t>
  </si>
  <si>
    <t>Дачная фанатка</t>
  </si>
  <si>
    <t>Уютная дача🌿</t>
  </si>
  <si>
    <t>Хроники Дачника</t>
  </si>
  <si>
    <t>Алёнин сад 🥕🍅🍆🌽</t>
  </si>
  <si>
    <t>🌿Цветущий дворик🌿</t>
  </si>
  <si>
    <t>Дача в Подмосковье</t>
  </si>
  <si>
    <t>Фермерский дворик</t>
  </si>
  <si>
    <t>Урожай без хлопот</t>
  </si>
  <si>
    <t>Деревенская семейка</t>
  </si>
  <si>
    <t>Дневник Ленчиклап</t>
  </si>
  <si>
    <t>VK</t>
  </si>
  <si>
    <t>Жизнь между городом и дачей</t>
  </si>
  <si>
    <t>Моя дача. Огород и цветы | Строительство, баня, дом,</t>
  </si>
  <si>
    <t>БИБЛИЯ САДА - Огород, Дача, Стройка</t>
  </si>
  <si>
    <t>Дачные хитрости от А до Я | Сад | Огород</t>
  </si>
  <si>
    <t>Удача на даче с Elena_Kuznetsova_89</t>
  </si>
  <si>
    <t>Даша на хуторе</t>
  </si>
  <si>
    <t>Сельчанка Ксюша</t>
  </si>
  <si>
    <t>Жизнь Перовых в русской глубинке</t>
  </si>
  <si>
    <t>Шуркин двор</t>
  </si>
  <si>
    <t>Татьяна о даче</t>
  </si>
  <si>
    <t>Семья сергуниных</t>
  </si>
  <si>
    <t>Дача головного мозга</t>
  </si>
  <si>
    <t>ЛЕНКИН ОГОРОД</t>
  </si>
  <si>
    <t>Кордашова лайф</t>
  </si>
  <si>
    <t>@victorstepanych (Telegram)</t>
  </si>
  <si>
    <t>Анна</t>
  </si>
  <si>
    <t>Егор Рыбак Гришин</t>
  </si>
  <si>
    <t>https://vk.ru/egorrybak57</t>
  </si>
  <si>
    <t>Рыбанутые (MAX)</t>
  </si>
  <si>
    <t>VK: vanorybak</t>
  </si>
  <si>
    <t>https://vk.ru/vanorybak</t>
  </si>
  <si>
    <t>@rybalkanarekahiozerah</t>
  </si>
  <si>
    <t>https://youtube.com/@rybalkanarekahiozerah?si=zYKPEAFOeSZ0G_UR</t>
  </si>
  <si>
    <t>@elderlypeople58</t>
  </si>
  <si>
    <t>Inst</t>
  </si>
  <si>
    <t>https://www.instagram.com/elderlypeople58</t>
  </si>
  <si>
    <t>https://max.ru/life_fishing</t>
  </si>
  <si>
    <t>Диалоги про рыбалку</t>
  </si>
  <si>
    <t>https://max.ru/club220872293</t>
  </si>
  <si>
    <t>MAX: udachnaya_rybalca</t>
  </si>
  <si>
    <t>https://max.ru/udachnaya_rybalca</t>
  </si>
  <si>
    <t>MAX: rybalkaudachnaya</t>
  </si>
  <si>
    <t>https://max.ru/rybalkaudachnaya</t>
  </si>
  <si>
    <t>Отчеты Рыбалка в СПБ</t>
  </si>
  <si>
    <t>Люди у которых всегда клюет</t>
  </si>
  <si>
    <t>https://vk.ru/vsegda_klyuyet</t>
  </si>
  <si>
    <t>VK: club230217851</t>
  </si>
  <si>
    <t>https://vk.ru/club230217851</t>
  </si>
  <si>
    <t>Алиса в стране рыбаков</t>
  </si>
  <si>
    <t>https://vk.ru/club230576737</t>
  </si>
  <si>
    <t>@oxotniciribak</t>
  </si>
  <si>
    <t>https://youtube.com/@oxotniciribak?si=DKpc4bYJqO4F4YeC</t>
  </si>
  <si>
    <t>VK: bratsvoohotnikoviribolovov</t>
  </si>
  <si>
    <t>https://vk.com/bratsvoohotnikoviribolovov</t>
  </si>
  <si>
    <t>@ludiidei</t>
  </si>
  <si>
    <t>https://www.youtube.com/@ludiidei</t>
  </si>
  <si>
    <t>shygar_ded</t>
  </si>
  <si>
    <t>Tiktok</t>
  </si>
  <si>
    <t>https://www.tiktok.com/@shygar_ded</t>
  </si>
  <si>
    <t>derevenski_parenek</t>
  </si>
  <si>
    <t>egor_moskvich</t>
  </si>
  <si>
    <t xml:space="preserve">Рыбак с Оки </t>
  </si>
  <si>
    <t>Rutube</t>
  </si>
  <si>
    <t>ТГ 79156048046 Aleks</t>
  </si>
  <si>
    <t>https://rutube.ru/channel/24952002</t>
  </si>
  <si>
    <t>LEV77</t>
  </si>
  <si>
    <t>@LEV77mdh</t>
  </si>
  <si>
    <t>https://www.youtube.com/channel/UCNMRr83Dwupp1JdmQePzD4A</t>
  </si>
  <si>
    <t>Интересное Рукоделие</t>
  </si>
  <si>
    <t>Растения и</t>
  </si>
  <si>
    <t>Цветочница</t>
  </si>
  <si>
    <t>Сам вырастил</t>
  </si>
  <si>
    <t>Шьем с Таней</t>
  </si>
  <si>
    <t>Домашние цветы</t>
  </si>
  <si>
    <t>РУКОДЕЛЬНИЦА | Вязание</t>
  </si>
  <si>
    <t>Вышивка крестом | Схемы вышивки</t>
  </si>
  <si>
    <t>Машериша (Masherisha)</t>
  </si>
  <si>
    <t>Шитьё Три Руки</t>
  </si>
  <si>
    <t>Душевные интерьеры</t>
  </si>
  <si>
    <t>Урожайный огород</t>
  </si>
  <si>
    <t>Семена Алтая</t>
  </si>
  <si>
    <t>Садовый Мир</t>
  </si>
  <si>
    <t>@ribanutij</t>
  </si>
  <si>
    <t>@just_hook_up</t>
  </si>
  <si>
    <t>А ты знал?</t>
  </si>
  <si>
    <t>vogorode.pro</t>
  </si>
  <si>
    <t>Центр поддержки садоводов и огородников России</t>
  </si>
  <si>
    <t>Сад без секретов</t>
  </si>
  <si>
    <t>Семена Партнер</t>
  </si>
  <si>
    <t>Юля из Воронежа ired.cap.</t>
  </si>
  <si>
    <t>@justhookup</t>
  </si>
  <si>
    <t>Зеленый Огород</t>
  </si>
  <si>
    <t>ЛЕСНЫЕ - Жизнь в ЛЕСУ</t>
  </si>
  <si>
    <t>YouTube/Rutube</t>
  </si>
  <si>
    <t xml:space="preserve">Первый слот (90 сек) — прямая реклама 550 000 ₽, нативная 600 000 ₽ с налогом </t>
  </si>
  <si>
    <t>@VeronikaSamoilova</t>
  </si>
  <si>
    <t>https://www.youtube.com/@LESNUE</t>
  </si>
  <si>
    <t>СамСебеАгроном</t>
  </si>
  <si>
    <t>Дачные Хитрости</t>
  </si>
  <si>
    <t>Ольга Чернова. Огородная азбука</t>
  </si>
  <si>
    <t>Сад по-взрослому с Виктором Шадриным</t>
  </si>
  <si>
    <t>огород</t>
  </si>
  <si>
    <t>НОРМАЛЬНЫЙ МУЖИК</t>
  </si>
  <si>
    <t>ТГ @normhusband</t>
  </si>
  <si>
    <t>www.youtube.com/@АлексейА-э3в  https://rutube.ru/channel/24725217/</t>
  </si>
  <si>
    <t>у Светланы ЛОДиСАД</t>
  </si>
  <si>
    <t>СИБИРИЯ</t>
  </si>
  <si>
    <t>i@sibiriatv.ru  https://vk.ru/sibiria_pro</t>
  </si>
  <si>
    <t>https://rutube.ru/u/sibiria/</t>
  </si>
  <si>
    <t>Чудо Огород Коротко и ясно</t>
  </si>
  <si>
    <t>ГЕНЕРАЛЬСКИЙ ОГОРОД</t>
  </si>
  <si>
    <t>DelaOgorodnieTV</t>
  </si>
  <si>
    <t>Таёжные Приключения</t>
  </si>
  <si>
    <t>@sergey_taiga</t>
  </si>
  <si>
    <t>https://www.youtube.com/@taigakomi</t>
  </si>
  <si>
    <t>В саду работаю с любовью</t>
  </si>
  <si>
    <t>Солнце на крючке</t>
  </si>
  <si>
    <t>@Solnce_na_kruchke</t>
  </si>
  <si>
    <t>Антонов сад - дача и огород</t>
  </si>
  <si>
    <t>Урожайный Огород Обо Всём</t>
  </si>
  <si>
    <t>Ваше Плодородие</t>
  </si>
  <si>
    <t xml:space="preserve">Лютые Походники </t>
  </si>
  <si>
    <t>@hamster_LP</t>
  </si>
  <si>
    <t xml:space="preserve">https://www.youtube.com/@pohodniki </t>
  </si>
  <si>
    <t xml:space="preserve">CarpDon </t>
  </si>
  <si>
    <t>Макс 89874366892</t>
  </si>
  <si>
    <t xml:space="preserve">https://www.youtube.com/channel/UC_8HNtxiNhjMggZshsrT0lg 
https://rutube.ru/channel/15455733/ </t>
  </si>
  <si>
    <t>САД ОГОРОД И ЗИМНЯЯ ТЕПЛИЦА</t>
  </si>
  <si>
    <t>ДАЧНЫЕ СОВЕТЫ 🏡</t>
  </si>
  <si>
    <t>САД С НУЛЯ</t>
  </si>
  <si>
    <t xml:space="preserve">Сибирский рыбачок </t>
  </si>
  <si>
    <t>Цветочный сад у Алёнушки.</t>
  </si>
  <si>
    <t>Белая Дача</t>
  </si>
  <si>
    <t>Сибирский рыбачок</t>
  </si>
  <si>
    <t>ТГ @sib_ribachok</t>
  </si>
  <si>
    <t>https://rutube.ru/u/siberianfisherman/</t>
  </si>
  <si>
    <t>Сад для души Светлана Самойлова</t>
  </si>
  <si>
    <t>Дачный участок</t>
  </si>
  <si>
    <t>САДОВОД РЫНОК НА СТИЛЕ</t>
  </si>
  <si>
    <t>Цитрусы дома</t>
  </si>
  <si>
    <t>Рыбалка во все Времена</t>
  </si>
  <si>
    <t>YouTube/Rutube/ВК</t>
  </si>
  <si>
    <t>Вк 1500 
Ютуб 1000
Дзен статья - 800</t>
  </si>
  <si>
    <t>https://vk.ru/spassk_dm</t>
  </si>
  <si>
    <t xml:space="preserve">http://www.youtube.com/@Rubalka_vo_vse_Vremena https://rutube.ru/channel/11564345/ </t>
  </si>
  <si>
    <t>Чиха в деле</t>
  </si>
  <si>
    <t>@MuRAd_2712 menedzher_anton@bk.ru</t>
  </si>
  <si>
    <t>ПетрОгороДача</t>
  </si>
  <si>
    <t>69HOBBY</t>
  </si>
  <si>
    <t>SLMagnat</t>
  </si>
  <si>
    <t>YouTube/ВК</t>
  </si>
  <si>
    <t>slmproduction@mail.ru; Telegram: @slmagnat https://vk.ru/slmagnat</t>
  </si>
  <si>
    <t xml:space="preserve">https://www.youtube.com/@SLMagnat </t>
  </si>
  <si>
    <t>АМИНОСИЛ - витамины для растений</t>
  </si>
  <si>
    <t>Красное Зеленое. Сад Огород</t>
  </si>
  <si>
    <t>Жизнь в приволжской деревне</t>
  </si>
  <si>
    <t>@avtuhenko; vsemoguwii@yandex.ru</t>
  </si>
  <si>
    <t>Урожайная грядка СеДеК</t>
  </si>
  <si>
    <t>🍏 Дачный журнал Петровны</t>
  </si>
  <si>
    <t>Fishing 21</t>
  </si>
  <si>
    <t>https://vk.ru/id371546917</t>
  </si>
  <si>
    <t>http://www.youtube.com/@FISHING21.</t>
  </si>
  <si>
    <t>Ландшафтный Дизайн</t>
  </si>
  <si>
    <t>Лютые Походники</t>
  </si>
  <si>
    <t>https://www.youtube.com/@pohodniki</t>
  </si>
  <si>
    <t>Сад и кухня</t>
  </si>
  <si>
    <t>САД СВОИМИ РУКАМИ! Ева</t>
  </si>
  <si>
    <t>Черничный хутор</t>
  </si>
  <si>
    <t xml:space="preserve">200 000 </t>
  </si>
  <si>
    <t>1hut@proton.me</t>
  </si>
  <si>
    <t>Участок | Дом и сад</t>
  </si>
  <si>
    <t>Рыбалка Мега</t>
  </si>
  <si>
    <t>воцап(89872126770) shayakhmetov-ramil@mail.ru</t>
  </si>
  <si>
    <t>Садовита с Галиной Хигер!</t>
  </si>
  <si>
    <t>МЫ И ПРИРОДА</t>
  </si>
  <si>
    <t>YouTube/Rutube/ВК/ТГ</t>
  </si>
  <si>
    <t xml:space="preserve">weandnature@yandex.ru; @Aleksei_we_and_nature </t>
  </si>
  <si>
    <t>РОЗЫ В САДУ YouTube star</t>
  </si>
  <si>
    <t>Счастливые Дачники / ProGazon</t>
  </si>
  <si>
    <t>Занимательное Садоводство - Юлиана Копьева</t>
  </si>
  <si>
    <t>Ольга Савкина АКТРИСА на ШОПИНГЕ</t>
  </si>
  <si>
    <t>ОГОРОД НАД ЗЕМЛЁЙ</t>
  </si>
  <si>
    <t>Weandnature</t>
  </si>
  <si>
    <t>Елена Сад и Огород</t>
  </si>
  <si>
    <t>Сад, огород и не только...</t>
  </si>
  <si>
    <t>САД ЛЮДМИЛЫ  Турубановой-Корнеевой в Осиновой Роще</t>
  </si>
  <si>
    <t>Дачница</t>
  </si>
  <si>
    <t>Два майора</t>
  </si>
  <si>
    <t>Telegram/MAX</t>
  </si>
  <si>
    <t>Telegram - 75.000р
MAX Цена - 85.000р</t>
  </si>
  <si>
    <t xml:space="preserve">@major_adv  </t>
  </si>
  <si>
    <t>Милитарист</t>
  </si>
  <si>
    <t>60000р</t>
  </si>
  <si>
    <t>@militaristmail</t>
  </si>
  <si>
    <t>30 минут в топе и без удаления из ленты</t>
  </si>
  <si>
    <t>Garden Foresta</t>
  </si>
  <si>
    <t>Новости СВО и Мира 🇷🇺</t>
  </si>
  <si>
    <r>
      <rPr>
        <rFont val="Arial"/>
        <color rgb="FF1155CC"/>
        <u/>
      </rPr>
      <t>@zovpobedyy_bot</t>
    </r>
  </si>
  <si>
    <t xml:space="preserve">цена 5к, 1/24 </t>
  </si>
  <si>
    <t>Прибалтийская Дача</t>
  </si>
  <si>
    <t>Condottiero</t>
  </si>
  <si>
    <r>
      <rPr>
        <rFont val="Arial"/>
        <color rgb="FF1155CC"/>
        <u/>
      </rPr>
      <t>@Soldo_bot</t>
    </r>
  </si>
  <si>
    <t>Час в топе, без удаления</t>
  </si>
  <si>
    <t>ВДаче | Сад и огород</t>
  </si>
  <si>
    <t>Книга здоровья</t>
  </si>
  <si>
    <t>Военный Осведомитель</t>
  </si>
  <si>
    <t>9:00, 22:00 (30 мин/72) -36 000,00 ₽
13:00, 16:00, 19:00 (30 мин/72) - 40 000,00 ₽</t>
  </si>
  <si>
    <t>@milinfolive_man</t>
  </si>
  <si>
    <t>сделаем 30 ленты без доплаты по той же цене</t>
  </si>
  <si>
    <t>Военкор Лисицын ZOV-TV</t>
  </si>
  <si>
    <t xml:space="preserve">8.000р </t>
  </si>
  <si>
    <t>@kkardashyan</t>
  </si>
  <si>
    <t>За час в топе, 24ч в ленте
НА ИП +10% к цене</t>
  </si>
  <si>
    <t>Творческий процесс</t>
  </si>
  <si>
    <t>Северная рыбалка /Nord fishing</t>
  </si>
  <si>
    <t>ЦВЕТУЩАЯ ПЛАНЕТА</t>
  </si>
  <si>
    <t xml:space="preserve">@AdisomAgency  </t>
  </si>
  <si>
    <t>Академия садоводства</t>
  </si>
  <si>
    <t>slmagnat</t>
  </si>
  <si>
    <t>Ландшафтный дизайн ПроГарден</t>
  </si>
  <si>
    <t>Дисперсия Каргинизма — Александр Каргин</t>
  </si>
  <si>
    <t>@SvetlanaMaxwell</t>
  </si>
  <si>
    <t>Живу на Алтае. Сад Огород</t>
  </si>
  <si>
    <t>Чеховский виноград и сад</t>
  </si>
  <si>
    <t>Кирилл Фёдоров / Война История Оружие</t>
  </si>
  <si>
    <t>17.000</t>
  </si>
  <si>
    <r>
      <rPr>
        <rFont val="Arial"/>
        <color rgb="FF1155CC"/>
        <u/>
      </rPr>
      <t>@dmakarow</t>
    </r>
  </si>
  <si>
    <t>Сад без проблем</t>
  </si>
  <si>
    <t>Уютная Дача | Дизайн ландшафта</t>
  </si>
  <si>
    <t>РЕШКИ на ГРЯДКАХ</t>
  </si>
  <si>
    <t>HASTA | рыболовный канал</t>
  </si>
  <si>
    <t>@HASTA_Fish</t>
  </si>
  <si>
    <t>Ландшафтная студия L-BURO</t>
  </si>
  <si>
    <t>Деревенский блокнот</t>
  </si>
  <si>
    <t>@Diggsale</t>
  </si>
  <si>
    <t>Деревенские истории / Кирилл Доронин</t>
  </si>
  <si>
    <t>@doronink</t>
  </si>
  <si>
    <t>Derevenski_parenek</t>
  </si>
  <si>
    <t>Записки садовода: рецепты из собственного урожая</t>
  </si>
  <si>
    <t>Solnce_na_kruchke_ultralight</t>
  </si>
  <si>
    <t>Сибирская семейная теплица</t>
  </si>
  <si>
    <t>solnce_na_kruchke_ultralight</t>
  </si>
  <si>
    <t>ТЕПЛИЦА-ТЕРМОС ТВ</t>
  </si>
  <si>
    <t>Корзина дачника</t>
  </si>
  <si>
    <t>warhistoryalconafter</t>
  </si>
  <si>
    <t>Книга большого урожая 🍅</t>
  </si>
  <si>
    <t>Садовница Оксана</t>
  </si>
  <si>
    <t>ВИНОГРАД СЕРГЕЯ МАНСУРОВА.</t>
  </si>
  <si>
    <t>Сады севера Азии</t>
  </si>
  <si>
    <t>Анна садовод-любитель</t>
  </si>
  <si>
    <t>Dyadyabatya0</t>
  </si>
  <si>
    <t>Ягодное Подворье</t>
  </si>
  <si>
    <t>Рассада в Геленджике</t>
  </si>
  <si>
    <t>Огород с Дедом Маркелычем.</t>
  </si>
  <si>
    <t>Уютная дача</t>
  </si>
  <si>
    <t>Долина Растений</t>
  </si>
  <si>
    <t>Секреты огорода</t>
  </si>
  <si>
    <t>Розы у Елены. flowers and plants</t>
  </si>
  <si>
    <t>ТК "Садовод"</t>
  </si>
  <si>
    <t>Домик окнами в сад</t>
  </si>
  <si>
    <t>Любимая Дача</t>
  </si>
  <si>
    <t>Огородник PRO</t>
  </si>
  <si>
    <t>Растениеводство с Борисом Сониным</t>
  </si>
  <si>
    <t>БашИнком - Органическое Живое Земледелие</t>
  </si>
  <si>
    <t>Уральская Усадьба Теплицы</t>
  </si>
  <si>
    <t>Для дома и семьи</t>
  </si>
  <si>
    <t>Светлана Красохина</t>
  </si>
  <si>
    <t>Анфея - Тепличное хозяйство</t>
  </si>
  <si>
    <t>Конституция огородника</t>
  </si>
  <si>
    <t>ЛюдМила и МОЙ АВТОРСКИЙ САД</t>
  </si>
  <si>
    <t>Дача для души</t>
  </si>
  <si>
    <t>БУЙСКИЕ УДОБРЕНИЯ</t>
  </si>
  <si>
    <t>Счастливый огород</t>
  </si>
  <si>
    <t>Оксана Хлебородова</t>
  </si>
  <si>
    <t>Умный Садовник. Разумное садоводство</t>
  </si>
  <si>
    <t>Умный огород</t>
  </si>
  <si>
    <t>Сельская жизнь. От рассады к урожаю овощей</t>
  </si>
  <si>
    <t>Прекрасный сад Маришки</t>
  </si>
  <si>
    <t>Derevosad</t>
  </si>
  <si>
    <t>Саженцы | Деревья</t>
  </si>
  <si>
    <t>Фермерская Жизнь</t>
  </si>
  <si>
    <t>Геннадий Огородник</t>
  </si>
  <si>
    <t>Виноград Шашаева</t>
  </si>
  <si>
    <t>ORGOROD - Органическое Земледелие</t>
  </si>
  <si>
    <t>Сад и огород: Ягодный мир</t>
  </si>
  <si>
    <t>Аннин сад l annysgarden</t>
  </si>
  <si>
    <t>Теплый Урожай</t>
  </si>
  <si>
    <t>Садовая история</t>
  </si>
  <si>
    <t>Дачники с Еленой Драгуновой</t>
  </si>
  <si>
    <t>Сумки садовод</t>
  </si>
  <si>
    <t>Студия ландшафтного дизайна Gardens Design</t>
  </si>
  <si>
    <t>Розовые сады Урала 🌹</t>
  </si>
  <si>
    <t>Консультант Садовода</t>
  </si>
  <si>
    <t>Сад во Владимирской области</t>
  </si>
  <si>
    <t>#Сад_мечты в уездном городе</t>
  </si>
  <si>
    <t>Питомник Савватеевых</t>
  </si>
  <si>
    <t>Волжский сад</t>
  </si>
  <si>
    <t>Алексей Горбунов</t>
  </si>
  <si>
    <t>Наша дача</t>
  </si>
  <si>
    <t>Питомник растений Ёлы-палы</t>
  </si>
  <si>
    <t>Поморская теплица</t>
  </si>
  <si>
    <t>Пряничная Дача</t>
  </si>
  <si>
    <t>САД И ОГОРОД С ОПЫТОМ</t>
  </si>
  <si>
    <t>Контейнерное садоводство</t>
  </si>
  <si>
    <t>ШКОЛА "ВИД": ЛАНДШАФТНЫЙ ДИЗАЙН</t>
  </si>
  <si>
    <t>Огород Тимохиной</t>
  </si>
  <si>
    <t>ОгоРодник</t>
  </si>
  <si>
    <t>Супер Огородник | Дом и огород</t>
  </si>
  <si>
    <t>Мария Уральский Садовод</t>
  </si>
  <si>
    <t>Павел Алькин</t>
  </si>
  <si>
    <t>уДачный Огород TB</t>
  </si>
  <si>
    <t>Загородная жизнь</t>
  </si>
  <si>
    <t>Фермеры, Садоводы</t>
  </si>
  <si>
    <t>Растим свое</t>
  </si>
  <si>
    <t>Курсы дизайна интерьера Курсы ландшафтного дизайна</t>
  </si>
  <si>
    <t>Ленивая фазенда</t>
  </si>
  <si>
    <t>Домик в деревне</t>
  </si>
  <si>
    <t>Нововасильевский питомник растений</t>
  </si>
  <si>
    <t>Тайны Огорода</t>
  </si>
  <si>
    <t>Лигногумат</t>
  </si>
  <si>
    <t>Виноград в Сибири</t>
  </si>
  <si>
    <t>Александр Куранов</t>
  </si>
  <si>
    <t>Выращивание винограда в Твери</t>
  </si>
  <si>
    <t>Наталья Каразаева</t>
  </si>
  <si>
    <t>🌱Дача с умом | Огород</t>
  </si>
  <si>
    <t>Маленький сад Ирины</t>
  </si>
  <si>
    <t>Ландшафтный дизайн с Инной Садыковой</t>
  </si>
  <si>
    <t>Компания Воля - производство теплиц.</t>
  </si>
  <si>
    <t>Планета Грунта🌱</t>
  </si>
  <si>
    <t>Gaben Life</t>
  </si>
  <si>
    <t>чудогрядка.рф | сад. огород. цветы</t>
  </si>
  <si>
    <t>Асхаб Садовод</t>
  </si>
  <si>
    <t>Виноград + SAOS + виноградарство и все что с виноградом связано от А до Я</t>
  </si>
  <si>
    <t>САМЫЙ ЦИМУС [БОГАТЫЙ УРОЖАЙ]</t>
  </si>
  <si>
    <t>Лайфхаки для дачи</t>
  </si>
  <si>
    <t>Сад с огородом</t>
  </si>
  <si>
    <t>LENOTR PARK - Ландшафтный дизайн</t>
  </si>
  <si>
    <t>Guzi_Green</t>
  </si>
  <si>
    <t>Дача - место для души</t>
  </si>
  <si>
    <t>Melardi | Ландшафтный дизайн | Москва</t>
  </si>
  <si>
    <t>САДЫ ДАЧИ ОГОРОДЫ (объявления/рынок) ТЮМЕНЬ</t>
  </si>
  <si>
    <t>Азбука жизни Кубани</t>
  </si>
  <si>
    <t>Обзоры с рынка Садовод</t>
  </si>
  <si>
    <t>Николай Федоров.Виноградарство в Крыму</t>
  </si>
  <si>
    <t>СЕЛЬСКИЙ ОГОРОДНИК</t>
  </si>
  <si>
    <t>Мой сад с нуля своими руками</t>
  </si>
  <si>
    <t>Водопьяновские Виноградики</t>
  </si>
  <si>
    <t>Осознанное садоводство</t>
  </si>
  <si>
    <t>Уют 365</t>
  </si>
  <si>
    <t>🌺 Цветоводы и Растениеводы</t>
  </si>
  <si>
    <t>Анна Грачёва</t>
  </si>
  <si>
    <t>Малина на юге</t>
  </si>
  <si>
    <t>дача Антонины.Владимирская обл.</t>
  </si>
  <si>
    <t>Саженцы🌿🍎🌼</t>
  </si>
  <si>
    <t>Секретный язык растений</t>
  </si>
  <si>
    <t>Ясенева Янита. Огородник с бабушкиными семенами</t>
  </si>
  <si>
    <t>🍓Кульшариповский питомник растений 🌹</t>
  </si>
  <si>
    <t>Твоя Теплица</t>
  </si>
  <si>
    <t>5 секретов фермера</t>
  </si>
  <si>
    <t>Интересное садоводство</t>
  </si>
  <si>
    <t>Фёдор Помидор</t>
  </si>
  <si>
    <t>Сибирская дача 🥦🍅</t>
  </si>
  <si>
    <t>Стаханов Виноград</t>
  </si>
  <si>
    <t>Огород нашей мечты</t>
  </si>
  <si>
    <t>РОМАХА ОГОРОДНИК</t>
  </si>
  <si>
    <t>Будни Елены</t>
  </si>
  <si>
    <t>Удачный виноград в Гродно</t>
  </si>
  <si>
    <t>Сад у Солопа Сибирский садовод (Сад у Солопа)</t>
  </si>
  <si>
    <t>Обмен растениями (Москва)</t>
  </si>
  <si>
    <t>Дендропарк - садовые растения и уход за ними</t>
  </si>
  <si>
    <t>Сад для здоровья. Органическое земледелие.</t>
  </si>
  <si>
    <t>МЕРА Удобрения с фульвокислотами</t>
  </si>
  <si>
    <t>Виноградарь Ольга Худякова (vinograd_blog)</t>
  </si>
  <si>
    <t>Елена Ященко. Виноградные сезоны</t>
  </si>
  <si>
    <t>Бешеный огородник и не только</t>
  </si>
  <si>
    <t>САДОВОДСТВО С ЛЮБОВЬЮ</t>
  </si>
  <si>
    <t>ОБО ВСЁМ ПОЛЕЗНОМ</t>
  </si>
  <si>
    <t>Дневник ландшафтного дизайнера</t>
  </si>
  <si>
    <t>Mikhail Chertok</t>
  </si>
  <si>
    <t>Светлана Розы цветы сада</t>
  </si>
  <si>
    <t>Печуркина Дача</t>
  </si>
  <si>
    <t>ЛАНДШАФТНЫЙ ДИЗАЙН с Татьяной Звёздочкиной</t>
  </si>
  <si>
    <t>Альфия Мингажева</t>
  </si>
  <si>
    <t>Александр Крюков</t>
  </si>
  <si>
    <t>Дачные радости: строительство и огород.</t>
  </si>
  <si>
    <t>Живая Теплица</t>
  </si>
  <si>
    <t>Ландшафтный дизайн</t>
  </si>
  <si>
    <t>УСАТЫЙ ОГОРОДНИК</t>
  </si>
  <si>
    <t>Виноградник Сергея Юрьева</t>
  </si>
  <si>
    <t>GardenFarm</t>
  </si>
  <si>
    <t>Дневник садовода</t>
  </si>
  <si>
    <t>Омский Садовод</t>
  </si>
  <si>
    <t>VERANDA Цветы Сад Огород</t>
  </si>
  <si>
    <t>Виноград средней полосы Фролова Олега.</t>
  </si>
  <si>
    <t>Теплоухов сад — обрезка деревьев</t>
  </si>
  <si>
    <t>Костюкова Лидия</t>
  </si>
  <si>
    <t>Теплицы Агросфера (Официальный канал)</t>
  </si>
  <si>
    <t>Все Для Сада</t>
  </si>
  <si>
    <t>Костоправ Садовод</t>
  </si>
  <si>
    <t>Северное Садоводство</t>
  </si>
  <si>
    <t>LANDSHAFT ALMATY</t>
  </si>
  <si>
    <t>Ландшафтный дизайн и органическое земледелие</t>
  </si>
  <si>
    <t>Анмакс</t>
  </si>
  <si>
    <t>ВИНОГРАДНИК ЧЕРНОМОРА</t>
  </si>
  <si>
    <t>Сибирский огород 38</t>
  </si>
  <si>
    <t>Садоводство в мелочах</t>
  </si>
  <si>
    <t>Веселый огородник</t>
  </si>
  <si>
    <t>Юлина Рассада</t>
  </si>
  <si>
    <t>Элеонора Ландшафтный скетчинг</t>
  </si>
  <si>
    <t>Зелёный Огород</t>
  </si>
  <si>
    <t>МЕДИАПЛАН — Триггер (прикормки для рыб)</t>
  </si>
  <si>
    <t>Синее — задаёт руководитель (бюджет, цель). Жёлтое — заполняет менеджер (охват, CTR, CR, чек, % выкупа). Серое — считается формулами.</t>
  </si>
  <si>
    <t>▼ ИЮЛЬ 2026</t>
  </si>
  <si>
    <t>Бюджет на месяц, ₽</t>
  </si>
  <si>
    <t>Целевой DRR</t>
  </si>
  <si>
    <t>Канал</t>
  </si>
  <si>
    <t>Бюджет, ₽</t>
  </si>
  <si>
    <t>Прогноз охвата</t>
  </si>
  <si>
    <t>CTR %</t>
  </si>
  <si>
    <t>Клики</t>
  </si>
  <si>
    <t>CR в заказ %</t>
  </si>
  <si>
    <t>Заказы</t>
  </si>
  <si>
    <t>CPO, ₽</t>
  </si>
  <si>
    <t>Выкупы</t>
  </si>
  <si>
    <t>Стоимость выкупа, ₽</t>
  </si>
  <si>
    <t>Выручка, ₽</t>
  </si>
  <si>
    <t>DRR</t>
  </si>
  <si>
    <t>МАРКЕТПЛЕЙС (ВБ / Ozon)</t>
  </si>
  <si>
    <t>Ср. чек, ₽</t>
  </si>
  <si>
    <t>% выкупа</t>
  </si>
  <si>
    <t>Instagram</t>
  </si>
  <si>
    <t>ИТОГО — МП</t>
  </si>
  <si>
    <t>САЙТ</t>
  </si>
  <si>
    <t>ИТОГО — Сайт</t>
  </si>
  <si>
    <t>ИТОГО ЗА МЕСЯЦ (МП + Сайт)</t>
  </si>
  <si>
    <t>Вердикт по DRR</t>
  </si>
  <si>
    <t>▼ АВГУСТ 2026</t>
  </si>
  <si>
    <t>Прогноз CPV, ₽</t>
  </si>
  <si>
    <t>▼ СЕНТЯБРЬ 2026</t>
  </si>
  <si>
    <t>CR в заказ / рег. %</t>
  </si>
  <si>
    <t>Заказы / рег.</t>
  </si>
  <si>
    <t>CPO / CPA, ₽</t>
  </si>
  <si>
    <t xml:space="preserve">БОТЫ </t>
  </si>
  <si>
    <t>Цель, рег.</t>
  </si>
  <si>
    <t>Ср. CPA, ₽</t>
  </si>
  <si>
    <t>TG: «Зелёный доктор»</t>
  </si>
  <si>
    <t>TG: «Клёвое место»</t>
  </si>
  <si>
    <t>ИТОГО — Боты</t>
  </si>
  <si>
    <t>ИТОГО ЗА МЕСЯЦ</t>
  </si>
  <si>
    <t>▼ ОКТЯБРЬ 2026 — МАРИЯ: 630 000 ₽ / 92 Fish + 36 корм + 5 000 регистраций</t>
  </si>
  <si>
    <t>CTR</t>
  </si>
  <si>
    <t>CR в заказ</t>
  </si>
  <si>
    <t>Прогноз заказов</t>
  </si>
  <si>
    <t>Цена выкупа, ₽</t>
  </si>
  <si>
    <t>ДРР</t>
  </si>
  <si>
    <t>AminoTrigger-Fish — цель 92 заказа</t>
  </si>
  <si>
    <t>Чек: допущение</t>
  </si>
  <si>
    <t>Выкуп: допущение</t>
  </si>
  <si>
    <t>ИТОГО Fish / цель 92</t>
  </si>
  <si>
    <t>AminoTrigger Корм — пилот: цель 36 заказов</t>
  </si>
  <si>
    <t>Чек не задан</t>
  </si>
  <si>
    <t>Выкуп не задан</t>
  </si>
  <si>
    <t>ИТОГО Корм / цель, не прогноз</t>
  </si>
  <si>
    <t>ИТОГО товары</t>
  </si>
  <si>
    <t>Управление закупкой</t>
  </si>
  <si>
    <t>Повторять лучшие каналы и похожих авторов. YouTube 40 000 ₽ сохранён как тест; расширять после проверки CPO.</t>
  </si>
  <si>
    <t>▼ НОЯБРЬ 2026</t>
  </si>
  <si>
    <t>▼ ДЕКАБРЬ 2026</t>
  </si>
  <si>
    <t>БОТ «КЛЁВАЯ КАРТА» — цель 5 000 регистраций</t>
  </si>
  <si>
    <t>CPA для прогноза, ₽</t>
  </si>
  <si>
    <t>Прогноз регистраций</t>
  </si>
  <si>
    <t>Цель регистраций</t>
  </si>
  <si>
    <t>Целевой CPA, ₽</t>
  </si>
  <si>
    <t>Примечание</t>
  </si>
  <si>
    <t>Проверенные TG и похожие: CPA лучших ×1,75; масштабировать траншами</t>
  </si>
  <si>
    <t>Тест: CPA 60 ₽ — цель, нет истории регистраций MAX</t>
  </si>
  <si>
    <t>ИТОГО карта</t>
  </si>
  <si>
    <t>Условный прогноз; MAX основан на допущении</t>
  </si>
  <si>
    <t>Отклонение от цели</t>
  </si>
  <si>
    <t>Плюс — превышение; минус — недобор</t>
  </si>
  <si>
    <t>Сверка бюджета</t>
  </si>
  <si>
    <t>Разница должна быть 0</t>
  </si>
  <si>
    <t>Доли площадок</t>
  </si>
  <si>
    <t>Контроль: 7/14/21 октября. Масштабировать после ≥10 заказов / ≥50 регистраций и проверки качества данных.</t>
  </si>
  <si>
    <t>Карта: CPA ≤60 ₽ — увеличивать; 60–72 ₽ — дорабатывать; &gt;90 ₽ после 50 регистраций — остановить.</t>
  </si>
  <si>
    <t>Fish: CPO ≤2 609 ₽ — увеличивать; выше порога — оставить тест до проверки атрибуции. Не переносить результат одного автора на всю площадку.</t>
  </si>
  <si>
    <t>Fish: CPO лучших ×1,5; карта: CPA лучших ×1,75. Запас на удорожание — управленческое допущение. Прогноз не гарантирован.</t>
  </si>
  <si>
    <t>Октябрьские заготовки: 252 800 ₽; SLMagnat дважды по 55 000 ₽. Статусы пустые. До оплаты сверить дубль, продукт и состав пакетов.</t>
  </si>
  <si>
    <t>TikTok: повторить «Деревенского паренька» / похожих авторов. shygar_ded 84 800 ₽ превышает лимит 60 000 ₽: согласовать цену и пакет.</t>
  </si>
  <si>
    <t>Корм: пилот 30 000 ₽ пропорционально текущим бюджетам; цели TG 7 / MAX 18 / VK 4 / YouTube 7. Не переносить конверсию Fish на корм.</t>
  </si>
  <si>
    <t>ФАКТ СЕНТЯБРЯ — только «Вышло», площадки сверены по ссылкам</t>
  </si>
  <si>
    <t>Продукт</t>
  </si>
  <si>
    <t>Выходы</t>
  </si>
  <si>
    <t>Расход, ₽</t>
  </si>
  <si>
    <t>Охват</t>
  </si>
  <si>
    <t>Клики Mobzio</t>
  </si>
  <si>
    <t>Регистрации</t>
  </si>
  <si>
    <t>CPA регистрации, ₽</t>
  </si>
  <si>
    <t>Без факта охвата</t>
  </si>
  <si>
    <t>Без факта результата</t>
  </si>
  <si>
    <t>AminoTrigger-Fish</t>
  </si>
  <si>
    <t>Клёвая карта</t>
  </si>
  <si>
    <t>Зелёный доктор</t>
  </si>
  <si>
    <t>Дзен</t>
  </si>
  <si>
    <t>Метод: CPO = весь расход вышедших / внесённые заказы; CPA = расход / регистрации. Пустые результаты не равны подтверждённому нулю.</t>
  </si>
  <si>
    <t>Клики Mobzio и WB не складываются. Охваты — сумма просмотров, без дедупликации аудитории. Расход включает налог и себестоимость из «Итого к оплате».</t>
  </si>
  <si>
    <t>«Диалоги про рыбалку», строка 35, отнесены к MAX по ссылке. Исходные строки сентября не изменены.</t>
  </si>
  <si>
    <t>ОКТЯБРЬ — БАЗА ПРОГНОЗА: ЛУЧШИЕ РАЗМЕЩЕНИЯ СЕНТЯБРЯ</t>
  </si>
  <si>
    <t>База: товар ≥5 заказов; карта ≥15 регистраций и CPA ≤60 ₽. Расход &gt;100 ₽. Пакетные строки с расходом 0/1 ₽ не участвуют.</t>
  </si>
  <si>
    <t>Продукт / площадка</t>
  </si>
  <si>
    <t>Расход базы, ₽</t>
  </si>
  <si>
    <t>Охват базы</t>
  </si>
  <si>
    <t>Клики базы</t>
  </si>
  <si>
    <t>Результат базы</t>
  </si>
  <si>
    <t>CPO / CPA базы, ₽</t>
  </si>
  <si>
    <t>Удорожание ×</t>
  </si>
  <si>
    <t>План CPO / CPA, ₽</t>
  </si>
  <si>
    <t>Основание</t>
  </si>
  <si>
    <t>Fish / Telegram</t>
  </si>
  <si>
    <t>Военная сводка</t>
  </si>
  <si>
    <t>Fish / MAX</t>
  </si>
  <si>
    <t>Рыбалка | Рыбанутые | Охота | Туризм; Рыбалка в МАКС; РЫБАКИ СТАВРОПОЛЬЯ; Механик со Стажем</t>
  </si>
  <si>
    <t>Fish / VK — МП</t>
  </si>
  <si>
    <t>Солнце на крючке; Derevenski_parenek</t>
  </si>
  <si>
    <t>Fish / YouTube — тест</t>
  </si>
  <si>
    <t>Fish / TikTok</t>
  </si>
  <si>
    <t>Fish / Rutube — тест</t>
  </si>
  <si>
    <t>Клёвая карта / Telegram</t>
  </si>
  <si>
    <t>Рыбалка с Just Hook Up; Рыбацкий канал. Рыбалка; Рыбанутые-Рыбалка; Астраханская рыбалка и охота; РЫБАКИ КУБАНЬ🪝АДЫГЕЯ | ОТЧЕТЫ; РЫБАЛКА В МОСКВЕ И ПОДМОСКОВЬЕ; Рыбанутый | Рыбалка; Отчёты Рыбалка СПб; Рыбалка-Казань-Fishing; Kazanfisher - рыболовный клуб.Рыбалка, Казань, Татарстан.; Рыбалка на фидер в СПб; Рыбалка Донецк ДНР; Жизнь в лесной деревне - СашаЛера; ЦЕХ; Супер Новости Новороссийска; ВЯТСКАЯ РЫБАЛКА - Киров и область; Большая Кубань; Рыбалка на Волге | Самарская рыбалка</t>
  </si>
  <si>
    <t>Порядок расходования бюджета</t>
  </si>
  <si>
    <t>Карта / TG</t>
  </si>
  <si>
    <t>Первый транш 60 000 ₽; 30 000 ₽ MAX отдельно. Оставшиеся 210 000 ₽ TG — только при CPA ≤60 ₽ и проверке качества регистраций.</t>
  </si>
  <si>
    <t>80 000 ₽: «Рыбанутые», «Рыбалка в МАКС», «РЫБАКИ СТАВРОПОЛЬЯ», «Механик со Стажем» и похожие. Сначала повтор на условиях сентября.</t>
  </si>
  <si>
    <t>Fish / VK</t>
  </si>
  <si>
    <t>30 000 ₽: «Солнце на крючке» и похожие; «Деревенский паренёк» — при цене в лимите. Основа прогноза только Ozon, сайт исключён.</t>
  </si>
  <si>
    <t>60 000 ₽: «Деревенский паренёк» / похожий взрослый мужской авторский блог; согласовать стоимость повторного выхода.</t>
  </si>
  <si>
    <t>Fish / TG</t>
  </si>
  <si>
    <t>20 000 ₽: «Военная сводка» и похожие; источник — только 1 результативное размещение, ограниченный тест.</t>
  </si>
  <si>
    <t>Fish / Rutube</t>
  </si>
  <si>
    <t>10 000 ₽: тест повторного «Солнца на крючке». Один автор / 13 заказов — низкая устойчивость оценки.</t>
  </si>
  <si>
    <t>Fish / YouTube</t>
  </si>
  <si>
    <t>40 000 ₽: «Рыбалка с Дрюней» / проверка длинного видео; 1 результативный автор, не масштабировать до новых данных.</t>
  </si>
  <si>
    <t>Лучшие размещения — проверка и закупка (ссылки на вышедшие посты, не бронь)</t>
  </si>
  <si>
    <t>Блогер</t>
  </si>
  <si>
    <t>Ссылка на размещение</t>
  </si>
  <si>
    <t>Результат</t>
  </si>
  <si>
    <t>Строка сентября</t>
  </si>
  <si>
    <t>Fish</t>
  </si>
  <si>
    <t>Телеграм</t>
  </si>
  <si>
    <t>https://telegram.me/Voennaja_svodka/20391</t>
  </si>
  <si>
    <t>https://max.ru/rybanutyye/AaCL1VXXb6k</t>
  </si>
  <si>
    <t>Макс</t>
  </si>
  <si>
    <t>Рыбалка в МАКС</t>
  </si>
  <si>
    <t>https://max.ru/club220872293/AaCL1VHEJVk</t>
  </si>
  <si>
    <t>РЫБАКИ СТАВРОПОЛЬЯ</t>
  </si>
  <si>
    <t>https://max.ru/Fishing_Stavropol/AaCegr08VAM</t>
  </si>
  <si>
    <t>Механик со Стажем</t>
  </si>
  <si>
    <t>https://max.ru/join/MJcSVIhM6mK80nI-q_CGTCGftgGmi9f2euWkcQp00Yc</t>
  </si>
  <si>
    <t>VK (ролик)</t>
  </si>
  <si>
    <t>https://vkvideo.ru/video-226729822_456239677</t>
  </si>
  <si>
    <t>https://vk.ru/clip-211368519_456242518?c=1</t>
  </si>
  <si>
    <t>https://youtu.be/R3q3sui6k-U?si=_MpYbGfULobnh0e5</t>
  </si>
  <si>
    <t>https://vt.tiktok.com/ZSq764vEJ/</t>
  </si>
  <si>
    <t>https://rutube.ru/video/53c1d681dd04b48722e3a17a2baa0fe6</t>
  </si>
  <si>
    <t>Рыбалка с Just Hook Up</t>
  </si>
  <si>
    <t>https://t.me/justhookup1010/1500</t>
  </si>
  <si>
    <t>Рыбацкий канал. Рыбалка</t>
  </si>
  <si>
    <t>https://telegram.me/rybalka_kanal_fishing/16144</t>
  </si>
  <si>
    <t>Рыбанутые-Рыбалка</t>
  </si>
  <si>
    <t>https://telegram.me/rybanutyye/11538</t>
  </si>
  <si>
    <t>https://telegram.me/astrafishing30/11025</t>
  </si>
  <si>
    <t>https://telegram.me/Fishing_Kuban_Adygea/24822</t>
  </si>
  <si>
    <t>https://telegram.me/rubalkamoskva/43703</t>
  </si>
  <si>
    <t>Рыбанутый | Рыбалка</t>
  </si>
  <si>
    <t>https://telegram.me/fishercl/5229</t>
  </si>
  <si>
    <t>https://telegram.me/fishingspb1/64502</t>
  </si>
  <si>
    <t>Рыбалка-Казань-Fishing</t>
  </si>
  <si>
    <t>https://telegram.me/rybalka_kazan_fishing/1156301</t>
  </si>
  <si>
    <t>Kazanfisher - рыболовный клуб.Рыбалка, Казань, Татарстан.</t>
  </si>
  <si>
    <t>https://telegram.me/kazanfisher_team/2142</t>
  </si>
  <si>
    <t>Рыбалка на фидер в СПб</t>
  </si>
  <si>
    <t>https://telegram.me/feeder_spb/10584</t>
  </si>
  <si>
    <t>Рыбалка Донецк ДНР</t>
  </si>
  <si>
    <t>https://t.me/rybalka_dnr/4674</t>
  </si>
  <si>
    <t>Жизнь в лесной деревне - СашаЛера</t>
  </si>
  <si>
    <t>https://telegram.me/vderevnes/9477</t>
  </si>
  <si>
    <t>ЦЕХ</t>
  </si>
  <si>
    <t>https://t.me/c/1922772046/6537</t>
  </si>
  <si>
    <t>Супер Новости Новороссийска</t>
  </si>
  <si>
    <t>https://t.me/novosti_novoross/91628</t>
  </si>
  <si>
    <t>ВЯТСКАЯ РЫБАЛКА - Киров и область</t>
  </si>
  <si>
    <t>https://telegram.me/fishes_43/9154</t>
  </si>
  <si>
    <t>Большая Кубань</t>
  </si>
  <si>
    <t>https://telegram.me/big_kub/34131</t>
  </si>
  <si>
    <t>Рыбалка на Волге | Самарская рыбалка</t>
  </si>
  <si>
    <t>https://telegram.me/samarafish/20448</t>
  </si>
  <si>
    <t>ИЮНЬ 2026 — Триггер (Менеджер)</t>
  </si>
  <si>
    <t>Выбери блогера в колонке A — ссылка, подписчики, площадка, промокод, стоимость подтянутся. «🔗 открыть» ведёт на канал.</t>
  </si>
  <si>
    <t>Выкупы = Заказы × %выкупа. Выручка = Средний чек × Выкупы. CAC/CPO по факту.</t>
  </si>
  <si>
    <t>Ссылка на канал</t>
  </si>
  <si>
    <t>Канал продаж</t>
  </si>
  <si>
    <t>№ договора</t>
  </si>
  <si>
    <t>Сценарий рекламы</t>
  </si>
  <si>
    <t>Дата выхода</t>
  </si>
  <si>
    <t>Статус</t>
  </si>
  <si>
    <t>Стоимость размещения</t>
  </si>
  <si>
    <t>Налог</t>
  </si>
  <si>
    <t>Себестоимость продукции</t>
  </si>
  <si>
    <t>Итого к оплате</t>
  </si>
  <si>
    <t>Код маркировки (ERID)</t>
  </si>
  <si>
    <t>Ссылка с UTM</t>
  </si>
  <si>
    <t>Ссылка Мобзио</t>
  </si>
  <si>
    <t>Промокод</t>
  </si>
  <si>
    <t>Подменный артикул</t>
  </si>
  <si>
    <t>CPV, ₽</t>
  </si>
  <si>
    <t>Клики Мобзио</t>
  </si>
  <si>
    <t>Клики WB</t>
  </si>
  <si>
    <t>Цена за клик, ₽</t>
  </si>
  <si>
    <t>Корзины</t>
  </si>
  <si>
    <t>Сумма заказов, ₽</t>
  </si>
  <si>
    <t>Средний чек, ₽</t>
  </si>
  <si>
    <t>Выручка от выкупов, ₽</t>
  </si>
  <si>
    <t>НЕДЕЛЯ — 1–7 июня</t>
  </si>
  <si>
    <t>Сайт</t>
  </si>
  <si>
    <t>Вышло</t>
  </si>
  <si>
    <t>WB</t>
  </si>
  <si>
    <t>Ozon</t>
  </si>
  <si>
    <t>Итого: 1–7 июня</t>
  </si>
  <si>
    <t>НЕДЕЛЯ — 8–14 июня</t>
  </si>
  <si>
    <t>Итого: 8–14 июня</t>
  </si>
  <si>
    <t>НЕДЕЛЯ — 15–21 июня</t>
  </si>
  <si>
    <t>Итого: 15–21 июня</t>
  </si>
  <si>
    <t>НЕДЕЛЯ — 22–28 июня</t>
  </si>
  <si>
    <t>Итого: 22–28 июня</t>
  </si>
  <si>
    <t>НЕДЕЛЯ — 29–30 июня</t>
  </si>
  <si>
    <t>Итого: 29–30 июня</t>
  </si>
  <si>
    <t>АНАЛИТИКА ПО ПЛОЩАДКАМ — ИЮНЬ</t>
  </si>
  <si>
    <t>Забронировано, ₽</t>
  </si>
  <si>
    <t>Факт расходов, ₽</t>
  </si>
  <si>
    <t>CPC Mobzio, ₽</t>
  </si>
  <si>
    <t>CPC WB, ₽</t>
  </si>
  <si>
    <t>CPA, ₽</t>
  </si>
  <si>
    <t>ИТОГО</t>
  </si>
  <si>
    <t>АНАЛИТИКА ПО ПРОДУКТАМ — ИЮНЬ</t>
  </si>
  <si>
    <t>—</t>
  </si>
  <si>
    <t>АНАЛИТИКА ПО КАНАЛАМ И ВОРОНКАМ — ИЮНЬ</t>
  </si>
  <si>
    <t>Канал / воронка</t>
  </si>
  <si>
    <t>Целевое действие</t>
  </si>
  <si>
    <t>Действия</t>
  </si>
  <si>
    <t>Стоимость действия, ₽</t>
  </si>
  <si>
    <t>Правило атрибуции</t>
  </si>
  <si>
    <t>БОТ / регистрации</t>
  </si>
  <si>
    <t>Канал продаж = БОТ</t>
  </si>
  <si>
    <t>Сайт / Mobzio</t>
  </si>
  <si>
    <t>Сайт + Mobzio-ссылка или клики</t>
  </si>
  <si>
    <t>Ozon / Mobzio</t>
  </si>
  <si>
    <t>Ozon + Mobzio-ссылка или клики</t>
  </si>
  <si>
    <t>WB / клики</t>
  </si>
  <si>
    <t>Канал продаж = WB</t>
  </si>
  <si>
    <t>Прямые продажи</t>
  </si>
  <si>
    <t>Сайт/Ozon без отслеживаемых кликов</t>
  </si>
  <si>
    <t>Требует уточнения</t>
  </si>
  <si>
    <t>Канал или источник кликов не определён</t>
  </si>
  <si>
    <t>КОНТРОЛЬ РАСХОДОВ — ИЮНЬ</t>
  </si>
  <si>
    <t>Проверка</t>
  </si>
  <si>
    <t>ТРЕБУЕТ УТОЧНЕНИЯ — ТЕКУЩИЕ СТРОКИ</t>
  </si>
  <si>
    <t>Строка</t>
  </si>
  <si>
    <t>Причина</t>
  </si>
  <si>
    <t>Канал WB, но заполнены только клики Mobzio</t>
  </si>
  <si>
    <t>ИЮЛЬ 2026 — Триггер (Менеджер)</t>
  </si>
  <si>
    <t>НЕДЕЛЯ — 1–7 июля</t>
  </si>
  <si>
    <t>Итого: 1–7 июля</t>
  </si>
  <si>
    <t>НЕДЕЛЯ — 8–14 июля</t>
  </si>
  <si>
    <t>Итого: 8–14 июля</t>
  </si>
  <si>
    <t>НЕДЕЛЯ — 15–21 июля</t>
  </si>
  <si>
    <t>https://mendrulaleksandr.mobz.market/l13wle</t>
  </si>
  <si>
    <t>Итого: 15–21 июля</t>
  </si>
  <si>
    <t>НЕДЕЛЯ — 22–28 июля</t>
  </si>
  <si>
    <t>01-2906/Т</t>
  </si>
  <si>
    <t>CQH36pWzJqVJ8EdPTadUn8LVGdbvCCHmrDmZF1zeYcu7UL</t>
  </si>
  <si>
    <t>WW778091</t>
  </si>
  <si>
    <t>https://youtu.be/pc4_ARPymDQ?si=tPCukeK2PodGaSGn</t>
  </si>
  <si>
    <t>Итого: 22–28 июля</t>
  </si>
  <si>
    <t>НЕДЕЛЯ — 29–31 июля</t>
  </si>
  <si>
    <t>Итого: 29–31 июля</t>
  </si>
  <si>
    <t>АНАЛИТИКА ПО ПЛОЩАДКАМ — ИЮЛЬ</t>
  </si>
  <si>
    <t>АНАЛИТИКА ПО ПРОДУКТАМ — ИЮЛЬ</t>
  </si>
  <si>
    <t>АНАЛИТИКА ПО КАНАЛАМ И ВОРОНКАМ — ИЮЛЬ</t>
  </si>
  <si>
    <t>КОНТРОЛЬ РАСХОДОВ — ИЮЛЬ</t>
  </si>
  <si>
    <t>не указан</t>
  </si>
  <si>
    <t>Не указан или неизвестен канал продаж</t>
  </si>
  <si>
    <t>АВГУСТ 2026 — Триггер (Менеджер)</t>
  </si>
  <si>
    <t>Права на использование</t>
  </si>
  <si>
    <t>НЕДЕЛЯ — 3–9 августа</t>
  </si>
  <si>
    <t>ОХОТА И РЫБАЛКА В ТАЙГЕ Коми</t>
  </si>
  <si>
    <t>-</t>
  </si>
  <si>
    <t>CQH36pWzJqVJ8EdPVTUrvH2S7STojBUstrV3D8bxUbhifK</t>
  </si>
  <si>
    <t>https://wildberries.ru/catalog/0/search.aspx?search=WW832424</t>
  </si>
  <si>
    <t>https://aminotriggerfish.mobz.market/677</t>
  </si>
  <si>
    <t>WW832424</t>
  </si>
  <si>
    <t>да</t>
  </si>
  <si>
    <t>https://rutube.ru/video/a4e08659e3cb9450f1636f69b9bdb91e/?r=a/</t>
  </si>
  <si>
    <t>Итого: 3-9 августа</t>
  </si>
  <si>
    <t>НЕДЕЛЯ — 9-15 август</t>
  </si>
  <si>
    <t>V1</t>
  </si>
  <si>
    <t>2W5zFGjegyF</t>
  </si>
  <si>
    <t>https://wildberries.ru/catalog/0/search.aspx?search=WW894641</t>
  </si>
  <si>
    <t>https://aminotriggerfish.mobz.market/md7</t>
  </si>
  <si>
    <t>WW894641</t>
  </si>
  <si>
    <t>https://youtube.com/shorts/1XiTC31MWzE?feature=share</t>
  </si>
  <si>
    <t>Итого: 9-15 август</t>
  </si>
  <si>
    <t>НЕДЕЛЯ — 17–23 августа</t>
  </si>
  <si>
    <t xml:space="preserve">Бабушки </t>
  </si>
  <si>
    <t>https://youtube.com/shorts/df3umMom5Ns?si=vOP9h2sVvh6mKNYo</t>
  </si>
  <si>
    <t>https://www.instagram.com/reel/DcOaXn6IttM/?igsh=MXdzYnVwOG9vOWJucA==&amp;igsi=MXdzYnVwOG9vOWJucA==</t>
  </si>
  <si>
    <t xml:space="preserve">Консоль </t>
  </si>
  <si>
    <t>t1</t>
  </si>
  <si>
    <t>2W5zFGgLZpM</t>
  </si>
  <si>
    <t>https://ozon.ru/product/aminotrigger-fish-aromatizator-dlya-rybalki-250-ml-5340361400/?hs=1&amp;utm_campaign=vendor_org_4202727&amp;utm_content=victorstepanych&amp;utm_medium=cpc&amp;utm_source=telegram</t>
  </si>
  <si>
    <t>https://t.me/victorstepanych/13736</t>
  </si>
  <si>
    <t>01-1307/Т</t>
  </si>
  <si>
    <t>t2</t>
  </si>
  <si>
    <t>W5zFJ8f7Yd</t>
  </si>
  <si>
    <t>https://ozon.ru/product/aminotrigger-fish-aromatizator-dlya-rybalki-250-ml-5340361400/?hs=1&amp;utm_campaign=vendor_org_4202727_sakhahunter&amp;utm_content=m1&amp;utm_medium=cpc&amp;utm_source=blog&amp;utm_term=100826</t>
  </si>
  <si>
    <t>https://aminotriggerfish.mobz.market/rjp</t>
  </si>
  <si>
    <t>https://max.ru/sakhahunter/AaAn1xqXLqE</t>
  </si>
  <si>
    <t>2W5zFJoCnsb</t>
  </si>
  <si>
    <t>https://ozon.ru/product/aminotrigger-fish-aromatizator-dlya-rybalki-250-ml-5340361400/?hs=1&amp;utm_campaign=vendor_org_4202727_sakhahunter&amp;utm_content=m1&amp;utm_medium=cpc&amp;utm_source=telegram&amp;utm_term=100826</t>
  </si>
  <si>
    <t>https://aminotriggerfish.mobz.market/23tv1</t>
  </si>
  <si>
    <t>https://t.me/sakhahunter/16875</t>
  </si>
  <si>
    <t>2W5zFJ8qBv9</t>
  </si>
  <si>
    <t>https://ozon.ru/product/aminotrigger-fish-aromatizator-dlya-rybalki-250-ml-5340361400/?at=1v-i1XDOzTXqHy_AKUwi-0ey2wfKX68J&amp;hs=1&amp;utm_campaign=vendor_org_4202727&amp;utm_medium=video&amp;utm_source=vk&amp;utm_term=vanorybak</t>
  </si>
  <si>
    <t>https://aminotriggerfish.mobz.market/43f7</t>
  </si>
  <si>
    <t>https://vkvideo.ru/video-230055583_456239251?list=2e0f7584ab690ad42a</t>
  </si>
  <si>
    <t>2W5zFG6EWrV</t>
  </si>
  <si>
    <t>https://youtu.be/F-3FC08Ke3A?si=7O17S_UYjkCRn7HU</t>
  </si>
  <si>
    <t>Итого: 17-23 август</t>
  </si>
  <si>
    <t>НЕДЕЛЯ — 24–30 август</t>
  </si>
  <si>
    <t>V2</t>
  </si>
  <si>
    <t>2W5zFGCJCMw</t>
  </si>
  <si>
    <t>https://youtube.com/shorts/eJsMXBVz4Dc?si=ZjwJvOAnoIjffCV1</t>
  </si>
  <si>
    <t>2W5zFH7NxWD</t>
  </si>
  <si>
    <t>https://youtu.be/km6dQaWgJvg?si=eTsOAxbl4voPLxlR</t>
  </si>
  <si>
    <t>Рыбалка | Охота | Туризм</t>
  </si>
  <si>
    <t>https://clck.ru/3VT6m5</t>
  </si>
  <si>
    <t>https://vk.ru/wall-214422155_87560</t>
  </si>
  <si>
    <t>Итого: 24–30 август</t>
  </si>
  <si>
    <t>НЕДЕЛЯ — 31 август</t>
  </si>
  <si>
    <t>Рыбалка в удовольствие</t>
  </si>
  <si>
    <t>вк</t>
  </si>
  <si>
    <t xml:space="preserve"> https://clck.ru/3VT6zE</t>
  </si>
  <si>
    <t>нет</t>
  </si>
  <si>
    <t>https://vk.ru/wall-168295500_431101</t>
  </si>
  <si>
    <t>Ни хвоста, ни чешуи!</t>
  </si>
  <si>
    <t>МАКС</t>
  </si>
  <si>
    <t>Телегаин</t>
  </si>
  <si>
    <t>телегаин</t>
  </si>
  <si>
    <t>https://tglink.io/cde366e96c75c9?erid=2W5zFJhkj6Z</t>
  </si>
  <si>
    <t>https://max.ru/c/-72707816784629/AaBXRIGAaIE</t>
  </si>
  <si>
    <t>Дневник рыбака | Рыбалка</t>
  </si>
  <si>
    <t>https://tglink.io/68b4da0802d975?erid=2W5zFG6XzMP</t>
  </si>
  <si>
    <t>https://max.ru/fish_journal/AaBXvqNRG7w</t>
  </si>
  <si>
    <t>Рыбалка | Отчеты | Татарстан | Казань | Юмор</t>
  </si>
  <si>
    <t>https://tglink.io/ac8d031cc6a8c8?erid=2W5zFGJPtc9</t>
  </si>
  <si>
    <t xml:space="preserve">https://max.ru/join/OXzYIhpRJQek7xz4G4UiZtNAFZSDD5rE7n-C7BkDRyU
</t>
  </si>
  <si>
    <t>Рыбалка для тебя 🎣</t>
  </si>
  <si>
    <t>https://tglink.io/d7fc39e1656d31?erid=2W5zFGFRv3T</t>
  </si>
  <si>
    <t>https://max.ru/c/-72372553111727/AaBX6Jmib7w</t>
  </si>
  <si>
    <t>Рыбалка в кайф</t>
  </si>
  <si>
    <t>https://tglink.io/053c6affc02b9a?erid=2W5zFGDwvm7</t>
  </si>
  <si>
    <t>https://max.ru/channel_riabalka/AaBYHzzXIEk</t>
  </si>
  <si>
    <t>Рыбалка. Рыба. Рыбаки🎣</t>
  </si>
  <si>
    <t>https://tglink.io/5c721dd9d55830?erid=2W5zFG81ydj</t>
  </si>
  <si>
    <t>https://max.ru/rybalka555/AaBcdVAYVRw</t>
  </si>
  <si>
    <t>Рыбалка - "Fish fear me"</t>
  </si>
  <si>
    <t>https://tglink.io/8ec6d935d2faff?erid=2W5zFJenkXs</t>
  </si>
  <si>
    <t>https://max.ru/fishfearme/AaBYH017EoE</t>
  </si>
  <si>
    <t>Итого: 31 август</t>
  </si>
  <si>
    <t>АНАЛИТИКА ПО ПЛОЩАДКАМ — АВГУСТ</t>
  </si>
  <si>
    <t>АНАЛИТИКА ПО ПРОДУКТАМ — АВГУСТ</t>
  </si>
  <si>
    <t>АНАЛИТИКА ПО КАНАЛАМ И ВОРОНКАМ — АВГУСТ</t>
  </si>
  <si>
    <t>КОНТРОЛЬ РАСХОДОВ — АВГУСТ</t>
  </si>
  <si>
    <t>Неоднозначных строк нет</t>
  </si>
  <si>
    <t>СЕНТЯБРЬ 2026 — Триггер (Менеджер)</t>
  </si>
  <si>
    <t xml:space="preserve">Регистрации </t>
  </si>
  <si>
    <t>Стоимость регистрации</t>
  </si>
  <si>
    <t>НЕДЕЛЯ — 1-7 сентября</t>
  </si>
  <si>
    <t>Охота и Рыбалка | Рыболовно Охотничье - Братство</t>
  </si>
  <si>
    <t>Vk</t>
  </si>
  <si>
    <t>-TRG</t>
  </si>
  <si>
    <t>Тригггер</t>
  </si>
  <si>
    <t>https://vk.ru/wall-214025433_411359</t>
  </si>
  <si>
    <t>Рыбалка на Руси</t>
  </si>
  <si>
    <t>https://clck.ru/3VT79H</t>
  </si>
  <si>
    <t>https://vk.ru/wall-93717228_96666</t>
  </si>
  <si>
    <t>Рыбацкий канал | Рыбалка</t>
  </si>
  <si>
    <t>https://tglink.io/bc98cafb210178?erid=2W5zFFziRNh</t>
  </si>
  <si>
    <t>https://max.ru/ribalka_fishing24/AaBc19PkI_8</t>
  </si>
  <si>
    <t>Рыбалка в Ростове и Ростовской области</t>
  </si>
  <si>
    <t>2VtzqvJREcs</t>
  </si>
  <si>
    <t>https://trigger-fish.ru/?utm_source=vk&amp;utm_medium=cpc&amp;utm_content=rubalka</t>
  </si>
  <si>
    <t>https://vk.ru/wall-2426451_892047</t>
  </si>
  <si>
    <t>Рыболовный клуб "БерФишинг"</t>
  </si>
  <si>
    <t>2VtzqwApUif</t>
  </si>
  <si>
    <t>https://trigger-fish.ru/?utm_source=vk&amp;utm_medium=cpc&amp;utm_content=berfish</t>
  </si>
  <si>
    <t>https://vk.ru/wall-151125921_286672</t>
  </si>
  <si>
    <t>Рыбалка в Ростове | РВР</t>
  </si>
  <si>
    <t>t3</t>
  </si>
  <si>
    <t>2W5zFGTE8ED</t>
  </si>
  <si>
    <t>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ybalkavrostove|max&amp;hs=1&amp;utm_source=ybalkavrostove&amp;utm_medium=max&amp;utm_campaign=vendor_org_4202727</t>
  </si>
  <si>
    <t>https://aminotriggerfish.mobz.market/5rnnam</t>
  </si>
  <si>
    <t>https://max.ru/rybalkavrostove/AaBr13rTGkA</t>
  </si>
  <si>
    <t>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telefishing|max&amp;hs=1&amp;utm_source=telefishing&amp;utm_medium=max&amp;utm_campaign=vendor_org_4202727</t>
  </si>
  <si>
    <t>https://aminotriggerfish.mobz.market/ix9</t>
  </si>
  <si>
    <t>https://max.ru/telefishing/AaBsTBdXFIk</t>
  </si>
  <si>
    <t>Клёвое место</t>
  </si>
  <si>
    <t>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klevoe_mesto|max&amp;hs=1&amp;utm_source=klevoe_mesto&amp;utm_medium=max&amp;utm_campaign=vendor_org_4202727</t>
  </si>
  <si>
    <t>https://aminotriggerfish.mobz.market/781uu</t>
  </si>
  <si>
    <t>https://max.ru/c/-72893882017859/AaBsFnS0DEA</t>
  </si>
  <si>
    <t>V4</t>
  </si>
  <si>
    <t>https://ozon.onelink.me/SNMZ?af_dp=https://ozon.ru/product/aminotrigger-fish-aromatizator-dlya-rybalki-250-ml-5340361400/&amp;af_web_dp=https://ozon.ru/product/aminotrigger-fish-aromatizator-dlya-rybalki-250-ml-5340361400/&amp;is_retargeting=true&amp;c=vendor_org_4202727_ribachim_inache&amp;pid=youtube|video&amp;af_keywords=050926_m1&amp;hs=1&amp;utm_source=youtube&amp;utm_medium=video&amp;utm_campaign=vendor_org_4202727_ribachim_inache&amp;utm_term=050926_m1</t>
  </si>
  <si>
    <t>https://aminotriggerfish.mobz.market/zavk</t>
  </si>
  <si>
    <t>https://youtu.be/9leqZjgtqlI?si=1fs6DinrjEVcCrbb</t>
  </si>
  <si>
    <t>Рыбалка в Нижнем Новгороде</t>
  </si>
  <si>
    <t>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Rybalka_52|max&amp;hs=1&amp;utm_source=Rybalka_52&amp;utm_medium=max&amp;utm_campaign=vendor_org_4202727</t>
  </si>
  <si>
    <t>https://aminotriggerfish.mobz.market/qm4ut</t>
  </si>
  <si>
    <t>https://max.ru/channel_Rybalka_52/AaBtr26iVc8</t>
  </si>
  <si>
    <t>Рыбалка Урал</t>
  </si>
  <si>
    <t>https://www.ozon.ru/product/aminotrigger-fish-aromatizator-dlya-rybalki-250-ml-5340361400/?sh=Llj_ir2lrQ</t>
  </si>
  <si>
    <t>https://aminotriggerfish.mobz.market/ivt7a6</t>
  </si>
  <si>
    <t>https://max.ru/Rybalka_Ural/AaBsSJ4ZcEA</t>
  </si>
  <si>
    <t>Всем КЛЕВА!</t>
  </si>
  <si>
    <t>https://ozon.onelink.me/SNMZ?af_dp=https://ozon.ru/product/aminotrigger-fish-aromatizator-dlya-rybalki-250-ml-5340361400/&amp;af_web_dp=https://ozon.ru/product/aminotrigger-fish-aromatizator-dlya-rybalki-250-ml-5340361400/&amp;is_retargeting=true&amp;c=vendor_org_4202727_max&amp;pid=vsemkleva|cpc&amp;af_adset=m1_3_0409&amp;hs=1&amp;utm_source=vsemkleva&amp;utm_medium=cpc&amp;utm_campaign=vendor_org_4202727_max&amp;utm_content=m1_3_0409</t>
  </si>
  <si>
    <t>https://aminotriggerfish.mobz.market/7nge</t>
  </si>
  <si>
    <t>https://max.ru/vsemkleva/AaBwVOQKUAA</t>
  </si>
  <si>
    <t>Лодочник</t>
  </si>
  <si>
    <t>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lodka|max&amp;hs=1&amp;utm_source=lodka&amp;utm_medium=max&amp;utm_campaign=vendor_org_4202727</t>
  </si>
  <si>
    <t>https://aminotriggerfish.mobz.market/0lbf</t>
  </si>
  <si>
    <t>https://max.ru/lodka/AaBtGFk-DeA</t>
  </si>
  <si>
    <t>https://ozon.onelink.me/SNMZ/22xbvo05</t>
  </si>
  <si>
    <t>https://aminotriggerfish.mobz.market/h7o47</t>
  </si>
  <si>
    <t>https://max.ru/fish_journal/AaBs-GjTO-A</t>
  </si>
  <si>
    <t>Порыбачим вместе, точка отрыва.</t>
  </si>
  <si>
    <t>https://clck.ru/3VZro7</t>
  </si>
  <si>
    <t>https://vk.ru/wall-231857780_531</t>
  </si>
  <si>
    <t>ТрофейНый 🎣</t>
  </si>
  <si>
    <t>t4</t>
  </si>
  <si>
    <t>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trofeysaratov|max&amp;hs=1&amp;utm_source=trofeysaratov&amp;utm_medium=max&amp;utm_campaign=vendor_org_4202727</t>
  </si>
  <si>
    <t>https://aminotriggerfish.mobz.market/s4wa</t>
  </si>
  <si>
    <t>https://max.ru/trofeysaratov/AaBxcSGcPaA</t>
  </si>
  <si>
    <t xml:space="preserve">К-к-Клюёт! </t>
  </si>
  <si>
    <t>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kluet_fishing|max&amp;hs=1&amp;utm_source=kluet_fishing&amp;utm_medium=max&amp;utm_campaign=vendor_org_4202727</t>
  </si>
  <si>
    <t>https://aminotriggerfish.mobz.market/xhuin</t>
  </si>
  <si>
    <t>https://max.ru/channel_kluet_fishing/AaBxA1EYWaA</t>
  </si>
  <si>
    <t>https://ozon.onelink.me/SNMZ?af_dp=https://ozon.ru/product/aminotrigger-fish-aromatizator-dlya-rybalki-250-ml-5340361400/&amp;af_web_dp=https://ozon.ru/product/aminotrigger-fish-aromatizator-dlya-rybalki-250-ml-5340361400/&amp;is_retargeting=true&amp;c=vendor_org_4202727_max&amp;pid=strafishing30|cpc&amp;hs=1&amp;utm_source=strafishing30&amp;utm_medium=cpc&amp;utm_campaign=vendor_org_4202727_max</t>
  </si>
  <si>
    <t>https://aminotriggerfish.mobz.market/m8jpno</t>
  </si>
  <si>
    <t>https://max.ru/astrafishing30/AaBxA0SobaA</t>
  </si>
  <si>
    <t>Улов Рыболов</t>
  </si>
  <si>
    <t>https://clck.ru/3VZs8G</t>
  </si>
  <si>
    <t>https://vk.ru/wall-229964760_10351</t>
  </si>
  <si>
    <t>Рыбалка в г.Россошь и Черноземье</t>
  </si>
  <si>
    <t>https://clck.ru/3VaxyJ</t>
  </si>
  <si>
    <t>https://vk.ru/wall-106803333_127676</t>
  </si>
  <si>
    <t>2W5zFJuASAm</t>
  </si>
  <si>
    <t>https://ozon.ru/product/aminotrigger-fish-aromatizator-dlya-rybalki-250-ml-5340361400/?hs=1&amp;utm_campaign=vendor_org_4202727_egorrybak57&amp;utm_medium=video&amp;utm_source=vk&amp;utm_term=m1</t>
  </si>
  <si>
    <t>https://aminotriggerfish.mobz.market/fxcns</t>
  </si>
  <si>
    <t>https://vk.ru/wall-226872833_346679</t>
  </si>
  <si>
    <t>Итого: 1-7 сентябрь</t>
  </si>
  <si>
    <t>НЕДЕЛЯ — 8-14 сентября</t>
  </si>
  <si>
    <t>ТГ</t>
  </si>
  <si>
    <t>Консоль</t>
  </si>
  <si>
    <t>2W5zFHLfqKF</t>
  </si>
  <si>
    <t>https://ozon.ru/product/aminotrigger-fish-aromatizator-dlya-rybalki-250-ml-5340361400/?hs=1&amp;utm_campaign=vendor_org_4202727_fishingspb1&amp;utm_medium=cpc&amp;utm_source=telegram</t>
  </si>
  <si>
    <t>https://aminotriggerfish.mobz.market/n8ggww</t>
  </si>
  <si>
    <t>https://t.me/fishingspb1/64489</t>
  </si>
  <si>
    <t>2W5zFHcyhR3</t>
  </si>
  <si>
    <t>https://ozon.ru/product/aminotrigger-fish-aromatizator-dlya-rybalki-250-ml-5340361400/?hs=1&amp;utm_campaign=vendor_org_4202727_rubalkamoskva&amp;utm_medium=cpc&amp;utm_source=telegram</t>
  </si>
  <si>
    <t>https://t.me/rubalkamoskva/43687</t>
  </si>
  <si>
    <t>КАРЕЛЬСКАЯ РЫБАЛКА</t>
  </si>
  <si>
    <t xml:space="preserve">Telegram </t>
  </si>
  <si>
    <t>2W5zFHrKax9</t>
  </si>
  <si>
    <t>https://ozon.ru/product/aminotrigger-fish-aromatizator-dlya-rybalki-250-ml-5340361400/?hs=1&amp;utm_campaign=vendor_org_4202727_karelian_fishing&amp;utm_medium=cpc&amp;utm_source=telegram</t>
  </si>
  <si>
    <t>https://aminotriggerfish.mobz.market/uprp9</t>
  </si>
  <si>
    <t>https://t.me/karelian_fishing/13648</t>
  </si>
  <si>
    <t>2W5zFHuHZWq</t>
  </si>
  <si>
    <t>https://ozon.ru/product/aminotrigger-fish-aromatizator-dlya-rybalki-250-ml-5340361400/?hs=1&amp;utm_campaign=vendor_org_4202727_egor_moskvich&amp;utm_medium=video&amp;utm_source=vk</t>
  </si>
  <si>
    <t>https://aminotriggerfish.mobz.market/xlf</t>
  </si>
  <si>
    <t>https://vk.ru/wall-223529843_13837</t>
  </si>
  <si>
    <t>2W5zFGrxGXK</t>
  </si>
  <si>
    <t>https://ozon.ru/product/aminotrigger-fish-aromatizator-dlya-rybalki-250-ml-5340361400/?hs=1&amp;utm_campaign=vendor_org_4202727_rybanutyye&amp;utm_medium=cpc&amp;utm_source=blog&amp;utm_term=m_1_4</t>
  </si>
  <si>
    <t>https://aminotriggerfish.mobz.market/cm2j</t>
  </si>
  <si>
    <t>2W5zFHUaKf7</t>
  </si>
  <si>
    <t>https://ozon.ru/product/aminotrigger-fish-aromatizator-dlya-rybalki-250-ml-5340361400/?hs=1&amp;utm_campaign=vendor_org_4202727_club220872293&amp;utm_medium=cpc&amp;utm_source=blog&amp;utm_term=m1_4</t>
  </si>
  <si>
    <t>https://aminotriggerfish.mobz.market/0str</t>
  </si>
  <si>
    <t>2W5zFHKbMk5</t>
  </si>
  <si>
    <t>https://ozon.ru/product/aminotrigger-fish-aromatizator-dlya-rybalki-250-ml-5340361400/?hs=1&amp;utm_campaign=vendor_org_4202727_vsegda_klyuyet&amp;utm_medium=video&amp;utm_source=vk</t>
  </si>
  <si>
    <t>https://aminotriggerfish.mobz.market/0npw</t>
  </si>
  <si>
    <t>https://vk.ru/wall-225676079_59447</t>
  </si>
  <si>
    <t>AKTIVE FISHING</t>
  </si>
  <si>
    <t>2W5zFGzMCVF</t>
  </si>
  <si>
    <t>https://ozon.ru/product/aminotrigger-fish-aromatizator-dlya-rybalki-250-ml-5340361400/?hs=1&amp;utm_campaign=vendor_org_4202727_club227143597&amp;utm_medium=video&amp;utm_source=vk&amp;utm_term=m1_3</t>
  </si>
  <si>
    <t>https://aminotriggerfish.mobz.market/v5ap</t>
  </si>
  <si>
    <t>https://vk.ru/wall-227143597_1590</t>
  </si>
  <si>
    <t>2W5zFJw4Go3</t>
  </si>
  <si>
    <t>https://ozon.ru/product/aminotrigger-fish-aromatizator-dlya-rybalki-250-ml-5340361400/?hs=1&amp;utm_campaign=vendor_org_4202727_club230576737&amp;utm_medium=video&amp;utm_source=vk</t>
  </si>
  <si>
    <t>https://aminotriggerfish.mobz.market/ldbk6</t>
  </si>
  <si>
    <t>https://vk.ru/wall-230576737_16970</t>
  </si>
  <si>
    <t>Бурундуки 63 - Рыбалка - Туризм - Отдых</t>
  </si>
  <si>
    <t>https://ozon.ru/product/aminotrigger-fish-aromatizator-dlya-rybalki-250-ml-5340361400/?hs=1&amp;utm_campaign=vendor_org_4202727_club232670445&amp;utm_medium=cpc&amp;utm_source=vk</t>
  </si>
  <si>
    <t>https://aminotriggerfish.mobz.market/j5kk</t>
  </si>
  <si>
    <t>https://vk.ru/wall-232670445_726</t>
  </si>
  <si>
    <t>Рыбацкое - Невский район</t>
  </si>
  <si>
    <t>БОТ</t>
  </si>
  <si>
    <t>Клевая карта</t>
  </si>
  <si>
    <t>https://telegram.me/novosti_rybatskogo/8677</t>
  </si>
  <si>
    <t>https://t.me/klev_m_bot?start=tg_telegram_justhookup1010_post_09_09_37</t>
  </si>
  <si>
    <t>Ультралайт Мормышинг Микроджиг - Рыбалка</t>
  </si>
  <si>
    <t>https://t.me/klev_m_bot?start=tg_telegram_ultraspin_post_09_09_36</t>
  </si>
  <si>
    <t>https://telegram.me/ultraspin/36512</t>
  </si>
  <si>
    <t>https://t.me/klev_m_bot?start=tg_telegram_telefishing_post_09_09_26</t>
  </si>
  <si>
    <t>https://t.me/telefishing/9763</t>
  </si>
  <si>
    <t>Парни, которые всегда ловят! Рыбалка</t>
  </si>
  <si>
    <t>сайт</t>
  </si>
  <si>
    <t>https://clck.ru/3Vaxnx</t>
  </si>
  <si>
    <t>https://vk.ru/wall-230805554_843</t>
  </si>
  <si>
    <t>Рыбалка Про</t>
  </si>
  <si>
    <t>https://clck.ru/3Vaymg</t>
  </si>
  <si>
    <t>https://vk.ru/wall-119682343_60725</t>
  </si>
  <si>
    <t>Рыбалка в Липецке и Липецкой области</t>
  </si>
  <si>
    <t>https://clck.ru/3Vaz2C</t>
  </si>
  <si>
    <t>https://vk.ru/wall-47977000_13400</t>
  </si>
  <si>
    <t>ДОНСКИЕ РЫБАКИ</t>
  </si>
  <si>
    <t>https://vk.ru/wall-225090979_5326</t>
  </si>
  <si>
    <t>Русская рыбалка 4 | Барахолка | РР4</t>
  </si>
  <si>
    <t>https://t.me/klev_m_bot?start=tg_telegram_russianfishbaraxolka_post_09_09_47&amp;amp;erid=2W5zFGFYycV</t>
  </si>
  <si>
    <t>https://telegram.me/RussianFishBaraxolka/8292</t>
  </si>
  <si>
    <t>Русская рыбалка 4. Crazy F&amp;T</t>
  </si>
  <si>
    <t>https://t.me/klev_m_bot?start=tg_telegram_rf4crazyft_post_09_09_41</t>
  </si>
  <si>
    <t>https://telegram.me/rf4crazyft/80144</t>
  </si>
  <si>
    <t>Русская рыбалка 4 / Точки клёва РР4</t>
  </si>
  <si>
    <t>https://t.me/klev_m_bot?start=tg_telegram_russianfishrr4_post_09_09_40</t>
  </si>
  <si>
    <t>https://telegram.me/RussianFishRR4/73086</t>
  </si>
  <si>
    <t>https://t.me/klev_m_bot?start=tg_telegram_dialogiproribalky_post_09_09_38</t>
  </si>
  <si>
    <t>https://t.me/klev_m_bot?start=tg_telegram_rybalka_kanal_fishing_post_09_09_28</t>
  </si>
  <si>
    <t>https://t.me/klev_m_bot?start=tg_telegram_rybanutyye_post_09_09_27</t>
  </si>
  <si>
    <t>РЫБАЛКА РОСТОВ И ОБЛАСТЬ🐟</t>
  </si>
  <si>
    <t>https://t.me/klev_m_bot?start=tg_telegram_rostov_fishing_post_09_09_43</t>
  </si>
  <si>
    <t>https://telegram.me/Rostov_Fishing/11148</t>
  </si>
  <si>
    <t>Рыбаки Майкопа. Рыбалка в Майкопе</t>
  </si>
  <si>
    <t>https://t.me/klev_m_bot?start=tg_telegram_ribalka_maykop_post_09_09_33</t>
  </si>
  <si>
    <t>https://telegram.me/Ribalka_Maykop/17738</t>
  </si>
  <si>
    <t>https://t.me/klev_m_bot?start=tg_telegram_astrafishing30_post_09_09_31</t>
  </si>
  <si>
    <t>https://t.me/klev_m_bot?start=tg_telegram_fishing_kuban_adygea_post_09_09_29</t>
  </si>
  <si>
    <t>https://t.me/klev_m_bot?start=tg_telegram_rubalkamoskva_post_09_09_34</t>
  </si>
  <si>
    <t>https://t.me/klev_m_bot?start=tg_telegram_fishercl_post_09_09_30</t>
  </si>
  <si>
    <t>https://t.me/green_doctorbot?start=tg_ogorodidacha</t>
  </si>
  <si>
    <t>Зеленый доктор</t>
  </si>
  <si>
    <t>https://telegram.me/ogorodidacha/8491</t>
  </si>
  <si>
    <t>Русская рыбалка 4 / Включите клёв!</t>
  </si>
  <si>
    <t>tg_telegram_rf4_vkluchite_klev_post_09_09_42</t>
  </si>
  <si>
    <t>https://t.me/RF4_Vkluchite_klev/45979</t>
  </si>
  <si>
    <t>Рыбалка Псковского Региона</t>
  </si>
  <si>
    <t>clck.ru/3VdDPH</t>
  </si>
  <si>
    <t>https://vk.ru/wall-196696134_51066</t>
  </si>
  <si>
    <t>https://t.me/klev_m_bot?start=tg_telegram_dialogiproribalky_post_09_09_38&amp;erid=2W5zFG2D65P</t>
  </si>
  <si>
    <t>https://telegram.me/+L2e_5UlGpMw0M2My</t>
  </si>
  <si>
    <t>https://t.me/green_doctorbot?start=tg_Nadacheprigoditca</t>
  </si>
  <si>
    <t>https://telegram.me/Nadacheprigoditca/13514</t>
  </si>
  <si>
    <t>https://t.me/green_doctorbot?start=tg_masherisha_art&amp;amp;erid=2W5zFJdEk1F</t>
  </si>
  <si>
    <t>https://telegram.me/masherisha_art/2499</t>
  </si>
  <si>
    <t>Our Flow 🌷 Цветы для всех</t>
  </si>
  <si>
    <t>https://t.me/green_doctorbot?start=tg_ourflowe&amp;amp;erid=2W5zFJkegQy</t>
  </si>
  <si>
    <t>https://telegram.me/ourflowe/2510</t>
  </si>
  <si>
    <t>https://t.me/klev_m_bot?start=tg_telegram_fishingspb1_post_09_09_32&amp;amp;erid=2W5zFK95EyX</t>
  </si>
  <si>
    <t>Мы и природа|We and nature🌎</t>
  </si>
  <si>
    <t>12 512</t>
  </si>
  <si>
    <t>https://t.me/klev_m_bot?start=tg_telegram_we_and_nature_post_09_09_35\</t>
  </si>
  <si>
    <t>https://telegram.me/we_and_nature/16940</t>
  </si>
  <si>
    <t>Лена по делу</t>
  </si>
  <si>
    <t>https://t.me/green_doctorbot?start=tg_lena_po_dely</t>
  </si>
  <si>
    <t>https://telegram.me/lena_po_dely/1623</t>
  </si>
  <si>
    <t>Nika Zubra &amp; Comandante Yoll</t>
  </si>
  <si>
    <t>https://t.me/green_doctorbot?start=tg_nika_zubra</t>
  </si>
  <si>
    <t>https://telegram.me/nika_zubra/23248</t>
  </si>
  <si>
    <t>https://t.me/green_doctorbot?start=tg_izgorodavderevny</t>
  </si>
  <si>
    <t>https://t.me/izgorodavderevny/7283</t>
  </si>
  <si>
    <t>Цветы и растения</t>
  </si>
  <si>
    <t>https://t.me/green_doctorbot?start=tg_cvety_uhod</t>
  </si>
  <si>
    <t>https://t.me/cvety_uhod/12119</t>
  </si>
  <si>
    <t>Цветы Мира</t>
  </si>
  <si>
    <t>https://t.me/green_doctorbot?start=tg_world_plants</t>
  </si>
  <si>
    <t>https://telegram.me/world_plants/7874</t>
  </si>
  <si>
    <t>Комнатные растения</t>
  </si>
  <si>
    <t>https://t.me/green_doctorbot?start=tg_komnatnierasteniya</t>
  </si>
  <si>
    <t>https://t.me/ogorod_ot_nevzgod/357</t>
  </si>
  <si>
    <t>https://t.me/klev_m_bot?start=tg_telegram_rybalka_kazan_fishing_post_11_09_26</t>
  </si>
  <si>
    <t>https://t.me/klev_m_bot?start=tg_telegram_kazanfisher_team_post_11_09_31&amp;amp;erid=2W5zFJGGVKP</t>
  </si>
  <si>
    <t>Русская Рыбалка 4 • Фарм • Троф • Мальцевидзе</t>
  </si>
  <si>
    <t>https://t.me/klev_m_bot?start=tg_telegram_pp4farmtrof_post_11_09_26</t>
  </si>
  <si>
    <t>https://telegram.me/pp4farmtrof/194400</t>
  </si>
  <si>
    <t>Сообщество Сахалинских рыбаков</t>
  </si>
  <si>
    <t>https://t.me/klev_m_bot?start=tg_telegram_sakhalin_post_11_09_26</t>
  </si>
  <si>
    <t>https://telegram.me/+ZdtF1m2QOMMzMGYy</t>
  </si>
  <si>
    <t>ДАЧНИКИ объявления Мга • 45 км • Горы • Келколово</t>
  </si>
  <si>
    <t>https://t.me/klev_m_bot?start=tg_telegram_avito_dacha_post_11_09_30</t>
  </si>
  <si>
    <t>https://t.me/avito_dacha/17306</t>
  </si>
  <si>
    <t>🎣 Рыбалка Сахалин ДВ</t>
  </si>
  <si>
    <t>https://t.me/klev_m_bot?start=tg_telegram_rybalkasakhalin_post_11_09_27</t>
  </si>
  <si>
    <t>https://t.me/rybalkasakhalin/18267</t>
  </si>
  <si>
    <t>Анархия Чат | Crazy F&amp;T Русская рыбалка 4</t>
  </si>
  <si>
    <t>https://t.me/klev_m_bot?start=tg_telegram_anarchycft_post_11_09_26</t>
  </si>
  <si>
    <t>https://telegram.me/anarchyCFT/2703042</t>
  </si>
  <si>
    <t>Промысловик AleX</t>
  </si>
  <si>
    <t>https://t.me/klev_m_bot?start=tg_telegram_promyslovikalexs_post_11_09_26</t>
  </si>
  <si>
    <t>https://t.me/PromyslovikAlexs/8467</t>
  </si>
  <si>
    <t>https://t.me/klev_m_bot?start=tg_telegram_feeder_spb_post_11_09_29</t>
  </si>
  <si>
    <t>https://t.me/klev_m_bot?start=tg_telegram_rybakidv_post_11_09_26</t>
  </si>
  <si>
    <t>https://telegram.me/rybakidv/30684</t>
  </si>
  <si>
    <t>2W5zFGwFqQV</t>
  </si>
  <si>
    <t>https://ozon.ru/product/aminotrigger-fish-aromatizator-dlya-rybalki-250-ml-5340361400/?hs=1&amp;utm_campaign=vendor_org_4202727_drunea11&amp;utm_medium=video&amp;utm_source=youtube&amp;utm_term=130926_m1</t>
  </si>
  <si>
    <t>https://aminotriggerfish.mobz.market/7eko</t>
  </si>
  <si>
    <t>https://t.me/klev_m_bot?start=tg_telegram_donezk_post_11_09_26</t>
  </si>
  <si>
    <t>https://clck.ru/3VayYw</t>
  </si>
  <si>
    <t>триггер</t>
  </si>
  <si>
    <t>https://vk.ru/wall-181975310_344645</t>
  </si>
  <si>
    <t>Рыбалка в Калининграде и области - РЫБАЛТИКА</t>
  </si>
  <si>
    <t>https://clck.ru/3Vc9GU</t>
  </si>
  <si>
    <t>https://vk.ru/wall-130046921_20245</t>
  </si>
  <si>
    <t xml:space="preserve">Итого: 8-14 сентябрь </t>
  </si>
  <si>
    <t>НЕДЕЛЯ — 15-21 сентября</t>
  </si>
  <si>
    <t>Грибы и рыбалка в Подмосковье</t>
  </si>
  <si>
    <t>t6</t>
  </si>
  <si>
    <t>https://ozon.ru/product/aminotrigger-fish-aromatizator-dlya-rybalki-250-ml-5340361400/?hs=1&amp;utm_campaign=vendor_org_4202727_max_m1&amp;utm_medium=cpc&amp;utm_source=site&amp;utm_term=club187241993</t>
  </si>
  <si>
    <t>https://aminotriggerfish.mobz.market/44ucaz</t>
  </si>
  <si>
    <t>https://max.ru/club187241993/AaCeu90lPgM</t>
  </si>
  <si>
    <t>Охота и рыбалка</t>
  </si>
  <si>
    <t>https://ozon.ru/product/aminotrigger-fish-aromatizator-dlya-rybalki-250-ml-5340361400/?hs=1&amp;utm_campaign=vendor_org_4202727_max_m1&amp;utm_medium=cpc&amp;utm_source=blog&amp;utm_term=udachnaya_rybalca</t>
  </si>
  <si>
    <t>https://aminotriggerfish.mobz.market/txk</t>
  </si>
  <si>
    <t>https://max.ru/udachnaya_rybalca/AaCeqiG5BXY</t>
  </si>
  <si>
    <t>https://ozon.ru/product/aminotrigger-fish-aromatizator-dlya-rybalki-250-ml-5340361400/?hs=1&amp;utm_campaign=vendor_org_4202727_max_m1&amp;utm_medium=cpc&amp;utm_source=blog&amp;utm_term=we_and_nature</t>
  </si>
  <si>
    <t>https://aminotriggerfish.mobz.market/yx58</t>
  </si>
  <si>
    <t>https://max.ru/we_and_nature/AaCgikGxAcM</t>
  </si>
  <si>
    <t>https://ozon.ru/product/aminotrigger-fish-aromatizator-dlya-rybalki-250-ml-5340361400/?hs=1&amp;utm_campaign=vendor_org_4202727_max_m1&amp;utm_medium=cpc&amp;utm_source=blog&amp;utm_term=Fishing_Stavropol</t>
  </si>
  <si>
    <t>https://aminotriggerfish.mobz.market/k4sdhi</t>
  </si>
  <si>
    <t>Простая Рыбалка 🐟</t>
  </si>
  <si>
    <t>https://ozon.ru/product/aminotrigger-fish-aromatizator-dlya-rybalki-250-ml-5340361400/?hs=1&amp;utm_campaign=vendor_org_4202727_max_m1&amp;utm_medium=cpc&amp;utm_source=blog&amp;utm_term=zvuksekta</t>
  </si>
  <si>
    <t>https://aminotriggerfish.mobz.market/cxfiy1</t>
  </si>
  <si>
    <t>https://max.ru/zvuksekta/AaCeu-nvYgM</t>
  </si>
  <si>
    <t>ОХОТА И РЫБАЛКА В ЯКУТИИ</t>
  </si>
  <si>
    <t>https://ozon.ru/product/aminotrigger-fish-aromatizator-dlya-rybalki-250-ml-5340361400/?hs=1&amp;utm_campaign=vendor_org_4202727_max_m1&amp;utm_medium=cpc&amp;utm_source=blog&amp;utm_term=sakhahunter</t>
  </si>
  <si>
    <t>https://aminotriggerfish.mobz.market/omiuxi</t>
  </si>
  <si>
    <t>https://max.ru/sakhahunter/AaCdbZpWOQQ</t>
  </si>
  <si>
    <t>Душевная рыбалка</t>
  </si>
  <si>
    <t>https://ozon.ru/product/aminotrigger-fish-aromatizator-dlya-rybalki-250-ml-5340361400/?hs=1&amp;utm_campaign=vendor_org_4202727_max_m1&amp;utm_medium=cpc&amp;utm_source=blog&amp;utm_term=sl_fishing</t>
  </si>
  <si>
    <t>https://aminotriggerfish.mobz.market/hnx</t>
  </si>
  <si>
    <t>https://max.ru/sl_fishing/AaCeufQUegM</t>
  </si>
  <si>
    <t xml:space="preserve">Охота / Рыбалка / Отдых </t>
  </si>
  <si>
    <t>https://ozon.ru/product/aminotrigger-fish-aromatizator-dlya-rybalki-250-ml-5340361400/?hs=1&amp;utm_campaign=vendor_org_4202727_max_m1&amp;utm_medium=cpc&amp;utm_source=blog</t>
  </si>
  <si>
    <t>https://aminotriggerfish.mobz.market/ao8es</t>
  </si>
  <si>
    <t>https://max.ru/join/-MJhyPPkgreSIoYuLu0lh-AJuR-cShsiv9NjhUZbTuM</t>
  </si>
  <si>
    <t>Рыбалка в Москве и Подмосковье</t>
  </si>
  <si>
    <t>https://ozon.ru/product/aminotrigger-fish-aromatizator-dlya-rybalki-250-ml-5340361400/?at=1mSl1-brWXio0vr58JpxYin5L28OGbHc&amp;hs=1&amp;utm_campaign=vendor_org_4202727_max_m1&amp;utm_medium=cpc&amp;utm_source=blog&amp;utm_term=fishing_Moscow</t>
  </si>
  <si>
    <t>https://aminotriggerfish.mobz.market/k64</t>
  </si>
  <si>
    <t>https://max.ru/channel_fishing_Moscow/AaChLwGhf8M</t>
  </si>
  <si>
    <t>С полем! | Охота и рыбалка</t>
  </si>
  <si>
    <t>https://ozon.ru/product/aminotrigger-fish-aromatizator-dlya-rybalki-250-ml-5340361400/?at=1mSl1-brWXio0vr58JpxYin5L28OGbHc&amp;hs=1&amp;utm_campaign=vendor_org_4202727_max_m1&amp;utm_medium=cpc&amp;utm_source=blog&amp;utm_term=TAz62IvarhreupeVWAwOLTP6R8EY_0-2O7jKs9CK0tM</t>
  </si>
  <si>
    <t>https://aminotriggerfish.mobz.market/3v1s</t>
  </si>
  <si>
    <t>https://max.ru/join/TAz62IvarhreupeVWAwOLTP6R8EY_0-2O7jKs9CK0tM</t>
  </si>
  <si>
    <t xml:space="preserve">Рыбалка и Отдых </t>
  </si>
  <si>
    <t>https://ozon.ru/product/aminotrigger-fish-aromatizator-dlya-rybalki-250-ml-5340361400/?at=1mSl1-brWXio0vr58JpxYin5L28OGbHc&amp;hs=1&amp;utm_campaign=vendor_org_4202727_max_m1&amp;utm_medium=cpc&amp;utm_source=blog&amp;utm_term=se13290293_biz</t>
  </si>
  <si>
    <t>https://aminotriggerfish.mobz.market/8s6en7</t>
  </si>
  <si>
    <t>https://max.ru/se13290293_biz/AaCeTVMzDAM</t>
  </si>
  <si>
    <t>Рыбалка 25 - Рыбалка Приморский край и ДВ</t>
  </si>
  <si>
    <t>https://ozon.ru/product/aminotrigger-fish-aromatizator-dlya-rybalki-250-ml-5340361400/?at=1mSl1-brWXio0vr58JpxYin5L28OGbHc&amp;hs=1&amp;utm_campaign=vendor_org_4202727_max_m1&amp;utm_medium=cpc&amp;utm_source=blog&amp;utm_term=channel_Ribalka25</t>
  </si>
  <si>
    <t>https://aminotriggerfish.mobz.market/jwi2vo</t>
  </si>
  <si>
    <t>https://max.ru/channel_Ribalka25/AaCdNvQqTAM</t>
  </si>
  <si>
    <t>УДАЧНАЯ РЫБАЛКА</t>
  </si>
  <si>
    <t>https://ozon.ru/product/aminotrigger-fish-aromatizator-dlya-rybalki-250-ml-5340361400/?at=1mSl1-brWXio0vr58JpxYin5L28OGbHc&amp;hs=1&amp;utm_campaign=vendor_org_4202727_max_m1&amp;utm_medium=cpc&amp;utm_source=blog&amp;utm_term=rybalkaudachnaya</t>
  </si>
  <si>
    <t>https://aminotriggerfish.mobz.market/haw</t>
  </si>
  <si>
    <t>https://max.ru/rybalkaudachnaya/AaCerkLSaj4</t>
  </si>
  <si>
    <t>Макс Анапский</t>
  </si>
  <si>
    <t>https://ozon.ru/product/aminotrigger-fish-aromatizator-dlya-rybalki-250-ml-5340361400/?at=1mSl1-brWXio0vr58JpxYin5L28OGbHc&amp;hs=1&amp;utm_campaign=vendor_org_4202727_maksanapskii&amp;utm_medium=cpc&amp;utm_source=telegram&amp;utm_term=14_09_m1</t>
  </si>
  <si>
    <t>https://aminotriggerfish.mobz.market/xmub</t>
  </si>
  <si>
    <t>https://t.me/maksanapskii/23947</t>
  </si>
  <si>
    <t>Алексей Жуковский</t>
  </si>
  <si>
    <t>https://ozon.ru/product/aminotrigger-fish-aromatizator-dlya-rybalki-250-ml-5340361400/?at=1mSl1-brWXio0vr58JpxYin5L28OGbHc&amp;hs=1&amp;utm_campaign=vendor_org_4202727_aliakseizhukouski&amp;utm_medium=cpc&amp;utm_source=telegram&amp;utm_term=14_09_m1</t>
  </si>
  <si>
    <t>https://aminotriggerfish.mobz.market/rnokt</t>
  </si>
  <si>
    <t>https://telegram.me/aliakseizhukouski/17517</t>
  </si>
  <si>
    <t>https://ozon.ru/product/aminotrigger-fish-aromatizator-dlya-rybalki-250-ml-5340361400/?at=1mSl1-brWXio0vr58JpxYin5L28OGbHc&amp;hs=1&amp;utm_campaign=vendor_org_4202727_Voennaja_svodka&amp;utm_medium=cpc&amp;utm_source=telegram&amp;utm_term=14_09_m1</t>
  </si>
  <si>
    <t>https://aminotriggerfish.mobz.market/9gd</t>
  </si>
  <si>
    <t>ТОЧКИ КЛЁВА РУССКАЯ РЫБАЛКА 4</t>
  </si>
  <si>
    <t>t5</t>
  </si>
  <si>
    <t>https://ozon.ru/product/aminotrigger-fish-aromatizator-dlya-rybalki-250-ml-5340361400/?at=1mSl1-brWXio0vr58JpxYin5L28OGbHc&amp;hs=1&amp;utm_campaign=vendor_org_4202727_rf4map+&amp;utm_medium=cpc&amp;utm_source=blog&amp;utm_term=max_15_09_m1</t>
  </si>
  <si>
    <t>https://aminotriggerfish.mobz.market/muuyk</t>
  </si>
  <si>
    <t>https://max.ru/rf4map/AaCkwGLubAw</t>
  </si>
  <si>
    <t>https://ozon.ru/product/aminotrigger-fish-aromatizator-dlya-rybalki-250-ml-5340361400/?at=1mSl1-brWXio0vr58JpxYin5L28OGbHc&amp;hs=1&amp;utm_campaign=vendor_org_4202727_rybakidv&amp;utm_medium=cpc&amp;utm_source=blog&amp;utm_term=max_15_09_m1</t>
  </si>
  <si>
    <t>https://aminotriggerfish.mobz.market/9qwln7</t>
  </si>
  <si>
    <t>https://max.ru/rybakidv/AaCng4PDO8w</t>
  </si>
  <si>
    <t>МОЯ ДАЧА САД ОГОРОД</t>
  </si>
  <si>
    <t>https://ozon.ru/product/aminotrigger-fish-aromatizator-dlya-rybalki-250-ml-5340361400/?at=1mSl1-brWXio0vr58JpxYin5L28OGbHc&amp;hs=1&amp;utm_campaign=vendor_org_4202727_izgorodavderevny&amp;utm_medium=cpc&amp;utm_source=blog&amp;utm_term=max_m1_15_09</t>
  </si>
  <si>
    <t>https://aminotriggerfish.mobz.market/3trtf</t>
  </si>
  <si>
    <t>https://max.ru/izgorodavderevny/AaCmcOYnN7s</t>
  </si>
  <si>
    <t>Донецк</t>
  </si>
  <si>
    <t>https://ozon.ru/product/aminotrigger-fish-aromatizator-dlya-rybalki-250-ml-5340361400/?at=1mSl1-brWXio0vr58JpxYin5L28OGbHc&amp;hs=1&amp;utm_campaign=vendor_org_4202727_Donetsk_Detka&amp;utm_medium=cpc&amp;utm_source=blog&amp;utm_term=max_m1_15_09</t>
  </si>
  <si>
    <t>https://aminotriggerfish.mobz.market/601</t>
  </si>
  <si>
    <t>https://max.ru/Donetsk_Detka/AaCqxKe8Z4w</t>
  </si>
  <si>
    <t>Батя на Даче</t>
  </si>
  <si>
    <t>https://ozon.ru/product/aminotrigger-fish-aromatizator-dlya-rybalki-250-ml-5340361400/?at=1mSl1-brWXio0vr58JpxYin5L28OGbHc&amp;hs=1&amp;utm_campaign=vendor_org_4202727_batya_na_dache&amp;utm_medium=cpc&amp;utm_source=blog&amp;utm_term=max_m1_15_09</t>
  </si>
  <si>
    <t>https://aminotriggerfish.mobz.market/qmei</t>
  </si>
  <si>
    <t>https://max.ru/join/RsYvXIhAcs28ZYjx1GDjtbwyOTN2xXZ0YnLF78jfGHY</t>
  </si>
  <si>
    <t>https://ozon.ru/product/aminotrigger-fish-aromatizator-dlya-rybalki-250-ml-5340361400/?at=1mSl1-brWXio0vr58JpxYin5L28OGbHc&amp;hs=1&amp;utm_campaign=vendor_org_4202727_mehanik_so_stazhem&amp;utm_medium=cpc&amp;utm_source=blog&amp;utm_term=max_m1_15_09</t>
  </si>
  <si>
    <t>https://aminotriggerfish.mobz.market/vzxql6</t>
  </si>
  <si>
    <t>Рыболовная барахолка СПб. и ЛО</t>
  </si>
  <si>
    <t>https://ozon.ru/product/aminotrigger-fish-aromatizator-dlya-rybalki-250-ml-5340361400/?at=1mSl1-brWXio0vr58JpxYin5L28OGbHc&amp;hs=1&amp;utm_campaign=vendor_org_4202727_snasti_bu_spb&amp;utm_medium=cpc&amp;utm_source=blog&amp;utm_term=max_m1_15_09</t>
  </si>
  <si>
    <t>https://aminotriggerfish.mobz.market/upj</t>
  </si>
  <si>
    <t>https://max.ru/snasti_bu_spb/AaCmcPGxDcw</t>
  </si>
  <si>
    <t>Рыбалка в Ростове на Дону | Ростовской области</t>
  </si>
  <si>
    <t>https://ozon.ru/product/aminotrigger-fish-aromatizator-dlya-rybalki-250-ml-5340361400/?at=1mSl1-brWXio0vr58JpxYin5L28OGbHc&amp;hs=1&amp;utm_campaign=vendor_org_4202727_Rostov_Fisher&amp;utm_medium=cpc&amp;utm_source=blog&amp;utm_term=max_m1_15_09</t>
  </si>
  <si>
    <t>https://aminotriggerfish.mobz.market/sxe1cu</t>
  </si>
  <si>
    <t>https://max.ru/Rostov_Fisher/AaCmcP7PM8w</t>
  </si>
  <si>
    <t>Русская Рыбалка</t>
  </si>
  <si>
    <t>https://ozon.ru/product/aminotrigger-fish-aromatizator-dlya-rybalki-250-ml-5340361400/?at=1mSl1-brWXio0vr58JpxYin5L28OGbHc&amp;hs=1&amp;utm_campaign=vendor_org_4202727_channel_rus_fishin&amp;utm_medium=cpc&amp;utm_source=blog&amp;utm_term=max_m1_1509</t>
  </si>
  <si>
    <t>https://aminotriggerfish.mobz.market/pqw</t>
  </si>
  <si>
    <t>https://max.ru/channel_rus_fishin/AaCkvgLBXgw</t>
  </si>
  <si>
    <t>Жизнь в приволжской деревне 2.0</t>
  </si>
  <si>
    <t>https://ozon.ru/product/aminotrigger-fish-aromatizator-dlya-rybalki-250-ml-5340361400/?at=1mSl1-brWXio0vr58JpxYin5L28OGbHc&amp;hs=1&amp;utm_campaign=vendor_org_4202727_privolgie116&amp;utm_medium=cpc&amp;utm_source=blog&amp;utm_term=max_1709</t>
  </si>
  <si>
    <t>https://aminotriggerfish.mobz.market/xe5bem</t>
  </si>
  <si>
    <t>Арсенал</t>
  </si>
  <si>
    <t>https://ozon.ru/product/aminotrigger-fish-aromatizator-dlya-rybalki-250-ml-5340361400/?at=1mSl1-brWXio0vr58JpxYin5L28OGbHc&amp;hs=1&amp;utm_campaign=vendor_org_4202727_arsenal&amp;utm_medium=cpc&amp;utm_source=blog&amp;utm_term=max_1709</t>
  </si>
  <si>
    <t>https://aminotriggerfish.mobz.market/asfinf</t>
  </si>
  <si>
    <t>https://max.ru/join/TvQLS0w4ME6NxyFNFjDJjcnKXkUrxNLCLkSdEVoL9gk</t>
  </si>
  <si>
    <t>Сделано Руками</t>
  </si>
  <si>
    <t>https://ozon.ru/product/aminotrigger-fish-aromatizator-dlya-rybalki-250-ml-5340361400/?at=1mSl1-brWXio0vr58JpxYin5L28OGbHc&amp;hs=1&amp;utm_campaign=vendor_org_4202727_sdelano_rukami&amp;utm_medium=cpc&amp;utm_source=blog&amp;utm_term=max_1709</t>
  </si>
  <si>
    <t>https://aminotriggerfish.mobz.market/esd</t>
  </si>
  <si>
    <t>https://max.ru/join/Z7chQaJt8p5-nsPCNk8sYRpdyM8NwTfQU-HmTzZ0V0w</t>
  </si>
  <si>
    <t>Самодельная техника</t>
  </si>
  <si>
    <t>https://ozon.ru/product/aminotrigger-fish-aromatizator-dlya-rybalki-250-ml-5340361400/?at=1mSl1-brWXio0vr58JpxYin5L28OGbHc&amp;hs=1&amp;utm_campaign=vendor_org_4202727_samodelnaya_tehnika&amp;utm_medium=cpc&amp;utm_source=blog&amp;utm_term=max_1709</t>
  </si>
  <si>
    <t>https://aminotriggerfish.mobz.market/76afov</t>
  </si>
  <si>
    <t>https://max.ru/join/5oLcrtQvPyr_ciBlL2jvUs4TgNOKWX64aHUG0t2qmG0</t>
  </si>
  <si>
    <t>Teletehnik</t>
  </si>
  <si>
    <t>https://ozon.ru/product/aminotrigger-fish-aromatizator-dlya-rybalki-250-ml-5340361400/?at=1mSl1-brWXio0vr58JpxYin5L28OGbHc&amp;hs=1&amp;utm_campaign=vendor_org_4202727_Teletehnik&amp;utm_medium=cpc&amp;utm_source=blog&amp;utm_term=max_1709</t>
  </si>
  <si>
    <t>https://aminotriggerfish.mobz.market/8fr1</t>
  </si>
  <si>
    <t>https://max.ru/join/aQIK8oU6sFdQJSu7igCkIeu_CDyedoyLUJQPEh3ULOI</t>
  </si>
  <si>
    <t>В КУРСКОЙ ДЕРЕВНЕ</t>
  </si>
  <si>
    <t>https://ozon.ru/product/aminotrigger-fish-aromatizator-dlya-rybalki-250-ml-5340361400/?at=1mSl1-brWXio0vr58JpxYin5L28OGbHc&amp;hs=1&amp;utm_campaign=vendor_org_4202727_v_kurskoi_derevne&amp;utm_medium=cpc&amp;utm_source=blog&amp;utm_term=max_1709</t>
  </si>
  <si>
    <t>https://aminotriggerfish.mobz.market/h4y0</t>
  </si>
  <si>
    <t>https://max.ru/ch_600bd9ea0424210ae70922c8/AaCuL5OYS6M</t>
  </si>
  <si>
    <t>https://ozon.ru/product/aminotrigger-fish-aromatizator-dlya-rybalki-250-ml-5340361400/?at=1mSl1-brWXio0vr58JpxYin5L28OGbHc&amp;hs=1&amp;utm_campaign=vendor_org_4202727_city_and_house&amp;utm_medium=cpc&amp;utm_source=blog&amp;utm_term=max_1709</t>
  </si>
  <si>
    <t>https://aminotriggerfish.mobz.market/59c</t>
  </si>
  <si>
    <t>https://max.ru/city_and_house/AaCz9jnRSEo</t>
  </si>
  <si>
    <t>Руки Мастера | Советы ТГ</t>
  </si>
  <si>
    <t>https://t.me/klev_m_bot?start=tg_telegram_ruki_mastera_sovety_post_17_09_26</t>
  </si>
  <si>
    <t>https://telegram.me/ruki_mastera_sovety/1945</t>
  </si>
  <si>
    <t>https://t.me/klev_m_bot?start=tg_telegram_vderevnes_post_17_09_26</t>
  </si>
  <si>
    <t>https://t.me/klev_m_bot?start=tg_telegram_vdd1cr2tcbwyowni_post_17_09_26</t>
  </si>
  <si>
    <t>Лобня</t>
  </si>
  <si>
    <t>https://t.me/klev_m_bot?start=tg_telegram_lobnya_post_17_09_26&amp;</t>
  </si>
  <si>
    <t>https://telegram.me/lobnya/43412</t>
  </si>
  <si>
    <t>Красноармейский Крафт</t>
  </si>
  <si>
    <t>https://t.me/klev_m_bot?start=tg_telegram_kraftyou_post_17_09_26</t>
  </si>
  <si>
    <t>https://telegram.me/kraftyou/50335</t>
  </si>
  <si>
    <t>НашаSтройка</t>
  </si>
  <si>
    <t>https://t.me/klev_m_bot?start=tg_telegram_nashastroika161_post_17_09_26</t>
  </si>
  <si>
    <t>https://telegram.me/nashastroika161/4141</t>
  </si>
  <si>
    <t>Будни Натальи и Александра</t>
  </si>
  <si>
    <t>https://t.me/green_doctorbot?start=tg_budni_natali_aleksandr</t>
  </si>
  <si>
    <t>зеленый доктор</t>
  </si>
  <si>
    <t>https://t.me/budni_natali_aleksandr/7768</t>
  </si>
  <si>
    <t xml:space="preserve"> Мы тут крестиком вышиваем | Схемы в электронном формате</t>
  </si>
  <si>
    <t>https://t.me/green_doctorbot?start=tg_vishivaemtut</t>
  </si>
  <si>
    <t>https://telegram.me/vishivaemtut/30446</t>
  </si>
  <si>
    <t>Вязание - схемы и мастер-классы</t>
  </si>
  <si>
    <t>https://t.me/green_doctorbot?start=tg_mkVyazanie</t>
  </si>
  <si>
    <t>https://telegram.me/mkVyazanie/33752</t>
  </si>
  <si>
    <t>Вязание и рукоделие: УЗЕЛОК</t>
  </si>
  <si>
    <t>https://t.me/green_doctorbot?start=tg_uzelok_knit</t>
  </si>
  <si>
    <t>https://telegram.me/uzelok_knit/16500</t>
  </si>
  <si>
    <t>Вязание крючком. Crochet patterns</t>
  </si>
  <si>
    <t>https://t.me/green_doctorbot?start=tg_crochet_ing</t>
  </si>
  <si>
    <t>https://telegram.me/crochet_ing/4717</t>
  </si>
  <si>
    <t xml:space="preserve">Дорога перемен. Семья Сабылиных на юге </t>
  </si>
  <si>
    <t>https://t.me/green_doctorbot?start=tg_sabylinaeladar</t>
  </si>
  <si>
    <t>https://telegram.me/sabylinaeladar/7932</t>
  </si>
  <si>
    <t>Полезные РАЗВИВАШКИ Евгении</t>
  </si>
  <si>
    <t>https://t.me/green_doctorbot?start=tg_evgeniyalemasova</t>
  </si>
  <si>
    <t>https://telegram.me/evgeniyalemasova/19402</t>
  </si>
  <si>
    <t>Российское Качество</t>
  </si>
  <si>
    <t>https://t.me/green_doctorbot?start=tg_4weGiJK25v5hZGE6</t>
  </si>
  <si>
    <t>https://t.me/c/1945008246/1834</t>
  </si>
  <si>
    <t>Мамы/Мамочки ДНР</t>
  </si>
  <si>
    <t>https://t.me/green_doctorbot?start=tg_mamavdnr</t>
  </si>
  <si>
    <t>https://t.me/mamavdnr/57522</t>
  </si>
  <si>
    <t>Амигуруми - вязаные игрушки</t>
  </si>
  <si>
    <t>https://t.me/green_doctorbot?start=tg_amigurumchik&amp;erid=2W5zFJuSuJH</t>
  </si>
  <si>
    <t>https://t.me/amigurumchik/20812</t>
  </si>
  <si>
    <t>V3</t>
  </si>
  <si>
    <t>2W5zFGiDkmo</t>
  </si>
  <si>
    <t>WW1115868</t>
  </si>
  <si>
    <t>2W5zFGgkSTK</t>
  </si>
  <si>
    <t>https://ozon.ru/product/aminotrigger-fish-aromatizator-dlya-rybalki-250-ml-5340361400/?at=1mSl1-brWXio0vr58JpxYin5L28OGbHc&amp;hs=1&amp;utm_campaign=vendor_org_4202727_rybalkale&amp;utm_medium=video&amp;utm_source=youtube&amp;utm_term=200926_m1</t>
  </si>
  <si>
    <t>https://aminotriggerfish.mobz.market/6yyiob</t>
  </si>
  <si>
    <t>https://youtu.be/fcPBgKsHmfw?si=dy0LJ-QJv8u77J6p</t>
  </si>
  <si>
    <t xml:space="preserve">Итого: 15-21 сентябрь </t>
  </si>
  <si>
    <t>НЕДЕЛЯ — 22-28 сентября</t>
  </si>
  <si>
    <t>Моя дача</t>
  </si>
  <si>
    <t>https://ozon.ru/product/aminotrigger-fish-aromatizator-dlya-rybalki-250-ml-5340361400/?at=1mSl1-brWXio0vr58JpxYin5L28OGbHc&amp;hs=1&amp;utm_campaign=vendor_org_4202727_OYD5ieoRtXEi3U0yh1aPaO2FCTqWCdj19yiHrDBUYGk&amp;utm_medium=cpc&amp;utm_source=blog&amp;utm_term=max_m1_220926</t>
  </si>
  <si>
    <t>https://aminotriggerfish.mobz.market/8kiam</t>
  </si>
  <si>
    <t>https://max.ru/join/OYD5ieoRtXEi3U0yh1aPaO2FCTqWCdj19yiHrDBUYGk</t>
  </si>
  <si>
    <t>Татарин на Юге</t>
  </si>
  <si>
    <t>https://ozon.ru/product/aminotrigger-fish-aromatizator-dlya-rybalki-250-ml-5340361400/?at=1mSl1-brWXio0vr58JpxYin5L28OGbHc&amp;hs=1&amp;utm_campaign=vendor_org_4202727_tatarin23&amp;utm_medium=cpc&amp;utm_source=blog&amp;utm_term=max_m1_220926</t>
  </si>
  <si>
    <t>https://aminotriggerfish.mobz.market/wtdu</t>
  </si>
  <si>
    <t>https://telega.in/analytics/images/cebcb05ac6?screen=https%3A%2F%2Fstorage.yandexcloud.net%2Ftelega-stat-screenshots%2Fattachments%2Fscreenshot%2F7508398852523508595%2Fscreenshot.e688cc0c.jpg</t>
  </si>
  <si>
    <t>АВТОХАКИ</t>
  </si>
  <si>
    <t>https://ozon.ru/product/aminotrigger-fish-aromatizator-dlya-rybalki-250-ml-5340361400/?at=1mSl1-brWXio0vr58JpxYin5L28OGbHc&amp;hs=1&amp;utm_campaign=vendor_org_4202727_ruki_mastera_sovety&amp;utm_medium=cpc&amp;utm_source=blog&amp;utm_term=max_m1_220926</t>
  </si>
  <si>
    <t>https://aminotriggerfish.mobz.market/jyd</t>
  </si>
  <si>
    <t>https://max.ru/ruki_mastera_sovety/AaDH7WFZfHI</t>
  </si>
  <si>
    <t>Батькович</t>
  </si>
  <si>
    <t>https://ozon.ru/product/aminotrigger-fish-aromatizator-dlya-rybalki-250-ml-5340361400/?at=1mSl1-brWXio0vr58JpxYin5L28OGbHc&amp;hs=1&amp;utm_campaign=vendor_org_4202727_batka_ru&amp;utm_medium=cpc&amp;utm_source=blog&amp;utm_term=max_m1_220926</t>
  </si>
  <si>
    <t>https://aminotriggerfish.mobz.market/jone7n</t>
  </si>
  <si>
    <t>v2</t>
  </si>
  <si>
    <t>2W5zFHtGTX7</t>
  </si>
  <si>
    <t>https://ozon.ru/product/aminotrigger-fish-aromatizator-dlya-rybalki-250-ml-5340361400/?at=1mSl1-brWXio0vr58JpxYin5L28OGbHc&amp;hs=1&amp;utm_campaign=vendor_org_4202727_сlub211368519&amp;utm_medium=blog&amp;utm_source=vk&amp;utm_term=m1_240926</t>
  </si>
  <si>
    <t>https://aminotriggerfish.mobz.market/j10</t>
  </si>
  <si>
    <t>VK (пост)</t>
  </si>
  <si>
    <t>2W5zFJohhxm</t>
  </si>
  <si>
    <t>https://ozon.ru/product/aktivator-kleva-attraktant-prikormka-rybolovnaya-karp-leshch-250-ml-5340361400/?at=1mSl1-brWXio0vr58JpxYin5L28OGbHc&amp;hs=1&amp;utm_campaign=vendor_org_4202727_Solnce_na_kruchke_ultralight&amp;utm_medium=cpc&amp;utm_source=blog&amp;utm_term=max_m1_240926</t>
  </si>
  <si>
    <t>https://aminotriggerfish.mobz.market/mqc2rz</t>
  </si>
  <si>
    <t>https://max.ru/channel_Solnce_na_kruchke_ultralight/AaDTCFyucH0</t>
  </si>
  <si>
    <t>2W5zFGFTHGD</t>
  </si>
  <si>
    <t>https://ozon.ru/product/aktivator-kleva-attraktant-prikormka-rybolovnaya-karp-leshch-250-ml-5340361400/?at=1mSl1-brWXio0vr58JpxYin5L28OGbHc&amp;hs=1&amp;utm_campaign=vendor_org_4202727_club226729822&amp;utm_medium=blog&amp;utm_source=vk&amp;utm_term=240926_m1</t>
  </si>
  <si>
    <t>https://aminotriggerfish.mobz.market/nce9</t>
  </si>
  <si>
    <t>https://vk.ru/wall-226729822_4587</t>
  </si>
  <si>
    <t>Dzen (пост)</t>
  </si>
  <si>
    <t>2W5zFGdh6VP</t>
  </si>
  <si>
    <t>https://ozon.ru/product/aktivator-kleva-attraktant-prikormka-rybolovnaya-karp-leshch-250-ml-5340361400/?at=1mSl1-brWXio0vr58JpxYin5L28OGbHc&amp;hs=1&amp;utm_campaign=vendor_org_4202727_solnce_na_kruchke_ultralight&amp;utm_medium=blog&amp;utm_source=dzen&amp;utm_term=240926_m1</t>
  </si>
  <si>
    <t>https://aminotriggerfish.mobz.market/hhk</t>
  </si>
  <si>
    <t>https://dzen.ru/b/arUCvUYkNx2FY860?share_to=link</t>
  </si>
  <si>
    <t>2W5zFJUTDJR</t>
  </si>
  <si>
    <t>https://ozon.onelink.me/SNMZ/cifnxffc</t>
  </si>
  <si>
    <t>https://aminotriggerfish.mobz.market/frexm</t>
  </si>
  <si>
    <t>https://www.youtube.com/watch?v=y8Wu8lq9we0</t>
  </si>
  <si>
    <t>2W5zFJdM8zV</t>
  </si>
  <si>
    <t>https://ozon.ru/product/aktivator-kleva-attraktant-prikormka-rybolovnaya-karp-leshch-250-ml-5340361400/?at=1mSl1-brWXio0vr58JpxYin5L28OGbHc&amp;hs=1&amp;utm_campaign=vendor_org_4202727_club226729822&amp;utm_medium=cpc&amp;utm_source=vk&amp;utm_term=270926_m1</t>
  </si>
  <si>
    <t>https://aminotriggerfish.mobz.market/hpti</t>
  </si>
  <si>
    <t>2W5zFJw8zNd</t>
  </si>
  <si>
    <t>https://ozon.ru/product/aktivator-kleva-attraktant-prikormka-rybolovnaya-karp-leshch-250-ml-5340361400/?at=1mSl1-brWXio0vr58JpxYin5L28OGbHc&amp;hs=1&amp;utm_campaign=vendor_org_4202727_channel25410100&amp;utm_medium=cpc&amp;utm_source=blog&amp;utm_term=270926_m1</t>
  </si>
  <si>
    <t>https://aminotriggerfish.mobz.market/vhk</t>
  </si>
  <si>
    <t xml:space="preserve">Dzen (ролик) </t>
  </si>
  <si>
    <t>2W5zFG56iHw</t>
  </si>
  <si>
    <t>https://ozon.ru/product/aktivator-kleva-attraktant-prikormka-rybolovnaya-karp-leshch-250-ml-5340361400/?at=1mSl1-brWXio0vr58JpxYin5L28OGbHc&amp;hs=1&amp;utm_campaign=vendor_org_4202727_solnce_na_kruchke_ultralight&amp;utm_medium=cpc&amp;utm_source=dzen&amp;utm_term=270926_m1</t>
  </si>
  <si>
    <t>https://aminotriggerfish.mobz.market/aoaoa5</t>
  </si>
  <si>
    <t>https://dzen.ru/video/watch/6ab69e9a87af81210c3e2eaf</t>
  </si>
  <si>
    <t>v4</t>
  </si>
  <si>
    <t>2W5zFJSkoCd</t>
  </si>
  <si>
    <t>https://ozon.ru/product/aminotrigger-fish-aromatizator-dlya-rybalki-250-ml-5340361400/?at=1mSl1-brWXio0vr58JpxYin5L28OGbHc&amp;hs=1&amp;utm_campaign=vendor_org_4202727_just_hook_up&amp;utm_medium=video&amp;utm_source=youtube&amp;utm_term=200926_m1</t>
  </si>
  <si>
    <t>https://aminotriggerfish.mobz.market/e837</t>
  </si>
  <si>
    <t>https://youtube.com/shorts/o9MwXD4ZssQ?si=sIwW2sel72LLTqLv6</t>
  </si>
  <si>
    <t>2W5zFHSwch7</t>
  </si>
  <si>
    <t>https://ozon.ru/product/aminotrigger-fish-aromatizator-dlya-rybalki-250-ml-5340361400/?at=1mSl1-brWXio0vr58JpxYin5L28OGbHc&amp;hs=1&amp;utm_campaign=vendor_org_4202727_just_hook_up&amp;utm_medium=video&amp;utm_source=vk&amp;utm_term=200926_m1</t>
  </si>
  <si>
    <t>https://aminotriggerfish.mobz.market/0sie</t>
  </si>
  <si>
    <t>https://vk.ru/wall-223331432_10243</t>
  </si>
  <si>
    <t>2W5zFHbqYPB</t>
  </si>
  <si>
    <t>WW1115881</t>
  </si>
  <si>
    <t>https://vt.tiktok.com/ZSb61DAFd/</t>
  </si>
  <si>
    <t>АЧЗС / Антон, а, че звал сларк?</t>
  </si>
  <si>
    <t>https://t.me/klev_m_bot?start=tg_telegram_acheslark_post_24_09_26&amp;erid=2W5zFHCH9HK</t>
  </si>
  <si>
    <t>https://t.me/acheslark/15802</t>
  </si>
  <si>
    <t>🐾Рыболовный | охотничий | рыбак | охотник | о рыбалке</t>
  </si>
  <si>
    <t>https://t.me/klev_m_bot?start=tg_telegram_ohota_rybalka_v_rossii_post_24_09_26&amp;erid=2W5zFH6MC9w</t>
  </si>
  <si>
    <t>https://t.me/ohota_rybalka_v_rossii/4103</t>
  </si>
  <si>
    <t>https://t.me/klev_m_bot?start=tg_telegram_ogorodidacha_post_24_09_26&amp;erid=2W5zFGwTGTs</t>
  </si>
  <si>
    <t>https://telegram.me/ogorodidacha/8511</t>
  </si>
  <si>
    <t>Отчеты с Рыбалок</t>
  </si>
  <si>
    <t>https://t.me/klev_m_bot?start=tg_telegram_otchety_s_rybalok_post_24_09_26&amp;erid=2W5zFH7qBSH</t>
  </si>
  <si>
    <t>https://telegram.me/otchety_s_rybalok/20101</t>
  </si>
  <si>
    <t>Астрахань. Коротко</t>
  </si>
  <si>
    <t>https://t.me/klev_m_bot?start=tg_telegram_xbt555hjy6ixmtcy_post_24_09_26&amp;erid=2W5zFGp3L49</t>
  </si>
  <si>
    <t>https://t.me/c/1488811469/5350</t>
  </si>
  <si>
    <t>https://t.me/klev_m_bot?start=tg_telegram_novosti_novoross_post_24_09_26&amp;erid=2W5zFGuyHBX</t>
  </si>
  <si>
    <t>https://t.me/klev_m_bot?start=tg_telegram_fishes_43_post_24_09_26&amp;erid=2W5zFH9KAid</t>
  </si>
  <si>
    <t>Девяностые</t>
  </si>
  <si>
    <t>https://t.me/klev_m_bot?start=tg_telegram_life90x_post_24_09_26&amp;erid=2W5zFGgdPeR</t>
  </si>
  <si>
    <t>https://t.me/Life90x/13660</t>
  </si>
  <si>
    <t>Black History</t>
  </si>
  <si>
    <t>https://t.me/klev_m_bot?start=tg_telegram_black_history_post_24_09_26&amp;erid=2W5zFGjbND7</t>
  </si>
  <si>
    <t>https://t.me/Black_History/15227</t>
  </si>
  <si>
    <t>ДАЧНИКИ объявления Мга • Павлово • 45км • Горы • Келколово объявления</t>
  </si>
  <si>
    <t>https://t.me/klev_m_bot?start=tg_telegram_avito_dacha_post_24_09_26&amp;erid=2W5zFHNf4Fj</t>
  </si>
  <si>
    <t>https://t.me/avito_dacha/17637</t>
  </si>
  <si>
    <t>PRO СВАРКУ</t>
  </si>
  <si>
    <t>https://t.me/klev_m_bot?start=tg_telegram_ssqfk8_ecaq2nzji_post_24_09_26&amp;erid=2W5zFHQ93Y5</t>
  </si>
  <si>
    <t>https://t.me/c/2625083120/1160</t>
  </si>
  <si>
    <t>Краснодар рыбалка. Рыбаки Кубани</t>
  </si>
  <si>
    <t>https://t.me/klev_m_bot?start=tg_telegram_ribaki_kubani_post_24_09_26&amp;erid=2W5zFGi7Nvm</t>
  </si>
  <si>
    <t>https://telegram.me/Ribaki_Kubani/380895</t>
  </si>
  <si>
    <t>Типичное Белово</t>
  </si>
  <si>
    <t>https://t.me/klev_m_bot?start=tg_telegram_vbelovo_post_24_09_26&amp;erid=2W5zFH4sCsb</t>
  </si>
  <si>
    <t>https://telegram.me/vbelovo/26899</t>
  </si>
  <si>
    <t>https://t.me/klev_m_bot?start=tg_telegram_big_kub_post_24_09_26&amp;erid=2W5zFGxwFkD</t>
  </si>
  <si>
    <t>Воронеж VRN</t>
  </si>
  <si>
    <t>https://t.me/klev_m_bot?start=tg_telegram_vrn36v_post_24_09_26&amp;erid=2W5zFHMB4yP</t>
  </si>
  <si>
    <t>https://t.me/vrn36v/39407</t>
  </si>
  <si>
    <t>НВП ⚡️ Мужской ВБ</t>
  </si>
  <si>
    <t>tg_telegram_nahodki_wildberriesy_post_24_09_26</t>
  </si>
  <si>
    <t>https://telegram.me/nahodki_Wildberriesy/10844</t>
  </si>
  <si>
    <t>Мегаполис | Питер - Городская сеть информирования и взаимопомощи</t>
  </si>
  <si>
    <t>https://t.me/klev_m_bot?start=tg_telegram_megapolisonline_post_24_09_26&amp;amp;erid=2W5zFGqXKLV</t>
  </si>
  <si>
    <t>https://telegram.me/Megapolisonline/145900</t>
  </si>
  <si>
    <t>ЖИЗНЬ НА ЮГЕ</t>
  </si>
  <si>
    <t>https://t.me/klev_m_bot?start=tg_telegram_giznnauge_post_24_09_26</t>
  </si>
  <si>
    <t>https://telegram.me/giznnauge/4818</t>
  </si>
  <si>
    <t>https://t.me/klev_m_bot?start=tg_telegram_samarafish_post_24_09_26&amp;erid=2W5zFHDm8Zf</t>
  </si>
  <si>
    <t>Город Орёл</t>
  </si>
  <si>
    <t>https://t.me/klev_m_bot?start=tg_telegram_gorodorel57_post_24_09_26&amp;erid=2W5zFGzRF2Z</t>
  </si>
  <si>
    <t>Ставрополь Перспективный</t>
  </si>
  <si>
    <t>https://t.me/klev_m_bot?start=tg_telegram_perspectiv26_post_24_09_26&amp;erid=2W5zFH3PDbF</t>
  </si>
  <si>
    <t>https://t.me/perspectiv26/25235</t>
  </si>
  <si>
    <t>Итого: 22-28 сентябрь</t>
  </si>
  <si>
    <t>НЕДЕЛЯ — 29-30 сентября</t>
  </si>
  <si>
    <t>v3</t>
  </si>
  <si>
    <t>2W5zFKAJ8ob</t>
  </si>
  <si>
    <t>https://ozon.ru/product/aktivator-kleva-attraktant-prikormka-rybolovnaya-karp-leshch-250-ml-5340361400/?at=1mSl1-brWXio0vr58JpxYin5L28OGbHc&amp;hs=1&amp;utm_campaign=vendor_org_4202727_ribanutij&amp;utm_medium=video&amp;utm_source=blog&amp;utm_term=tiktok_m1_300926</t>
  </si>
  <si>
    <t>https://aminotriggerfish.mobz.market/zszu</t>
  </si>
  <si>
    <t>https://www.tiktok.com/@ribanutij/video/7691299091187371270?_r=1&amp;_t=ZS-9AAFcEargVJ</t>
  </si>
  <si>
    <t>https://ozon.ru/product/aktivator-kleva-attraktant-prikormka-rybolovnaya-karp-leshch-250-ml-5340361400/?at=1mSl1-brWXio0vr58JpxYin5L28OGbHc&amp;hs=1&amp;utm_campaign=vendor_org_4202727_derbloknot&amp;utm_medium=cpc&amp;utm_source=telegram&amp;utm_term=m1_290926</t>
  </si>
  <si>
    <t>https://aminotriggerfish.mobz.market/07seeq</t>
  </si>
  <si>
    <t>https://telegram.me/derbloknot/13510</t>
  </si>
  <si>
    <t>Домашний мастер</t>
  </si>
  <si>
    <t>https://ozon.ru/product/aktivator-kleva-attraktant-prikormka-rybolovnaya-karp-leshch-250-ml-5340361400/?at=1mSl1-brWXio0vr58JpxYin5L28OGbHc&amp;hs=1&amp;utm_campaign=vendor_org_4202727_dom_mas&amp;utm_medium=cpc&amp;utm_source=blog&amp;utm_term=ьфч_ь1_290926</t>
  </si>
  <si>
    <t>https://aminotriggerfish.mobz.market/nv8zpr</t>
  </si>
  <si>
    <t>https://telegram.me/dom_mas/3853</t>
  </si>
  <si>
    <t>Дельные советы - Александр Абрамов</t>
  </si>
  <si>
    <t>https://ozon.ru/product/aktivator-kleva-attraktant-prikormka-rybolovnaya-karp-leshch-250-ml-5340361400/?at=1mSl1-brWXio0vr58JpxYin5L28OGbHc&amp;hs=1&amp;utm_campaign=vendor_org_4202727_delnie_soveti&amp;utm_medium=cpc&amp;utm_source=blog&amp;utm_term=max_m1_290926</t>
  </si>
  <si>
    <t>https://aminotriggerfish.mobz.market/uwn</t>
  </si>
  <si>
    <t>https://telegram.me/delnie_soveti/686</t>
  </si>
  <si>
    <t>Красный Сулин - Ростовская область</t>
  </si>
  <si>
    <t>https://ozon.ru/product/aktivator-kleva-attraktant-prikormka-rybolovnaya-karp-leshch-250-ml-5340361400/?at=1mSl1-brWXio0vr58JpxYin5L28OGbHc&amp;hs=1&amp;utm_campaign=vendor_org_4202727_sulinnews&amp;utm_medium=cpc&amp;utm_source=blog&amp;utm_term=max_m1_290926</t>
  </si>
  <si>
    <t>https://aminotriggerfish.mobz.market/u3wg</t>
  </si>
  <si>
    <t>https://max.ru/sulinnews/AaDstw1oNek</t>
  </si>
  <si>
    <t>Мужик Строит</t>
  </si>
  <si>
    <t>https://ozon.ru/product/aktivator-kleva-attraktant-prikormka-rybolovnaya-karp-leshch-250-ml-5340361400/?at=1mSl1-brWXio0vr58JpxYin5L28OGbHc&amp;hs=1&amp;utm_campaign=vendor_org_4202727_man_building&amp;utm_medium=cpc&amp;utm_source=blog&amp;utm_term=max_m1_290926</t>
  </si>
  <si>
    <t>https://aminotriggerfish.mobz.market/ic0evw</t>
  </si>
  <si>
    <t>https://max.ru/man_building/AaDx_bXUao0</t>
  </si>
  <si>
    <t>Деревенский блокнот. Официальный канал</t>
  </si>
  <si>
    <t>https://ozon.ru/product/aktivator-kleva-attraktant-prikormka-rybolovnaya-karp-leshch-250-ml-5340361400/?at=1mSl1-brWXio0vr58JpxYin5L28OGbHc&amp;hs=1&amp;utm_campaign=vendor_org_4202727_derbloknot&amp;utm_medium=cpc&amp;utm_source=blog&amp;utm_term=max_m1_290926</t>
  </si>
  <si>
    <t>https://aminotriggerfish.mobz.market/2s0ui1</t>
  </si>
  <si>
    <t>https://max.ru/derbloknot/AaDxOHqKIek</t>
  </si>
  <si>
    <t>Хитрый Мастер</t>
  </si>
  <si>
    <t>https://ozon.ru/product/aktivator-kleva-attraktant-prikormka-rybolovnaya-karp-leshch-250-ml-5340361400/?at=1mSl1-brWXio0vr58JpxYin5L28OGbHc&amp;hs=1&amp;utm_campaign=vendor_org_4202727_slymaster&amp;utm_medium=cpc&amp;utm_source=blog&amp;utm_term=max_m1_290926</t>
  </si>
  <si>
    <t>https://aminotriggerfish.mobz.market/iuvdz</t>
  </si>
  <si>
    <t>https://max.ru/slymaster/AaDr-76iHek</t>
  </si>
  <si>
    <t>Руки Мастера | Советы</t>
  </si>
  <si>
    <t>https://ozon.ru/product/aktivator-kleva-attraktant-prikormka-rybolovnaya-karp-leshch-250-ml-5340361400/?at=1mSl1-brWXio0vr58JpxYin5L28OGbHc&amp;hs=1&amp;utm_campaign=vendor_org_4202727_rukimastera&amp;utm_medium=cpc&amp;utm_source=blog&amp;utm_term=max_m1_290926</t>
  </si>
  <si>
    <t>https://aminotriggerfish.mobz.market/ox33kt</t>
  </si>
  <si>
    <t>https://max.ru/join/9qLFWCP7_Fof0z7MLsPf0HIb5RFVv_As1t9Vp-1f5do</t>
  </si>
  <si>
    <t>Самоделки 🛠 Инструменты</t>
  </si>
  <si>
    <t>https://ozon.ru/product/aktivator-kleva-attraktant-prikormka-rybolovnaya-karp-leshch-250-ml-5340361400/?at=1mSl1-brWXio0vr58JpxYin5L28OGbHc&amp;hs=1&amp;utm_campaign=vendor_org_4202727_samodelki&amp;utm_medium=cpc&amp;utm_source=blog&amp;utm_term=max_m1_290926</t>
  </si>
  <si>
    <t>https://aminotriggerfish.mobz.market/88hn</t>
  </si>
  <si>
    <t>https://max.ru/join/2ekcRW3OmRouMMfpcoGvuu-A8kA9ZCue_A1oZBBlufo</t>
  </si>
  <si>
    <t>ОчУмелые ручки</t>
  </si>
  <si>
    <t>https://ozon.ru/product/aktivator-kleva-attraktant-prikormka-rybolovnaya-karp-leshch-250-ml-5340361400/?at=1mSl1-brWXio0vr58JpxYin5L28OGbHc&amp;hs=1&amp;utm_campaign=vendor_org_4202727_ohumelye_ruchki&amp;utm_medium=cpc&amp;utm_source=blog&amp;utm_term=max_m1_290926</t>
  </si>
  <si>
    <t>https://aminotriggerfish.mobz.market/3c8ea</t>
  </si>
  <si>
    <t>https://max.ru/join/Xrfy8Z06jPnDVDF4s6MN8pg22ScbSOmVW3hUcZycXmk</t>
  </si>
  <si>
    <t>Вася Семечкин</t>
  </si>
  <si>
    <t>https://ozon.ru/product/aktivator-kleva-attraktant-prikormka-rybolovnaya-karp-leshch-250-ml-5340361400/?at=1mSl1-brWXio0vr58JpxYin5L28OGbHc&amp;hs=1&amp;utm_campaign=vendor_org_4202727_semechkin_vasia&amp;utm_medium=cpc&amp;utm_source=blog&amp;utm_term=max_m1_290926</t>
  </si>
  <si>
    <t>https://aminotriggerfish.mobz.market/80lpe6</t>
  </si>
  <si>
    <t>Всё про рыбалку 🎣</t>
  </si>
  <si>
    <t>https://ozon.ru/product/aktivator-kleva-attraktant-prikormka-rybolovnaya-karp-leshch-250-ml-5340361400/?at=1mSl1-brWXio0vr58JpxYin5L28OGbHc&amp;hs=1&amp;utm_campaign=vendor_org_4202727_club220202870&amp;utm_medium=cpc&amp;utm_source=blog&amp;utm_term=max_m1_290926</t>
  </si>
  <si>
    <t>https://aminotriggerfish.mobz.market/sch6</t>
  </si>
  <si>
    <t>https://max.ru/club220202870/AaDtDeklTek</t>
  </si>
  <si>
    <t xml:space="preserve">Итого: 29-30 сентябрь </t>
  </si>
  <si>
    <t>СЕНТЯБРЬ — МЕДИАПЛАН / БРОНЬ / ФАКТ</t>
  </si>
  <si>
    <t>Факт: «Итого к оплате» только по строкам со статусом «Вышло». Бронь: «Стоимость размещения».</t>
  </si>
  <si>
    <t>План медиаплана, ₽</t>
  </si>
  <si>
    <t>Факт / план</t>
  </si>
  <si>
    <t>План охвата</t>
  </si>
  <si>
    <t>Факт охвата</t>
  </si>
  <si>
    <t>Охват / план</t>
  </si>
  <si>
    <t>СТОИМОСТЬ КЛИКА И РЕГИСТРАЦИИ — ПЛАН / ФАКТ</t>
  </si>
  <si>
    <t>Каждый факт считается только из бюджета соответствующего канала и продукта.</t>
  </si>
  <si>
    <t>Воронка</t>
  </si>
  <si>
    <t>План, ₽</t>
  </si>
  <si>
    <t>Факт, ₽</t>
  </si>
  <si>
    <t>План действий</t>
  </si>
  <si>
    <t>Факт действий</t>
  </si>
  <si>
    <t>План CPC/CPA, ₽</t>
  </si>
  <si>
    <t>Факт CPC/CPA, ₽</t>
  </si>
  <si>
    <t>Выполнение действий</t>
  </si>
  <si>
    <t>Mobzio / сайт</t>
  </si>
  <si>
    <t>Mobzio / Ozon и маркетплейсы</t>
  </si>
  <si>
    <t>Все воронки</t>
  </si>
  <si>
    <t>КОНТРОЛЬ</t>
  </si>
  <si>
    <t>Разница, ₽</t>
  </si>
  <si>
    <t>Площадки = фактический расход</t>
  </si>
  <si>
    <t>Воронки = фактический расход</t>
  </si>
  <si>
    <t>Ошибки в формулах</t>
  </si>
  <si>
    <t>Проверено отдельно</t>
  </si>
  <si>
    <t>Факт сентября 2026 — по данным на 01.10.2026</t>
  </si>
  <si>
    <t>Триггер — факт месяца</t>
  </si>
  <si>
    <t>Расходы, ₽</t>
  </si>
  <si>
    <t>Полный расход на Триггер, отдельно от ботов.</t>
  </si>
  <si>
    <t>Выходы, шт.</t>
  </si>
  <si>
    <t>Количество строк размещений.</t>
  </si>
  <si>
    <t>Заказанные товары, шт.</t>
  </si>
  <si>
    <t>Колонка AB «Заказы». CPO рассчитан на единицу в этой колонке.</t>
  </si>
  <si>
    <t>Расходы / заказанные товары. Предварительно: YouTube «Солнце на крючке» без заказов в отчёте.</t>
  </si>
  <si>
    <t>Клики Мобзио, шт.</t>
  </si>
  <si>
    <t>Колонка V. Клики W к ним не прибавляются.</t>
  </si>
  <si>
    <t>Стоимость клика (CPC), ₽</t>
  </si>
  <si>
    <t>Полный расход / клики Мобзио. Предварительно: у 3 выходов клики не внесены.</t>
  </si>
  <si>
    <t>Охват в отчёте, чел.</t>
  </si>
  <si>
    <t>Сумма охватов, не число уникальных людей.</t>
  </si>
  <si>
    <t>SPV по полному расходу, ₽</t>
  </si>
  <si>
    <t>Полный расход / внесённый охват. Предварительный показатель: 15 выходов без охвата.</t>
  </si>
  <si>
    <t>Расход с внесённым охватом, ₽</t>
  </si>
  <si>
    <t>Расходы только тех выходов, где охват больше нуля.</t>
  </si>
  <si>
    <t>SPV с известным охватом, ₽</t>
  </si>
  <si>
    <t>Расходы выходов с охватом / их охват.</t>
  </si>
  <si>
    <t>Расход без охвата, ₽</t>
  </si>
  <si>
    <t>Этот расход пока не обеспечен данными по охвату.</t>
  </si>
  <si>
    <t>Боты — стоимость регистрации отдельно</t>
  </si>
  <si>
    <t>Регистрации, шт.</t>
  </si>
  <si>
    <t>Стоимость регистрации, ₽</t>
  </si>
  <si>
    <t>Регистрации — колонка X. Показатели месяца: сумма расходов / сумма результатов; цены отдельных выходов не усредняются.</t>
  </si>
  <si>
    <t>Лучшие размещения Триггера — CPO, минимум 5 заказанных товаров</t>
  </si>
  <si>
    <t>Канал / автор</t>
  </si>
  <si>
    <t>Товары, шт.</t>
  </si>
  <si>
    <t>CPC, ₽</t>
  </si>
  <si>
    <t>Строки источника</t>
  </si>
  <si>
    <t>95</t>
  </si>
  <si>
    <t>10</t>
  </si>
  <si>
    <t>39</t>
  </si>
  <si>
    <t>Несколько</t>
  </si>
  <si>
    <t>149–155, весь пакет</t>
  </si>
  <si>
    <t>34</t>
  </si>
  <si>
    <t>113</t>
  </si>
  <si>
    <t>140</t>
  </si>
  <si>
    <t>Пакет «Солнце на крючке» объединён: стоимость некоторых строк 0–1 ₽. Данные YouTube (строка 152) неполные; результат пакета предварительный.</t>
  </si>
  <si>
    <t>Список зафиксирован на 01.10.2026 по CPO. У «Деревенского паренька» в TikTok 41 заказанный товар — крупнейший отдельный выход по объёму.</t>
  </si>
  <si>
    <t>Малый тест с низким CPO — отдельно от основного рейтинга</t>
  </si>
  <si>
    <t>БерФишинг: 4 товара, малый объём</t>
  </si>
  <si>
    <t>Лучшие регистрации — минимум 10 регистраций за выход</t>
  </si>
  <si>
    <t>Цена, ₽</t>
  </si>
  <si>
    <t>Строка источника</t>
  </si>
  <si>
    <t>59</t>
  </si>
  <si>
    <t>84</t>
  </si>
  <si>
    <t>87</t>
  </si>
  <si>
    <t>74</t>
  </si>
  <si>
    <t>67</t>
  </si>
  <si>
    <t>130</t>
  </si>
  <si>
    <t>Фокус по Триггеру: недорогие рыболовные MAX-каналы; из смежных тематик — «Механик со Стажем». Авторский TikTok «Деревенский паренёк» дал объём, но CPO выше.</t>
  </si>
  <si>
    <t>Данные последних выходов ещё неполные. Расходы включены полностью; CPO, CPC и SPV уточнятся после внесения оставшихся результатов.</t>
  </si>
  <si>
    <t>ОКТЯБРЬ 2026 — Триггер (Менеджер)</t>
  </si>
  <si>
    <t xml:space="preserve">НЕДЕЛЯ — 1-7 октября </t>
  </si>
  <si>
    <t>https://max.ru/warhistoryalconafter</t>
  </si>
  <si>
    <t>ЗАИНСТРУМЕНТ</t>
  </si>
  <si>
    <t>макс</t>
  </si>
  <si>
    <t>Ожидаем выхода</t>
  </si>
  <si>
    <t>https://ozon.ru/product/aktivator-kleva-attraktant-prikormka-rybolovnaya-karp-leshch-250-ml-5340361400/?at=1mSl1-brWXio0vr58JpxYin5L28OGbHc&amp;hs=1&amp;utm_campaign=vendor_org_4202727_zainstrument&amp;utm_medium=cpc&amp;utm_source=telegram&amp;utm_term=tg_m1_290926</t>
  </si>
  <si>
    <t>https://aminotriggerfish.mobz.market/qr0s0k</t>
  </si>
  <si>
    <t>Youtube</t>
  </si>
  <si>
    <t xml:space="preserve">Итого: 1-7 октябрь </t>
  </si>
  <si>
    <t xml:space="preserve">НЕДЕЛЯ — 8-14 октября </t>
  </si>
  <si>
    <t xml:space="preserve">Итого: 8-14 октябрь </t>
  </si>
  <si>
    <t>НЕДЕЛЯ — 15-21 октября</t>
  </si>
  <si>
    <t xml:space="preserve">Итого: 15-21 октябрь </t>
  </si>
  <si>
    <t>НЕДЕЛЯ — 22-28 октября</t>
  </si>
  <si>
    <t>Итого: 22-28 октябрь</t>
  </si>
  <si>
    <t xml:space="preserve">НЕДЕЛЯ — 29-31 октября </t>
  </si>
  <si>
    <t xml:space="preserve">Итого: 29-31 октябрь </t>
  </si>
  <si>
    <t>АНАЛИТИКА ПО ПЛОЩАДКАМ — ОКТЯБРЬ</t>
  </si>
  <si>
    <t>АНАЛИТИКА ПО ПРОДУКТАМ — ОКТЯБРЬ</t>
  </si>
  <si>
    <t>АНАЛИТИКА ПО КАНАЛАМ И ВОРОНКАМ — ОКТЯБРЬ</t>
  </si>
  <si>
    <t>КОНТРОЛЬ РАСХОДОВ — ОКТЯБРЬ</t>
  </si>
  <si>
    <t>НОЯБРЬ 2026 — Триггер (Менеджер)</t>
  </si>
  <si>
    <t xml:space="preserve">НЕДЕЛЯ — 1-7 ноября  </t>
  </si>
  <si>
    <t xml:space="preserve">Итого: 1-7 ноябрь  </t>
  </si>
  <si>
    <t xml:space="preserve">НЕДЕЛЯ — 8-14 ноября  </t>
  </si>
  <si>
    <t xml:space="preserve">Итого: 8-14 ноябрь </t>
  </si>
  <si>
    <t xml:space="preserve">НЕДЕЛЯ — 15-21 ноября </t>
  </si>
  <si>
    <t xml:space="preserve">Итого: 15-21 ноябрь  </t>
  </si>
  <si>
    <t xml:space="preserve">НЕДЕЛЯ — 22-28 ноября </t>
  </si>
  <si>
    <t xml:space="preserve">Итого: 22-28 ноябрь </t>
  </si>
  <si>
    <t xml:space="preserve">НЕДЕЛЯ — 29-30 ноября  </t>
  </si>
  <si>
    <t xml:space="preserve">Итого: 29-30 ноябрь </t>
  </si>
  <si>
    <t>АНАЛИТИКА ПО ПЛОЩАДКАМ — НОЯБРЬ</t>
  </si>
  <si>
    <t>АНАЛИТИКА ПО ПРОДУКТАМ — НОЯБРЬ</t>
  </si>
  <si>
    <t>АНАЛИТИКА ПО КАНАЛАМ И ВОРОНКАМ — НОЯБРЬ</t>
  </si>
  <si>
    <t>КОНТРОЛЬ РАСХОДОВ — НОЯБРЬ</t>
  </si>
  <si>
    <t>ДЕКАБРЬ 2026 — Триггер (Менеджер)</t>
  </si>
  <si>
    <t>НЕДЕЛЯ — 1-7 декабря</t>
  </si>
  <si>
    <t xml:space="preserve">Итого: 1-7 декабрь </t>
  </si>
  <si>
    <t xml:space="preserve">НЕДЕЛЯ — 8-14 декабря </t>
  </si>
  <si>
    <t xml:space="preserve">Итого: 8-14 декабрь </t>
  </si>
  <si>
    <t>НЕДЕЛЯ — 15-21 декабря</t>
  </si>
  <si>
    <t xml:space="preserve">Итого: 15-21 декабрь </t>
  </si>
  <si>
    <t xml:space="preserve">НЕДЕЛЯ — 22-28 декабря </t>
  </si>
  <si>
    <t xml:space="preserve">Итого: 22-28 декабрь  </t>
  </si>
  <si>
    <t xml:space="preserve">НЕДЕЛЯ — 29-31 декабря </t>
  </si>
  <si>
    <t xml:space="preserve">Итого: 29-31 декабрь </t>
  </si>
  <si>
    <t>АНАЛИТИКА ПО ПЛОЩАДКАМ — ДЕКАБРЬ</t>
  </si>
  <si>
    <t>АНАЛИТИКА ПО ПРОДУКТАМ — ДЕКАБРЬ</t>
  </si>
  <si>
    <t>АНАЛИТИКА ПО КАНАЛАМ И ВОРОНКАМ — ДЕКАБРЬ</t>
  </si>
  <si>
    <t>КОНТРОЛЬ РАСХОДОВ — ДЕКАБРЬ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</si>
</sst>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0.0%"/>
    <numFmt numFmtId="165" formatCode="dd/mm"/>
    <numFmt numFmtId="166" formatCode="#,##0&quot; ₽&quot;"/>
    <numFmt numFmtId="167" formatCode="dd\.mm"/>
  </numFmts>
  <fonts count="66">
    <font>
      <sz val="10.0"/>
      <color rgb="FF000000"/>
      <name val="Arial"/>
      <scheme val="minor"/>
    </font>
    <font>
      <b/>
      <sz val="9.0"/>
      <color theme="1"/>
      <name val="Cambria"/>
    </font>
    <font>
      <sz val="11.0"/>
      <color theme="1"/>
      <name val="Calibri"/>
    </font>
    <font>
      <u/>
      <sz val="10.0"/>
      <color theme="1"/>
      <name val="Calibri"/>
    </font>
    <font>
      <sz val="10.0"/>
      <color theme="1"/>
      <name val="Calibri"/>
    </font>
    <font>
      <u/>
      <sz val="10.0"/>
      <color theme="1"/>
      <name val="Calibri"/>
    </font>
    <font>
      <u/>
      <sz val="11.0"/>
      <color theme="1"/>
      <name val="Calibri"/>
    </font>
    <font>
      <sz val="9.0"/>
      <color theme="1"/>
      <name val="Cambria"/>
    </font>
    <font>
      <sz val="9.0"/>
      <color theme="1"/>
      <name val="Calibri"/>
    </font>
    <font>
      <u/>
      <sz val="10.0"/>
      <color rgb="FF0000FF"/>
      <name val="Calibri"/>
    </font>
    <font>
      <u/>
      <sz val="10.0"/>
      <color theme="1"/>
      <name val="Calibri"/>
    </font>
    <font>
      <u/>
      <sz val="11.0"/>
      <color rgb="FF0000FF"/>
      <name val="Calibri"/>
    </font>
    <font>
      <u/>
      <sz val="10.0"/>
      <color rgb="FF0000FF"/>
      <name val="Calibri"/>
    </font>
    <font>
      <u/>
      <sz val="11.0"/>
      <color theme="1"/>
      <name val="Calibri"/>
    </font>
    <font>
      <u/>
      <sz val="11.0"/>
      <color rgb="FF0000FF"/>
      <name val="Cambria"/>
    </font>
    <font>
      <u/>
      <sz val="11.0"/>
      <color rgb="FF0000FF"/>
      <name val="Calibri"/>
    </font>
    <font>
      <u/>
      <sz val="11.0"/>
      <color rgb="FF0000FF"/>
      <name val="Carlito"/>
    </font>
    <font>
      <color theme="1"/>
      <name val="Arial"/>
    </font>
    <font>
      <sz val="11.0"/>
      <color rgb="FF000000"/>
      <name val="Carlito"/>
    </font>
    <font>
      <u/>
      <sz val="11.0"/>
      <color rgb="FF0000FF"/>
      <name val="Carlito"/>
    </font>
    <font>
      <sz val="10.0"/>
      <color theme="1"/>
      <name val="Noto Sans"/>
    </font>
    <font>
      <b/>
      <sz val="12.0"/>
      <color theme="1"/>
      <name val="Cambria"/>
    </font>
    <font>
      <i/>
      <sz val="9.0"/>
      <color theme="1"/>
      <name val="Cambria"/>
    </font>
    <font>
      <b/>
      <sz val="11.0"/>
      <color theme="1"/>
      <name val="Cambria"/>
    </font>
    <font>
      <b/>
      <sz val="10.0"/>
      <color theme="1"/>
      <name val="Cambria"/>
    </font>
    <font>
      <b/>
      <i/>
      <sz val="11.0"/>
      <color theme="1"/>
      <name val="Calibri"/>
    </font>
    <font/>
    <font>
      <b/>
      <sz val="11.0"/>
      <color theme="1"/>
      <name val="Calibri"/>
    </font>
    <font>
      <b/>
      <sz val="13.0"/>
      <color theme="1"/>
      <name val="Cambria"/>
    </font>
    <font>
      <u/>
      <sz val="10.0"/>
      <color rgb="FF000000"/>
      <name val="Calibri"/>
    </font>
    <font>
      <u/>
      <sz val="10.0"/>
      <color theme="1"/>
      <name val="Calibri"/>
    </font>
    <font>
      <u/>
      <sz val="10.0"/>
      <color theme="1"/>
      <name val="Calibri"/>
    </font>
    <font>
      <b/>
      <sz val="12.0"/>
      <color rgb="FF000000"/>
      <name val="Arial"/>
    </font>
    <font>
      <b/>
      <sz val="9.0"/>
      <color rgb="FFFFFFFF"/>
      <name val="Arial"/>
    </font>
    <font>
      <sz val="9.0"/>
      <color rgb="FF222222"/>
      <name val="Arial"/>
    </font>
    <font>
      <b/>
      <sz val="9.0"/>
      <color rgb="FF111111"/>
      <name val="Arial"/>
    </font>
    <font>
      <sz val="9.0"/>
      <color rgb="FF9C0006"/>
      <name val="Arial"/>
    </font>
    <font>
      <u/>
      <sz val="10.0"/>
      <color rgb="FF0000FF"/>
      <name val="Calibri"/>
    </font>
    <font>
      <u/>
      <sz val="11.0"/>
      <color theme="1"/>
      <name val="Calibri"/>
    </font>
    <font>
      <u/>
      <sz val="10.0"/>
      <color rgb="FF000000"/>
      <name val="Calibri"/>
    </font>
    <font>
      <u/>
      <sz val="10.0"/>
      <color theme="1"/>
      <name val="Calibri"/>
    </font>
    <font>
      <u/>
      <sz val="10.0"/>
      <color rgb="FF0000FF"/>
      <name val="Calibri"/>
    </font>
    <font>
      <b/>
      <sz val="10.0"/>
      <color rgb="FFFFFFFF"/>
      <name val="Cambria"/>
    </font>
    <font>
      <b/>
      <sz val="9.0"/>
      <color rgb="FFFFFFFF"/>
      <name val="Cambria"/>
    </font>
    <font>
      <u/>
      <sz val="10.0"/>
      <color theme="1"/>
      <name val="Calibri"/>
    </font>
    <font>
      <u/>
      <sz val="11.0"/>
      <color rgb="FF0000FF"/>
      <name val="Arial"/>
    </font>
    <font>
      <sz val="10.0"/>
      <color rgb="FF0000FF"/>
      <name val="Calibri"/>
    </font>
    <font>
      <sz val="10.0"/>
      <color rgb="FF000000"/>
      <name val="Calibri"/>
    </font>
    <font>
      <u/>
      <sz val="11.0"/>
      <color rgb="FF0000FF"/>
      <name val="Calibri"/>
    </font>
    <font>
      <u/>
      <sz val="11.0"/>
      <color rgb="FF0000FF"/>
      <name val="Calibri"/>
    </font>
    <font>
      <u/>
      <sz val="11.0"/>
      <color rgb="FF0000FF"/>
      <name val="Calibri"/>
    </font>
    <font>
      <color theme="1"/>
      <name val="Calibri"/>
    </font>
    <font>
      <u/>
      <sz val="11.0"/>
      <color rgb="FF0000FF"/>
      <name val="Calibri"/>
    </font>
    <font>
      <u/>
      <sz val="11.0"/>
      <color rgb="FF0000FF"/>
      <name val="Calibri"/>
    </font>
    <font>
      <u/>
      <sz val="11.0"/>
      <color rgb="FF0000FF"/>
      <name val="Calibri"/>
    </font>
    <font>
      <u/>
      <sz val="11.0"/>
      <color theme="1"/>
      <name val="Calibri"/>
    </font>
    <font>
      <i/>
      <sz val="9.0"/>
      <color rgb="FF555555"/>
      <name val="Arial"/>
    </font>
    <font>
      <b/>
      <sz val="12.0"/>
      <color rgb="FF203864"/>
      <name val="Arial"/>
    </font>
    <font>
      <b/>
      <sz val="10.0"/>
      <color rgb="FF222222"/>
      <name val="Arial"/>
    </font>
    <font>
      <sz val="10.0"/>
      <color rgb="FF222222"/>
      <name val="Arial"/>
    </font>
    <font>
      <sz val="10.0"/>
      <color rgb="FFFFFFFF"/>
      <name val="Arial"/>
    </font>
    <font>
      <u/>
      <sz val="10.0"/>
      <color rgb="FF222222"/>
      <name val="Arial"/>
    </font>
    <font>
      <u/>
      <sz val="10.0"/>
      <color rgb="FF222222"/>
      <name val="Arial"/>
    </font>
    <font>
      <b/>
      <u/>
      <sz val="10.0"/>
      <color rgb="FF0000FF"/>
      <name val="Calibri"/>
    </font>
    <font>
      <b/>
      <u/>
      <sz val="10.0"/>
      <color theme="1"/>
      <name val="Calibri"/>
    </font>
    <font>
      <b/>
      <sz val="10.0"/>
      <color theme="1"/>
      <name val="Calibri"/>
    </font>
  </fonts>
  <fills count="24">
    <fill>
      <patternFill patternType="none"/>
    </fill>
    <fill>
      <patternFill patternType="lightGray"/>
    </fill>
    <fill>
      <patternFill patternType="solid">
        <fgColor rgb="FFDDEBF7"/>
        <bgColor rgb="FFDDEBF7"/>
      </patternFill>
    </fill>
    <fill>
      <patternFill patternType="solid">
        <fgColor rgb="FF1F4E79"/>
        <bgColor rgb="FF1F4E79"/>
      </patternFill>
    </fill>
    <fill>
      <patternFill patternType="solid">
        <fgColor rgb="FFF2F2F2"/>
        <bgColor rgb="FFF2F2F2"/>
      </patternFill>
    </fill>
    <fill>
      <patternFill patternType="solid">
        <fgColor rgb="FFFFF9C4"/>
        <bgColor rgb="FFFFF9C4"/>
      </patternFill>
    </fill>
    <fill>
      <patternFill patternType="solid">
        <fgColor rgb="FFC6EFCE"/>
        <bgColor rgb="FFC6EFCE"/>
      </patternFill>
    </fill>
    <fill>
      <patternFill patternType="solid">
        <fgColor rgb="FFE7E6E6"/>
        <bgColor rgb="FFE7E6E6"/>
      </patternFill>
    </fill>
    <fill>
      <patternFill patternType="solid">
        <fgColor rgb="FFFFEB9C"/>
        <bgColor rgb="FFFFEB9C"/>
      </patternFill>
    </fill>
    <fill>
      <patternFill patternType="solid">
        <fgColor rgb="FFC0E6F5"/>
        <bgColor rgb="FFC0E6F5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ED7D31"/>
        <bgColor rgb="FFED7D31"/>
      </patternFill>
    </fill>
    <fill>
      <patternFill patternType="solid">
        <fgColor rgb="FFF57C00"/>
        <bgColor rgb="FFF57C00"/>
      </patternFill>
    </fill>
    <fill>
      <patternFill patternType="solid">
        <fgColor rgb="FF1F4E78"/>
        <bgColor rgb="FF1F4E78"/>
      </patternFill>
    </fill>
    <fill>
      <patternFill patternType="solid">
        <fgColor rgb="FFFFF2CC"/>
        <bgColor rgb="FFFFF2CC"/>
      </patternFill>
    </fill>
    <fill>
      <patternFill patternType="solid">
        <fgColor rgb="FFE2F0D9"/>
        <bgColor rgb="FFE2F0D9"/>
      </patternFill>
    </fill>
    <fill>
      <patternFill patternType="solid">
        <fgColor rgb="FFFCE4D6"/>
        <bgColor rgb="FFFCE4D6"/>
      </patternFill>
    </fill>
    <fill>
      <patternFill patternType="solid">
        <fgColor rgb="FFD9EAD3"/>
        <bgColor rgb="FFD9EAD3"/>
      </patternFill>
    </fill>
    <fill>
      <patternFill patternType="solid">
        <fgColor rgb="FFF9CB9C"/>
        <bgColor rgb="FFF9CB9C"/>
      </patternFill>
    </fill>
    <fill>
      <patternFill patternType="solid">
        <fgColor rgb="FFFFF2D6"/>
        <bgColor rgb="FFFFF2D6"/>
      </patternFill>
    </fill>
    <fill>
      <patternFill patternType="solid">
        <fgColor rgb="FFF6B26B"/>
        <bgColor rgb="FFF6B26B"/>
      </patternFill>
    </fill>
    <fill>
      <patternFill patternType="solid">
        <fgColor rgb="FFEAF1FB"/>
        <bgColor rgb="FFEAF1FB"/>
      </patternFill>
    </fill>
    <fill>
      <patternFill patternType="solid">
        <fgColor rgb="FF203864"/>
        <bgColor rgb="FF203864"/>
      </patternFill>
    </fill>
  </fills>
  <borders count="18">
    <border/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  <border>
      <left/>
      <right/>
      <top/>
      <bottom/>
    </border>
    <border>
      <top style="thin">
        <color rgb="FF44B3E1"/>
      </top>
      <bottom style="thin">
        <color rgb="FF44B3E1"/>
      </bottom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/>
      <top/>
      <bottom/>
    </border>
    <border>
      <top/>
      <bottom/>
    </border>
    <border>
      <left style="thin">
        <color rgb="FFBFBFBF"/>
      </left>
      <top style="thin">
        <color rgb="FFBFBFBF"/>
      </top>
      <bottom style="thin">
        <color rgb="FFBFBFBF"/>
      </bottom>
    </border>
    <border>
      <top style="thin">
        <color rgb="FFBFBFBF"/>
      </top>
      <bottom style="thin">
        <color rgb="FFBFBFBF"/>
      </bottom>
    </border>
    <border>
      <right style="thin">
        <color rgb="FFBFBFBF"/>
      </right>
      <top style="thin">
        <color rgb="FFBFBFBF"/>
      </top>
      <bottom style="thin">
        <color rgb="FFBFBFBF"/>
      </bottom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A9D18E"/>
      </left>
      <right style="thin">
        <color rgb="FFA9D18E"/>
      </right>
      <top style="thin">
        <color rgb="FFA9D18E"/>
      </top>
      <bottom style="thin">
        <color rgb="FFA9D18E"/>
      </bottom>
    </border>
    <border>
      <left style="thin">
        <color rgb="FFF4B084"/>
      </left>
      <right style="thin">
        <color rgb="FFF4B084"/>
      </right>
      <top style="thin">
        <color rgb="FFF4B084"/>
      </top>
      <bottom style="thin">
        <color rgb="FFF4B084"/>
      </bottom>
    </border>
    <border>
      <left style="thin">
        <color rgb="FFD9D9D9"/>
      </left>
      <right style="thin">
        <color rgb="FFD9D9D9"/>
      </right>
      <top/>
      <bottom style="thin">
        <color rgb="FFD9D9D9"/>
      </bottom>
    </border>
    <border>
      <left/>
      <right style="thin">
        <color rgb="FFD9D9D9"/>
      </right>
      <top/>
      <bottom style="thin">
        <color rgb="FFD9D9D9"/>
      </bottom>
    </border>
    <border>
      <left style="thin">
        <color rgb="FFD9D9D9"/>
      </left>
      <right style="thin">
        <color rgb="FFD9D9D9"/>
      </right>
      <bottom style="thin">
        <color rgb="FFD9D9D9"/>
      </bottom>
    </border>
    <border>
      <right style="thin">
        <color rgb="FFD9D9D9"/>
      </right>
      <bottom style="thin">
        <color rgb="FFD9D9D9"/>
      </bottom>
    </border>
    <border>
      <left/>
      <right/>
      <top style="thin">
        <color rgb="FFD9D9D9"/>
      </top>
      <bottom style="thin">
        <color rgb="FFD9D9D9"/>
      </bottom>
    </border>
  </borders>
  <cellStyleXfs count="1">
    <xf borderId="0" fillId="0" fontId="0" numFmtId="0" applyAlignment="1" applyFont="1"/>
  </cellStyleXfs>
  <cellXfs count="264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2" fillId="3" fontId="1" numFmtId="0" xfId="0" applyAlignment="1" applyBorder="1" applyFill="1" applyFont="1">
      <alignment shrinkToFit="0" vertical="bottom" wrapText="0"/>
    </xf>
    <xf borderId="0" fillId="0" fontId="2" numFmtId="0" xfId="0" applyAlignment="1" applyFont="1">
      <alignment shrinkToFit="0" vertical="bottom" wrapText="0"/>
    </xf>
    <xf borderId="1" fillId="4" fontId="3" numFmtId="0" xfId="0" applyAlignment="1" applyBorder="1" applyFill="1" applyFont="1">
      <alignment shrinkToFit="0" vertical="bottom" wrapText="0"/>
    </xf>
    <xf borderId="1" fillId="4" fontId="2" numFmtId="0" xfId="0" applyAlignment="1" applyBorder="1" applyFill="1" applyFont="1">
      <alignment shrinkToFit="0" vertical="bottom" wrapText="0"/>
    </xf>
    <xf borderId="1" fillId="4" fontId="2" numFmtId="3" xfId="0" applyAlignment="1" applyBorder="1" applyFill="1" applyFont="1" applyNumberFormat="1">
      <alignment shrinkToFit="0" vertical="bottom" wrapText="0"/>
    </xf>
    <xf borderId="1" fillId="5" fontId="2" numFmtId="3" xfId="0" applyAlignment="1" applyBorder="1" applyFill="1" applyFont="1" applyNumberFormat="1">
      <alignment shrinkToFit="0" vertical="bottom" wrapText="0"/>
    </xf>
    <xf borderId="1" fillId="6" fontId="2" numFmtId="0" xfId="0" applyAlignment="1" applyBorder="1" applyFill="1" applyFont="1">
      <alignment shrinkToFit="0" vertical="bottom" wrapText="0"/>
    </xf>
    <xf borderId="1" fillId="5" fontId="2" numFmtId="0" xfId="0" applyAlignment="1" applyBorder="1" applyFill="1" applyFont="1">
      <alignment shrinkToFit="0" vertical="bottom" wrapText="0"/>
    </xf>
    <xf borderId="1" fillId="7" fontId="4" numFmtId="2" xfId="0" applyAlignment="1" applyBorder="1" applyFill="1" applyFont="1" applyNumberFormat="1">
      <alignment shrinkToFit="0" vertical="bottom" wrapText="0"/>
    </xf>
    <xf borderId="1" fillId="7" fontId="4" numFmtId="3" xfId="0" applyAlignment="1" applyBorder="1" applyFill="1" applyFont="1" applyNumberFormat="1">
      <alignment shrinkToFit="0" vertical="bottom" wrapText="0"/>
    </xf>
    <xf borderId="1" fillId="7" fontId="4" numFmtId="1" xfId="0" applyAlignment="1" applyBorder="1" applyFill="1" applyFont="1" applyNumberFormat="1">
      <alignment horizontal="center" shrinkToFit="0" vertical="bottom" wrapText="0"/>
    </xf>
    <xf borderId="1" fillId="0" fontId="4" numFmtId="0" xfId="0" applyAlignment="1" applyBorder="1" applyFont="1">
      <alignment horizontal="center" shrinkToFit="0" vertical="bottom" wrapText="0"/>
    </xf>
    <xf borderId="1" fillId="4" fontId="5" numFmtId="0" xfId="0" applyAlignment="1" applyBorder="1" applyFill="1" applyFont="1">
      <alignment shrinkToFit="0" vertical="bottom" wrapText="1"/>
    </xf>
    <xf borderId="1" fillId="4" fontId="4" numFmtId="0" xfId="0" applyAlignment="1" applyBorder="1" applyFill="1" applyFont="1">
      <alignment shrinkToFit="0" vertical="bottom" wrapText="0"/>
    </xf>
    <xf borderId="1" fillId="4" fontId="2" numFmtId="164" xfId="0" applyAlignment="1" applyBorder="1" applyFill="1" applyFont="1" applyNumberFormat="1">
      <alignment shrinkToFit="0" vertical="bottom" wrapText="0"/>
    </xf>
    <xf borderId="1" fillId="4" fontId="6" numFmtId="0" xfId="0" applyAlignment="1" applyBorder="1" applyFill="1" applyFont="1">
      <alignment shrinkToFit="0" vertical="bottom" wrapText="0"/>
    </xf>
    <xf borderId="1" fillId="7" fontId="7" numFmtId="2" xfId="0" applyAlignment="1" applyBorder="1" applyFill="1" applyFont="1" applyNumberFormat="1">
      <alignment shrinkToFit="0" vertical="bottom" wrapText="0"/>
    </xf>
    <xf borderId="0" fillId="0" fontId="8" numFmtId="0" xfId="0" applyAlignment="1" applyFont="1">
      <alignment shrinkToFit="0" vertical="bottom" wrapText="0"/>
    </xf>
    <xf borderId="1" fillId="5" fontId="8" numFmtId="0" xfId="0" applyAlignment="1" applyBorder="1" applyFill="1" applyFont="1">
      <alignment shrinkToFit="0" vertical="bottom" wrapText="0"/>
    </xf>
    <xf borderId="1" fillId="5" fontId="4" numFmtId="0" xfId="0" applyAlignment="1" applyBorder="1" applyFill="1" applyFont="1">
      <alignment shrinkToFit="0" vertical="bottom" wrapText="0"/>
    </xf>
    <xf borderId="1" fillId="6" fontId="4" numFmtId="0" xfId="0" applyAlignment="1" applyBorder="1" applyFill="1" applyFont="1">
      <alignment shrinkToFit="0" vertical="bottom" wrapText="0"/>
    </xf>
    <xf borderId="1" fillId="6" fontId="2" numFmtId="3" xfId="0" applyAlignment="1" applyBorder="1" applyFill="1" applyFont="1" applyNumberFormat="1">
      <alignment shrinkToFit="0" vertical="bottom" wrapText="0"/>
    </xf>
    <xf borderId="1" fillId="6" fontId="2" numFmtId="164" xfId="0" applyAlignment="1" applyBorder="1" applyFill="1" applyFont="1" applyNumberFormat="1">
      <alignment shrinkToFit="0" vertical="bottom" wrapText="0"/>
    </xf>
    <xf borderId="1" fillId="6" fontId="4" numFmtId="2" xfId="0" applyAlignment="1" applyBorder="1" applyFill="1" applyFont="1" applyNumberFormat="1">
      <alignment shrinkToFit="0" vertical="bottom" wrapText="0"/>
    </xf>
    <xf borderId="1" fillId="6" fontId="4" numFmtId="3" xfId="0" applyAlignment="1" applyBorder="1" applyFill="1" applyFont="1" applyNumberFormat="1">
      <alignment shrinkToFit="0" vertical="bottom" wrapText="0"/>
    </xf>
    <xf borderId="1" fillId="6" fontId="4" numFmtId="1" xfId="0" applyAlignment="1" applyBorder="1" applyFill="1" applyFont="1" applyNumberFormat="1">
      <alignment horizontal="center" shrinkToFit="0" vertical="bottom" wrapText="0"/>
    </xf>
    <xf borderId="1" fillId="6" fontId="4" numFmtId="0" xfId="0" applyAlignment="1" applyBorder="1" applyFill="1" applyFont="1">
      <alignment horizontal="center" shrinkToFit="0" vertical="bottom" wrapText="0"/>
    </xf>
    <xf borderId="2" fillId="6" fontId="2" numFmtId="0" xfId="0" applyAlignment="1" applyBorder="1" applyFill="1" applyFont="1">
      <alignment shrinkToFit="0" vertical="bottom" wrapText="0"/>
    </xf>
    <xf borderId="1" fillId="4" fontId="9" numFmtId="0" xfId="0" applyAlignment="1" applyBorder="1" applyFill="1" applyFont="1">
      <alignment shrinkToFit="0" vertical="bottom" wrapText="0"/>
    </xf>
    <xf borderId="1" fillId="8" fontId="4" numFmtId="0" xfId="0" applyAlignment="1" applyBorder="1" applyFill="1" applyFont="1">
      <alignment shrinkToFit="0" vertical="bottom" wrapText="0"/>
    </xf>
    <xf borderId="1" fillId="8" fontId="2" numFmtId="0" xfId="0" applyAlignment="1" applyBorder="1" applyFill="1" applyFont="1">
      <alignment shrinkToFit="0" vertical="bottom" wrapText="0"/>
    </xf>
    <xf borderId="1" fillId="8" fontId="2" numFmtId="3" xfId="0" applyAlignment="1" applyBorder="1" applyFill="1" applyFont="1" applyNumberFormat="1">
      <alignment shrinkToFit="0" vertical="bottom" wrapText="0"/>
    </xf>
    <xf borderId="1" fillId="8" fontId="2" numFmtId="164" xfId="0" applyAlignment="1" applyBorder="1" applyFill="1" applyFont="1" applyNumberFormat="1">
      <alignment shrinkToFit="0" vertical="bottom" wrapText="0"/>
    </xf>
    <xf borderId="1" fillId="8" fontId="4" numFmtId="2" xfId="0" applyAlignment="1" applyBorder="1" applyFill="1" applyFont="1" applyNumberFormat="1">
      <alignment shrinkToFit="0" vertical="bottom" wrapText="0"/>
    </xf>
    <xf borderId="1" fillId="8" fontId="4" numFmtId="3" xfId="0" applyAlignment="1" applyBorder="1" applyFill="1" applyFont="1" applyNumberFormat="1">
      <alignment shrinkToFit="0" vertical="bottom" wrapText="0"/>
    </xf>
    <xf borderId="1" fillId="8" fontId="4" numFmtId="1" xfId="0" applyAlignment="1" applyBorder="1" applyFill="1" applyFont="1" applyNumberFormat="1">
      <alignment horizontal="center" shrinkToFit="0" vertical="bottom" wrapText="0"/>
    </xf>
    <xf borderId="1" fillId="8" fontId="4" numFmtId="0" xfId="0" applyAlignment="1" applyBorder="1" applyFill="1" applyFont="1">
      <alignment horizontal="center" shrinkToFit="0" vertical="bottom" wrapText="0"/>
    </xf>
    <xf borderId="2" fillId="8" fontId="2" numFmtId="0" xfId="0" applyAlignment="1" applyBorder="1" applyFill="1" applyFont="1">
      <alignment shrinkToFit="0" vertical="bottom" wrapText="0"/>
    </xf>
    <xf borderId="1" fillId="7" fontId="10" numFmtId="2" xfId="0" applyAlignment="1" applyBorder="1" applyFill="1" applyFont="1" applyNumberFormat="1">
      <alignment shrinkToFit="0" vertical="bottom" wrapText="0"/>
    </xf>
    <xf borderId="1" fillId="4" fontId="11" numFmtId="0" xfId="0" applyAlignment="1" applyBorder="1" applyFill="1" applyFont="1">
      <alignment shrinkToFit="0" vertical="bottom" wrapText="0"/>
    </xf>
    <xf borderId="1" fillId="7" fontId="12" numFmtId="2" xfId="0" applyAlignment="1" applyBorder="1" applyFill="1" applyFont="1" applyNumberFormat="1">
      <alignment shrinkToFit="0" vertical="bottom" wrapText="0"/>
    </xf>
    <xf borderId="1" fillId="5" fontId="2" numFmtId="3" xfId="0" applyAlignment="1" applyBorder="1" applyFill="1" applyFont="1" applyNumberFormat="1">
      <alignment shrinkToFit="0" vertical="bottom" wrapText="1"/>
    </xf>
    <xf borderId="1" fillId="5" fontId="13" numFmtId="0" xfId="0" applyAlignment="1" applyBorder="1" applyFill="1" applyFont="1">
      <alignment shrinkToFit="0" vertical="bottom" wrapText="0"/>
    </xf>
    <xf borderId="0" fillId="0" fontId="14" numFmtId="0" xfId="0" applyAlignment="1" applyFont="1">
      <alignment shrinkToFit="0" vertical="bottom" wrapText="0"/>
    </xf>
    <xf borderId="1" fillId="5" fontId="15" numFmtId="0" xfId="0" applyAlignment="1" applyBorder="1" applyFill="1" applyFont="1">
      <alignment shrinkToFit="0" vertical="bottom" wrapText="0"/>
    </xf>
    <xf borderId="3" fillId="0" fontId="16" numFmtId="0" xfId="0" applyAlignment="1" applyBorder="1" applyFont="1">
      <alignment horizontal="left"/>
    </xf>
    <xf borderId="0" fillId="0" fontId="17" numFmtId="0" xfId="0" applyFont="1"/>
    <xf borderId="3" fillId="9" fontId="18" numFmtId="0" xfId="0" applyAlignment="1" applyBorder="1" applyFill="1" applyFont="1">
      <alignment horizontal="left"/>
    </xf>
    <xf borderId="3" fillId="9" fontId="19" numFmtId="0" xfId="0" applyAlignment="1" applyBorder="1" applyFill="1" applyFont="1">
      <alignment horizontal="left"/>
    </xf>
    <xf borderId="0" fillId="0" fontId="17" numFmtId="3" xfId="0" applyFont="1" applyNumberFormat="1"/>
    <xf borderId="1" fillId="4" fontId="20" numFmtId="0" xfId="0" applyAlignment="1" applyBorder="1" applyFill="1" applyFont="1">
      <alignment shrinkToFit="0" vertical="bottom" wrapText="0"/>
    </xf>
    <xf borderId="0" fillId="0" fontId="21" numFmtId="0" xfId="0" applyAlignment="1" applyFont="1">
      <alignment shrinkToFit="0" vertical="bottom" wrapText="1"/>
    </xf>
    <xf borderId="0" fillId="0" fontId="22" numFmtId="0" xfId="0" applyAlignment="1" applyFont="1">
      <alignment shrinkToFit="0" vertical="bottom" wrapText="1"/>
    </xf>
    <xf borderId="0" fillId="0" fontId="2" numFmtId="0" xfId="0" applyAlignment="1" applyFont="1">
      <alignment shrinkToFit="0" vertical="bottom" wrapText="1"/>
    </xf>
    <xf borderId="2" fillId="3" fontId="23" numFmtId="0" xfId="0" applyAlignment="1" applyBorder="1" applyFill="1" applyFont="1">
      <alignment shrinkToFit="0" vertical="bottom" wrapText="1"/>
    </xf>
    <xf borderId="2" fillId="3" fontId="23" numFmtId="0" xfId="0" applyAlignment="1" applyBorder="1" applyFill="1" applyFont="1">
      <alignment shrinkToFit="0" vertical="bottom" wrapText="0"/>
    </xf>
    <xf borderId="4" fillId="2" fontId="2" numFmtId="3" xfId="0" applyAlignment="1" applyBorder="1" applyFill="1" applyFont="1" applyNumberFormat="1">
      <alignment shrinkToFit="0" vertical="bottom" wrapText="0"/>
    </xf>
    <xf borderId="4" fillId="2" fontId="2" numFmtId="164" xfId="0" applyAlignment="1" applyBorder="1" applyFill="1" applyFont="1" applyNumberFormat="1">
      <alignment shrinkToFit="0" vertical="bottom" wrapText="0"/>
    </xf>
    <xf borderId="4" fillId="2" fontId="1" numFmtId="0" xfId="0" applyAlignment="1" applyBorder="1" applyFill="1" applyFont="1">
      <alignment horizontal="center" shrinkToFit="0" vertical="center" wrapText="1"/>
    </xf>
    <xf borderId="4" fillId="10" fontId="24" numFmtId="0" xfId="0" applyAlignment="1" applyBorder="1" applyFill="1" applyFont="1">
      <alignment shrinkToFit="0" vertical="bottom" wrapText="1"/>
    </xf>
    <xf borderId="4" fillId="10" fontId="2" numFmtId="0" xfId="0" applyAlignment="1" applyBorder="1" applyFill="1" applyFont="1">
      <alignment shrinkToFit="0" vertical="bottom" wrapText="0"/>
    </xf>
    <xf borderId="4" fillId="10" fontId="1" numFmtId="0" xfId="0" applyAlignment="1" applyBorder="1" applyFill="1" applyFont="1">
      <alignment horizontal="right" shrinkToFit="0" vertical="bottom" wrapText="0"/>
    </xf>
    <xf borderId="4" fillId="5" fontId="2" numFmtId="3" xfId="0" applyAlignment="1" applyBorder="1" applyFill="1" applyFont="1" applyNumberFormat="1">
      <alignment shrinkToFit="0" vertical="bottom" wrapText="0"/>
    </xf>
    <xf borderId="4" fillId="5" fontId="2" numFmtId="9" xfId="0" applyAlignment="1" applyBorder="1" applyFill="1" applyFont="1" applyNumberFormat="1">
      <alignment shrinkToFit="0" vertical="bottom" wrapText="0"/>
    </xf>
    <xf borderId="4" fillId="0" fontId="2" numFmtId="0" xfId="0" applyAlignment="1" applyBorder="1" applyFont="1">
      <alignment horizontal="left" shrinkToFit="0" vertical="center" wrapText="1"/>
    </xf>
    <xf borderId="4" fillId="5" fontId="2" numFmtId="164" xfId="0" applyAlignment="1" applyBorder="1" applyFill="1" applyFont="1" applyNumberFormat="1">
      <alignment shrinkToFit="0" vertical="bottom" wrapText="0"/>
    </xf>
    <xf borderId="4" fillId="7" fontId="2" numFmtId="3" xfId="0" applyAlignment="1" applyBorder="1" applyFill="1" applyFont="1" applyNumberFormat="1">
      <alignment shrinkToFit="0" vertical="bottom" wrapText="0"/>
    </xf>
    <xf borderId="4" fillId="7" fontId="2" numFmtId="164" xfId="0" applyAlignment="1" applyBorder="1" applyFill="1" applyFont="1" applyNumberFormat="1">
      <alignment shrinkToFit="0" vertical="bottom" wrapText="0"/>
    </xf>
    <xf borderId="4" fillId="11" fontId="23" numFmtId="0" xfId="0" applyAlignment="1" applyBorder="1" applyFill="1" applyFont="1">
      <alignment shrinkToFit="0" vertical="bottom" wrapText="1"/>
    </xf>
    <xf borderId="4" fillId="11" fontId="23" numFmtId="3" xfId="0" applyAlignment="1" applyBorder="1" applyFill="1" applyFont="1" applyNumberFormat="1">
      <alignment shrinkToFit="0" vertical="bottom" wrapText="0"/>
    </xf>
    <xf borderId="4" fillId="11" fontId="23" numFmtId="164" xfId="0" applyAlignment="1" applyBorder="1" applyFill="1" applyFont="1" applyNumberFormat="1">
      <alignment shrinkToFit="0" vertical="bottom" wrapText="0"/>
    </xf>
    <xf borderId="4" fillId="10" fontId="2" numFmtId="3" xfId="0" applyAlignment="1" applyBorder="1" applyFill="1" applyFont="1" applyNumberFormat="1">
      <alignment shrinkToFit="0" vertical="bottom" wrapText="0"/>
    </xf>
    <xf borderId="4" fillId="10" fontId="2" numFmtId="164" xfId="0" applyAlignment="1" applyBorder="1" applyFill="1" applyFont="1" applyNumberFormat="1">
      <alignment shrinkToFit="0" vertical="bottom" wrapText="0"/>
    </xf>
    <xf borderId="4" fillId="10" fontId="1" numFmtId="164" xfId="0" applyAlignment="1" applyBorder="1" applyFill="1" applyFont="1" applyNumberFormat="1">
      <alignment horizontal="right" shrinkToFit="0" vertical="bottom" wrapText="0"/>
    </xf>
    <xf borderId="4" fillId="10" fontId="1" numFmtId="3" xfId="0" applyAlignment="1" applyBorder="1" applyFill="1" applyFont="1" applyNumberFormat="1">
      <alignment horizontal="right" shrinkToFit="0" vertical="bottom" wrapText="0"/>
    </xf>
    <xf borderId="2" fillId="3" fontId="23" numFmtId="3" xfId="0" applyAlignment="1" applyBorder="1" applyFill="1" applyFont="1" applyNumberFormat="1">
      <alignment shrinkToFit="0" vertical="bottom" wrapText="0"/>
    </xf>
    <xf borderId="2" fillId="3" fontId="23" numFmtId="164" xfId="0" applyAlignment="1" applyBorder="1" applyFill="1" applyFont="1" applyNumberFormat="1">
      <alignment shrinkToFit="0" vertical="bottom" wrapText="0"/>
    </xf>
    <xf borderId="0" fillId="0" fontId="25" numFmtId="0" xfId="0" applyAlignment="1" applyFont="1">
      <alignment shrinkToFit="0" vertical="bottom" wrapText="1"/>
    </xf>
    <xf borderId="5" fillId="7" fontId="23" numFmtId="0" xfId="0" applyAlignment="1" applyBorder="1" applyFill="1" applyFont="1">
      <alignment shrinkToFit="0" vertical="bottom" wrapText="0"/>
    </xf>
    <xf borderId="6" fillId="0" fontId="26" numFmtId="0" xfId="0" applyBorder="1" applyFont="1"/>
    <xf borderId="4" fillId="3" fontId="21" numFmtId="0" xfId="0" applyAlignment="1" applyBorder="1" applyFill="1" applyFont="1">
      <alignment horizontal="left" shrinkToFit="0" vertical="center" wrapText="1"/>
    </xf>
    <xf borderId="4" fillId="3" fontId="23" numFmtId="0" xfId="0" applyAlignment="1" applyBorder="1" applyFill="1" applyFont="1">
      <alignment shrinkToFit="0" vertical="bottom" wrapText="0"/>
    </xf>
    <xf borderId="4" fillId="0" fontId="27" numFmtId="0" xfId="0" applyAlignment="1" applyBorder="1" applyFont="1">
      <alignment horizontal="left" shrinkToFit="0" vertical="center" wrapText="1"/>
    </xf>
    <xf borderId="4" fillId="0" fontId="2" numFmtId="0" xfId="0" applyAlignment="1" applyBorder="1" applyFont="1">
      <alignment shrinkToFit="0" vertical="bottom" wrapText="0"/>
    </xf>
    <xf borderId="4" fillId="0" fontId="27" numFmtId="0" xfId="0" applyAlignment="1" applyBorder="1" applyFont="1">
      <alignment horizontal="right" shrinkToFit="0" vertical="bottom" wrapText="0"/>
    </xf>
    <xf borderId="4" fillId="10" fontId="24" numFmtId="0" xfId="0" applyAlignment="1" applyBorder="1" applyFill="1" applyFont="1">
      <alignment horizontal="left" shrinkToFit="0" vertical="center" wrapText="1"/>
    </xf>
    <xf borderId="4" fillId="10" fontId="24" numFmtId="0" xfId="0" applyAlignment="1" applyBorder="1" applyFill="1" applyFont="1">
      <alignment shrinkToFit="0" vertical="bottom" wrapText="0"/>
    </xf>
    <xf borderId="4" fillId="10" fontId="24" numFmtId="10" xfId="0" applyAlignment="1" applyBorder="1" applyFill="1" applyFont="1" applyNumberFormat="1">
      <alignment shrinkToFit="0" vertical="bottom" wrapText="0"/>
    </xf>
    <xf borderId="4" fillId="5" fontId="2" numFmtId="2" xfId="0" applyAlignment="1" applyBorder="1" applyFill="1" applyFont="1" applyNumberFormat="1">
      <alignment shrinkToFit="0" vertical="bottom" wrapText="0"/>
    </xf>
    <xf borderId="4" fillId="11" fontId="23" numFmtId="0" xfId="0" applyAlignment="1" applyBorder="1" applyFill="1" applyFont="1">
      <alignment horizontal="left" shrinkToFit="0" vertical="center" wrapText="1"/>
    </xf>
    <xf borderId="4" fillId="11" fontId="23" numFmtId="2" xfId="0" applyAlignment="1" applyBorder="1" applyFill="1" applyFont="1" applyNumberFormat="1">
      <alignment shrinkToFit="0" vertical="bottom" wrapText="0"/>
    </xf>
    <xf borderId="4" fillId="10" fontId="24" numFmtId="3" xfId="0" applyAlignment="1" applyBorder="1" applyFill="1" applyFont="1" applyNumberFormat="1">
      <alignment shrinkToFit="0" vertical="bottom" wrapText="0"/>
    </xf>
    <xf borderId="4" fillId="10" fontId="24" numFmtId="2" xfId="0" applyAlignment="1" applyBorder="1" applyFill="1" applyFont="1" applyNumberFormat="1">
      <alignment shrinkToFit="0" vertical="bottom" wrapText="0"/>
    </xf>
    <xf borderId="4" fillId="10" fontId="24" numFmtId="164" xfId="0" applyAlignment="1" applyBorder="1" applyFill="1" applyFont="1" applyNumberFormat="1">
      <alignment shrinkToFit="0" vertical="bottom" wrapText="0"/>
    </xf>
    <xf borderId="4" fillId="3" fontId="23" numFmtId="0" xfId="0" applyAlignment="1" applyBorder="1" applyFill="1" applyFont="1">
      <alignment horizontal="left" shrinkToFit="0" vertical="center" wrapText="1"/>
    </xf>
    <xf borderId="4" fillId="3" fontId="23" numFmtId="3" xfId="0" applyAlignment="1" applyBorder="1" applyFill="1" applyFont="1" applyNumberFormat="1">
      <alignment shrinkToFit="0" vertical="bottom" wrapText="0"/>
    </xf>
    <xf borderId="4" fillId="3" fontId="23" numFmtId="2" xfId="0" applyAlignment="1" applyBorder="1" applyFill="1" applyFont="1" applyNumberFormat="1">
      <alignment shrinkToFit="0" vertical="bottom" wrapText="0"/>
    </xf>
    <xf borderId="4" fillId="3" fontId="23" numFmtId="164" xfId="0" applyAlignment="1" applyBorder="1" applyFill="1" applyFont="1" applyNumberFormat="1">
      <alignment shrinkToFit="0" vertical="bottom" wrapText="0"/>
    </xf>
    <xf borderId="0" fillId="0" fontId="2" numFmtId="3" xfId="0" applyAlignment="1" applyFont="1" applyNumberFormat="1">
      <alignment shrinkToFit="0" vertical="bottom" wrapText="0"/>
    </xf>
    <xf borderId="4" fillId="0" fontId="25" numFmtId="0" xfId="0" applyAlignment="1" applyBorder="1" applyFont="1">
      <alignment horizontal="left" shrinkToFit="0" vertical="center" wrapText="1"/>
    </xf>
    <xf borderId="7" fillId="7" fontId="23" numFmtId="0" xfId="0" applyAlignment="1" applyBorder="1" applyFill="1" applyFont="1">
      <alignment horizontal="left" shrinkToFit="0" vertical="center" wrapText="0"/>
    </xf>
    <xf borderId="8" fillId="0" fontId="26" numFmtId="0" xfId="0" applyBorder="1" applyFont="1"/>
    <xf borderId="9" fillId="0" fontId="26" numFmtId="0" xfId="0" applyBorder="1" applyFont="1"/>
    <xf borderId="5" fillId="3" fontId="23" numFmtId="0" xfId="0" applyAlignment="1" applyBorder="1" applyFill="1" applyFont="1">
      <alignment shrinkToFit="0" vertical="bottom" wrapText="0"/>
    </xf>
    <xf borderId="4" fillId="10" fontId="23" numFmtId="0" xfId="0" applyAlignment="1" applyBorder="1" applyFill="1" applyFont="1">
      <alignment shrinkToFit="0" vertical="bottom" wrapText="1"/>
    </xf>
    <xf borderId="4" fillId="0" fontId="2" numFmtId="0" xfId="0" applyAlignment="1" applyBorder="1" applyFont="1">
      <alignment shrinkToFit="0" vertical="bottom" wrapText="1"/>
    </xf>
    <xf borderId="4" fillId="11" fontId="23" numFmtId="3" xfId="0" applyAlignment="1" applyBorder="1" applyFill="1" applyFont="1" applyNumberFormat="1">
      <alignment horizontal="right" shrinkToFit="0" vertical="bottom" wrapText="0"/>
    </xf>
    <xf borderId="4" fillId="11" fontId="2" numFmtId="3" xfId="0" applyAlignment="1" applyBorder="1" applyFill="1" applyFont="1" applyNumberFormat="1">
      <alignment shrinkToFit="0" vertical="bottom" wrapText="0"/>
    </xf>
    <xf borderId="4" fillId="11" fontId="2" numFmtId="164" xfId="0" applyAlignment="1" applyBorder="1" applyFill="1" applyFont="1" applyNumberFormat="1">
      <alignment shrinkToFit="0" vertical="bottom" wrapText="0"/>
    </xf>
    <xf borderId="7" fillId="2" fontId="2" numFmtId="3" xfId="0" applyAlignment="1" applyBorder="1" applyFill="1" applyFont="1" applyNumberFormat="1">
      <alignment shrinkToFit="0" vertical="bottom" wrapText="0"/>
    </xf>
    <xf borderId="7" fillId="2" fontId="1" numFmtId="0" xfId="0" applyAlignment="1" applyBorder="1" applyFill="1" applyFont="1">
      <alignment horizontal="center" shrinkToFit="0" vertical="center" wrapText="1"/>
    </xf>
    <xf borderId="7" fillId="10" fontId="2" numFmtId="0" xfId="0" applyAlignment="1" applyBorder="1" applyFill="1" applyFont="1">
      <alignment shrinkToFit="0" vertical="bottom" wrapText="0"/>
    </xf>
    <xf borderId="0" fillId="0" fontId="28" numFmtId="0" xfId="0" applyAlignment="1" applyFont="1">
      <alignment shrinkToFit="0" vertical="bottom" wrapText="0"/>
    </xf>
    <xf borderId="0" fillId="0" fontId="22" numFmtId="0" xfId="0" applyAlignment="1" applyFont="1">
      <alignment shrinkToFit="0" vertical="bottom" wrapText="0"/>
    </xf>
    <xf borderId="1" fillId="3" fontId="24" numFmtId="0" xfId="0" applyAlignment="1" applyBorder="1" applyFill="1" applyFont="1">
      <alignment horizontal="center" shrinkToFit="0" vertical="center" wrapText="1"/>
    </xf>
    <xf borderId="2" fillId="12" fontId="24" numFmtId="0" xfId="0" applyAlignment="1" applyBorder="1" applyFill="1" applyFont="1">
      <alignment shrinkToFit="0" vertical="bottom" wrapText="0"/>
    </xf>
    <xf borderId="1" fillId="5" fontId="29" numFmtId="0" xfId="0" applyAlignment="1" applyBorder="1" applyFill="1" applyFont="1">
      <alignment shrinkToFit="0" vertical="bottom" wrapText="0"/>
    </xf>
    <xf borderId="1" fillId="7" fontId="30" numFmtId="0" xfId="0" applyAlignment="1" applyBorder="1" applyFill="1" applyFont="1">
      <alignment shrinkToFit="0" vertical="bottom" wrapText="0"/>
    </xf>
    <xf borderId="1" fillId="7" fontId="4" numFmtId="0" xfId="0" applyAlignment="1" applyBorder="1" applyFill="1" applyFont="1">
      <alignment shrinkToFit="0" vertical="bottom" wrapText="0"/>
    </xf>
    <xf borderId="1" fillId="5" fontId="4" numFmtId="165" xfId="0" applyAlignment="1" applyBorder="1" applyFill="1" applyFont="1" applyNumberFormat="1">
      <alignment shrinkToFit="0" vertical="bottom" wrapText="0"/>
    </xf>
    <xf borderId="1" fillId="5" fontId="4" numFmtId="3" xfId="0" applyAlignment="1" applyBorder="1" applyFill="1" applyFont="1" applyNumberFormat="1">
      <alignment shrinkToFit="0" vertical="bottom" wrapText="0"/>
    </xf>
    <xf borderId="1" fillId="7" fontId="4" numFmtId="4" xfId="0" applyAlignment="1" applyBorder="1" applyFill="1" applyFont="1" applyNumberFormat="1">
      <alignment shrinkToFit="0" vertical="bottom" wrapText="0"/>
    </xf>
    <xf borderId="1" fillId="5" fontId="4" numFmtId="9" xfId="0" applyAlignment="1" applyBorder="1" applyFill="1" applyFont="1" applyNumberFormat="1">
      <alignment shrinkToFit="0" vertical="bottom" wrapText="0"/>
    </xf>
    <xf borderId="1" fillId="5" fontId="31" numFmtId="0" xfId="0" applyAlignment="1" applyBorder="1" applyFill="1" applyFont="1">
      <alignment shrinkToFit="0" vertical="bottom" wrapText="0"/>
    </xf>
    <xf borderId="1" fillId="11" fontId="24" numFmtId="0" xfId="0" applyAlignment="1" applyBorder="1" applyFill="1" applyFont="1">
      <alignment shrinkToFit="0" vertical="bottom" wrapText="0"/>
    </xf>
    <xf borderId="1" fillId="11" fontId="24" numFmtId="3" xfId="0" applyAlignment="1" applyBorder="1" applyFill="1" applyFont="1" applyNumberFormat="1">
      <alignment shrinkToFit="0" vertical="bottom" wrapText="0"/>
    </xf>
    <xf borderId="1" fillId="11" fontId="24" numFmtId="4" xfId="0" applyAlignment="1" applyBorder="1" applyFill="1" applyFont="1" applyNumberFormat="1">
      <alignment shrinkToFit="0" vertical="bottom" wrapText="0"/>
    </xf>
    <xf borderId="1" fillId="11" fontId="24" numFmtId="9" xfId="0" applyAlignment="1" applyBorder="1" applyFill="1" applyFont="1" applyNumberFormat="1">
      <alignment shrinkToFit="0" vertical="bottom" wrapText="0"/>
    </xf>
    <xf borderId="2" fillId="12" fontId="24" numFmtId="3" xfId="0" applyAlignment="1" applyBorder="1" applyFill="1" applyFont="1" applyNumberFormat="1">
      <alignment shrinkToFit="0" vertical="bottom" wrapText="0"/>
    </xf>
    <xf borderId="2" fillId="12" fontId="24" numFmtId="4" xfId="0" applyAlignment="1" applyBorder="1" applyFill="1" applyFont="1" applyNumberFormat="1">
      <alignment shrinkToFit="0" vertical="bottom" wrapText="0"/>
    </xf>
    <xf borderId="2" fillId="12" fontId="24" numFmtId="9" xfId="0" applyAlignment="1" applyBorder="1" applyFill="1" applyFont="1" applyNumberFormat="1">
      <alignment shrinkToFit="0" vertical="bottom" wrapText="0"/>
    </xf>
    <xf borderId="2" fillId="3" fontId="24" numFmtId="0" xfId="0" applyAlignment="1" applyBorder="1" applyFill="1" applyFont="1">
      <alignment shrinkToFit="0" vertical="bottom" wrapText="0"/>
    </xf>
    <xf borderId="2" fillId="3" fontId="24" numFmtId="3" xfId="0" applyAlignment="1" applyBorder="1" applyFill="1" applyFont="1" applyNumberFormat="1">
      <alignment shrinkToFit="0" vertical="bottom" wrapText="0"/>
    </xf>
    <xf borderId="2" fillId="3" fontId="24" numFmtId="4" xfId="0" applyAlignment="1" applyBorder="1" applyFill="1" applyFont="1" applyNumberFormat="1">
      <alignment shrinkToFit="0" vertical="bottom" wrapText="0"/>
    </xf>
    <xf borderId="2" fillId="3" fontId="24" numFmtId="9" xfId="0" applyAlignment="1" applyBorder="1" applyFill="1" applyFont="1" applyNumberFormat="1">
      <alignment shrinkToFit="0" vertical="bottom" wrapText="0"/>
    </xf>
    <xf borderId="2" fillId="13" fontId="32" numFmtId="0" xfId="0" applyAlignment="1" applyBorder="1" applyFill="1" applyFont="1">
      <alignment shrinkToFit="0" vertical="center" wrapText="0"/>
    </xf>
    <xf borderId="10" fillId="14" fontId="33" numFmtId="0" xfId="0" applyAlignment="1" applyBorder="1" applyFill="1" applyFont="1">
      <alignment horizontal="center" shrinkToFit="0" vertical="center" wrapText="1"/>
    </xf>
    <xf borderId="10" fillId="15" fontId="34" numFmtId="0" xfId="0" applyAlignment="1" applyBorder="1" applyFill="1" applyFont="1">
      <alignment shrinkToFit="0" vertical="center" wrapText="0"/>
    </xf>
    <xf borderId="10" fillId="15" fontId="34" numFmtId="166" xfId="0" applyAlignment="1" applyBorder="1" applyFill="1" applyFont="1" applyNumberFormat="1">
      <alignment shrinkToFit="0" vertical="center" wrapText="0"/>
    </xf>
    <xf borderId="10" fillId="15" fontId="34" numFmtId="3" xfId="0" applyAlignment="1" applyBorder="1" applyFill="1" applyFont="1" applyNumberFormat="1">
      <alignment shrinkToFit="0" vertical="center" wrapText="0"/>
    </xf>
    <xf borderId="11" fillId="16" fontId="35" numFmtId="0" xfId="0" applyAlignment="1" applyBorder="1" applyFill="1" applyFont="1">
      <alignment shrinkToFit="0" vertical="center" wrapText="0"/>
    </xf>
    <xf borderId="11" fillId="16" fontId="35" numFmtId="166" xfId="0" applyAlignment="1" applyBorder="1" applyFill="1" applyFont="1" applyNumberFormat="1">
      <alignment shrinkToFit="0" vertical="center" wrapText="0"/>
    </xf>
    <xf borderId="11" fillId="16" fontId="35" numFmtId="3" xfId="0" applyAlignment="1" applyBorder="1" applyFill="1" applyFont="1" applyNumberFormat="1">
      <alignment shrinkToFit="0" vertical="center" wrapText="0"/>
    </xf>
    <xf borderId="0" fillId="0" fontId="2" numFmtId="0" xfId="0" applyAlignment="1" applyFont="1">
      <alignment shrinkToFit="0" vertical="center" wrapText="0"/>
    </xf>
    <xf borderId="10" fillId="15" fontId="34" numFmtId="0" xfId="0" applyAlignment="1" applyBorder="1" applyFill="1" applyFont="1">
      <alignment shrinkToFit="0" vertical="center" wrapText="1"/>
    </xf>
    <xf borderId="10" fillId="15" fontId="34" numFmtId="166" xfId="0" applyAlignment="1" applyBorder="1" applyFill="1" applyFont="1" applyNumberFormat="1">
      <alignment shrinkToFit="0" vertical="center" wrapText="1"/>
    </xf>
    <xf borderId="10" fillId="15" fontId="34" numFmtId="3" xfId="0" applyAlignment="1" applyBorder="1" applyFill="1" applyFont="1" applyNumberFormat="1">
      <alignment shrinkToFit="0" vertical="center" wrapText="1"/>
    </xf>
    <xf borderId="12" fillId="17" fontId="36" numFmtId="0" xfId="0" applyAlignment="1" applyBorder="1" applyFill="1" applyFont="1">
      <alignment shrinkToFit="0" vertical="center" wrapText="1"/>
    </xf>
    <xf borderId="12" fillId="17" fontId="36" numFmtId="166" xfId="0" applyAlignment="1" applyBorder="1" applyFill="1" applyFont="1" applyNumberFormat="1">
      <alignment shrinkToFit="0" vertical="center" wrapText="1"/>
    </xf>
    <xf borderId="1" fillId="5" fontId="37" numFmtId="0" xfId="0" applyAlignment="1" applyBorder="1" applyFill="1" applyFont="1">
      <alignment shrinkToFit="0" vertical="bottom" wrapText="0"/>
    </xf>
    <xf borderId="1" fillId="5" fontId="4" numFmtId="0" xfId="0" applyAlignment="1" applyBorder="1" applyFill="1" applyFont="1">
      <alignment horizontal="center" shrinkToFit="0" vertical="bottom" wrapText="1"/>
    </xf>
    <xf borderId="1" fillId="5" fontId="4" numFmtId="0" xfId="0" applyAlignment="1" applyBorder="1" applyFill="1" applyFont="1">
      <alignment shrinkToFit="0" vertical="bottom" wrapText="1"/>
    </xf>
    <xf borderId="0" fillId="0" fontId="2" numFmtId="0" xfId="0" applyAlignment="1" applyFont="1">
      <alignment horizontal="center" shrinkToFit="0" vertical="bottom" wrapText="0"/>
    </xf>
    <xf borderId="0" fillId="0" fontId="2" numFmtId="4" xfId="0" applyAlignment="1" applyFont="1" applyNumberFormat="1">
      <alignment shrinkToFit="0" vertical="bottom" wrapText="0"/>
    </xf>
    <xf borderId="1" fillId="3" fontId="24" numFmtId="4" xfId="0" applyAlignment="1" applyBorder="1" applyFill="1" applyFont="1" applyNumberFormat="1">
      <alignment horizontal="center" shrinkToFit="0" vertical="center" wrapText="1"/>
    </xf>
    <xf borderId="2" fillId="12" fontId="24" numFmtId="0" xfId="0" applyAlignment="1" applyBorder="1" applyFill="1" applyFont="1">
      <alignment shrinkToFit="0" vertical="bottom" wrapText="1"/>
    </xf>
    <xf borderId="2" fillId="12" fontId="24" numFmtId="0" xfId="0" applyAlignment="1" applyBorder="1" applyFill="1" applyFont="1">
      <alignment horizontal="center" shrinkToFit="0" vertical="bottom" wrapText="0"/>
    </xf>
    <xf borderId="2" fillId="5" fontId="38" numFmtId="0" xfId="0" applyAlignment="1" applyBorder="1" applyFill="1" applyFont="1">
      <alignment horizontal="left" shrinkToFit="0" vertical="bottom" wrapText="0"/>
    </xf>
    <xf borderId="1" fillId="5" fontId="39" numFmtId="0" xfId="0" applyAlignment="1" applyBorder="1" applyFill="1" applyFont="1">
      <alignment shrinkToFit="0" vertical="bottom" wrapText="1"/>
    </xf>
    <xf borderId="1" fillId="5" fontId="4" numFmtId="0" xfId="0" applyAlignment="1" applyBorder="1" applyFill="1" applyFont="1">
      <alignment horizontal="center" shrinkToFit="0" vertical="bottom" wrapText="0"/>
    </xf>
    <xf borderId="1" fillId="5" fontId="40" numFmtId="0" xfId="0" applyAlignment="1" applyBorder="1" applyFill="1" applyFont="1">
      <alignment shrinkToFit="0" vertical="bottom" wrapText="1"/>
    </xf>
    <xf borderId="1" fillId="11" fontId="24" numFmtId="0" xfId="0" applyAlignment="1" applyBorder="1" applyFill="1" applyFont="1">
      <alignment shrinkToFit="0" vertical="bottom" wrapText="1"/>
    </xf>
    <xf borderId="1" fillId="11" fontId="24" numFmtId="0" xfId="0" applyAlignment="1" applyBorder="1" applyFill="1" applyFont="1">
      <alignment horizontal="center" shrinkToFit="0" vertical="bottom" wrapText="0"/>
    </xf>
    <xf borderId="1" fillId="5" fontId="4" numFmtId="0" xfId="0" applyAlignment="1" applyBorder="1" applyFill="1" applyFont="1">
      <alignment horizontal="left" shrinkToFit="0" vertical="bottom" wrapText="0"/>
    </xf>
    <xf borderId="1" fillId="7" fontId="4" numFmtId="3" xfId="0" applyAlignment="1" applyBorder="1" applyFill="1" applyFont="1" applyNumberFormat="1">
      <alignment horizontal="right" shrinkToFit="0" vertical="bottom" wrapText="0"/>
    </xf>
    <xf borderId="1" fillId="5" fontId="4" numFmtId="167" xfId="0" applyAlignment="1" applyBorder="1" applyFill="1" applyFont="1" applyNumberFormat="1">
      <alignment shrinkToFit="0" vertical="bottom" wrapText="0"/>
    </xf>
    <xf borderId="1" fillId="5" fontId="4" numFmtId="4" xfId="0" applyAlignment="1" applyBorder="1" applyFill="1" applyFont="1" applyNumberFormat="1">
      <alignment shrinkToFit="0" vertical="bottom" wrapText="0"/>
    </xf>
    <xf borderId="1" fillId="5" fontId="41" numFmtId="0" xfId="0" applyAlignment="1" applyBorder="1" applyFill="1" applyFont="1">
      <alignment shrinkToFit="0" vertical="bottom" wrapText="1"/>
    </xf>
    <xf borderId="2" fillId="3" fontId="24" numFmtId="0" xfId="0" applyAlignment="1" applyBorder="1" applyFill="1" applyFont="1">
      <alignment shrinkToFit="0" vertical="bottom" wrapText="1"/>
    </xf>
    <xf borderId="2" fillId="3" fontId="24" numFmtId="0" xfId="0" applyAlignment="1" applyBorder="1" applyFill="1" applyFont="1">
      <alignment horizontal="center" shrinkToFit="0" vertical="bottom" wrapText="0"/>
    </xf>
    <xf borderId="0" fillId="0" fontId="2" numFmtId="0" xfId="0" applyAlignment="1" applyFont="1">
      <alignment horizontal="left" shrinkToFit="0" vertical="bottom" wrapText="0"/>
    </xf>
    <xf borderId="1" fillId="3" fontId="42" numFmtId="0" xfId="0" applyAlignment="1" applyBorder="1" applyFill="1" applyFont="1">
      <alignment horizontal="center" shrinkToFit="0" vertical="center" wrapText="1"/>
    </xf>
    <xf borderId="1" fillId="3" fontId="43" numFmtId="0" xfId="0" applyAlignment="1" applyBorder="1" applyFill="1" applyFont="1">
      <alignment horizontal="center" shrinkToFit="0" vertical="center" wrapText="1"/>
    </xf>
    <xf borderId="1" fillId="3" fontId="42" numFmtId="4" xfId="0" applyAlignment="1" applyBorder="1" applyFill="1" applyFont="1" applyNumberFormat="1">
      <alignment horizontal="center" shrinkToFit="0" vertical="center" wrapText="1"/>
    </xf>
    <xf borderId="2" fillId="12" fontId="24" numFmtId="0" xfId="0" applyAlignment="1" applyBorder="1" applyFill="1" applyFont="1">
      <alignment horizontal="left" shrinkToFit="0" vertical="bottom" wrapText="0"/>
    </xf>
    <xf borderId="2" fillId="12" fontId="1" numFmtId="0" xfId="0" applyAlignment="1" applyBorder="1" applyFill="1" applyFont="1">
      <alignment shrinkToFit="0" vertical="bottom" wrapText="0"/>
    </xf>
    <xf borderId="1" fillId="15" fontId="4" numFmtId="0" xfId="0" applyAlignment="1" applyBorder="1" applyFill="1" applyFont="1">
      <alignment shrinkToFit="0" vertical="bottom" wrapText="0"/>
    </xf>
    <xf borderId="1" fillId="18" fontId="4" numFmtId="3" xfId="0" applyAlignment="1" applyBorder="1" applyFill="1" applyFont="1" applyNumberFormat="1">
      <alignment shrinkToFit="0" vertical="bottom" wrapText="0"/>
    </xf>
    <xf borderId="1" fillId="19" fontId="4" numFmtId="3" xfId="0" applyAlignment="1" applyBorder="1" applyFill="1" applyFont="1" applyNumberFormat="1">
      <alignment shrinkToFit="0" vertical="bottom" wrapText="0"/>
    </xf>
    <xf borderId="1" fillId="5" fontId="44" numFmtId="165" xfId="0" applyAlignment="1" applyBorder="1" applyFill="1" applyFont="1" applyNumberFormat="1">
      <alignment shrinkToFit="0" vertical="bottom" wrapText="0"/>
    </xf>
    <xf borderId="2" fillId="20" fontId="45" numFmtId="0" xfId="0" applyAlignment="1" applyBorder="1" applyFill="1" applyFont="1">
      <alignment shrinkToFit="0" vertical="bottom" wrapText="1"/>
    </xf>
    <xf borderId="1" fillId="5" fontId="46" numFmtId="0" xfId="0" applyAlignment="1" applyBorder="1" applyFill="1" applyFont="1">
      <alignment shrinkToFit="0" vertical="bottom" wrapText="1"/>
    </xf>
    <xf borderId="1" fillId="11" fontId="24" numFmtId="0" xfId="0" applyAlignment="1" applyBorder="1" applyFill="1" applyFont="1">
      <alignment horizontal="left" shrinkToFit="0" vertical="bottom" wrapText="0"/>
    </xf>
    <xf borderId="1" fillId="11" fontId="1" numFmtId="0" xfId="0" applyAlignment="1" applyBorder="1" applyFill="1" applyFont="1">
      <alignment shrinkToFit="0" vertical="bottom" wrapText="0"/>
    </xf>
    <xf borderId="2" fillId="15" fontId="2" numFmtId="0" xfId="0" applyAlignment="1" applyBorder="1" applyFill="1" applyFont="1">
      <alignment shrinkToFit="0" vertical="bottom" wrapText="0"/>
    </xf>
    <xf borderId="1" fillId="5" fontId="47" numFmtId="0" xfId="0" applyAlignment="1" applyBorder="1" applyFill="1" applyFont="1">
      <alignment shrinkToFit="0" vertical="bottom" wrapText="1"/>
    </xf>
    <xf borderId="0" fillId="15" fontId="2" numFmtId="0" xfId="0" applyAlignment="1" applyFill="1" applyFont="1">
      <alignment shrinkToFit="0" vertical="bottom" wrapText="0"/>
    </xf>
    <xf borderId="1" fillId="21" fontId="4" numFmtId="3" xfId="0" applyAlignment="1" applyBorder="1" applyFill="1" applyFont="1" applyNumberFormat="1">
      <alignment shrinkToFit="0" vertical="bottom" wrapText="0"/>
    </xf>
    <xf borderId="13" fillId="5" fontId="48" numFmtId="0" xfId="0" applyAlignment="1" applyBorder="1" applyFill="1" applyFont="1">
      <alignment shrinkToFit="0" vertical="bottom" wrapText="0"/>
    </xf>
    <xf borderId="14" fillId="7" fontId="2" numFmtId="3" xfId="0" applyAlignment="1" applyBorder="1" applyFill="1" applyFont="1" applyNumberFormat="1">
      <alignment shrinkToFit="0" vertical="bottom" wrapText="0"/>
    </xf>
    <xf borderId="14" fillId="5" fontId="2" numFmtId="165" xfId="0" applyAlignment="1" applyBorder="1" applyFill="1" applyFont="1" applyNumberFormat="1">
      <alignment shrinkToFit="0" vertical="bottom" wrapText="0"/>
    </xf>
    <xf borderId="14" fillId="5" fontId="2" numFmtId="3" xfId="0" applyAlignment="1" applyBorder="1" applyFill="1" applyFont="1" applyNumberFormat="1">
      <alignment shrinkToFit="0" vertical="bottom" wrapText="0"/>
    </xf>
    <xf borderId="14" fillId="5" fontId="2" numFmtId="0" xfId="0" applyAlignment="1" applyBorder="1" applyFill="1" applyFont="1">
      <alignment shrinkToFit="0" vertical="bottom" wrapText="0"/>
    </xf>
    <xf borderId="14" fillId="5" fontId="49" numFmtId="0" xfId="0" applyAlignment="1" applyBorder="1" applyFill="1" applyFont="1">
      <alignment shrinkToFit="0" vertical="bottom" wrapText="1"/>
    </xf>
    <xf borderId="14" fillId="5" fontId="50" numFmtId="3" xfId="0" applyAlignment="1" applyBorder="1" applyFill="1" applyFont="1" applyNumberFormat="1">
      <alignment shrinkToFit="0" vertical="bottom" wrapText="1"/>
    </xf>
    <xf borderId="1" fillId="7" fontId="2" numFmtId="3" xfId="0" applyAlignment="1" applyBorder="1" applyFill="1" applyFont="1" applyNumberFormat="1">
      <alignment shrinkToFit="0" vertical="bottom" wrapText="0"/>
    </xf>
    <xf borderId="1" fillId="7" fontId="2" numFmtId="0" xfId="0" applyAlignment="1" applyBorder="1" applyFill="1" applyFont="1">
      <alignment shrinkToFit="0" vertical="bottom" wrapText="0"/>
    </xf>
    <xf borderId="1" fillId="5" fontId="51" numFmtId="0" xfId="0" applyAlignment="1" applyBorder="1" applyFill="1" applyFont="1">
      <alignment vertical="bottom"/>
    </xf>
    <xf borderId="15" fillId="5" fontId="51" numFmtId="0" xfId="0" applyAlignment="1" applyBorder="1" applyFill="1" applyFont="1">
      <alignment vertical="bottom"/>
    </xf>
    <xf borderId="14" fillId="5" fontId="2" numFmtId="0" xfId="0" applyAlignment="1" applyBorder="1" applyFill="1" applyFont="1">
      <alignment horizontal="left" shrinkToFit="0" vertical="bottom" wrapText="0"/>
    </xf>
    <xf borderId="14" fillId="7" fontId="4" numFmtId="4" xfId="0" applyAlignment="1" applyBorder="1" applyFill="1" applyFont="1" applyNumberFormat="1">
      <alignment shrinkToFit="0" vertical="bottom" wrapText="0"/>
    </xf>
    <xf borderId="16" fillId="5" fontId="2" numFmtId="0" xfId="0" applyAlignment="1" applyBorder="1" applyFill="1" applyFont="1">
      <alignment shrinkToFit="0" vertical="bottom" wrapText="0"/>
    </xf>
    <xf borderId="16" fillId="5" fontId="2" numFmtId="0" xfId="0" applyAlignment="1" applyBorder="1" applyFill="1" applyFont="1">
      <alignment horizontal="left" shrinkToFit="0" vertical="bottom" wrapText="0"/>
    </xf>
    <xf borderId="16" fillId="5" fontId="2" numFmtId="165" xfId="0" applyAlignment="1" applyBorder="1" applyFill="1" applyFont="1" applyNumberFormat="1">
      <alignment shrinkToFit="0" vertical="bottom" wrapText="0"/>
    </xf>
    <xf borderId="15" fillId="5" fontId="52" numFmtId="0" xfId="0" applyAlignment="1" applyBorder="1" applyFill="1" applyFont="1">
      <alignment shrinkToFit="0" vertical="bottom" wrapText="0"/>
    </xf>
    <xf borderId="16" fillId="7" fontId="2" numFmtId="3" xfId="0" applyAlignment="1" applyBorder="1" applyFill="1" applyFont="1" applyNumberFormat="1">
      <alignment shrinkToFit="0" vertical="bottom" wrapText="0"/>
    </xf>
    <xf borderId="16" fillId="5" fontId="2" numFmtId="3" xfId="0" applyAlignment="1" applyBorder="1" applyFill="1" applyFont="1" applyNumberFormat="1">
      <alignment shrinkToFit="0" vertical="bottom" wrapText="0"/>
    </xf>
    <xf borderId="16" fillId="5" fontId="53" numFmtId="0" xfId="0" applyAlignment="1" applyBorder="1" applyFill="1" applyFont="1">
      <alignment shrinkToFit="0" vertical="bottom" wrapText="1"/>
    </xf>
    <xf borderId="16" fillId="5" fontId="54" numFmtId="3" xfId="0" applyAlignment="1" applyBorder="1" applyFill="1" applyFont="1" applyNumberFormat="1">
      <alignment shrinkToFit="0" vertical="bottom" wrapText="1"/>
    </xf>
    <xf borderId="16" fillId="7" fontId="4" numFmtId="4" xfId="0" applyAlignment="1" applyBorder="1" applyFill="1" applyFont="1" applyNumberFormat="1">
      <alignment shrinkToFit="0" vertical="bottom" wrapText="0"/>
    </xf>
    <xf borderId="16" fillId="5" fontId="55" numFmtId="3" xfId="0" applyAlignment="1" applyBorder="1" applyFill="1" applyFont="1" applyNumberFormat="1">
      <alignment shrinkToFit="0" vertical="bottom" wrapText="1"/>
    </xf>
    <xf borderId="15" fillId="5" fontId="2" numFmtId="0" xfId="0" applyAlignment="1" applyBorder="1" applyFill="1" applyFont="1">
      <alignment shrinkToFit="0" vertical="bottom" wrapText="0"/>
    </xf>
    <xf borderId="16" fillId="5" fontId="2" numFmtId="0" xfId="0" applyAlignment="1" applyBorder="1" applyFill="1" applyFont="1">
      <alignment shrinkToFit="0" vertical="bottom" wrapText="1"/>
    </xf>
    <xf borderId="16" fillId="5" fontId="8" numFmtId="0" xfId="0" applyAlignment="1" applyBorder="1" applyFill="1" applyFont="1">
      <alignment shrinkToFit="0" vertical="bottom" wrapText="0"/>
    </xf>
    <xf borderId="16" fillId="5" fontId="2" numFmtId="3" xfId="0" applyAlignment="1" applyBorder="1" applyFill="1" applyFont="1" applyNumberFormat="1">
      <alignment shrinkToFit="0" vertical="bottom" wrapText="1"/>
    </xf>
    <xf borderId="2" fillId="3" fontId="42" numFmtId="0" xfId="0" applyAlignment="1" applyBorder="1" applyFill="1" applyFont="1">
      <alignment shrinkToFit="0" vertical="bottom" wrapText="0"/>
    </xf>
    <xf borderId="2" fillId="3" fontId="42" numFmtId="3" xfId="0" applyAlignment="1" applyBorder="1" applyFill="1" applyFont="1" applyNumberFormat="1">
      <alignment shrinkToFit="0" vertical="bottom" wrapText="0"/>
    </xf>
    <xf borderId="2" fillId="3" fontId="42" numFmtId="0" xfId="0" applyAlignment="1" applyBorder="1" applyFill="1" applyFont="1">
      <alignment horizontal="left" shrinkToFit="0" vertical="bottom" wrapText="0"/>
    </xf>
    <xf borderId="2" fillId="3" fontId="42" numFmtId="0" xfId="0" applyAlignment="1" applyBorder="1" applyFill="1" applyFont="1">
      <alignment shrinkToFit="0" vertical="bottom" wrapText="1"/>
    </xf>
    <xf borderId="2" fillId="3" fontId="43" numFmtId="0" xfId="0" applyAlignment="1" applyBorder="1" applyFill="1" applyFont="1">
      <alignment shrinkToFit="0" vertical="bottom" wrapText="0"/>
    </xf>
    <xf borderId="2" fillId="3" fontId="42" numFmtId="4" xfId="0" applyAlignment="1" applyBorder="1" applyFill="1" applyFont="1" applyNumberFormat="1">
      <alignment shrinkToFit="0" vertical="bottom" wrapText="0"/>
    </xf>
    <xf borderId="2" fillId="3" fontId="42" numFmtId="9" xfId="0" applyAlignment="1" applyBorder="1" applyFill="1" applyFont="1" applyNumberFormat="1">
      <alignment shrinkToFit="0" vertical="bottom" wrapText="0"/>
    </xf>
    <xf borderId="5" fillId="13" fontId="32" numFmtId="0" xfId="0" applyAlignment="1" applyBorder="1" applyFill="1" applyFont="1">
      <alignment shrinkToFit="0" vertical="center" wrapText="0"/>
    </xf>
    <xf borderId="0" fillId="0" fontId="56" numFmtId="0" xfId="0" applyAlignment="1" applyFont="1">
      <alignment shrinkToFit="0" vertical="center" wrapText="0"/>
    </xf>
    <xf borderId="10" fillId="15" fontId="34" numFmtId="164" xfId="0" applyAlignment="1" applyBorder="1" applyFill="1" applyFont="1" applyNumberFormat="1">
      <alignment shrinkToFit="0" vertical="center" wrapText="0"/>
    </xf>
    <xf borderId="11" fillId="16" fontId="35" numFmtId="164" xfId="0" applyAlignment="1" applyBorder="1" applyFill="1" applyFont="1" applyNumberFormat="1">
      <alignment shrinkToFit="0" vertical="center" wrapText="0"/>
    </xf>
    <xf borderId="0" fillId="0" fontId="57" numFmtId="0" xfId="0" applyAlignment="1" applyFont="1">
      <alignment vertical="center"/>
    </xf>
    <xf borderId="0" fillId="13" fontId="58" numFmtId="0" xfId="0" applyAlignment="1" applyFill="1" applyFont="1">
      <alignment vertical="center"/>
    </xf>
    <xf borderId="0" fillId="0" fontId="59" numFmtId="0" xfId="0" applyAlignment="1" applyFont="1">
      <alignment vertical="center"/>
    </xf>
    <xf borderId="0" fillId="0" fontId="59" numFmtId="3" xfId="0" applyAlignment="1" applyFont="1" applyNumberFormat="1">
      <alignment vertical="center"/>
    </xf>
    <xf borderId="0" fillId="0" fontId="59" numFmtId="0" xfId="0" applyAlignment="1" applyFont="1">
      <alignment shrinkToFit="0" vertical="center" wrapText="1"/>
    </xf>
    <xf borderId="0" fillId="22" fontId="58" numFmtId="0" xfId="0" applyAlignment="1" applyFill="1" applyFont="1">
      <alignment vertical="center"/>
    </xf>
    <xf borderId="0" fillId="22" fontId="58" numFmtId="4" xfId="0" applyAlignment="1" applyFill="1" applyFont="1" applyNumberFormat="1">
      <alignment vertical="center"/>
    </xf>
    <xf borderId="0" fillId="22" fontId="58" numFmtId="2" xfId="0" applyAlignment="1" applyFill="1" applyFont="1" applyNumberFormat="1">
      <alignment vertical="center"/>
    </xf>
    <xf borderId="0" fillId="23" fontId="60" numFmtId="0" xfId="0" applyAlignment="1" applyFill="1" applyFont="1">
      <alignment shrinkToFit="0" vertical="center" wrapText="1"/>
    </xf>
    <xf borderId="0" fillId="0" fontId="59" numFmtId="4" xfId="0" applyAlignment="1" applyFont="1" applyNumberFormat="1">
      <alignment vertical="center"/>
    </xf>
    <xf borderId="0" fillId="0" fontId="61" numFmtId="0" xfId="0" applyAlignment="1" applyFont="1">
      <alignment shrinkToFit="0" vertical="center" wrapText="1"/>
    </xf>
    <xf borderId="0" fillId="0" fontId="62" numFmtId="0" xfId="0" applyAlignment="1" applyFont="1">
      <alignment vertical="center"/>
    </xf>
    <xf borderId="0" fillId="3" fontId="24" numFmtId="0" xfId="0" applyAlignment="1" applyFill="1" applyFont="1">
      <alignment horizontal="center" shrinkToFit="0" vertical="center" wrapText="1"/>
    </xf>
    <xf borderId="0" fillId="12" fontId="24" numFmtId="0" xfId="0" applyAlignment="1" applyFill="1" applyFont="1">
      <alignment shrinkToFit="0" vertical="bottom" wrapText="0"/>
    </xf>
    <xf borderId="0" fillId="5" fontId="4" numFmtId="0" xfId="0" applyAlignment="1" applyFill="1" applyFont="1">
      <alignment shrinkToFit="0" vertical="bottom" wrapText="0"/>
    </xf>
    <xf borderId="13" fillId="5" fontId="2" numFmtId="0" xfId="0" applyAlignment="1" applyBorder="1" applyFill="1" applyFont="1">
      <alignment shrinkToFit="0" vertical="bottom" wrapText="0"/>
    </xf>
    <xf borderId="14" fillId="5" fontId="2" numFmtId="3" xfId="0" applyAlignment="1" applyBorder="1" applyFill="1" applyFont="1" applyNumberFormat="1">
      <alignment shrinkToFit="0" vertical="bottom" wrapText="1"/>
    </xf>
    <xf borderId="1" fillId="5" fontId="63" numFmtId="0" xfId="0" applyAlignment="1" applyBorder="1" applyFill="1" applyFont="1">
      <alignment shrinkToFit="0" vertical="bottom" wrapText="0"/>
    </xf>
    <xf borderId="1" fillId="5" fontId="64" numFmtId="0" xfId="0" applyAlignment="1" applyBorder="1" applyFill="1" applyFont="1">
      <alignment shrinkToFit="0" vertical="bottom" wrapText="0"/>
    </xf>
    <xf borderId="15" fillId="5" fontId="65" numFmtId="0" xfId="0" applyAlignment="1" applyBorder="1" applyFill="1" applyFont="1">
      <alignment shrinkToFit="0" vertical="bottom" wrapText="0"/>
    </xf>
    <xf borderId="16" fillId="7" fontId="2" numFmtId="0" xfId="0" applyAlignment="1" applyBorder="1" applyFill="1" applyFont="1">
      <alignment shrinkToFit="0" vertical="bottom" wrapText="0"/>
    </xf>
    <xf borderId="16" fillId="5" fontId="4" numFmtId="0" xfId="0" applyAlignment="1" applyBorder="1" applyFill="1" applyFont="1">
      <alignment horizontal="left" shrinkToFit="0" vertical="bottom" wrapText="0"/>
    </xf>
    <xf borderId="16" fillId="5" fontId="4" numFmtId="0" xfId="0" applyAlignment="1" applyBorder="1" applyFill="1" applyFont="1">
      <alignment shrinkToFit="0" vertical="bottom" wrapText="0"/>
    </xf>
    <xf borderId="16" fillId="7" fontId="4" numFmtId="3" xfId="0" applyAlignment="1" applyBorder="1" applyFill="1" applyFont="1" applyNumberFormat="1">
      <alignment shrinkToFit="0" vertical="bottom" wrapText="0"/>
    </xf>
    <xf borderId="16" fillId="5" fontId="4" numFmtId="0" xfId="0" applyAlignment="1" applyBorder="1" applyFill="1" applyFont="1">
      <alignment shrinkToFit="0" vertical="bottom" wrapText="1"/>
    </xf>
    <xf borderId="16" fillId="5" fontId="4" numFmtId="3" xfId="0" applyAlignment="1" applyBorder="1" applyFill="1" applyFont="1" applyNumberFormat="1">
      <alignment shrinkToFit="0" vertical="bottom" wrapText="0"/>
    </xf>
    <xf borderId="0" fillId="7" fontId="4" numFmtId="3" xfId="0" applyAlignment="1" applyFill="1" applyFont="1" applyNumberFormat="1">
      <alignment shrinkToFit="0" vertical="bottom" wrapText="0"/>
    </xf>
    <xf borderId="0" fillId="11" fontId="24" numFmtId="0" xfId="0" applyAlignment="1" applyFill="1" applyFont="1">
      <alignment shrinkToFit="0" vertical="bottom" wrapText="0"/>
    </xf>
    <xf borderId="1" fillId="5" fontId="46" numFmtId="0" xfId="0" applyAlignment="1" applyBorder="1" applyFill="1" applyFont="1">
      <alignment shrinkToFit="0" vertical="bottom" wrapText="0"/>
    </xf>
    <xf borderId="17" fillId="12" fontId="2" numFmtId="0" xfId="0" applyAlignment="1" applyBorder="1" applyFill="1" applyFont="1">
      <alignment shrinkToFit="0" vertical="bottom" wrapText="0"/>
    </xf>
    <xf borderId="17" fillId="12" fontId="2" numFmtId="3" xfId="0" applyAlignment="1" applyBorder="1" applyFill="1" applyFont="1" applyNumberFormat="1">
      <alignment shrinkToFit="0" vertical="bottom" wrapText="0"/>
    </xf>
    <xf borderId="17" fillId="12" fontId="2" numFmtId="165" xfId="0" applyAlignment="1" applyBorder="1" applyFill="1" applyFont="1" applyNumberFormat="1">
      <alignment shrinkToFit="0" vertical="bottom" wrapText="0"/>
    </xf>
    <xf borderId="17" fillId="12" fontId="2" numFmtId="4" xfId="0" applyAlignment="1" applyBorder="1" applyFill="1" applyFont="1" applyNumberFormat="1">
      <alignment shrinkToFit="0" vertical="bottom" wrapText="0"/>
    </xf>
    <xf borderId="17" fillId="12" fontId="2" numFmtId="9" xfId="0" applyAlignment="1" applyBorder="1" applyFill="1" applyFont="1" applyNumberFormat="1">
      <alignment shrinkToFit="0" vertical="bottom" wrapText="0"/>
    </xf>
    <xf borderId="14" fillId="5" fontId="2" numFmtId="167" xfId="0" applyAlignment="1" applyBorder="1" applyFill="1" applyFont="1" applyNumberFormat="1">
      <alignment shrinkToFit="0" vertical="bottom" wrapText="0"/>
    </xf>
    <xf borderId="0" fillId="3" fontId="24" numFmtId="0" xfId="0" applyAlignment="1" applyFill="1" applyFont="1">
      <alignment shrinkToFit="0" vertical="bottom" wrapText="0"/>
    </xf>
  </cellXfs>
  <cellStyles count="1">
    <cellStyle xfId="0" name="Normal" builtinId="0"/>
  </cellStyles>
  <dxfs count="7">
    <dxf>
      <font>
        <sz val="11.0"/>
        <color rgb="FF000000"/>
        <name val="Calibri"/>
      </font>
      <fill>
        <patternFill patternType="solid">
          <fgColor rgb="FFFFC7CE"/>
          <bgColor rgb="FFFFC7CE"/>
        </patternFill>
      </fill>
      <border/>
    </dxf>
    <dxf>
      <font>
        <sz val="11.0"/>
        <color rgb="FF000000"/>
        <name val="Calibri"/>
      </font>
      <fill>
        <patternFill patternType="solid">
          <fgColor rgb="FFFFEB9C"/>
          <bgColor rgb="FFFFEB9C"/>
        </patternFill>
      </fill>
      <border/>
    </dxf>
    <dxf>
      <font>
        <sz val="11.0"/>
        <color rgb="FF000000"/>
        <name val="Calibri"/>
      </font>
      <fill>
        <patternFill patternType="solid">
          <fgColor rgb="FFC6EFCE"/>
          <bgColor rgb="FFC6EFCE"/>
        </patternFill>
      </fill>
      <border/>
    </dxf>
    <dxf>
      <font>
        <sz val="11.0"/>
        <color rgb="FF000000"/>
        <name val="Calibri"/>
      </font>
      <fill>
        <patternFill patternType="solid">
          <fgColor rgb="FFFFE699"/>
          <bgColor rgb="FFFFE699"/>
        </patternFill>
      </fill>
      <border/>
    </dxf>
    <dxf>
      <font>
        <b/>
        <color rgb="FFA61B1B"/>
      </font>
      <fill>
        <patternFill patternType="solid">
          <fgColor rgb="FFFCE4E4"/>
          <bgColor rgb="FFFCE4E4"/>
        </patternFill>
      </fill>
      <border/>
    </dxf>
    <dxf>
      <font>
        <b/>
        <color rgb="FF26733C"/>
      </font>
      <fill>
        <patternFill patternType="solid">
          <fgColor rgb="FFE2F0D9"/>
          <bgColor rgb="FFE2F0D9"/>
        </patternFill>
      </fill>
      <border/>
    </dxf>
    <dxf>
      <font>
        <b/>
        <color rgb="FF8A5A00"/>
      </font>
      <fill>
        <patternFill patternType="solid">
          <fgColor rgb="FFFFF0CC"/>
          <bgColor rgb="FFFFF0CC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customschemas.google.com/relationships/workbookmetadata" Target="metadata"/><Relationship Id="rId12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90" Type="http://schemas.openxmlformats.org/officeDocument/2006/relationships/hyperlink" Target="https://youtube.com/@just_hook_up?si=TwXmM1YSSgvBHaPk" TargetMode="External"/><Relationship Id="rId194" Type="http://schemas.openxmlformats.org/officeDocument/2006/relationships/hyperlink" Target="https://www.youtube.com/channel/UCi1X4CYjUoukqnzEZEx295g" TargetMode="External"/><Relationship Id="rId193" Type="http://schemas.openxmlformats.org/officeDocument/2006/relationships/hyperlink" Target="https://vk.ru/just_hook_up" TargetMode="External"/><Relationship Id="rId192" Type="http://schemas.openxmlformats.org/officeDocument/2006/relationships/hyperlink" Target="https://www.youtube.com/channel/UClQ9nJ7gzDCa60exJYoTmnw" TargetMode="External"/><Relationship Id="rId191" Type="http://schemas.openxmlformats.org/officeDocument/2006/relationships/hyperlink" Target="https://www.youtube.com/channel/UCe3-ZgiKRIQtnxc9bOYfvFw" TargetMode="External"/><Relationship Id="rId187" Type="http://schemas.openxmlformats.org/officeDocument/2006/relationships/hyperlink" Target="https://www.youtube.com/channel/UCwmXF9H4u7KmJwqUwHcCQow" TargetMode="External"/><Relationship Id="rId186" Type="http://schemas.openxmlformats.org/officeDocument/2006/relationships/hyperlink" Target="https://www.youtube.com/channel/UC1iymlgInaX3aOqmh3_wXdA" TargetMode="External"/><Relationship Id="rId185" Type="http://schemas.openxmlformats.org/officeDocument/2006/relationships/hyperlink" Target="https://t.me/+tkpWE-7OeLE0ZmYy" TargetMode="External"/><Relationship Id="rId184" Type="http://schemas.openxmlformats.org/officeDocument/2006/relationships/hyperlink" Target="https://t.me/triruki_s" TargetMode="External"/><Relationship Id="rId189" Type="http://schemas.openxmlformats.org/officeDocument/2006/relationships/hyperlink" Target="https://www.tiktok.com/@ribanutij?_r=1&amp;_t=ZS-99TUZQjeKJR" TargetMode="External"/><Relationship Id="rId188" Type="http://schemas.openxmlformats.org/officeDocument/2006/relationships/hyperlink" Target="https://www.youtube.com/channel/UCu6-zNydTcNRtnuIhGdFb4g" TargetMode="External"/><Relationship Id="rId183" Type="http://schemas.openxmlformats.org/officeDocument/2006/relationships/hyperlink" Target="https://t.me/masherisha_art" TargetMode="External"/><Relationship Id="rId182" Type="http://schemas.openxmlformats.org/officeDocument/2006/relationships/hyperlink" Target="https://t.me/knitting_living" TargetMode="External"/><Relationship Id="rId181" Type="http://schemas.openxmlformats.org/officeDocument/2006/relationships/hyperlink" Target="https://t.me/lap2a" TargetMode="External"/><Relationship Id="rId180" Type="http://schemas.openxmlformats.org/officeDocument/2006/relationships/hyperlink" Target="https://t.me/vyshivka_krestiki" TargetMode="External"/><Relationship Id="rId176" Type="http://schemas.openxmlformats.org/officeDocument/2006/relationships/hyperlink" Target="https://t.me/rastenia_i_cvety" TargetMode="External"/><Relationship Id="rId297" Type="http://schemas.openxmlformats.org/officeDocument/2006/relationships/hyperlink" Target="https://vk.ru/slmagnat" TargetMode="External"/><Relationship Id="rId175" Type="http://schemas.openxmlformats.org/officeDocument/2006/relationships/hyperlink" Target="https://telega.in/tme/InteresnoeRukodelye" TargetMode="External"/><Relationship Id="rId296" Type="http://schemas.openxmlformats.org/officeDocument/2006/relationships/hyperlink" Target="https://www.youtube.com/channel/UCfbK4brFBMHZjHvCc2MutyA" TargetMode="External"/><Relationship Id="rId174" Type="http://schemas.openxmlformats.org/officeDocument/2006/relationships/hyperlink" Target="https://www.youtube.com/channel/UCNMRr83Dwupp1JdmQePzD4A" TargetMode="External"/><Relationship Id="rId295" Type="http://schemas.openxmlformats.org/officeDocument/2006/relationships/hyperlink" Target="https://www.youtube.com/@SLMagnat" TargetMode="External"/><Relationship Id="rId173" Type="http://schemas.openxmlformats.org/officeDocument/2006/relationships/hyperlink" Target="https://www.youtube.com/channel/UCNMRr83Dwupp1JdmQePzD4A" TargetMode="External"/><Relationship Id="rId294" Type="http://schemas.openxmlformats.org/officeDocument/2006/relationships/hyperlink" Target="https://www.youtube.com/channel/UC1sS0JiIeVVqcFsHS1UZV6Q" TargetMode="External"/><Relationship Id="rId179" Type="http://schemas.openxmlformats.org/officeDocument/2006/relationships/hyperlink" Target="https://t.me/shem_s_taney" TargetMode="External"/><Relationship Id="rId178" Type="http://schemas.openxmlformats.org/officeDocument/2006/relationships/hyperlink" Target="https://t.me/samvirastil" TargetMode="External"/><Relationship Id="rId299" Type="http://schemas.openxmlformats.org/officeDocument/2006/relationships/hyperlink" Target="https://t.me/karginizm" TargetMode="External"/><Relationship Id="rId177" Type="http://schemas.openxmlformats.org/officeDocument/2006/relationships/hyperlink" Target="https://t.me/+Wm6pY7gapV00ZTU6" TargetMode="External"/><Relationship Id="rId298" Type="http://schemas.openxmlformats.org/officeDocument/2006/relationships/hyperlink" Target="https://www.youtube.com/channel/UCzbP7O8maW--LWocA2Ad3tg" TargetMode="External"/><Relationship Id="rId198" Type="http://schemas.openxmlformats.org/officeDocument/2006/relationships/hyperlink" Target="https://www.youtube.com/channel/UCpX2ljiXVuApMV2Z7bDulZw" TargetMode="External"/><Relationship Id="rId197" Type="http://schemas.openxmlformats.org/officeDocument/2006/relationships/hyperlink" Target="https://www.youtube.com/channel/UCLXILexPWDDgIA-kME2xnZA" TargetMode="External"/><Relationship Id="rId196" Type="http://schemas.openxmlformats.org/officeDocument/2006/relationships/hyperlink" Target="https://www.youtube.com/channel/UCINWkGZxsLJnei6UbB4ub8w" TargetMode="External"/><Relationship Id="rId195" Type="http://schemas.openxmlformats.org/officeDocument/2006/relationships/hyperlink" Target="https://www.youtube.com/channel/UC5ckkt3zUvVfig8_1y7_yZg" TargetMode="External"/><Relationship Id="rId199" Type="http://schemas.openxmlformats.org/officeDocument/2006/relationships/hyperlink" Target="https://www.tiktok.com/@justhookup?_r=1&amp;_t=ZS-98H58l7jELU" TargetMode="External"/><Relationship Id="rId150" Type="http://schemas.openxmlformats.org/officeDocument/2006/relationships/hyperlink" Target="https://www.tiktok.com/@kordoshova?_r=1&amp;_t=ZS-97uo7ktNGTM" TargetMode="External"/><Relationship Id="rId271" Type="http://schemas.openxmlformats.org/officeDocument/2006/relationships/hyperlink" Target="https://www.youtube.com/channel/UCndX1wkfJ4eY7JVn3wmVHiw" TargetMode="External"/><Relationship Id="rId392" Type="http://schemas.openxmlformats.org/officeDocument/2006/relationships/hyperlink" Target="https://www.youtube.com/channel/UCu_-4qtngqW2xpmhU_GRIIA" TargetMode="External"/><Relationship Id="rId270" Type="http://schemas.openxmlformats.org/officeDocument/2006/relationships/hyperlink" Target="http://www.youtube.com/@Weandnature%20https://t.me/we_and_nature" TargetMode="External"/><Relationship Id="rId391" Type="http://schemas.openxmlformats.org/officeDocument/2006/relationships/hyperlink" Target="https://www.youtube.com/channel/UCxPM-aPUoGqr2dyjzdYskgQ" TargetMode="External"/><Relationship Id="rId390" Type="http://schemas.openxmlformats.org/officeDocument/2006/relationships/hyperlink" Target="https://t.me/uyut_v_derevne" TargetMode="External"/><Relationship Id="rId1" Type="http://schemas.openxmlformats.org/officeDocument/2006/relationships/hyperlink" Target="https://rutube.ru/u/siberianfisherman" TargetMode="External"/><Relationship Id="rId2" Type="http://schemas.openxmlformats.org/officeDocument/2006/relationships/hyperlink" Target="https://youtube.com/@boroda4tv" TargetMode="External"/><Relationship Id="rId3" Type="http://schemas.openxmlformats.org/officeDocument/2006/relationships/hyperlink" Target="https://vk.ru/public211144585" TargetMode="External"/><Relationship Id="rId149" Type="http://schemas.openxmlformats.org/officeDocument/2006/relationships/hyperlink" Target="https://youtube.com/channel/UCV9hbiMxdG2nWRlkup6Onvg?si=LjS1P4XZvGSZbzyk" TargetMode="External"/><Relationship Id="rId4" Type="http://schemas.openxmlformats.org/officeDocument/2006/relationships/hyperlink" Target="https://t.me/Boroda44tv" TargetMode="External"/><Relationship Id="rId148" Type="http://schemas.openxmlformats.org/officeDocument/2006/relationships/hyperlink" Target="https://t.me/kordoshovaa" TargetMode="External"/><Relationship Id="rId269" Type="http://schemas.openxmlformats.org/officeDocument/2006/relationships/hyperlink" Target="https://www.youtube.com/channel/UCBr9CtVGloSrz2k1aUg49yA" TargetMode="External"/><Relationship Id="rId9" Type="http://schemas.openxmlformats.org/officeDocument/2006/relationships/hyperlink" Target="https://max.ru/sakhahunter" TargetMode="External"/><Relationship Id="rId143" Type="http://schemas.openxmlformats.org/officeDocument/2006/relationships/hyperlink" Target="https://vk.ru/by.sergunin" TargetMode="External"/><Relationship Id="rId264" Type="http://schemas.openxmlformats.org/officeDocument/2006/relationships/hyperlink" Target="https://www.youtube.com/channel/UC6neDufH6CNf2c5cj6Mz-vA" TargetMode="External"/><Relationship Id="rId385" Type="http://schemas.openxmlformats.org/officeDocument/2006/relationships/hyperlink" Target="https://t.me/zagorodnayazizn" TargetMode="External"/><Relationship Id="rId142" Type="http://schemas.openxmlformats.org/officeDocument/2006/relationships/hyperlink" Target="https://youtube.com/@tatyana_home?si=kwmmnN1Dix2F3nqm" TargetMode="External"/><Relationship Id="rId263" Type="http://schemas.openxmlformats.org/officeDocument/2006/relationships/hyperlink" Target="https://www.youtube.com/@pohodniki" TargetMode="External"/><Relationship Id="rId384" Type="http://schemas.openxmlformats.org/officeDocument/2006/relationships/hyperlink" Target="https://www.youtube.com/channel/UCcKrCaZHZKgel8xGASIc3Qw" TargetMode="External"/><Relationship Id="rId141" Type="http://schemas.openxmlformats.org/officeDocument/2006/relationships/hyperlink" Target="https://max.ru/shurkin_dvorik" TargetMode="External"/><Relationship Id="rId262" Type="http://schemas.openxmlformats.org/officeDocument/2006/relationships/hyperlink" Target="https://www.youtube.com/@pohodniki" TargetMode="External"/><Relationship Id="rId383" Type="http://schemas.openxmlformats.org/officeDocument/2006/relationships/hyperlink" Target="https://www.youtube.com/channel/UC2ADaa6aKTbQNPj46C4d-kQ" TargetMode="External"/><Relationship Id="rId140" Type="http://schemas.openxmlformats.org/officeDocument/2006/relationships/hyperlink" Target="https://max.ru/perovs_family" TargetMode="External"/><Relationship Id="rId261" Type="http://schemas.openxmlformats.org/officeDocument/2006/relationships/hyperlink" Target="https://t.me/+3KbnyhzDFWBjYjFi" TargetMode="External"/><Relationship Id="rId382" Type="http://schemas.openxmlformats.org/officeDocument/2006/relationships/hyperlink" Target="https://www.youtube.com/channel/UCkEXQagr9hp5fFtsXYYoYbA" TargetMode="External"/><Relationship Id="rId5" Type="http://schemas.openxmlformats.org/officeDocument/2006/relationships/hyperlink" Target="https://www.tiktok.com/@boroda.tv" TargetMode="External"/><Relationship Id="rId147" Type="http://schemas.openxmlformats.org/officeDocument/2006/relationships/hyperlink" Target="https://vk.ru/kordoshova_life" TargetMode="External"/><Relationship Id="rId268" Type="http://schemas.openxmlformats.org/officeDocument/2006/relationships/hyperlink" Target="http://www.youtube.com/@FishingMega" TargetMode="External"/><Relationship Id="rId389" Type="http://schemas.openxmlformats.org/officeDocument/2006/relationships/hyperlink" Target="https://t.me/+gdLqtJFv6N9lYzQy" TargetMode="External"/><Relationship Id="rId6" Type="http://schemas.openxmlformats.org/officeDocument/2006/relationships/hyperlink" Target="https://t.me/victorstepanych" TargetMode="External"/><Relationship Id="rId146" Type="http://schemas.openxmlformats.org/officeDocument/2006/relationships/hyperlink" Target="https://vk.ru/lenkin_ogorod" TargetMode="External"/><Relationship Id="rId267" Type="http://schemas.openxmlformats.org/officeDocument/2006/relationships/hyperlink" Target="https://t.me/ychactok" TargetMode="External"/><Relationship Id="rId388" Type="http://schemas.openxmlformats.org/officeDocument/2006/relationships/hyperlink" Target="https://www.youtube.com/channel/UCHLNEVevYesy6VQCrADpiYQ" TargetMode="External"/><Relationship Id="rId7" Type="http://schemas.openxmlformats.org/officeDocument/2006/relationships/hyperlink" Target="https://max.ru/join/s_XaV2Rcf6dmcOj4iDEIefSVu1kt0Nuc4Xrut8limaQ" TargetMode="External"/><Relationship Id="rId145" Type="http://schemas.openxmlformats.org/officeDocument/2006/relationships/hyperlink" Target="https://max.ru/lenkin_ogorod" TargetMode="External"/><Relationship Id="rId266" Type="http://schemas.openxmlformats.org/officeDocument/2006/relationships/hyperlink" Target="http://www.youtube.com/@chernichnyihutor" TargetMode="External"/><Relationship Id="rId387" Type="http://schemas.openxmlformats.org/officeDocument/2006/relationships/hyperlink" Target="https://www.youtube.com/channel/UCi7CSJ8HwMsRoaW_3FBh0Vg" TargetMode="External"/><Relationship Id="rId8" Type="http://schemas.openxmlformats.org/officeDocument/2006/relationships/hyperlink" Target="https://www.youtube.com/@mendrul.aleksandr" TargetMode="External"/><Relationship Id="rId144" Type="http://schemas.openxmlformats.org/officeDocument/2006/relationships/hyperlink" Target="https://t.me/dachagolovnogomozga" TargetMode="External"/><Relationship Id="rId265" Type="http://schemas.openxmlformats.org/officeDocument/2006/relationships/hyperlink" Target="https://www.youtube.com/channel/UCjwRXtHnYaysGJvJwrTAbdA" TargetMode="External"/><Relationship Id="rId386" Type="http://schemas.openxmlformats.org/officeDocument/2006/relationships/hyperlink" Target="https://t.me/kumertau_ferma" TargetMode="External"/><Relationship Id="rId260" Type="http://schemas.openxmlformats.org/officeDocument/2006/relationships/hyperlink" Target="http://www.youtube.com/@FISHING21." TargetMode="External"/><Relationship Id="rId381" Type="http://schemas.openxmlformats.org/officeDocument/2006/relationships/hyperlink" Target="https://t.me/+v7HgkBVS89VjYWUy" TargetMode="External"/><Relationship Id="rId380" Type="http://schemas.openxmlformats.org/officeDocument/2006/relationships/hyperlink" Target="https://www.youtube.com/channel/UCMOGAB1Ad6Yz2C-sJQygY9g" TargetMode="External"/><Relationship Id="rId139" Type="http://schemas.openxmlformats.org/officeDocument/2006/relationships/hyperlink" Target="https://max.ru/selvhanka_ksusha" TargetMode="External"/><Relationship Id="rId138" Type="http://schemas.openxmlformats.org/officeDocument/2006/relationships/hyperlink" Target="https://vk.ru/dashanahutore" TargetMode="External"/><Relationship Id="rId259" Type="http://schemas.openxmlformats.org/officeDocument/2006/relationships/hyperlink" Target="https://vk.ru/id371546917" TargetMode="External"/><Relationship Id="rId137" Type="http://schemas.openxmlformats.org/officeDocument/2006/relationships/hyperlink" Target="https://max.ru/dasha_nahutoree" TargetMode="External"/><Relationship Id="rId258" Type="http://schemas.openxmlformats.org/officeDocument/2006/relationships/hyperlink" Target="http://www.youtube.com/@FISHING21." TargetMode="External"/><Relationship Id="rId379" Type="http://schemas.openxmlformats.org/officeDocument/2006/relationships/hyperlink" Target="https://www.youtube.com/channel/UCZws7v_KfgPq9brKn1w566A" TargetMode="External"/><Relationship Id="rId132" Type="http://schemas.openxmlformats.org/officeDocument/2006/relationships/hyperlink" Target="https://max.ru/city_and_house" TargetMode="External"/><Relationship Id="rId253" Type="http://schemas.openxmlformats.org/officeDocument/2006/relationships/hyperlink" Target="https://www.youtube.com/channel/UCeCDz_3rhnX5VmZrpQalYUA" TargetMode="External"/><Relationship Id="rId374" Type="http://schemas.openxmlformats.org/officeDocument/2006/relationships/hyperlink" Target="https://www.youtube.com/channel/UCLAkpbb1hm7CpHql4v2LBtw" TargetMode="External"/><Relationship Id="rId131" Type="http://schemas.openxmlformats.org/officeDocument/2006/relationships/hyperlink" Target="https://vk.ru/club235248303" TargetMode="External"/><Relationship Id="rId252" Type="http://schemas.openxmlformats.org/officeDocument/2006/relationships/hyperlink" Target="https://www.youtube.com/@SLMagnat" TargetMode="External"/><Relationship Id="rId373" Type="http://schemas.openxmlformats.org/officeDocument/2006/relationships/hyperlink" Target="https://www.youtube.com/channel/UCSQkOQiwRY81EEsD_YODcEg" TargetMode="External"/><Relationship Id="rId130" Type="http://schemas.openxmlformats.org/officeDocument/2006/relationships/hyperlink" Target="https://t.me/anastasia_pigozina" TargetMode="External"/><Relationship Id="rId251" Type="http://schemas.openxmlformats.org/officeDocument/2006/relationships/hyperlink" Target="https://vk.ru/slmagnat" TargetMode="External"/><Relationship Id="rId372" Type="http://schemas.openxmlformats.org/officeDocument/2006/relationships/hyperlink" Target="https://t.me/+r4XcGRk-0iUwMGMy" TargetMode="External"/><Relationship Id="rId250" Type="http://schemas.openxmlformats.org/officeDocument/2006/relationships/hyperlink" Target="https://www.youtube.com/@SLMagnat" TargetMode="External"/><Relationship Id="rId371" Type="http://schemas.openxmlformats.org/officeDocument/2006/relationships/hyperlink" Target="https://www.youtube.com/channel/UCiuasoECdZsTISWevF3-Ipw" TargetMode="External"/><Relationship Id="rId136" Type="http://schemas.openxmlformats.org/officeDocument/2006/relationships/hyperlink" Target="https://max.ru/elena_kuznetsova_89" TargetMode="External"/><Relationship Id="rId257" Type="http://schemas.openxmlformats.org/officeDocument/2006/relationships/hyperlink" Target="https://www.youtube.com/channel/UCoDWqLn7PqRY8HVvybIPQmw" TargetMode="External"/><Relationship Id="rId378" Type="http://schemas.openxmlformats.org/officeDocument/2006/relationships/hyperlink" Target="https://www.youtube.com/channel/UCcXo9DrUQVCD0w5OgGhBpOQ" TargetMode="External"/><Relationship Id="rId135" Type="http://schemas.openxmlformats.org/officeDocument/2006/relationships/hyperlink" Target="https://max.ru/sovetydachniku" TargetMode="External"/><Relationship Id="rId256" Type="http://schemas.openxmlformats.org/officeDocument/2006/relationships/hyperlink" Target="https://www.youtube.com/channel/UCqRSt784md05gGfoHTAvutA" TargetMode="External"/><Relationship Id="rId377" Type="http://schemas.openxmlformats.org/officeDocument/2006/relationships/hyperlink" Target="https://www.youtube.com/channel/UCr4ZW2Z9AWafjeee4KZnWZw" TargetMode="External"/><Relationship Id="rId134" Type="http://schemas.openxmlformats.org/officeDocument/2006/relationships/hyperlink" Target="https://max.ru/bibliya_sada" TargetMode="External"/><Relationship Id="rId255" Type="http://schemas.openxmlformats.org/officeDocument/2006/relationships/hyperlink" Target="http://www.youtube.com/@volgafish" TargetMode="External"/><Relationship Id="rId376" Type="http://schemas.openxmlformats.org/officeDocument/2006/relationships/hyperlink" Target="https://www.youtube.com/channel/UCqQH_msoyq9RvGrfOqHeE5Q" TargetMode="External"/><Relationship Id="rId133" Type="http://schemas.openxmlformats.org/officeDocument/2006/relationships/hyperlink" Target="https://max.ru/dacha_i_cveti" TargetMode="External"/><Relationship Id="rId254" Type="http://schemas.openxmlformats.org/officeDocument/2006/relationships/hyperlink" Target="https://www.youtube.com/channel/UCX486iQovenp1zbic5bHeSQ" TargetMode="External"/><Relationship Id="rId375" Type="http://schemas.openxmlformats.org/officeDocument/2006/relationships/hyperlink" Target="https://www.youtube.com/channel/UCIy1kCZDFe7Z1yc1HRlUA0Q" TargetMode="External"/><Relationship Id="rId172" Type="http://schemas.openxmlformats.org/officeDocument/2006/relationships/hyperlink" Target="https://rutube.ru/channel/24952002" TargetMode="External"/><Relationship Id="rId293" Type="http://schemas.openxmlformats.org/officeDocument/2006/relationships/hyperlink" Target="https://youtube.com/channel/UC-wseWH5WqECF0lZhZKxJJA" TargetMode="External"/><Relationship Id="rId171" Type="http://schemas.openxmlformats.org/officeDocument/2006/relationships/hyperlink" Target="https://rutube.ru/channel/24952002" TargetMode="External"/><Relationship Id="rId292" Type="http://schemas.openxmlformats.org/officeDocument/2006/relationships/hyperlink" Target="https://www.youtube.com/channel/UCrF0tW8hhvH4wMYw82XsnKQ" TargetMode="External"/><Relationship Id="rId170" Type="http://schemas.openxmlformats.org/officeDocument/2006/relationships/hyperlink" Target="https://vk.com/egor_moskvich" TargetMode="External"/><Relationship Id="rId291" Type="http://schemas.openxmlformats.org/officeDocument/2006/relationships/hyperlink" Target="http://evgeniy_lisitsyn/" TargetMode="External"/><Relationship Id="rId290" Type="http://schemas.openxmlformats.org/officeDocument/2006/relationships/hyperlink" Target="https://www.youtube.com/channel/UCk1MSN-ll7QC8hfskZ-qwHw" TargetMode="External"/><Relationship Id="rId165" Type="http://schemas.openxmlformats.org/officeDocument/2006/relationships/hyperlink" Target="https://youtube.com/@oxotniciribak?si=DKpc4bYJqO4F4YeC" TargetMode="External"/><Relationship Id="rId286" Type="http://schemas.openxmlformats.org/officeDocument/2006/relationships/hyperlink" Target="http://zovpobedy/" TargetMode="External"/><Relationship Id="rId164" Type="http://schemas.openxmlformats.org/officeDocument/2006/relationships/hyperlink" Target="https://vk.ru/club230576737" TargetMode="External"/><Relationship Id="rId285" Type="http://schemas.openxmlformats.org/officeDocument/2006/relationships/hyperlink" Target="https://www.youtube.com/channel/UC9j6S5RvMiI-MGtf2L95_WQ" TargetMode="External"/><Relationship Id="rId163" Type="http://schemas.openxmlformats.org/officeDocument/2006/relationships/hyperlink" Target="https://vk.ru/club230217851" TargetMode="External"/><Relationship Id="rId284" Type="http://schemas.openxmlformats.org/officeDocument/2006/relationships/hyperlink" Target="http://infantmilitario/" TargetMode="External"/><Relationship Id="rId162" Type="http://schemas.openxmlformats.org/officeDocument/2006/relationships/hyperlink" Target="https://vk.ru/vsegda_klyuyet" TargetMode="External"/><Relationship Id="rId283" Type="http://schemas.openxmlformats.org/officeDocument/2006/relationships/hyperlink" Target="http://dva_majors/" TargetMode="External"/><Relationship Id="rId169" Type="http://schemas.openxmlformats.org/officeDocument/2006/relationships/hyperlink" Target="https://www.tiktok.com/@derevenski_parenek" TargetMode="External"/><Relationship Id="rId168" Type="http://schemas.openxmlformats.org/officeDocument/2006/relationships/hyperlink" Target="https://www.tiktok.com/@shygar_ded" TargetMode="External"/><Relationship Id="rId289" Type="http://schemas.openxmlformats.org/officeDocument/2006/relationships/hyperlink" Target="https://www.youtube.com/channel/UCUSw3foPAJ3ac9Pqa4xRN9Q" TargetMode="External"/><Relationship Id="rId167" Type="http://schemas.openxmlformats.org/officeDocument/2006/relationships/hyperlink" Target="https://www.youtube.com/@ludiidei" TargetMode="External"/><Relationship Id="rId288" Type="http://schemas.openxmlformats.org/officeDocument/2006/relationships/hyperlink" Target="http://condottieros/" TargetMode="External"/><Relationship Id="rId166" Type="http://schemas.openxmlformats.org/officeDocument/2006/relationships/hyperlink" Target="https://vk.com/bratsvoohotnikoviribolovov" TargetMode="External"/><Relationship Id="rId287" Type="http://schemas.openxmlformats.org/officeDocument/2006/relationships/hyperlink" Target="https://www.youtube.com/channel/UCwUGRUXvGmuPx93Hk-7SkOw" TargetMode="External"/><Relationship Id="rId161" Type="http://schemas.openxmlformats.org/officeDocument/2006/relationships/hyperlink" Target="https://t.me/fishingspb1" TargetMode="External"/><Relationship Id="rId282" Type="http://schemas.openxmlformats.org/officeDocument/2006/relationships/hyperlink" Target="https://t.me/+l3h3hvqEP-5iODAy" TargetMode="External"/><Relationship Id="rId160" Type="http://schemas.openxmlformats.org/officeDocument/2006/relationships/hyperlink" Target="https://max.ru/rybalkaudachnaya" TargetMode="External"/><Relationship Id="rId281" Type="http://schemas.openxmlformats.org/officeDocument/2006/relationships/hyperlink" Target="https://vk.com/club182103735" TargetMode="External"/><Relationship Id="rId280" Type="http://schemas.openxmlformats.org/officeDocument/2006/relationships/hyperlink" Target="https://www.youtube.com/channel/UCnFOxjzY0ajqdSG9pcT1i7Q" TargetMode="External"/><Relationship Id="rId159" Type="http://schemas.openxmlformats.org/officeDocument/2006/relationships/hyperlink" Target="https://max.ru/udachnaya_rybalca" TargetMode="External"/><Relationship Id="rId154" Type="http://schemas.openxmlformats.org/officeDocument/2006/relationships/hyperlink" Target="https://vk.ru/vanorybak" TargetMode="External"/><Relationship Id="rId275" Type="http://schemas.openxmlformats.org/officeDocument/2006/relationships/hyperlink" Target="https://www.youtube.com/channel/UCUn_nrlJxj-hZ_lBp6S9M7A" TargetMode="External"/><Relationship Id="rId396" Type="http://schemas.openxmlformats.org/officeDocument/2006/relationships/hyperlink" Target="https://www.youtube.com/channel/UC3p7cPaKD9abiX5tusKsByA" TargetMode="External"/><Relationship Id="rId153" Type="http://schemas.openxmlformats.org/officeDocument/2006/relationships/hyperlink" Target="https://max.ru/rybanutyye" TargetMode="External"/><Relationship Id="rId274" Type="http://schemas.openxmlformats.org/officeDocument/2006/relationships/hyperlink" Target="https://www.youtube.com/channel/UC_xCrsqa-WkxffaftZRiaFg" TargetMode="External"/><Relationship Id="rId395" Type="http://schemas.openxmlformats.org/officeDocument/2006/relationships/hyperlink" Target="https://www.youtube.com/channel/UCeAS-A9x_d3jpdHwJtqr1QA" TargetMode="External"/><Relationship Id="rId152" Type="http://schemas.openxmlformats.org/officeDocument/2006/relationships/hyperlink" Target="https://vk.ru/egorrybak57" TargetMode="External"/><Relationship Id="rId273" Type="http://schemas.openxmlformats.org/officeDocument/2006/relationships/hyperlink" Target="https://www.youtube.com/channel/UCqNU1GUktHDLTMZrXiHWHFg" TargetMode="External"/><Relationship Id="rId394" Type="http://schemas.openxmlformats.org/officeDocument/2006/relationships/hyperlink" Target="https://www.youtube.com/channel/UCU8tvwCvTDT8iWKEbI6AHtw" TargetMode="External"/><Relationship Id="rId151" Type="http://schemas.openxmlformats.org/officeDocument/2006/relationships/hyperlink" Target="https://t.me/victorstepanych" TargetMode="External"/><Relationship Id="rId272" Type="http://schemas.openxmlformats.org/officeDocument/2006/relationships/hyperlink" Target="https://www.youtube.com/channel/UC4DbuPA4jeON_H1OTUEZO2w" TargetMode="External"/><Relationship Id="rId393" Type="http://schemas.openxmlformats.org/officeDocument/2006/relationships/hyperlink" Target="https://www.youtube.com/channel/UCZ0SXAIUTamagV9hd3QtOOw" TargetMode="External"/><Relationship Id="rId158" Type="http://schemas.openxmlformats.org/officeDocument/2006/relationships/hyperlink" Target="https://max.ru/club220872293" TargetMode="External"/><Relationship Id="rId279" Type="http://schemas.openxmlformats.org/officeDocument/2006/relationships/hyperlink" Target="https://rutube.ru/channel/23794976/" TargetMode="External"/><Relationship Id="rId157" Type="http://schemas.openxmlformats.org/officeDocument/2006/relationships/hyperlink" Target="https://max.ru/life_fishing" TargetMode="External"/><Relationship Id="rId278" Type="http://schemas.openxmlformats.org/officeDocument/2006/relationships/hyperlink" Target="https://www.youtube.com/channel/UCOSJlK3jBqr1XKLAr72qBqA" TargetMode="External"/><Relationship Id="rId399" Type="http://schemas.openxmlformats.org/officeDocument/2006/relationships/hyperlink" Target="https://www.youtube.com/channel/UCB0CDm_GVOyc8WVTWDbdwKQ" TargetMode="External"/><Relationship Id="rId156" Type="http://schemas.openxmlformats.org/officeDocument/2006/relationships/hyperlink" Target="https://www.instagram.com/elderlypeople58" TargetMode="External"/><Relationship Id="rId277" Type="http://schemas.openxmlformats.org/officeDocument/2006/relationships/hyperlink" Target="https://www.youtube.com/channel/UC1lbioTxSjXHSNCv3PeffMg" TargetMode="External"/><Relationship Id="rId398" Type="http://schemas.openxmlformats.org/officeDocument/2006/relationships/hyperlink" Target="https://t.me/+MXFsQnrhvYIxNDM6" TargetMode="External"/><Relationship Id="rId155" Type="http://schemas.openxmlformats.org/officeDocument/2006/relationships/hyperlink" Target="https://youtube.com/@rybalkanarekahiozerah?si=zYKPEAFOeSZ0G_UR" TargetMode="External"/><Relationship Id="rId276" Type="http://schemas.openxmlformats.org/officeDocument/2006/relationships/hyperlink" Target="https://www.youtube.com/@Weandnature" TargetMode="External"/><Relationship Id="rId397" Type="http://schemas.openxmlformats.org/officeDocument/2006/relationships/hyperlink" Target="https://www.youtube.com/channel/UCVi3PmOkwPbmCCsvRpA3NXw" TargetMode="External"/><Relationship Id="rId40" Type="http://schemas.openxmlformats.org/officeDocument/2006/relationships/hyperlink" Target="https://www.youtube.com/@just_hook_up/shorts" TargetMode="External"/><Relationship Id="rId42" Type="http://schemas.openxmlformats.org/officeDocument/2006/relationships/hyperlink" Target="https://www.tiktok.com/@justhookup?_r=1&amp;_t=ZN-97VhPIvCsha" TargetMode="External"/><Relationship Id="rId41" Type="http://schemas.openxmlformats.org/officeDocument/2006/relationships/hyperlink" Target="https://vkvideo.ru/@just_hook_up" TargetMode="External"/><Relationship Id="rId44" Type="http://schemas.openxmlformats.org/officeDocument/2006/relationships/hyperlink" Target="https://max.ru/Fishing_Stavropol" TargetMode="External"/><Relationship Id="rId43" Type="http://schemas.openxmlformats.org/officeDocument/2006/relationships/hyperlink" Target="https://t.me/rybalka_spb_lenoblasti" TargetMode="External"/><Relationship Id="rId46" Type="http://schemas.openxmlformats.org/officeDocument/2006/relationships/hyperlink" Target="https://max.ru/rybalka555" TargetMode="External"/><Relationship Id="rId45" Type="http://schemas.openxmlformats.org/officeDocument/2006/relationships/hyperlink" Target="https://telega.in/tme/Fishing_Stavropol" TargetMode="External"/><Relationship Id="rId48" Type="http://schemas.openxmlformats.org/officeDocument/2006/relationships/hyperlink" Target="https://max.ru/rybakidv" TargetMode="External"/><Relationship Id="rId47" Type="http://schemas.openxmlformats.org/officeDocument/2006/relationships/hyperlink" Target="https://max.ru/join/NB0LwHB6GVXMwdWkA_yH3rxmVEFKKGtCCevUd4nd89I" TargetMode="External"/><Relationship Id="rId49" Type="http://schemas.openxmlformats.org/officeDocument/2006/relationships/hyperlink" Target="https://max.ru/we_and_nature" TargetMode="External"/><Relationship Id="rId31" Type="http://schemas.openxmlformats.org/officeDocument/2006/relationships/hyperlink" Target="https://max.ru/rybalka_severozapad" TargetMode="External"/><Relationship Id="rId30" Type="http://schemas.openxmlformats.org/officeDocument/2006/relationships/hyperlink" Target="https://www.youtube.com/@pikeordie" TargetMode="External"/><Relationship Id="rId33" Type="http://schemas.openxmlformats.org/officeDocument/2006/relationships/hyperlink" Target="https://max.ru/rus_fishin" TargetMode="External"/><Relationship Id="rId32" Type="http://schemas.openxmlformats.org/officeDocument/2006/relationships/hyperlink" Target="https://max.ru/join/uCdz6lLBZaKQQ-TBrM1kCaXNxdhno0LlLSpv1_WO-yI" TargetMode="External"/><Relationship Id="rId35" Type="http://schemas.openxmlformats.org/officeDocument/2006/relationships/hyperlink" Target="https://max.ru/Ribaki_Kubani" TargetMode="External"/><Relationship Id="rId34" Type="http://schemas.openxmlformats.org/officeDocument/2006/relationships/hyperlink" Target="https://max.ru/fishingspb1" TargetMode="External"/><Relationship Id="rId37" Type="http://schemas.openxmlformats.org/officeDocument/2006/relationships/hyperlink" Target="https://telega.in/tme/rybalka_spb_lenoblasti" TargetMode="External"/><Relationship Id="rId36" Type="http://schemas.openxmlformats.org/officeDocument/2006/relationships/hyperlink" Target="https://www.youtube.com/@%D0%BD%D0%B0%D1%80%D1%8B%D0%B1%D0%B0%D0%BB%D0%BA%D0%B5" TargetMode="External"/><Relationship Id="rId39" Type="http://schemas.openxmlformats.org/officeDocument/2006/relationships/hyperlink" Target="https://www.youtube.com/channel/UCC2_I6U__JkSovoipSBinyA" TargetMode="External"/><Relationship Id="rId38" Type="http://schemas.openxmlformats.org/officeDocument/2006/relationships/hyperlink" Target="https://www.youtube.com/@agat777" TargetMode="External"/><Relationship Id="rId20" Type="http://schemas.openxmlformats.org/officeDocument/2006/relationships/hyperlink" Target="https://youtube.com/@hmel_dobro" TargetMode="External"/><Relationship Id="rId22" Type="http://schemas.openxmlformats.org/officeDocument/2006/relationships/hyperlink" Target="https://vk.ru/rybalkale" TargetMode="External"/><Relationship Id="rId21" Type="http://schemas.openxmlformats.org/officeDocument/2006/relationships/hyperlink" Target="https://youtube.com/@egorrybak57" TargetMode="External"/><Relationship Id="rId24" Type="http://schemas.openxmlformats.org/officeDocument/2006/relationships/hyperlink" Target="https://max.ru/we_and_nature" TargetMode="External"/><Relationship Id="rId23" Type="http://schemas.openxmlformats.org/officeDocument/2006/relationships/hyperlink" Target="https://youtube.com/@hspin88" TargetMode="External"/><Relationship Id="rId409" Type="http://schemas.openxmlformats.org/officeDocument/2006/relationships/hyperlink" Target="https://www.youtube.com/channel/UCJl_yTbw_z7d-sJfalPSv3w" TargetMode="External"/><Relationship Id="rId404" Type="http://schemas.openxmlformats.org/officeDocument/2006/relationships/hyperlink" Target="https://t.me/chudogryadkaru" TargetMode="External"/><Relationship Id="rId403" Type="http://schemas.openxmlformats.org/officeDocument/2006/relationships/hyperlink" Target="https://www.youtube.com/channel/UCVU5ToApTWnpu1fqmUbsD-Q" TargetMode="External"/><Relationship Id="rId402" Type="http://schemas.openxmlformats.org/officeDocument/2006/relationships/hyperlink" Target="https://t.me/planetagrunta" TargetMode="External"/><Relationship Id="rId401" Type="http://schemas.openxmlformats.org/officeDocument/2006/relationships/hyperlink" Target="https://www.youtube.com/channel/UCmVJtDbR98M35uCa9z7Ppmg" TargetMode="External"/><Relationship Id="rId408" Type="http://schemas.openxmlformats.org/officeDocument/2006/relationships/hyperlink" Target="https://t.me/+Zr-nHEDHtX4xNTdi" TargetMode="External"/><Relationship Id="rId407" Type="http://schemas.openxmlformats.org/officeDocument/2006/relationships/hyperlink" Target="https://www.youtube.com/channel/UCnJ5bGfnOkOCTbo-Q8la5Ag" TargetMode="External"/><Relationship Id="rId406" Type="http://schemas.openxmlformats.org/officeDocument/2006/relationships/hyperlink" Target="https://www.youtube.com/channel/UCl8K75hjuKXGYtDGMSzTLpA" TargetMode="External"/><Relationship Id="rId405" Type="http://schemas.openxmlformats.org/officeDocument/2006/relationships/hyperlink" Target="https://www.youtube.com/channel/UCvTnp1GyzDmU0uCGgAzkcuA" TargetMode="External"/><Relationship Id="rId26" Type="http://schemas.openxmlformats.org/officeDocument/2006/relationships/hyperlink" Target="https://max.ru/rybanutyye" TargetMode="External"/><Relationship Id="rId25" Type="http://schemas.openxmlformats.org/officeDocument/2006/relationships/hyperlink" Target="https://max.ru/astrafishing30" TargetMode="External"/><Relationship Id="rId28" Type="http://schemas.openxmlformats.org/officeDocument/2006/relationships/hyperlink" Target="https://www.youtube.com/@romanboldov" TargetMode="External"/><Relationship Id="rId27" Type="http://schemas.openxmlformats.org/officeDocument/2006/relationships/hyperlink" Target="https://max.ru/telefishing" TargetMode="External"/><Relationship Id="rId400" Type="http://schemas.openxmlformats.org/officeDocument/2006/relationships/hyperlink" Target="https://www.youtube.com/channel/UCVEjPaNFCqoh58BjnOqdqzA" TargetMode="External"/><Relationship Id="rId29" Type="http://schemas.openxmlformats.org/officeDocument/2006/relationships/hyperlink" Target="https://www.youtube.com/@activefishing8893" TargetMode="External"/><Relationship Id="rId11" Type="http://schemas.openxmlformats.org/officeDocument/2006/relationships/hyperlink" Target="https://youtube.com/@fishingondon" TargetMode="External"/><Relationship Id="rId10" Type="http://schemas.openxmlformats.org/officeDocument/2006/relationships/hyperlink" Target="https://t.me/sakhahunter" TargetMode="External"/><Relationship Id="rId13" Type="http://schemas.openxmlformats.org/officeDocument/2006/relationships/hyperlink" Target="https://www.youtube.com/@mur-099" TargetMode="External"/><Relationship Id="rId12" Type="http://schemas.openxmlformats.org/officeDocument/2006/relationships/hyperlink" Target="https://youtube.com/@buhlopovar" TargetMode="External"/><Relationship Id="rId15" Type="http://schemas.openxmlformats.org/officeDocument/2006/relationships/hyperlink" Target="http://www.youtube.com/@drunea11" TargetMode="External"/><Relationship Id="rId14" Type="http://schemas.openxmlformats.org/officeDocument/2006/relationships/hyperlink" Target="https://youtube.com/@derevenski_parenek8501" TargetMode="External"/><Relationship Id="rId17" Type="http://schemas.openxmlformats.org/officeDocument/2006/relationships/hyperlink" Target="https://youtube.com/@fishing.bez.pontov46" TargetMode="External"/><Relationship Id="rId16" Type="http://schemas.openxmlformats.org/officeDocument/2006/relationships/hyperlink" Target="https://youtube.com/@ribachim_inache" TargetMode="External"/><Relationship Id="rId19" Type="http://schemas.openxmlformats.org/officeDocument/2006/relationships/hyperlink" Target="https://t.me/rybalka_kanal_fishing" TargetMode="External"/><Relationship Id="rId18" Type="http://schemas.openxmlformats.org/officeDocument/2006/relationships/hyperlink" Target="https://t.me/ribalka_prostaya" TargetMode="External"/><Relationship Id="rId84" Type="http://schemas.openxmlformats.org/officeDocument/2006/relationships/hyperlink" Target="https://t.me/sad_u_ogorod" TargetMode="External"/><Relationship Id="rId83" Type="http://schemas.openxmlformats.org/officeDocument/2006/relationships/hyperlink" Target="https://t.me/sovetydachniku" TargetMode="External"/><Relationship Id="rId86" Type="http://schemas.openxmlformats.org/officeDocument/2006/relationships/hyperlink" Target="https://t.me/prodvorru" TargetMode="External"/><Relationship Id="rId85" Type="http://schemas.openxmlformats.org/officeDocument/2006/relationships/hyperlink" Target="https://t.me/Krasivaya_usadba" TargetMode="External"/><Relationship Id="rId88" Type="http://schemas.openxmlformats.org/officeDocument/2006/relationships/hyperlink" Target="https://t.me/izgorodavderevny" TargetMode="External"/><Relationship Id="rId87" Type="http://schemas.openxmlformats.org/officeDocument/2006/relationships/hyperlink" Target="https://t.me/madam_de_sad" TargetMode="External"/><Relationship Id="rId89" Type="http://schemas.openxmlformats.org/officeDocument/2006/relationships/hyperlink" Target="https://t.me/sadovie_dela" TargetMode="External"/><Relationship Id="rId80" Type="http://schemas.openxmlformats.org/officeDocument/2006/relationships/hyperlink" Target="https://t.me/budnisadovoda" TargetMode="External"/><Relationship Id="rId82" Type="http://schemas.openxmlformats.org/officeDocument/2006/relationships/hyperlink" Target="https://t.me/fazenda_vasilievna" TargetMode="External"/><Relationship Id="rId81" Type="http://schemas.openxmlformats.org/officeDocument/2006/relationships/hyperlink" Target="https://t.me/udachnye_momenty_svetlana" TargetMode="External"/><Relationship Id="rId73" Type="http://schemas.openxmlformats.org/officeDocument/2006/relationships/hyperlink" Target="https://t.me/+qZuWjwB06TQwOWMy" TargetMode="External"/><Relationship Id="rId72" Type="http://schemas.openxmlformats.org/officeDocument/2006/relationships/hyperlink" Target="https://t.me/mebis_58" TargetMode="External"/><Relationship Id="rId75" Type="http://schemas.openxmlformats.org/officeDocument/2006/relationships/hyperlink" Target="https://t.me/Nadacheprigoditca" TargetMode="External"/><Relationship Id="rId74" Type="http://schemas.openxmlformats.org/officeDocument/2006/relationships/hyperlink" Target="https://t.me/sadogorodkp" TargetMode="External"/><Relationship Id="rId77" Type="http://schemas.openxmlformats.org/officeDocument/2006/relationships/hyperlink" Target="https://t.me/world_plants" TargetMode="External"/><Relationship Id="rId76" Type="http://schemas.openxmlformats.org/officeDocument/2006/relationships/hyperlink" Target="https://t.me/Our_house71" TargetMode="External"/><Relationship Id="rId79" Type="http://schemas.openxmlformats.org/officeDocument/2006/relationships/hyperlink" Target="https://t.me/plant_markets" TargetMode="External"/><Relationship Id="rId78" Type="http://schemas.openxmlformats.org/officeDocument/2006/relationships/hyperlink" Target="https://t.me/valechkatetechka" TargetMode="External"/><Relationship Id="rId71" Type="http://schemas.openxmlformats.org/officeDocument/2006/relationships/hyperlink" Target="https://t.me/LODiSvetSad" TargetMode="External"/><Relationship Id="rId70" Type="http://schemas.openxmlformats.org/officeDocument/2006/relationships/hyperlink" Target="https://t.me/dachniikk" TargetMode="External"/><Relationship Id="rId62" Type="http://schemas.openxmlformats.org/officeDocument/2006/relationships/hyperlink" Target="https://t.me/dacha_idei_reshenia" TargetMode="External"/><Relationship Id="rId61" Type="http://schemas.openxmlformats.org/officeDocument/2006/relationships/hyperlink" Target="https://t.me/+NgN-00VC3_84NGRi" TargetMode="External"/><Relationship Id="rId64" Type="http://schemas.openxmlformats.org/officeDocument/2006/relationships/hyperlink" Target="https://t.me/superotpusknadache" TargetMode="External"/><Relationship Id="rId63" Type="http://schemas.openxmlformats.org/officeDocument/2006/relationships/hyperlink" Target="https://t.me/+tgr_K6hxplw3M2Ey" TargetMode="External"/><Relationship Id="rId66" Type="http://schemas.openxmlformats.org/officeDocument/2006/relationships/hyperlink" Target="https://t.me/ogorodidacha" TargetMode="External"/><Relationship Id="rId65" Type="http://schemas.openxmlformats.org/officeDocument/2006/relationships/hyperlink" Target="https://t.me/rodnaya_dac4a" TargetMode="External"/><Relationship Id="rId68" Type="http://schemas.openxmlformats.org/officeDocument/2006/relationships/hyperlink" Target="https://t.me/pionray" TargetMode="External"/><Relationship Id="rId67" Type="http://schemas.openxmlformats.org/officeDocument/2006/relationships/hyperlink" Target="https://www.youtube.com/channel/UCtNNcSX9aYyysxSJZs_nLLA" TargetMode="External"/><Relationship Id="rId60" Type="http://schemas.openxmlformats.org/officeDocument/2006/relationships/hyperlink" Target="https://t.me/dacha_blog" TargetMode="External"/><Relationship Id="rId69" Type="http://schemas.openxmlformats.org/officeDocument/2006/relationships/hyperlink" Target="https://t.me/dacha_sadovod" TargetMode="External"/><Relationship Id="rId51" Type="http://schemas.openxmlformats.org/officeDocument/2006/relationships/hyperlink" Target="https://max.ru/astrafishing30" TargetMode="External"/><Relationship Id="rId50" Type="http://schemas.openxmlformats.org/officeDocument/2006/relationships/hyperlink" Target="https://max.ru/rybalka_severozapad" TargetMode="External"/><Relationship Id="rId53" Type="http://schemas.openxmlformats.org/officeDocument/2006/relationships/hyperlink" Target="https://t.me/fishingspb1" TargetMode="External"/><Relationship Id="rId52" Type="http://schemas.openxmlformats.org/officeDocument/2006/relationships/hyperlink" Target="https://max.ru/rybanutyye" TargetMode="External"/><Relationship Id="rId55" Type="http://schemas.openxmlformats.org/officeDocument/2006/relationships/hyperlink" Target="https://max.ru/feederspb" TargetMode="External"/><Relationship Id="rId54" Type="http://schemas.openxmlformats.org/officeDocument/2006/relationships/hyperlink" Target="https://t.me/dialogiproribalky" TargetMode="External"/><Relationship Id="rId57" Type="http://schemas.openxmlformats.org/officeDocument/2006/relationships/hyperlink" Target="https://t.me/avito_dacha" TargetMode="External"/><Relationship Id="rId56" Type="http://schemas.openxmlformats.org/officeDocument/2006/relationships/hyperlink" Target="https://t.me/rubalkamoskva" TargetMode="External"/><Relationship Id="rId59" Type="http://schemas.openxmlformats.org/officeDocument/2006/relationships/hyperlink" Target="https://t.me/dacha_my" TargetMode="External"/><Relationship Id="rId58" Type="http://schemas.openxmlformats.org/officeDocument/2006/relationships/hyperlink" Target="https://t.me/rybalka_kanal_fishing" TargetMode="External"/><Relationship Id="rId107" Type="http://schemas.openxmlformats.org/officeDocument/2006/relationships/hyperlink" Target="https://t.me/dacha_vdohnovenie" TargetMode="External"/><Relationship Id="rId228" Type="http://schemas.openxmlformats.org/officeDocument/2006/relationships/hyperlink" Target="https://www.youtube.com/channel/UCD6y26cgG2Ed0efkcyhVShw" TargetMode="External"/><Relationship Id="rId349" Type="http://schemas.openxmlformats.org/officeDocument/2006/relationships/hyperlink" Target="https://www.youtube.com/channel/UC4aWvIHrBIGCyWzdW4EgJlg" TargetMode="External"/><Relationship Id="rId106" Type="http://schemas.openxmlformats.org/officeDocument/2006/relationships/hyperlink" Target="https://t.me/dreamdachaogorod" TargetMode="External"/><Relationship Id="rId227" Type="http://schemas.openxmlformats.org/officeDocument/2006/relationships/hyperlink" Target="https://www.youtube.com/channel/UC_8HNtxiNhjMggZshsrT0lg" TargetMode="External"/><Relationship Id="rId348" Type="http://schemas.openxmlformats.org/officeDocument/2006/relationships/hyperlink" Target="https://www.youtube.com/channel/UCi0J2KHEjeWmLlDLtKCAfag" TargetMode="External"/><Relationship Id="rId469" Type="http://schemas.openxmlformats.org/officeDocument/2006/relationships/hyperlink" Target="https://www.youtube.com/channel/UCNaAUIK49clsWRfAMm482gA" TargetMode="External"/><Relationship Id="rId105" Type="http://schemas.openxmlformats.org/officeDocument/2006/relationships/hyperlink" Target="https://t.me/pcheltomsk" TargetMode="External"/><Relationship Id="rId226" Type="http://schemas.openxmlformats.org/officeDocument/2006/relationships/hyperlink" Target="https://www.youtube.com/@pohodniki" TargetMode="External"/><Relationship Id="rId347" Type="http://schemas.openxmlformats.org/officeDocument/2006/relationships/hyperlink" Target="https://www.youtube.com/channel/UCZ001fBQOas0yBnjkMwgCtQ" TargetMode="External"/><Relationship Id="rId468" Type="http://schemas.openxmlformats.org/officeDocument/2006/relationships/hyperlink" Target="https://www.youtube.com/channel/UC5Y1Qu_SDNw6RCTtLz0DpeQ" TargetMode="External"/><Relationship Id="rId104" Type="http://schemas.openxmlformats.org/officeDocument/2006/relationships/hyperlink" Target="https://t.me/Dom_Dacha1" TargetMode="External"/><Relationship Id="rId225" Type="http://schemas.openxmlformats.org/officeDocument/2006/relationships/hyperlink" Target="https://www.youtube.com/@pohodniki" TargetMode="External"/><Relationship Id="rId346" Type="http://schemas.openxmlformats.org/officeDocument/2006/relationships/hyperlink" Target="https://www.youtube.com/channel/UCqzpnABMXn8v6mRN3u2RCRQ" TargetMode="External"/><Relationship Id="rId467" Type="http://schemas.openxmlformats.org/officeDocument/2006/relationships/hyperlink" Target="https://www.youtube.com/channel/UC66P_jashC94oFux1V3Gb7w" TargetMode="External"/><Relationship Id="rId109" Type="http://schemas.openxmlformats.org/officeDocument/2006/relationships/hyperlink" Target="https://t.me/biblija_sad" TargetMode="External"/><Relationship Id="rId108" Type="http://schemas.openxmlformats.org/officeDocument/2006/relationships/hyperlink" Target="https://t.me/landscape_design_ru" TargetMode="External"/><Relationship Id="rId229" Type="http://schemas.openxmlformats.org/officeDocument/2006/relationships/hyperlink" Target="https://t.me/+ilCec5okwrNmYjk6" TargetMode="External"/><Relationship Id="rId220" Type="http://schemas.openxmlformats.org/officeDocument/2006/relationships/hyperlink" Target="https://www.youtube.com/channel/UCJi8JedC9dY1SsE7zeAM8PQ" TargetMode="External"/><Relationship Id="rId341" Type="http://schemas.openxmlformats.org/officeDocument/2006/relationships/hyperlink" Target="https://www.youtube.com/channel/UCjlwoAyzzEOb7iT7PoiP3eQ" TargetMode="External"/><Relationship Id="rId462" Type="http://schemas.openxmlformats.org/officeDocument/2006/relationships/hyperlink" Target="https://www.youtube.com/channel/UC0K29LUhuCPij4bfkplV8EQ" TargetMode="External"/><Relationship Id="rId340" Type="http://schemas.openxmlformats.org/officeDocument/2006/relationships/hyperlink" Target="https://www.youtube.com/channel/UCGuly64YEmYfxkU-shECIpQ" TargetMode="External"/><Relationship Id="rId461" Type="http://schemas.openxmlformats.org/officeDocument/2006/relationships/hyperlink" Target="https://www.youtube.com/channel/UCEJRCDpxSDQeAzm2Jf94w9A" TargetMode="External"/><Relationship Id="rId460" Type="http://schemas.openxmlformats.org/officeDocument/2006/relationships/hyperlink" Target="https://www.youtube.com/channel/UCpl2iDU4GkK-mBi7Qbe8ekQ" TargetMode="External"/><Relationship Id="rId103" Type="http://schemas.openxmlformats.org/officeDocument/2006/relationships/hyperlink" Target="https://t.me/uagronom" TargetMode="External"/><Relationship Id="rId224" Type="http://schemas.openxmlformats.org/officeDocument/2006/relationships/hyperlink" Target="https://www.youtube.com/channel/UCPx-POFx7eXuQ9Yc7olQlKw" TargetMode="External"/><Relationship Id="rId345" Type="http://schemas.openxmlformats.org/officeDocument/2006/relationships/hyperlink" Target="https://www.youtube.com/channel/UChv5yhp28kl1ETcwYTnH4tw" TargetMode="External"/><Relationship Id="rId466" Type="http://schemas.openxmlformats.org/officeDocument/2006/relationships/hyperlink" Target="https://www.youtube.com/channel/UCgnV3frBQybGWIEfBnl1ziQ" TargetMode="External"/><Relationship Id="rId102" Type="http://schemas.openxmlformats.org/officeDocument/2006/relationships/hyperlink" Target="https://t.me/sadvogorode" TargetMode="External"/><Relationship Id="rId223" Type="http://schemas.openxmlformats.org/officeDocument/2006/relationships/hyperlink" Target="https://www.youtube.com/channel/UCa6BF0HzhulehHuo-ABeKqw" TargetMode="External"/><Relationship Id="rId344" Type="http://schemas.openxmlformats.org/officeDocument/2006/relationships/hyperlink" Target="https://t.me/+fZVrmHgAZGIxNDEy" TargetMode="External"/><Relationship Id="rId465" Type="http://schemas.openxmlformats.org/officeDocument/2006/relationships/hyperlink" Target="https://www.youtube.com/channel/UC_LCy-owGKs_cG9wy4GVlbA" TargetMode="External"/><Relationship Id="rId101" Type="http://schemas.openxmlformats.org/officeDocument/2006/relationships/hyperlink" Target="https://t.me/garden_modern" TargetMode="External"/><Relationship Id="rId222" Type="http://schemas.openxmlformats.org/officeDocument/2006/relationships/hyperlink" Target="https://www.youtube.com/channel/UCmGGCwnr1sSTVlKTU84SptA" TargetMode="External"/><Relationship Id="rId343" Type="http://schemas.openxmlformats.org/officeDocument/2006/relationships/hyperlink" Target="https://www.youtube.com/channel/UC7KDjVDegdrqUlp5vN5K7xQ" TargetMode="External"/><Relationship Id="rId464" Type="http://schemas.openxmlformats.org/officeDocument/2006/relationships/hyperlink" Target="https://www.youtube.com/channel/UCmw_ChB0Xr8GM6VhIdISBFw" TargetMode="External"/><Relationship Id="rId100" Type="http://schemas.openxmlformats.org/officeDocument/2006/relationships/hyperlink" Target="https://t.me/sadinform" TargetMode="External"/><Relationship Id="rId221" Type="http://schemas.openxmlformats.org/officeDocument/2006/relationships/hyperlink" Target="https://www.youtube.com/channel/UCyet2kUkRHJECcVQM0x9-nw" TargetMode="External"/><Relationship Id="rId342" Type="http://schemas.openxmlformats.org/officeDocument/2006/relationships/hyperlink" Target="https://www.youtube.com/channel/UClPHPbQ6JJj7Fiz1DvCgnMw" TargetMode="External"/><Relationship Id="rId463" Type="http://schemas.openxmlformats.org/officeDocument/2006/relationships/hyperlink" Target="https://www.youtube.com/channel/UCsz1sJ3TONNnpV4ZhzdRbhg" TargetMode="External"/><Relationship Id="rId217" Type="http://schemas.openxmlformats.org/officeDocument/2006/relationships/hyperlink" Target="https://www.youtube.com/@taigakomi" TargetMode="External"/><Relationship Id="rId338" Type="http://schemas.openxmlformats.org/officeDocument/2006/relationships/hyperlink" Target="https://www.youtube.com/channel/UCNDz6OrSLx2KxfBPqwrGHig" TargetMode="External"/><Relationship Id="rId459" Type="http://schemas.openxmlformats.org/officeDocument/2006/relationships/hyperlink" Target="https://www.youtube.com/channel/UC0EvqzBvUw1UqhgSI4Dus3Q" TargetMode="External"/><Relationship Id="rId216" Type="http://schemas.openxmlformats.org/officeDocument/2006/relationships/hyperlink" Target="https://www.youtube.com/channel/UC2dSIpQCRT7MJ1H9C9ba2iQ" TargetMode="External"/><Relationship Id="rId337" Type="http://schemas.openxmlformats.org/officeDocument/2006/relationships/hyperlink" Target="https://www.youtube.com/channel/UCyQ7iWWxGMtu13Tnmriazog" TargetMode="External"/><Relationship Id="rId458" Type="http://schemas.openxmlformats.org/officeDocument/2006/relationships/hyperlink" Target="https://www.youtube.com/channel/UCyy8ZUP0r09F0DKrpAN3smA" TargetMode="External"/><Relationship Id="rId215" Type="http://schemas.openxmlformats.org/officeDocument/2006/relationships/hyperlink" Target="https://www.youtube.com/channel/UCN4uman6yUiZt7gJ-lkY4iA" TargetMode="External"/><Relationship Id="rId336" Type="http://schemas.openxmlformats.org/officeDocument/2006/relationships/hyperlink" Target="https://www.youtube.com/channel/UCDdSrMLFkND0c-iugxfYPSw" TargetMode="External"/><Relationship Id="rId457" Type="http://schemas.openxmlformats.org/officeDocument/2006/relationships/hyperlink" Target="https://www.youtube.com/channel/UCk5OscKJQFu-OCN5qJGT8SA" TargetMode="External"/><Relationship Id="rId214" Type="http://schemas.openxmlformats.org/officeDocument/2006/relationships/hyperlink" Target="https://www.youtube.com/channel/UCqpbXRd0PHWMZGQGNJpgHNA" TargetMode="External"/><Relationship Id="rId335" Type="http://schemas.openxmlformats.org/officeDocument/2006/relationships/hyperlink" Target="https://www.youtube.com/channel/UClS83SEcmfJnvwYQQFy-2Bg" TargetMode="External"/><Relationship Id="rId456" Type="http://schemas.openxmlformats.org/officeDocument/2006/relationships/hyperlink" Target="https://www.youtube.com/channel/UCLNUeNrBTlSqx1csaJR0Qnw" TargetMode="External"/><Relationship Id="rId219" Type="http://schemas.openxmlformats.org/officeDocument/2006/relationships/hyperlink" Target="https://www.youtube.com/@taigakomi" TargetMode="External"/><Relationship Id="rId218" Type="http://schemas.openxmlformats.org/officeDocument/2006/relationships/hyperlink" Target="https://vk.ru/id332576033" TargetMode="External"/><Relationship Id="rId339" Type="http://schemas.openxmlformats.org/officeDocument/2006/relationships/hyperlink" Target="https://www.youtube.com/channel/UCG_iQ60hXx6uzlJvqkY881g" TargetMode="External"/><Relationship Id="rId330" Type="http://schemas.openxmlformats.org/officeDocument/2006/relationships/hyperlink" Target="https://t.me/+IHTyfNC3KQQ2YzMy" TargetMode="External"/><Relationship Id="rId451" Type="http://schemas.openxmlformats.org/officeDocument/2006/relationships/hyperlink" Target="https://www.youtube.com/channel/UC78ydWQAAZUImoTLZ5zL2Jw" TargetMode="External"/><Relationship Id="rId450" Type="http://schemas.openxmlformats.org/officeDocument/2006/relationships/hyperlink" Target="https://www.youtube.com/channel/UCvIGizVMXYBTTFAPwb_gpzQ" TargetMode="External"/><Relationship Id="rId213" Type="http://schemas.openxmlformats.org/officeDocument/2006/relationships/hyperlink" Target="https://rutube.ru/u/sibiria/" TargetMode="External"/><Relationship Id="rId334" Type="http://schemas.openxmlformats.org/officeDocument/2006/relationships/hyperlink" Target="https://www.youtube.com/channel/UCabhYtW280dr_SJILvd5dbg" TargetMode="External"/><Relationship Id="rId455" Type="http://schemas.openxmlformats.org/officeDocument/2006/relationships/hyperlink" Target="https://www.youtube.com/channel/UCZ9NUez0DJjKlCIUtavu0kg" TargetMode="External"/><Relationship Id="rId212" Type="http://schemas.openxmlformats.org/officeDocument/2006/relationships/hyperlink" Target="https://vk.ru/sibiria_pro" TargetMode="External"/><Relationship Id="rId333" Type="http://schemas.openxmlformats.org/officeDocument/2006/relationships/hyperlink" Target="https://www.youtube.com/channel/UCasiFECaOgQVwlys9sa6T3g" TargetMode="External"/><Relationship Id="rId454" Type="http://schemas.openxmlformats.org/officeDocument/2006/relationships/hyperlink" Target="https://www.youtube.com/channel/UCdlGBc75DUYN4ndihZurPFg" TargetMode="External"/><Relationship Id="rId211" Type="http://schemas.openxmlformats.org/officeDocument/2006/relationships/hyperlink" Target="https://rutube.ru/u/sibiria/" TargetMode="External"/><Relationship Id="rId332" Type="http://schemas.openxmlformats.org/officeDocument/2006/relationships/hyperlink" Target="https://www.youtube.com/channel/UCzqDdd0tmCxYOQrt84BCQIw" TargetMode="External"/><Relationship Id="rId453" Type="http://schemas.openxmlformats.org/officeDocument/2006/relationships/hyperlink" Target="https://www.youtube.com/channel/UCN3qFlx4Kl0GlzW67qHOMUg" TargetMode="External"/><Relationship Id="rId210" Type="http://schemas.openxmlformats.org/officeDocument/2006/relationships/hyperlink" Target="https://www.youtube.com/channel/UCYEneJhnm-wczSkvsWYi71g" TargetMode="External"/><Relationship Id="rId331" Type="http://schemas.openxmlformats.org/officeDocument/2006/relationships/hyperlink" Target="https://www.youtube.com/channel/UC22CqS3g1O1ysWcyg4Dahww" TargetMode="External"/><Relationship Id="rId452" Type="http://schemas.openxmlformats.org/officeDocument/2006/relationships/hyperlink" Target="https://www.youtube.com/channel/UCholr7OVpSgeQQcoyrGnpUA" TargetMode="External"/><Relationship Id="rId370" Type="http://schemas.openxmlformats.org/officeDocument/2006/relationships/hyperlink" Target="https://www.youtube.com/channel/UC3SN3XE9fbuV3AHh3M-8Ztw" TargetMode="External"/><Relationship Id="rId129" Type="http://schemas.openxmlformats.org/officeDocument/2006/relationships/hyperlink" Target="https://t.me/nethlopot" TargetMode="External"/><Relationship Id="rId128" Type="http://schemas.openxmlformats.org/officeDocument/2006/relationships/hyperlink" Target="https://t.me/fermerskiydvor" TargetMode="External"/><Relationship Id="rId249" Type="http://schemas.openxmlformats.org/officeDocument/2006/relationships/hyperlink" Target="https://www.youtube.com/channel/UCMglBxEAhcViq8JVrXHnWlw" TargetMode="External"/><Relationship Id="rId127" Type="http://schemas.openxmlformats.org/officeDocument/2006/relationships/hyperlink" Target="https://t.me/dac4amsk" TargetMode="External"/><Relationship Id="rId248" Type="http://schemas.openxmlformats.org/officeDocument/2006/relationships/hyperlink" Target="https://www.youtube.com/channel/UCbnKgvF0rc1UiNbJJnQermQ" TargetMode="External"/><Relationship Id="rId369" Type="http://schemas.openxmlformats.org/officeDocument/2006/relationships/hyperlink" Target="https://www.youtube.com/channel/UCNqYIqPg2S7tepCSKC0BHgw" TargetMode="External"/><Relationship Id="rId126" Type="http://schemas.openxmlformats.org/officeDocument/2006/relationships/hyperlink" Target="https://t.me/cvetemipachnem" TargetMode="External"/><Relationship Id="rId247" Type="http://schemas.openxmlformats.org/officeDocument/2006/relationships/hyperlink" Target="https://www.youtube.com/channel/UCLF2huMF5JStbP7ZJVzZnkw" TargetMode="External"/><Relationship Id="rId368" Type="http://schemas.openxmlformats.org/officeDocument/2006/relationships/hyperlink" Target="https://www.youtube.com/channel/UCqMP81gW4duVDNBgKHFhMYA" TargetMode="External"/><Relationship Id="rId121" Type="http://schemas.openxmlformats.org/officeDocument/2006/relationships/hyperlink" Target="https://t.me/ogorod_sad_dacha" TargetMode="External"/><Relationship Id="rId242" Type="http://schemas.openxmlformats.org/officeDocument/2006/relationships/hyperlink" Target="https://vk.ru/away.php?to=https%3A%2F%2Frutube.ru%2Fchannel%2F25410100%2F&amp;utf=1" TargetMode="External"/><Relationship Id="rId363" Type="http://schemas.openxmlformats.org/officeDocument/2006/relationships/hyperlink" Target="https://www.youtube.com/channel/UCuXXMuFlr2_Di0mvTii4iSw" TargetMode="External"/><Relationship Id="rId484" Type="http://schemas.openxmlformats.org/officeDocument/2006/relationships/hyperlink" Target="https://www.youtube.com/channel/UC5vW-R4mDqkEqsDcld7K7Ug" TargetMode="External"/><Relationship Id="rId120" Type="http://schemas.openxmlformats.org/officeDocument/2006/relationships/hyperlink" Target="https://t.me/garden4you" TargetMode="External"/><Relationship Id="rId241" Type="http://schemas.openxmlformats.org/officeDocument/2006/relationships/hyperlink" Target="https://vk.com/club226729822" TargetMode="External"/><Relationship Id="rId362" Type="http://schemas.openxmlformats.org/officeDocument/2006/relationships/hyperlink" Target="https://www.youtube.com/channel/UCvYnDD3P6m2AYKbmIojrqDg" TargetMode="External"/><Relationship Id="rId483" Type="http://schemas.openxmlformats.org/officeDocument/2006/relationships/hyperlink" Target="https://www.youtube.com/channel/UCfvW3tkrlFjdf-mg5Ucj4gg" TargetMode="External"/><Relationship Id="rId240" Type="http://schemas.openxmlformats.org/officeDocument/2006/relationships/hyperlink" Target="https://www.youtube.com/channel/UCOF5DZsq4bKQpVkfEwSmFwg" TargetMode="External"/><Relationship Id="rId361" Type="http://schemas.openxmlformats.org/officeDocument/2006/relationships/hyperlink" Target="https://t.me/+UgVimrZ21BE5MjAy" TargetMode="External"/><Relationship Id="rId482" Type="http://schemas.openxmlformats.org/officeDocument/2006/relationships/hyperlink" Target="https://www.youtube.com/channel/UCdf2cpW--5qDdRcIWDaVNiA" TargetMode="External"/><Relationship Id="rId360" Type="http://schemas.openxmlformats.org/officeDocument/2006/relationships/hyperlink" Target="https://www.youtube.com/channel/UCVFEwiME0JVpyV8DgL1F54g" TargetMode="External"/><Relationship Id="rId481" Type="http://schemas.openxmlformats.org/officeDocument/2006/relationships/hyperlink" Target="https://www.youtube.com/channel/UC69ju2BlkrkPrRyhoe7ZCsQ" TargetMode="External"/><Relationship Id="rId125" Type="http://schemas.openxmlformats.org/officeDocument/2006/relationships/hyperlink" Target="https://t.me/aleninsad" TargetMode="External"/><Relationship Id="rId246" Type="http://schemas.openxmlformats.org/officeDocument/2006/relationships/hyperlink" Target="http://www.youtube.com/@Rubalka_vo_vse_Vremena" TargetMode="External"/><Relationship Id="rId367" Type="http://schemas.openxmlformats.org/officeDocument/2006/relationships/hyperlink" Target="https://www.youtube.com/channel/UCeOrDiGzBl_I150Byg593_g" TargetMode="External"/><Relationship Id="rId124" Type="http://schemas.openxmlformats.org/officeDocument/2006/relationships/hyperlink" Target="https://t.me/hroniki_dachnika" TargetMode="External"/><Relationship Id="rId245" Type="http://schemas.openxmlformats.org/officeDocument/2006/relationships/hyperlink" Target="https://vk.ru/spassk_dm" TargetMode="External"/><Relationship Id="rId366" Type="http://schemas.openxmlformats.org/officeDocument/2006/relationships/hyperlink" Target="https://www.youtube.com/channel/UCPEC0eiggOewAPC8bVJWdeQ" TargetMode="External"/><Relationship Id="rId123" Type="http://schemas.openxmlformats.org/officeDocument/2006/relationships/hyperlink" Target="https://t.me/uyutnaya_dacha_og" TargetMode="External"/><Relationship Id="rId244" Type="http://schemas.openxmlformats.org/officeDocument/2006/relationships/hyperlink" Target="http://www.youtube.com/@Rubalka_vo_vse_Vremena" TargetMode="External"/><Relationship Id="rId365" Type="http://schemas.openxmlformats.org/officeDocument/2006/relationships/hyperlink" Target="https://www.youtube.com/channel/UCscgi_8Qv1o8FIHBTvjKJ0g" TargetMode="External"/><Relationship Id="rId122" Type="http://schemas.openxmlformats.org/officeDocument/2006/relationships/hyperlink" Target="https://t.me/dachfan" TargetMode="External"/><Relationship Id="rId243" Type="http://schemas.openxmlformats.org/officeDocument/2006/relationships/hyperlink" Target="https://www.youtube.com/channel/UCrS2gDznnAaR8hteNleRCJQ" TargetMode="External"/><Relationship Id="rId364" Type="http://schemas.openxmlformats.org/officeDocument/2006/relationships/hyperlink" Target="https://www.youtube.com/channel/UCWiQzKqF_naG9MuJJnaaAfA" TargetMode="External"/><Relationship Id="rId485" Type="http://schemas.openxmlformats.org/officeDocument/2006/relationships/drawing" Target="../drawings/drawing1.xml"/><Relationship Id="rId95" Type="http://schemas.openxmlformats.org/officeDocument/2006/relationships/hyperlink" Target="https://t.me/green_fingerss" TargetMode="External"/><Relationship Id="rId94" Type="http://schemas.openxmlformats.org/officeDocument/2006/relationships/hyperlink" Target="https://t.me/dacha_wb_ozon" TargetMode="External"/><Relationship Id="rId97" Type="http://schemas.openxmlformats.org/officeDocument/2006/relationships/hyperlink" Target="https://t.me/nadachein" TargetMode="External"/><Relationship Id="rId96" Type="http://schemas.openxmlformats.org/officeDocument/2006/relationships/hyperlink" Target="https://t.me/lenavolh1" TargetMode="External"/><Relationship Id="rId99" Type="http://schemas.openxmlformats.org/officeDocument/2006/relationships/hyperlink" Target="https://t.me/landshaftnyj_dizajn_sad" TargetMode="External"/><Relationship Id="rId480" Type="http://schemas.openxmlformats.org/officeDocument/2006/relationships/hyperlink" Target="https://www.youtube.com/channel/UCC81FeBoWGxFPCDjrq1GgeQ" TargetMode="External"/><Relationship Id="rId98" Type="http://schemas.openxmlformats.org/officeDocument/2006/relationships/hyperlink" Target="https://t.me/uraldacha_ru" TargetMode="External"/><Relationship Id="rId91" Type="http://schemas.openxmlformats.org/officeDocument/2006/relationships/hyperlink" Target="https://t.me/vse_vsad" TargetMode="External"/><Relationship Id="rId90" Type="http://schemas.openxmlformats.org/officeDocument/2006/relationships/hyperlink" Target="https://t.me/cozy_garden" TargetMode="External"/><Relationship Id="rId93" Type="http://schemas.openxmlformats.org/officeDocument/2006/relationships/hyperlink" Target="https://t.me/sadovyi_uchastok" TargetMode="External"/><Relationship Id="rId92" Type="http://schemas.openxmlformats.org/officeDocument/2006/relationships/hyperlink" Target="https://t.me/hstukanov" TargetMode="External"/><Relationship Id="rId118" Type="http://schemas.openxmlformats.org/officeDocument/2006/relationships/hyperlink" Target="https://t.me/+Wb0I8WVf_QlmMTNi" TargetMode="External"/><Relationship Id="rId239" Type="http://schemas.openxmlformats.org/officeDocument/2006/relationships/hyperlink" Target="https://t.me/+BdznS5MpVV01NzI6" TargetMode="External"/><Relationship Id="rId117" Type="http://schemas.openxmlformats.org/officeDocument/2006/relationships/hyperlink" Target="https://t.me/oksanakichigina" TargetMode="External"/><Relationship Id="rId238" Type="http://schemas.openxmlformats.org/officeDocument/2006/relationships/hyperlink" Target="http://www.youtube.com/@Solnce_na_Kruchke" TargetMode="External"/><Relationship Id="rId359" Type="http://schemas.openxmlformats.org/officeDocument/2006/relationships/hyperlink" Target="https://www.youtube.com/channel/UCnYorPlmeFhVoMf9pSAWZRA" TargetMode="External"/><Relationship Id="rId116" Type="http://schemas.openxmlformats.org/officeDocument/2006/relationships/hyperlink" Target="https://t.me/vdali_ot_gorod" TargetMode="External"/><Relationship Id="rId237" Type="http://schemas.openxmlformats.org/officeDocument/2006/relationships/hyperlink" Target="https://youtube.com/@siberian_fisherman?si=1Jvd__Gfrg6b1Xc6" TargetMode="External"/><Relationship Id="rId358" Type="http://schemas.openxmlformats.org/officeDocument/2006/relationships/hyperlink" Target="https://www.youtube.com/channel/UCWzddj0fbTtn5QySEn-9g6w" TargetMode="External"/><Relationship Id="rId479" Type="http://schemas.openxmlformats.org/officeDocument/2006/relationships/hyperlink" Target="https://www.youtube.com/channel/UCEubso0WuY8c7IvKOyCzDhQ" TargetMode="External"/><Relationship Id="rId115" Type="http://schemas.openxmlformats.org/officeDocument/2006/relationships/hyperlink" Target="https://t.me/lubludachy" TargetMode="External"/><Relationship Id="rId236" Type="http://schemas.openxmlformats.org/officeDocument/2006/relationships/hyperlink" Target="https://www.youtube.com/channel/UC4u_dWGDwOvZrN2hIYgmitA" TargetMode="External"/><Relationship Id="rId357" Type="http://schemas.openxmlformats.org/officeDocument/2006/relationships/hyperlink" Target="https://www.youtube.com/channel/UCVpmDCj-ercqoRZESM8ZZIA" TargetMode="External"/><Relationship Id="rId478" Type="http://schemas.openxmlformats.org/officeDocument/2006/relationships/hyperlink" Target="https://www.youtube.com/channel/UCeL8zNwBdj6oKlripZr7YtA" TargetMode="External"/><Relationship Id="rId119" Type="http://schemas.openxmlformats.org/officeDocument/2006/relationships/hyperlink" Target="https://t.me/gardensecretss" TargetMode="External"/><Relationship Id="rId110" Type="http://schemas.openxmlformats.org/officeDocument/2006/relationships/hyperlink" Target="https://t.me/veranda_na_dache" TargetMode="External"/><Relationship Id="rId231" Type="http://schemas.openxmlformats.org/officeDocument/2006/relationships/hyperlink" Target="https://vk.ru/sib_ribachok" TargetMode="External"/><Relationship Id="rId352" Type="http://schemas.openxmlformats.org/officeDocument/2006/relationships/hyperlink" Target="https://www.youtube.com/channel/UCjpsZ_pQnNVsp0yaxnyAAyQ" TargetMode="External"/><Relationship Id="rId473" Type="http://schemas.openxmlformats.org/officeDocument/2006/relationships/hyperlink" Target="https://www.youtube.com/channel/UCCa0OijVvpX4BLhCE74u9Ig" TargetMode="External"/><Relationship Id="rId230" Type="http://schemas.openxmlformats.org/officeDocument/2006/relationships/hyperlink" Target="https://www.youtube.com/channel/UCVpwA9z9CyonbPFHGKS0qsA" TargetMode="External"/><Relationship Id="rId351" Type="http://schemas.openxmlformats.org/officeDocument/2006/relationships/hyperlink" Target="https://www.youtube.com/channel/UCEMKjPzY3RDbtf6C2B91yxQ" TargetMode="External"/><Relationship Id="rId472" Type="http://schemas.openxmlformats.org/officeDocument/2006/relationships/hyperlink" Target="https://www.youtube.com/channel/UCeRhOKamZwRe2iai2Yvk1Ig" TargetMode="External"/><Relationship Id="rId350" Type="http://schemas.openxmlformats.org/officeDocument/2006/relationships/hyperlink" Target="https://www.youtube.com/channel/UCvTjQQzeqWJYQp2ESPGriZw" TargetMode="External"/><Relationship Id="rId471" Type="http://schemas.openxmlformats.org/officeDocument/2006/relationships/hyperlink" Target="https://www.youtube.com/channel/UC2Ofrir_fsqYWUIJdVA5yzA" TargetMode="External"/><Relationship Id="rId470" Type="http://schemas.openxmlformats.org/officeDocument/2006/relationships/hyperlink" Target="https://www.youtube.com/channel/UCYl-iyliHWdIbGPx4Z9UJlg" TargetMode="External"/><Relationship Id="rId114" Type="http://schemas.openxmlformats.org/officeDocument/2006/relationships/hyperlink" Target="https://t.me/RodnaiaDerevnia" TargetMode="External"/><Relationship Id="rId235" Type="http://schemas.openxmlformats.org/officeDocument/2006/relationships/hyperlink" Target="https://rutube.ru/u/siberianfisherman/" TargetMode="External"/><Relationship Id="rId356" Type="http://schemas.openxmlformats.org/officeDocument/2006/relationships/hyperlink" Target="https://www.youtube.com/channel/UCDuhLV0LZ_I-ebbSl98-Png" TargetMode="External"/><Relationship Id="rId477" Type="http://schemas.openxmlformats.org/officeDocument/2006/relationships/hyperlink" Target="https://www.youtube.com/channel/UCnDV_efZq3R5CoqA_QwkPWA" TargetMode="External"/><Relationship Id="rId113" Type="http://schemas.openxmlformats.org/officeDocument/2006/relationships/hyperlink" Target="https://t.me/urozhaydacha" TargetMode="External"/><Relationship Id="rId234" Type="http://schemas.openxmlformats.org/officeDocument/2006/relationships/hyperlink" Target="https://rutube.ru/u/siberianfisherman/" TargetMode="External"/><Relationship Id="rId355" Type="http://schemas.openxmlformats.org/officeDocument/2006/relationships/hyperlink" Target="https://www.youtube.com/channel/UCtnKuVPGicklYfg0P6tCXZA" TargetMode="External"/><Relationship Id="rId476" Type="http://schemas.openxmlformats.org/officeDocument/2006/relationships/hyperlink" Target="https://www.youtube.com/channel/UCpbcz_yEpD7MEbvdps96G1A" TargetMode="External"/><Relationship Id="rId112" Type="http://schemas.openxmlformats.org/officeDocument/2006/relationships/hyperlink" Target="https://t.me/lubimaya_dacha_v" TargetMode="External"/><Relationship Id="rId233" Type="http://schemas.openxmlformats.org/officeDocument/2006/relationships/hyperlink" Target="https://www.youtube.com/channel/UCmhW2RfLWrptnPTG-cUcFhw" TargetMode="External"/><Relationship Id="rId354" Type="http://schemas.openxmlformats.org/officeDocument/2006/relationships/hyperlink" Target="https://www.youtube.com/channel/UCndjzGnNcSGegE6M6o_e7CQ" TargetMode="External"/><Relationship Id="rId475" Type="http://schemas.openxmlformats.org/officeDocument/2006/relationships/hyperlink" Target="https://www.youtube.com/channel/UCZFTAncCYM74oNA1De41Drw" TargetMode="External"/><Relationship Id="rId111" Type="http://schemas.openxmlformats.org/officeDocument/2006/relationships/hyperlink" Target="https://t.me/ZelenoeHobby" TargetMode="External"/><Relationship Id="rId232" Type="http://schemas.openxmlformats.org/officeDocument/2006/relationships/hyperlink" Target="https://www.youtube.com/channel/UCgCZDko_1SsJZkqpuncNjUw" TargetMode="External"/><Relationship Id="rId353" Type="http://schemas.openxmlformats.org/officeDocument/2006/relationships/hyperlink" Target="https://t.me/kupit_derevo" TargetMode="External"/><Relationship Id="rId474" Type="http://schemas.openxmlformats.org/officeDocument/2006/relationships/hyperlink" Target="https://www.youtube.com/channel/UCZp1wfetsFt_ar_y0abEHyQ" TargetMode="External"/><Relationship Id="rId305" Type="http://schemas.openxmlformats.org/officeDocument/2006/relationships/hyperlink" Target="https://www.youtube.com/channel/UCta3AP_6kAVJHLMvmhvftFA" TargetMode="External"/><Relationship Id="rId426" Type="http://schemas.openxmlformats.org/officeDocument/2006/relationships/hyperlink" Target="https://www.youtube.com/channel/UCpldqzoWf_gAA_TmUPrtVFQ" TargetMode="External"/><Relationship Id="rId304" Type="http://schemas.openxmlformats.org/officeDocument/2006/relationships/hyperlink" Target="https://t.me/yutnay_dacha" TargetMode="External"/><Relationship Id="rId425" Type="http://schemas.openxmlformats.org/officeDocument/2006/relationships/hyperlink" Target="https://www.youtube.com/channel/UCiYU93B84N52BqV6a08F8eQ" TargetMode="External"/><Relationship Id="rId303" Type="http://schemas.openxmlformats.org/officeDocument/2006/relationships/hyperlink" Target="https://www.youtube.com/channel/UCImSm1Sq4aJfqyQMjNlnz1w" TargetMode="External"/><Relationship Id="rId424" Type="http://schemas.openxmlformats.org/officeDocument/2006/relationships/hyperlink" Target="https://www.youtube.com/channel/UCd2_dBa74KSSp86Uau6Ntyg" TargetMode="External"/><Relationship Id="rId302" Type="http://schemas.openxmlformats.org/officeDocument/2006/relationships/hyperlink" Target="http://warhistoryalconafter/" TargetMode="External"/><Relationship Id="rId423" Type="http://schemas.openxmlformats.org/officeDocument/2006/relationships/hyperlink" Target="https://t.me/marinoflower" TargetMode="External"/><Relationship Id="rId309" Type="http://schemas.openxmlformats.org/officeDocument/2006/relationships/hyperlink" Target="http://doroningo/" TargetMode="External"/><Relationship Id="rId308" Type="http://schemas.openxmlformats.org/officeDocument/2006/relationships/hyperlink" Target="http://derbloknot/" TargetMode="External"/><Relationship Id="rId429" Type="http://schemas.openxmlformats.org/officeDocument/2006/relationships/hyperlink" Target="https://www.youtube.com/channel/UC9wvgeetsf1K5TURQl7fiGw" TargetMode="External"/><Relationship Id="rId307" Type="http://schemas.openxmlformats.org/officeDocument/2006/relationships/hyperlink" Target="https://www.youtube.com/channel/UC5FNJGqJeMxqnwFnIz5Bm9A" TargetMode="External"/><Relationship Id="rId428" Type="http://schemas.openxmlformats.org/officeDocument/2006/relationships/hyperlink" Target="https://www.youtube.com/channel/UCvZ-GQaLYyVYvDAeXInLi7g" TargetMode="External"/><Relationship Id="rId306" Type="http://schemas.openxmlformats.org/officeDocument/2006/relationships/hyperlink" Target="https://youtube.com/channel/UCdPybHavSwZSNBgD5I4vwOg" TargetMode="External"/><Relationship Id="rId427" Type="http://schemas.openxmlformats.org/officeDocument/2006/relationships/hyperlink" Target="https://t.me/sagenzy24" TargetMode="External"/><Relationship Id="rId301" Type="http://schemas.openxmlformats.org/officeDocument/2006/relationships/hyperlink" Target="https://www.youtube.com/channel/UC0WJCxJGFOsIgmOQgQo2iWg" TargetMode="External"/><Relationship Id="rId422" Type="http://schemas.openxmlformats.org/officeDocument/2006/relationships/hyperlink" Target="https://t.me/uyut365" TargetMode="External"/><Relationship Id="rId300" Type="http://schemas.openxmlformats.org/officeDocument/2006/relationships/hyperlink" Target="https://www.youtube.com/channel/UC7JiR_diFWMaSOuFnfBjJAA" TargetMode="External"/><Relationship Id="rId421" Type="http://schemas.openxmlformats.org/officeDocument/2006/relationships/hyperlink" Target="https://www.youtube.com/channel/UC-Fgi5XkIvnk9EXSiDyiD9A" TargetMode="External"/><Relationship Id="rId420" Type="http://schemas.openxmlformats.org/officeDocument/2006/relationships/hyperlink" Target="https://www.youtube.com/channel/UCggNjogEPeeyDe1LISgbATQ" TargetMode="External"/><Relationship Id="rId415" Type="http://schemas.openxmlformats.org/officeDocument/2006/relationships/hyperlink" Target="https://www.youtube.com/channel/UCbPluD_kmZjhS2cEWzC3zyQ" TargetMode="External"/><Relationship Id="rId414" Type="http://schemas.openxmlformats.org/officeDocument/2006/relationships/hyperlink" Target="https://t.me/CadDachaTuymen" TargetMode="External"/><Relationship Id="rId413" Type="http://schemas.openxmlformats.org/officeDocument/2006/relationships/hyperlink" Target="https://www.youtube.com/channel/UC0pQWmXlxv-8GAo8p0AYWXw" TargetMode="External"/><Relationship Id="rId412" Type="http://schemas.openxmlformats.org/officeDocument/2006/relationships/hyperlink" Target="https://t.me/placeofsoul" TargetMode="External"/><Relationship Id="rId419" Type="http://schemas.openxmlformats.org/officeDocument/2006/relationships/hyperlink" Target="https://www.youtube.com/channel/UC_6qwpYU0gClbTcqZhyhqmg" TargetMode="External"/><Relationship Id="rId418" Type="http://schemas.openxmlformats.org/officeDocument/2006/relationships/hyperlink" Target="https://www.youtube.com/channel/UCMLfikgtT2qFqMcnO1KjKzQ" TargetMode="External"/><Relationship Id="rId417" Type="http://schemas.openxmlformats.org/officeDocument/2006/relationships/hyperlink" Target="https://www.youtube.com/channel/UC4cOcn7VTcTqWNLSk_mR6wA" TargetMode="External"/><Relationship Id="rId416" Type="http://schemas.openxmlformats.org/officeDocument/2006/relationships/hyperlink" Target="https://www.youtube.com/channel/UCCNUp_XroCbLpJ_ifUHL_UQ" TargetMode="External"/><Relationship Id="rId411" Type="http://schemas.openxmlformats.org/officeDocument/2006/relationships/hyperlink" Target="https://www.youtube.com/channel/UCcc-n0Y8ngV7KGgCufb1FRA" TargetMode="External"/><Relationship Id="rId410" Type="http://schemas.openxmlformats.org/officeDocument/2006/relationships/hyperlink" Target="https://www.youtube.com/channel/UCQmNI6kCeQ-t3jzFQk3FJ0g" TargetMode="External"/><Relationship Id="rId206" Type="http://schemas.openxmlformats.org/officeDocument/2006/relationships/hyperlink" Target="https://www.youtube.com/channel/UCCpy8IRNnbqrynnvLxAjqiQ" TargetMode="External"/><Relationship Id="rId327" Type="http://schemas.openxmlformats.org/officeDocument/2006/relationships/hyperlink" Target="https://www.youtube.com/channel/UC4Y0WT8WQyTMJ1330cyqGtA" TargetMode="External"/><Relationship Id="rId448" Type="http://schemas.openxmlformats.org/officeDocument/2006/relationships/hyperlink" Target="https://www.youtube.com/channel/UCZOGBi1-PwDVmzMHLvZduuQ" TargetMode="External"/><Relationship Id="rId205" Type="http://schemas.openxmlformats.org/officeDocument/2006/relationships/hyperlink" Target="https://www.youtube.com/channel/UCNqiQEC8oIhsPuVK97oW7mQ" TargetMode="External"/><Relationship Id="rId326" Type="http://schemas.openxmlformats.org/officeDocument/2006/relationships/hyperlink" Target="https://www.youtube.com/channel/UCcduImk29gKhSMTy0ubWgsg" TargetMode="External"/><Relationship Id="rId447" Type="http://schemas.openxmlformats.org/officeDocument/2006/relationships/hyperlink" Target="https://www.youtube.com/channel/UCEMJ2rXikihenHvorCUpgvQ" TargetMode="External"/><Relationship Id="rId204" Type="http://schemas.openxmlformats.org/officeDocument/2006/relationships/hyperlink" Target="https://t.me/zp4Cgr_gqd8wZDli" TargetMode="External"/><Relationship Id="rId325" Type="http://schemas.openxmlformats.org/officeDocument/2006/relationships/hyperlink" Target="https://www.youtube.com/channel/UCgFlv1PV5Yyv477vTWYWDRA" TargetMode="External"/><Relationship Id="rId446" Type="http://schemas.openxmlformats.org/officeDocument/2006/relationships/hyperlink" Target="https://www.youtube.com/channel/UCZYl0CRSNOTZj4UN1H_w_fA" TargetMode="External"/><Relationship Id="rId203" Type="http://schemas.openxmlformats.org/officeDocument/2006/relationships/hyperlink" Target="https://www.youtube.com/channel/UCjwVxRut4lwnXRNjG8yYV9w" TargetMode="External"/><Relationship Id="rId324" Type="http://schemas.openxmlformats.org/officeDocument/2006/relationships/hyperlink" Target="https://t.me/Dyadyabatya0" TargetMode="External"/><Relationship Id="rId445" Type="http://schemas.openxmlformats.org/officeDocument/2006/relationships/hyperlink" Target="https://www.youtube.com/channel/UCzg2buWqVjF-JzTj-IQUIMw" TargetMode="External"/><Relationship Id="rId209" Type="http://schemas.openxmlformats.org/officeDocument/2006/relationships/hyperlink" Target="https://rutube.ru/channel/24725217/" TargetMode="External"/><Relationship Id="rId208" Type="http://schemas.openxmlformats.org/officeDocument/2006/relationships/hyperlink" Target="http://www.youtube.com/@%D0%90%D0%BB%D0%B5%D0%BA%D1%81%D0%B5%D0%B9%D0%90-%D1%8D3%D0%B2" TargetMode="External"/><Relationship Id="rId329" Type="http://schemas.openxmlformats.org/officeDocument/2006/relationships/hyperlink" Target="https://www.youtube.com/channel/UCUmkleyXQurzwAH3GQdTplw" TargetMode="External"/><Relationship Id="rId207" Type="http://schemas.openxmlformats.org/officeDocument/2006/relationships/hyperlink" Target="https://www.youtube.com/channel/UCSTyVjqIf9BalhDjm8gw-_A" TargetMode="External"/><Relationship Id="rId328" Type="http://schemas.openxmlformats.org/officeDocument/2006/relationships/hyperlink" Target="https://www.youtube.com/channel/UCLiJ3egXc9LzTUgXFi2vl2w" TargetMode="External"/><Relationship Id="rId449" Type="http://schemas.openxmlformats.org/officeDocument/2006/relationships/hyperlink" Target="https://www.youtube.com/channel/UC2g8MFjIJXKr1_sWxzPYq2w" TargetMode="External"/><Relationship Id="rId440" Type="http://schemas.openxmlformats.org/officeDocument/2006/relationships/hyperlink" Target="https://www.youtube.com/channel/UCgbQDKZQat0kVf-lZDqPi1g" TargetMode="External"/><Relationship Id="rId202" Type="http://schemas.openxmlformats.org/officeDocument/2006/relationships/hyperlink" Target="https://www.youtube.com/@LESNUE" TargetMode="External"/><Relationship Id="rId323" Type="http://schemas.openxmlformats.org/officeDocument/2006/relationships/hyperlink" Target="https://www.youtube.com/channel/UCeGcuPbKMlPolWgg8tx7Mnw" TargetMode="External"/><Relationship Id="rId444" Type="http://schemas.openxmlformats.org/officeDocument/2006/relationships/hyperlink" Target="https://www.youtube.com/channel/UCoiECga6Ngr4Y8Ux5Z9mHYA" TargetMode="External"/><Relationship Id="rId201" Type="http://schemas.openxmlformats.org/officeDocument/2006/relationships/hyperlink" Target="https://www.youtube.com/@LESNUE" TargetMode="External"/><Relationship Id="rId322" Type="http://schemas.openxmlformats.org/officeDocument/2006/relationships/hyperlink" Target="https://max.ru/warhistoryalconafter" TargetMode="External"/><Relationship Id="rId443" Type="http://schemas.openxmlformats.org/officeDocument/2006/relationships/hyperlink" Target="https://www.youtube.com/channel/UC9Y9EnXanCiirpwM4i3mv2g" TargetMode="External"/><Relationship Id="rId200" Type="http://schemas.openxmlformats.org/officeDocument/2006/relationships/hyperlink" Target="https://www.youtube.com/channel/UCQtGwc3YpZv7zu2qEPIyRWg" TargetMode="External"/><Relationship Id="rId321" Type="http://schemas.openxmlformats.org/officeDocument/2006/relationships/hyperlink" Target="https://www.youtube.com/channel/UCSuFZTvuCzeqXJxGiv9Qc-g" TargetMode="External"/><Relationship Id="rId442" Type="http://schemas.openxmlformats.org/officeDocument/2006/relationships/hyperlink" Target="https://t.me/houseplants_chertanovo" TargetMode="External"/><Relationship Id="rId320" Type="http://schemas.openxmlformats.org/officeDocument/2006/relationships/hyperlink" Target="https://www.youtube.com/channel/UC7ZcE7iaSq9qj4SXWHACK3w" TargetMode="External"/><Relationship Id="rId441" Type="http://schemas.openxmlformats.org/officeDocument/2006/relationships/hyperlink" Target="https://www.youtube.com/channel/UCacU0H9I4eTl7-nJiTxs5iQ" TargetMode="External"/><Relationship Id="rId316" Type="http://schemas.openxmlformats.org/officeDocument/2006/relationships/hyperlink" Target="https://t.me/korzina_dachnika" TargetMode="External"/><Relationship Id="rId437" Type="http://schemas.openxmlformats.org/officeDocument/2006/relationships/hyperlink" Target="https://www.youtube.com/channel/UCqp3NpIGxAJ9CiWJ-NxtvDw" TargetMode="External"/><Relationship Id="rId315" Type="http://schemas.openxmlformats.org/officeDocument/2006/relationships/hyperlink" Target="https://www.youtube.com/channel/UCd5a2164mpPWnMNLFKV99kg" TargetMode="External"/><Relationship Id="rId436" Type="http://schemas.openxmlformats.org/officeDocument/2006/relationships/hyperlink" Target="https://www.youtube.com/channel/UCLRZKWQwbdrJjV6v_ggVG5g" TargetMode="External"/><Relationship Id="rId314" Type="http://schemas.openxmlformats.org/officeDocument/2006/relationships/hyperlink" Target="https://dzen.ru/solnce_na_kruchke_ultralight?ysclid=muf90wr8l3759667293" TargetMode="External"/><Relationship Id="rId435" Type="http://schemas.openxmlformats.org/officeDocument/2006/relationships/hyperlink" Target="https://t.me/sibda4" TargetMode="External"/><Relationship Id="rId313" Type="http://schemas.openxmlformats.org/officeDocument/2006/relationships/hyperlink" Target="https://www.youtube.com/channel/UCwMl-M13wYbZnmtTO0bSaow" TargetMode="External"/><Relationship Id="rId434" Type="http://schemas.openxmlformats.org/officeDocument/2006/relationships/hyperlink" Target="https://www.youtube.com/channel/UC0rMoOnvvaSABtS6g7kRN8A" TargetMode="External"/><Relationship Id="rId319" Type="http://schemas.openxmlformats.org/officeDocument/2006/relationships/hyperlink" Target="https://www.youtube.com/channel/UC4xZS_g2MrG-OdHL8fEFm8g" TargetMode="External"/><Relationship Id="rId318" Type="http://schemas.openxmlformats.org/officeDocument/2006/relationships/hyperlink" Target="https://www.youtube.com/channel/UCnA54_25Q8eQI5GY2znK1OQ" TargetMode="External"/><Relationship Id="rId439" Type="http://schemas.openxmlformats.org/officeDocument/2006/relationships/hyperlink" Target="https://www.youtube.com/channel/UCCMtGwLRumhpeNpj0eFFMgQ" TargetMode="External"/><Relationship Id="rId317" Type="http://schemas.openxmlformats.org/officeDocument/2006/relationships/hyperlink" Target="https://t.me/warhistoryalconafter" TargetMode="External"/><Relationship Id="rId438" Type="http://schemas.openxmlformats.org/officeDocument/2006/relationships/hyperlink" Target="https://www.youtube.com/channel/UCedZ3Y_r6Q_eUsItGzR2w3Q" TargetMode="External"/><Relationship Id="rId312" Type="http://schemas.openxmlformats.org/officeDocument/2006/relationships/hyperlink" Target="https://max.ru/channel_Solnce_na_kruchke_ultralight" TargetMode="External"/><Relationship Id="rId433" Type="http://schemas.openxmlformats.org/officeDocument/2006/relationships/hyperlink" Target="https://www.youtube.com/channel/UCcyXWo53Fz9Vns7WfstRT7g" TargetMode="External"/><Relationship Id="rId311" Type="http://schemas.openxmlformats.org/officeDocument/2006/relationships/hyperlink" Target="https://www.youtube.com/channel/UCITgA08DSTG7DE_IGv7Q_Yw" TargetMode="External"/><Relationship Id="rId432" Type="http://schemas.openxmlformats.org/officeDocument/2006/relationships/hyperlink" Target="https://www.youtube.com/channel/UC7c4vFMxlM9fWT7zL82pHnA" TargetMode="External"/><Relationship Id="rId310" Type="http://schemas.openxmlformats.org/officeDocument/2006/relationships/hyperlink" Target="https://vk.ru/club211368519" TargetMode="External"/><Relationship Id="rId431" Type="http://schemas.openxmlformats.org/officeDocument/2006/relationships/hyperlink" Target="https://www.youtube.com/channel/UCibMHHORO4j2-fWHi_35ffA" TargetMode="External"/><Relationship Id="rId430" Type="http://schemas.openxmlformats.org/officeDocument/2006/relationships/hyperlink" Target="https://t.me/tatpitomnik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hyperlink" Target="https://www.youtube.com/channel/UCC2_I6U__JkSovoipSBinyA" TargetMode="External"/><Relationship Id="rId2" Type="http://schemas.openxmlformats.org/officeDocument/2006/relationships/hyperlink" Target="https://www.youtube.com/@just_hook_up/shorts" TargetMode="External"/><Relationship Id="rId3" Type="http://schemas.openxmlformats.org/officeDocument/2006/relationships/hyperlink" Target="https://vkvideo.ru/@just_hook_up" TargetMode="External"/><Relationship Id="rId4" Type="http://schemas.openxmlformats.org/officeDocument/2006/relationships/hyperlink" Target="https://www.tiktok.com/@justhookup?_r=1&amp;_t=ZN-97VhPIvCsha" TargetMode="External"/><Relationship Id="rId9" Type="http://schemas.openxmlformats.org/officeDocument/2006/relationships/hyperlink" Target="https://max.ru/join/NB0LwHB6GVXMwdWkA_yH3rxmVEFKKGtCCevUd4nd89I" TargetMode="External"/><Relationship Id="rId5" Type="http://schemas.openxmlformats.org/officeDocument/2006/relationships/hyperlink" Target="https://t.me/rybalka_spb_lenoblasti" TargetMode="External"/><Relationship Id="rId6" Type="http://schemas.openxmlformats.org/officeDocument/2006/relationships/hyperlink" Target="https://max.ru/Fishing_Stavropol" TargetMode="External"/><Relationship Id="rId7" Type="http://schemas.openxmlformats.org/officeDocument/2006/relationships/hyperlink" Target="https://telega.in/tme/Fishing_Stavropol" TargetMode="External"/><Relationship Id="rId8" Type="http://schemas.openxmlformats.org/officeDocument/2006/relationships/hyperlink" Target="https://max.ru/rybalka555" TargetMode="External"/><Relationship Id="rId11" Type="http://schemas.openxmlformats.org/officeDocument/2006/relationships/drawing" Target="../drawings/drawing3.xml"/><Relationship Id="rId10" Type="http://schemas.openxmlformats.org/officeDocument/2006/relationships/hyperlink" Target="https://max.ru/rybakidv" TargetMode="Externa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hyperlink" Target="https://mendrulaleksandr.mobz.market/l13wle" TargetMode="External"/><Relationship Id="rId2" Type="http://schemas.openxmlformats.org/officeDocument/2006/relationships/hyperlink" Target="https://mendrulaleksandr.mobz.market/l13wle" TargetMode="External"/><Relationship Id="rId3" Type="http://schemas.openxmlformats.org/officeDocument/2006/relationships/hyperlink" Target="https://www.youtube.com/@mendrul.aleksandr" TargetMode="External"/><Relationship Id="rId4" Type="http://schemas.openxmlformats.org/officeDocument/2006/relationships/hyperlink" Target="https://mendrulaleksandr.mobz.market/l13wle" TargetMode="External"/><Relationship Id="rId5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hyperlink" Target="https://rutube.ru/video/a4e08659e3cb9450f1636f69b9bdb91e/?r=a/" TargetMode="External"/><Relationship Id="rId2" Type="http://schemas.openxmlformats.org/officeDocument/2006/relationships/hyperlink" Target="https://wildberries.ru/catalog/0/search.aspx?search=WW832424" TargetMode="External"/><Relationship Id="rId3" Type="http://schemas.openxmlformats.org/officeDocument/2006/relationships/hyperlink" Target="https://aminotriggerfish.mobz.market/677" TargetMode="External"/><Relationship Id="rId4" Type="http://schemas.openxmlformats.org/officeDocument/2006/relationships/hyperlink" Target="https://rutube.ru/video/a4e08659e3cb9450f1636f69b9bdb91e/?r=a/" TargetMode="External"/><Relationship Id="rId9" Type="http://schemas.openxmlformats.org/officeDocument/2006/relationships/hyperlink" Target="https://www.youtube.com/@ludiidei" TargetMode="External"/><Relationship Id="rId5" Type="http://schemas.openxmlformats.org/officeDocument/2006/relationships/hyperlink" Target="https://youtube.com/@ribanutij" TargetMode="External"/><Relationship Id="rId6" Type="http://schemas.openxmlformats.org/officeDocument/2006/relationships/hyperlink" Target="https://wildberries.ru/catalog/0/search.aspx?search=WW894641" TargetMode="External"/><Relationship Id="rId7" Type="http://schemas.openxmlformats.org/officeDocument/2006/relationships/hyperlink" Target="https://aminotriggerfish.mobz.market/md7" TargetMode="External"/><Relationship Id="rId8" Type="http://schemas.openxmlformats.org/officeDocument/2006/relationships/hyperlink" Target="https://youtube.com/shorts/1XiTC31MWzE?feature=share" TargetMode="External"/><Relationship Id="rId40" Type="http://schemas.openxmlformats.org/officeDocument/2006/relationships/hyperlink" Target="https://vk.ru/wall-168295500_431101" TargetMode="External"/><Relationship Id="rId42" Type="http://schemas.openxmlformats.org/officeDocument/2006/relationships/hyperlink" Target="https://tglink.io/cde366e96c75c9?erid=2W5zFJhkj6Z" TargetMode="External"/><Relationship Id="rId41" Type="http://schemas.openxmlformats.org/officeDocument/2006/relationships/hyperlink" Target="https://max.ru/c/-72707816784629/AaBXRIGAaIE" TargetMode="External"/><Relationship Id="rId44" Type="http://schemas.openxmlformats.org/officeDocument/2006/relationships/hyperlink" Target="https://max.ru/fish_journal/AaBXvqNRG7w" TargetMode="External"/><Relationship Id="rId43" Type="http://schemas.openxmlformats.org/officeDocument/2006/relationships/hyperlink" Target="https://max.ru/c/-72707816784629/AaBXRIGAaIE" TargetMode="External"/><Relationship Id="rId46" Type="http://schemas.openxmlformats.org/officeDocument/2006/relationships/hyperlink" Target="https://max.ru/fish_journal/AaBXvqNRG7w" TargetMode="External"/><Relationship Id="rId45" Type="http://schemas.openxmlformats.org/officeDocument/2006/relationships/hyperlink" Target="https://tglink.io/68b4da0802d975?erid=2W5zFG6XzMP" TargetMode="External"/><Relationship Id="rId48" Type="http://schemas.openxmlformats.org/officeDocument/2006/relationships/hyperlink" Target="https://tglink.io/ac8d031cc6a8c8?erid=2W5zFGJPtc9" TargetMode="External"/><Relationship Id="rId47" Type="http://schemas.openxmlformats.org/officeDocument/2006/relationships/hyperlink" Target="https://max.ru/join/OXzYIhpRJQek7xz4G4UiZtNAFZSDD5rE7n-C7BkDRyU" TargetMode="External"/><Relationship Id="rId49" Type="http://schemas.openxmlformats.org/officeDocument/2006/relationships/hyperlink" Target="https://max.ru/join/OXzYIhpRJQek7xz4G4UiZtNAFZSDD5rE7n-C7BkDRyU" TargetMode="External"/><Relationship Id="rId31" Type="http://schemas.openxmlformats.org/officeDocument/2006/relationships/hyperlink" Target="https://youtube.com/@derevenski_parenek8501" TargetMode="External"/><Relationship Id="rId30" Type="http://schemas.openxmlformats.org/officeDocument/2006/relationships/hyperlink" Target="https://youtu.be/F-3FC08Ke3A?si=7O17S_UYjkCRn7HU" TargetMode="External"/><Relationship Id="rId33" Type="http://schemas.openxmlformats.org/officeDocument/2006/relationships/hyperlink" Target="https://youtube.com/@fishingondon" TargetMode="External"/><Relationship Id="rId32" Type="http://schemas.openxmlformats.org/officeDocument/2006/relationships/hyperlink" Target="https://youtube.com/shorts/eJsMXBVz4Dc?si=ZjwJvOAnoIjffCV1" TargetMode="External"/><Relationship Id="rId35" Type="http://schemas.openxmlformats.org/officeDocument/2006/relationships/hyperlink" Target="https://vk.ru/wall-214422155_87560" TargetMode="External"/><Relationship Id="rId34" Type="http://schemas.openxmlformats.org/officeDocument/2006/relationships/hyperlink" Target="https://youtu.be/km6dQaWgJvg?si=eTsOAxbl4voPLxlR" TargetMode="External"/><Relationship Id="rId37" Type="http://schemas.openxmlformats.org/officeDocument/2006/relationships/hyperlink" Target="https://vk.ru/wall-214422155_87560" TargetMode="External"/><Relationship Id="rId36" Type="http://schemas.openxmlformats.org/officeDocument/2006/relationships/hyperlink" Target="https://clck.ru/3VT6m5" TargetMode="External"/><Relationship Id="rId39" Type="http://schemas.openxmlformats.org/officeDocument/2006/relationships/hyperlink" Target="http://clck.ru/3VT6m5" TargetMode="External"/><Relationship Id="rId38" Type="http://schemas.openxmlformats.org/officeDocument/2006/relationships/hyperlink" Target="https://vk.ru/wall-168295500_431101" TargetMode="External"/><Relationship Id="rId20" Type="http://schemas.openxmlformats.org/officeDocument/2006/relationships/hyperlink" Target="https://max.ru/sakhahunter/AaAn1xqXLqE" TargetMode="External"/><Relationship Id="rId22" Type="http://schemas.openxmlformats.org/officeDocument/2006/relationships/hyperlink" Target="https://ozon.ru/product/aminotrigger-fish-aromatizator-dlya-rybalki-250-ml-5340361400/?hs=1&amp;utm_campaign=vendor_org_4202727_sakhahunter&amp;utm_content=m1&amp;utm_medium=cpc&amp;utm_source=telegram&amp;utm_term=100826" TargetMode="External"/><Relationship Id="rId21" Type="http://schemas.openxmlformats.org/officeDocument/2006/relationships/hyperlink" Target="https://t.me/sakhahunter" TargetMode="External"/><Relationship Id="rId24" Type="http://schemas.openxmlformats.org/officeDocument/2006/relationships/hyperlink" Target="https://t.me/sakhahunter/16875" TargetMode="External"/><Relationship Id="rId23" Type="http://schemas.openxmlformats.org/officeDocument/2006/relationships/hyperlink" Target="https://aminotriggerfish.mobz.market/23tv1" TargetMode="External"/><Relationship Id="rId26" Type="http://schemas.openxmlformats.org/officeDocument/2006/relationships/hyperlink" Target="https://ozon.ru/product/aminotrigger-fish-aromatizator-dlya-rybalki-250-ml-5340361400/?at=1v-i1XDOzTXqHy_AKUwi-0ey2wfKX68J&amp;hs=1&amp;utm_campaign=vendor_org_4202727&amp;utm_medium=video&amp;utm_source=vk&amp;utm_term=vanorybak" TargetMode="External"/><Relationship Id="rId25" Type="http://schemas.openxmlformats.org/officeDocument/2006/relationships/hyperlink" Target="https://vk.ru/vanorybak" TargetMode="External"/><Relationship Id="rId28" Type="http://schemas.openxmlformats.org/officeDocument/2006/relationships/hyperlink" Target="https://vkvideo.ru/video-230055583_456239251?list=2e0f7584ab690ad42a" TargetMode="External"/><Relationship Id="rId27" Type="http://schemas.openxmlformats.org/officeDocument/2006/relationships/hyperlink" Target="https://aminotriggerfish.mobz.market/43f7" TargetMode="External"/><Relationship Id="rId29" Type="http://schemas.openxmlformats.org/officeDocument/2006/relationships/hyperlink" Target="https://youtube.com/@rybalkanarekahiozerah?si=zYKPEAFOeSZ0G_UR" TargetMode="External"/><Relationship Id="rId11" Type="http://schemas.openxmlformats.org/officeDocument/2006/relationships/hyperlink" Target="https://www.instagram.com/elderlypeople58" TargetMode="External"/><Relationship Id="rId10" Type="http://schemas.openxmlformats.org/officeDocument/2006/relationships/hyperlink" Target="https://youtube.com/shorts/df3umMom5Ns?si=vOP9h2sVvh6mKNYo" TargetMode="External"/><Relationship Id="rId13" Type="http://schemas.openxmlformats.org/officeDocument/2006/relationships/hyperlink" Target="https://t.me/victorstepanych" TargetMode="External"/><Relationship Id="rId12" Type="http://schemas.openxmlformats.org/officeDocument/2006/relationships/hyperlink" Target="https://www.instagram.com/reel/DcOaXn6IttM/?igsh=MXdzYnVwOG9vOWJucA==&amp;igsi=MXdzYnVwOG9vOWJucA==" TargetMode="External"/><Relationship Id="rId15" Type="http://schemas.openxmlformats.org/officeDocument/2006/relationships/hyperlink" Target="https://ozon.ru/product/aminotrigger-fish-aromatizator-dlya-rybalki-250-ml-5340361400/?hs=1&amp;utm_campaign=vendor_org_4202727&amp;utm_content=victorstepanych&amp;utm_medium=cpc&amp;utm_source=telegram" TargetMode="External"/><Relationship Id="rId14" Type="http://schemas.openxmlformats.org/officeDocument/2006/relationships/hyperlink" Target="https://ozon.ru/product/aminotrigger-fish-aromatizator-dlya-rybalki-250-ml-5340361400/?hs=1&amp;utm_campaign=vendor_org_4202727&amp;utm_content=victorstepanych&amp;utm_medium=cpc&amp;utm_source=telegram" TargetMode="External"/><Relationship Id="rId17" Type="http://schemas.openxmlformats.org/officeDocument/2006/relationships/hyperlink" Target="https://max.ru/sakhahunter" TargetMode="External"/><Relationship Id="rId16" Type="http://schemas.openxmlformats.org/officeDocument/2006/relationships/hyperlink" Target="https://t.me/victorstepanych/13736" TargetMode="External"/><Relationship Id="rId19" Type="http://schemas.openxmlformats.org/officeDocument/2006/relationships/hyperlink" Target="https://aminotriggerfish.mobz.market/rjp" TargetMode="External"/><Relationship Id="rId18" Type="http://schemas.openxmlformats.org/officeDocument/2006/relationships/hyperlink" Target="https://ozon.ru/product/aminotrigger-fish-aromatizator-dlya-rybalki-250-ml-5340361400/?hs=1&amp;utm_campaign=vendor_org_4202727_sakhahunter&amp;utm_content=m1&amp;utm_medium=cpc&amp;utm_source=blog&amp;utm_term=100826" TargetMode="External"/><Relationship Id="rId62" Type="http://schemas.openxmlformats.org/officeDocument/2006/relationships/drawing" Target="../drawings/drawing5.xml"/><Relationship Id="rId61" Type="http://schemas.openxmlformats.org/officeDocument/2006/relationships/hyperlink" Target="https://max.ru/fishfearme/AaBYH017EoE" TargetMode="External"/><Relationship Id="rId60" Type="http://schemas.openxmlformats.org/officeDocument/2006/relationships/hyperlink" Target="https://tglink.io/8ec6d935d2faff?erid=2W5zFJenkXs" TargetMode="External"/><Relationship Id="rId51" Type="http://schemas.openxmlformats.org/officeDocument/2006/relationships/hyperlink" Target="https://tglink.io/d7fc39e1656d31?erid=2W5zFGFRv3T" TargetMode="External"/><Relationship Id="rId50" Type="http://schemas.openxmlformats.org/officeDocument/2006/relationships/hyperlink" Target="https://max.ru/c/-72372553111727/AaBX6Jmib7w" TargetMode="External"/><Relationship Id="rId53" Type="http://schemas.openxmlformats.org/officeDocument/2006/relationships/hyperlink" Target="https://max.ru/channel_riabalka/AaBYHzzXIEk" TargetMode="External"/><Relationship Id="rId52" Type="http://schemas.openxmlformats.org/officeDocument/2006/relationships/hyperlink" Target="https://max.ru/c/-72372553111727/AaBX6Jmib7w" TargetMode="External"/><Relationship Id="rId55" Type="http://schemas.openxmlformats.org/officeDocument/2006/relationships/hyperlink" Target="https://max.ru/channel_riabalka/AaBYHzzXIEk" TargetMode="External"/><Relationship Id="rId54" Type="http://schemas.openxmlformats.org/officeDocument/2006/relationships/hyperlink" Target="https://tglink.io/053c6affc02b9a?erid=2W5zFGDwvm7" TargetMode="External"/><Relationship Id="rId57" Type="http://schemas.openxmlformats.org/officeDocument/2006/relationships/hyperlink" Target="https://tglink.io/5c721dd9d55830?erid=2W5zFG81ydj" TargetMode="External"/><Relationship Id="rId56" Type="http://schemas.openxmlformats.org/officeDocument/2006/relationships/hyperlink" Target="https://max.ru/rybalka555/AaBcdVAYVRw" TargetMode="External"/><Relationship Id="rId59" Type="http://schemas.openxmlformats.org/officeDocument/2006/relationships/hyperlink" Target="https://max.ru/fishfearme/AaBYH017EoE" TargetMode="External"/><Relationship Id="rId58" Type="http://schemas.openxmlformats.org/officeDocument/2006/relationships/hyperlink" Target="https://max.ru/rybalka555/AaBcdVAYVRw" TargetMode="External"/></Relationships>
</file>

<file path=xl/worksheets/_rels/sheet6.xml.rels><?xml version="1.0" encoding="UTF-8" standalone="yes"?><Relationships xmlns="http://schemas.openxmlformats.org/package/2006/relationships"><Relationship Id="rId190" Type="http://schemas.openxmlformats.org/officeDocument/2006/relationships/hyperlink" Target="https://t.me/green_doctorbot?start=tg_Nadacheprigoditca" TargetMode="External"/><Relationship Id="rId194" Type="http://schemas.openxmlformats.org/officeDocument/2006/relationships/hyperlink" Target="https://telegram.me/masherisha_art/2499" TargetMode="External"/><Relationship Id="rId193" Type="http://schemas.openxmlformats.org/officeDocument/2006/relationships/hyperlink" Target="https://t.me/green_doctorbot?start=tg_masherisha_art&amp;amp;erid=2W5zFJdEk1F" TargetMode="External"/><Relationship Id="rId192" Type="http://schemas.openxmlformats.org/officeDocument/2006/relationships/hyperlink" Target="https://telegram.me/masherisha_art" TargetMode="External"/><Relationship Id="rId191" Type="http://schemas.openxmlformats.org/officeDocument/2006/relationships/hyperlink" Target="https://telegram.me/Nadacheprigoditca/13514" TargetMode="External"/><Relationship Id="rId187" Type="http://schemas.openxmlformats.org/officeDocument/2006/relationships/hyperlink" Target="https://t.me/klev_m_bot?start=tg_telegram_dialogiproribalky_post_09_09_38&amp;erid=2W5zFG2D65P" TargetMode="External"/><Relationship Id="rId186" Type="http://schemas.openxmlformats.org/officeDocument/2006/relationships/hyperlink" Target="https://telegram.me/+L2e_5UlGpMw0M2My" TargetMode="External"/><Relationship Id="rId185" Type="http://schemas.openxmlformats.org/officeDocument/2006/relationships/hyperlink" Target="https://vk.ru/wall-196696134_51066" TargetMode="External"/><Relationship Id="rId184" Type="http://schemas.openxmlformats.org/officeDocument/2006/relationships/hyperlink" Target="http://clck.ru/3VdDPH" TargetMode="External"/><Relationship Id="rId189" Type="http://schemas.openxmlformats.org/officeDocument/2006/relationships/hyperlink" Target="https://telegram.me/Nadacheprigoditca" TargetMode="External"/><Relationship Id="rId188" Type="http://schemas.openxmlformats.org/officeDocument/2006/relationships/hyperlink" Target="https://telegram.me/+L2e_5UlGpMw0M2My" TargetMode="External"/><Relationship Id="rId183" Type="http://schemas.openxmlformats.org/officeDocument/2006/relationships/hyperlink" Target="https://vk.ru/club196696134" TargetMode="External"/><Relationship Id="rId182" Type="http://schemas.openxmlformats.org/officeDocument/2006/relationships/hyperlink" Target="https://t.me/RF4_Vkluchite_klev/45979" TargetMode="External"/><Relationship Id="rId181" Type="http://schemas.openxmlformats.org/officeDocument/2006/relationships/hyperlink" Target="https://telegram.me/RF4_Vkluchite_klev/" TargetMode="External"/><Relationship Id="rId180" Type="http://schemas.openxmlformats.org/officeDocument/2006/relationships/hyperlink" Target="https://telegram.me/ogorodidacha/8491" TargetMode="External"/><Relationship Id="rId176" Type="http://schemas.openxmlformats.org/officeDocument/2006/relationships/hyperlink" Target="https://t.me/klev_m_bot?start=tg_telegram_fishercl_post_09_09_30" TargetMode="External"/><Relationship Id="rId297" Type="http://schemas.openxmlformats.org/officeDocument/2006/relationships/hyperlink" Target="https://max.ru/channel_fishing_Moscow" TargetMode="External"/><Relationship Id="rId175" Type="http://schemas.openxmlformats.org/officeDocument/2006/relationships/hyperlink" Target="https://telegram.me/fishercl" TargetMode="External"/><Relationship Id="rId296" Type="http://schemas.openxmlformats.org/officeDocument/2006/relationships/hyperlink" Target="https://max.ru/join/-MJhyPPkgreSIoYuLu0lh-AJuR-cShsiv9NjhUZbTuM" TargetMode="External"/><Relationship Id="rId174" Type="http://schemas.openxmlformats.org/officeDocument/2006/relationships/hyperlink" Target="https://telegram.me/rubalkamoskva/43703" TargetMode="External"/><Relationship Id="rId295" Type="http://schemas.openxmlformats.org/officeDocument/2006/relationships/hyperlink" Target="https://aminotriggerfish.mobz.market/ao8es" TargetMode="External"/><Relationship Id="rId173" Type="http://schemas.openxmlformats.org/officeDocument/2006/relationships/hyperlink" Target="https://t.me/klev_m_bot?start=tg_telegram_rubalkamoskva_post_09_09_34" TargetMode="External"/><Relationship Id="rId294" Type="http://schemas.openxmlformats.org/officeDocument/2006/relationships/hyperlink" Target="https://ozon.ru/product/aminotrigger-fish-aromatizator-dlya-rybalki-250-ml-5340361400/?hs=1&amp;utm_campaign=vendor_org_4202727_max_m1&amp;utm_medium=cpc&amp;utm_source=blog" TargetMode="External"/><Relationship Id="rId179" Type="http://schemas.openxmlformats.org/officeDocument/2006/relationships/hyperlink" Target="https://t.me/green_doctorbot?start=tg_ogorodidacha" TargetMode="External"/><Relationship Id="rId178" Type="http://schemas.openxmlformats.org/officeDocument/2006/relationships/hyperlink" Target="https://telegram.me/ogorodidacha" TargetMode="External"/><Relationship Id="rId299" Type="http://schemas.openxmlformats.org/officeDocument/2006/relationships/hyperlink" Target="https://aminotriggerfish.mobz.market/k64" TargetMode="External"/><Relationship Id="rId177" Type="http://schemas.openxmlformats.org/officeDocument/2006/relationships/hyperlink" Target="https://telegram.me/fishercl/5229" TargetMode="External"/><Relationship Id="rId298" Type="http://schemas.openxmlformats.org/officeDocument/2006/relationships/hyperlink" Target="https://ozon.ru/product/aminotrigger-fish-aromatizator-dlya-rybalki-250-ml-5340361400/?at=1mSl1-brWXio0vr58JpxYin5L28OGbHc&amp;hs=1&amp;utm_campaign=vendor_org_4202727_max_m1&amp;utm_medium=cpc&amp;utm_source=blog&amp;utm_term=fishing_Moscow" TargetMode="External"/><Relationship Id="rId198" Type="http://schemas.openxmlformats.org/officeDocument/2006/relationships/hyperlink" Target="https://telegram.me/fishingspb1" TargetMode="External"/><Relationship Id="rId197" Type="http://schemas.openxmlformats.org/officeDocument/2006/relationships/hyperlink" Target="https://telegram.me/ourflowe/2510" TargetMode="External"/><Relationship Id="rId196" Type="http://schemas.openxmlformats.org/officeDocument/2006/relationships/hyperlink" Target="https://t.me/green_doctorbot?start=tg_ourflowe&amp;amp;erid=2W5zFJkegQy" TargetMode="External"/><Relationship Id="rId195" Type="http://schemas.openxmlformats.org/officeDocument/2006/relationships/hyperlink" Target="https://telegram.me/ourflowe" TargetMode="External"/><Relationship Id="rId199" Type="http://schemas.openxmlformats.org/officeDocument/2006/relationships/hyperlink" Target="https://t.me/klev_m_bot?start=tg_telegram_fishingspb1_post_09_09_32&amp;amp;erid=2W5zFK95EyX" TargetMode="External"/><Relationship Id="rId150" Type="http://schemas.openxmlformats.org/officeDocument/2006/relationships/hyperlink" Target="https://telegram.me/RussianFishRR4/73086" TargetMode="External"/><Relationship Id="rId271" Type="http://schemas.openxmlformats.org/officeDocument/2006/relationships/hyperlink" Target="https://aminotriggerfish.mobz.market/txk" TargetMode="External"/><Relationship Id="rId392" Type="http://schemas.openxmlformats.org/officeDocument/2006/relationships/hyperlink" Target="https://max.ru/city_and_house/AaCz9jnRSEo" TargetMode="External"/><Relationship Id="rId270" Type="http://schemas.openxmlformats.org/officeDocument/2006/relationships/hyperlink" Target="https://ozon.ru/product/aminotrigger-fish-aromatizator-dlya-rybalki-250-ml-5340361400/?hs=1&amp;utm_campaign=vendor_org_4202727_max_m1&amp;utm_medium=cpc&amp;utm_source=blog&amp;utm_term=udachnaya_rybalca" TargetMode="External"/><Relationship Id="rId391" Type="http://schemas.openxmlformats.org/officeDocument/2006/relationships/hyperlink" Target="https://aminotriggerfish.mobz.market/59c" TargetMode="External"/><Relationship Id="rId390" Type="http://schemas.openxmlformats.org/officeDocument/2006/relationships/hyperlink" Target="https://ozon.ru/product/aminotrigger-fish-aromatizator-dlya-rybalki-250-ml-5340361400/?at=1mSl1-brWXio0vr58JpxYin5L28OGbHc&amp;hs=1&amp;utm_campaign=vendor_org_4202727_city_and_house&amp;utm_medium=cpc&amp;utm_source=blog&amp;utm_term=max_1709" TargetMode="External"/><Relationship Id="rId1" Type="http://schemas.openxmlformats.org/officeDocument/2006/relationships/hyperlink" Target="https://vk.ru/club214025433" TargetMode="External"/><Relationship Id="rId2" Type="http://schemas.openxmlformats.org/officeDocument/2006/relationships/hyperlink" Target="https://clck.ru/3VT6m5" TargetMode="External"/><Relationship Id="rId3" Type="http://schemas.openxmlformats.org/officeDocument/2006/relationships/hyperlink" Target="https://vk.ru/wall-214025433_411359" TargetMode="External"/><Relationship Id="rId149" Type="http://schemas.openxmlformats.org/officeDocument/2006/relationships/hyperlink" Target="https://t.me/klev_m_bot?start=tg_telegram_russianfishrr4_post_09_09_40" TargetMode="External"/><Relationship Id="rId4" Type="http://schemas.openxmlformats.org/officeDocument/2006/relationships/hyperlink" Target="https://vk.ru/club93717228" TargetMode="External"/><Relationship Id="rId148" Type="http://schemas.openxmlformats.org/officeDocument/2006/relationships/hyperlink" Target="https://telegram.me/RussianFishRR4" TargetMode="External"/><Relationship Id="rId269" Type="http://schemas.openxmlformats.org/officeDocument/2006/relationships/hyperlink" Target="https://max.ru/udachnaya_rybalca" TargetMode="External"/><Relationship Id="rId9" Type="http://schemas.openxmlformats.org/officeDocument/2006/relationships/hyperlink" Target="https://max.ru/ribalka_fishing24/AaBc19PkI_8" TargetMode="External"/><Relationship Id="rId143" Type="http://schemas.openxmlformats.org/officeDocument/2006/relationships/hyperlink" Target="https://t.me/klev_m_bot?start=tg_telegram_russianfishbaraxolka_post_09_09_47&amp;amp;erid=2W5zFGFYycV" TargetMode="External"/><Relationship Id="rId264" Type="http://schemas.openxmlformats.org/officeDocument/2006/relationships/hyperlink" Target="https://vk.ru/wall-130046921_20245" TargetMode="External"/><Relationship Id="rId385" Type="http://schemas.openxmlformats.org/officeDocument/2006/relationships/hyperlink" Target="https://max.ru/ch_600bd9ea0424210ae70922c8" TargetMode="External"/><Relationship Id="rId142" Type="http://schemas.openxmlformats.org/officeDocument/2006/relationships/hyperlink" Target="https://telegram.me/RussianFishBaraxolka" TargetMode="External"/><Relationship Id="rId263" Type="http://schemas.openxmlformats.org/officeDocument/2006/relationships/hyperlink" Target="https://clck.ru/3Vc9GU" TargetMode="External"/><Relationship Id="rId384" Type="http://schemas.openxmlformats.org/officeDocument/2006/relationships/hyperlink" Target="https://max.ru/join/aQIK8oU6sFdQJSu7igCkIeu_CDyedoyLUJQPEh3ULOI" TargetMode="External"/><Relationship Id="rId141" Type="http://schemas.openxmlformats.org/officeDocument/2006/relationships/hyperlink" Target="https://vk.ru/wall-225090979_5326" TargetMode="External"/><Relationship Id="rId262" Type="http://schemas.openxmlformats.org/officeDocument/2006/relationships/hyperlink" Target="https://vk.ru/club130046921" TargetMode="External"/><Relationship Id="rId383" Type="http://schemas.openxmlformats.org/officeDocument/2006/relationships/hyperlink" Target="https://aminotriggerfish.mobz.market/8fr1" TargetMode="External"/><Relationship Id="rId140" Type="http://schemas.openxmlformats.org/officeDocument/2006/relationships/hyperlink" Target="https://trigger-fish.ru/?utm_source=vk&amp;utm_medium=cpc&amp;utm_content=rubalka" TargetMode="External"/><Relationship Id="rId261" Type="http://schemas.openxmlformats.org/officeDocument/2006/relationships/hyperlink" Target="https://vk.ru/wall-181975310_344645" TargetMode="External"/><Relationship Id="rId382" Type="http://schemas.openxmlformats.org/officeDocument/2006/relationships/hyperlink" Target="https://ozon.ru/product/aminotrigger-fish-aromatizator-dlya-rybalki-250-ml-5340361400/?at=1mSl1-brWXio0vr58JpxYin5L28OGbHc&amp;hs=1&amp;utm_campaign=vendor_org_4202727_Teletehnik&amp;utm_medium=cpc&amp;utm_source=blog&amp;utm_term=max_1709" TargetMode="External"/><Relationship Id="rId5" Type="http://schemas.openxmlformats.org/officeDocument/2006/relationships/hyperlink" Target="https://clck.ru/3VT79H" TargetMode="External"/><Relationship Id="rId147" Type="http://schemas.openxmlformats.org/officeDocument/2006/relationships/hyperlink" Target="https://telegram.me/rf4crazyft/80144" TargetMode="External"/><Relationship Id="rId268" Type="http://schemas.openxmlformats.org/officeDocument/2006/relationships/hyperlink" Target="https://max.ru/club187241993/AaCeu90lPgM" TargetMode="External"/><Relationship Id="rId389" Type="http://schemas.openxmlformats.org/officeDocument/2006/relationships/hyperlink" Target="https://max.ru/city_and_house" TargetMode="External"/><Relationship Id="rId6" Type="http://schemas.openxmlformats.org/officeDocument/2006/relationships/hyperlink" Target="https://vk.ru/wall-93717228_96666" TargetMode="External"/><Relationship Id="rId146" Type="http://schemas.openxmlformats.org/officeDocument/2006/relationships/hyperlink" Target="https://t.me/klev_m_bot?start=tg_telegram_rf4crazyft_post_09_09_41" TargetMode="External"/><Relationship Id="rId267" Type="http://schemas.openxmlformats.org/officeDocument/2006/relationships/hyperlink" Target="https://aminotriggerfish.mobz.market/44ucaz" TargetMode="External"/><Relationship Id="rId388" Type="http://schemas.openxmlformats.org/officeDocument/2006/relationships/hyperlink" Target="https://max.ru/ch_600bd9ea0424210ae70922c8/AaCuL5OYS6M" TargetMode="External"/><Relationship Id="rId7" Type="http://schemas.openxmlformats.org/officeDocument/2006/relationships/hyperlink" Target="https://max.ru/ribalka_fishing24" TargetMode="External"/><Relationship Id="rId145" Type="http://schemas.openxmlformats.org/officeDocument/2006/relationships/hyperlink" Target="https://telegram.me/rf4crazyft" TargetMode="External"/><Relationship Id="rId266" Type="http://schemas.openxmlformats.org/officeDocument/2006/relationships/hyperlink" Target="https://ozon.ru/product/aminotrigger-fish-aromatizator-dlya-rybalki-250-ml-5340361400/?hs=1&amp;utm_campaign=vendor_org_4202727_max_m1&amp;utm_medium=cpc&amp;utm_source=site&amp;utm_term=club187241993" TargetMode="External"/><Relationship Id="rId387" Type="http://schemas.openxmlformats.org/officeDocument/2006/relationships/hyperlink" Target="https://aminotriggerfish.mobz.market/h4y0" TargetMode="External"/><Relationship Id="rId8" Type="http://schemas.openxmlformats.org/officeDocument/2006/relationships/hyperlink" Target="https://tglink.io/bc98cafb210178?erid=2W5zFFziRNh" TargetMode="External"/><Relationship Id="rId144" Type="http://schemas.openxmlformats.org/officeDocument/2006/relationships/hyperlink" Target="https://telegram.me/RussianFishBaraxolka/8292" TargetMode="External"/><Relationship Id="rId265" Type="http://schemas.openxmlformats.org/officeDocument/2006/relationships/hyperlink" Target="https://max.ru/club187241993" TargetMode="External"/><Relationship Id="rId386" Type="http://schemas.openxmlformats.org/officeDocument/2006/relationships/hyperlink" Target="https://ozon.ru/product/aminotrigger-fish-aromatizator-dlya-rybalki-250-ml-5340361400/?at=1mSl1-brWXio0vr58JpxYin5L28OGbHc&amp;hs=1&amp;utm_campaign=vendor_org_4202727_v_kurskoi_derevne&amp;utm_medium=cpc&amp;utm_source=blog&amp;utm_term=max_1709" TargetMode="External"/><Relationship Id="rId260" Type="http://schemas.openxmlformats.org/officeDocument/2006/relationships/hyperlink" Target="https://clck.ru/3VayYw" TargetMode="External"/><Relationship Id="rId381" Type="http://schemas.openxmlformats.org/officeDocument/2006/relationships/hyperlink" Target="https://max.ru/join/aQIK8oU6sFdQJSu7igCkIeu_CDyedoyLUJQPEh3ULOI" TargetMode="External"/><Relationship Id="rId380" Type="http://schemas.openxmlformats.org/officeDocument/2006/relationships/hyperlink" Target="https://max.ru/join/5oLcrtQvPyr_ciBlL2jvUs4TgNOKWX64aHUG0t2qmG0" TargetMode="External"/><Relationship Id="rId139" Type="http://schemas.openxmlformats.org/officeDocument/2006/relationships/hyperlink" Target="https://vk.ru/club225090979" TargetMode="External"/><Relationship Id="rId138" Type="http://schemas.openxmlformats.org/officeDocument/2006/relationships/hyperlink" Target="https://vk.ru/wall-47977000_13400" TargetMode="External"/><Relationship Id="rId259" Type="http://schemas.openxmlformats.org/officeDocument/2006/relationships/hyperlink" Target="https://vk.ru/wall-181975310_344645" TargetMode="External"/><Relationship Id="rId137" Type="http://schemas.openxmlformats.org/officeDocument/2006/relationships/hyperlink" Target="https://clck.ru/3Vaz2C" TargetMode="External"/><Relationship Id="rId258" Type="http://schemas.openxmlformats.org/officeDocument/2006/relationships/hyperlink" Target="https://t.me/rybalka_dnr/4674" TargetMode="External"/><Relationship Id="rId379" Type="http://schemas.openxmlformats.org/officeDocument/2006/relationships/hyperlink" Target="https://aminotriggerfish.mobz.market/76afov" TargetMode="External"/><Relationship Id="rId132" Type="http://schemas.openxmlformats.org/officeDocument/2006/relationships/hyperlink" Target="https://vk.ru/wall-230805554_843" TargetMode="External"/><Relationship Id="rId253" Type="http://schemas.openxmlformats.org/officeDocument/2006/relationships/hyperlink" Target="https://ozon.ru/product/aminotrigger-fish-aromatizator-dlya-rybalki-250-ml-5340361400/?hs=1&amp;utm_campaign=vendor_org_4202727_drunea11&amp;utm_medium=video&amp;utm_source=youtube&amp;utm_term=130926_m1" TargetMode="External"/><Relationship Id="rId374" Type="http://schemas.openxmlformats.org/officeDocument/2006/relationships/hyperlink" Target="https://ozon.ru/product/aminotrigger-fish-aromatizator-dlya-rybalki-250-ml-5340361400/?at=1mSl1-brWXio0vr58JpxYin5L28OGbHc&amp;hs=1&amp;utm_campaign=vendor_org_4202727_sdelano_rukami&amp;utm_medium=cpc&amp;utm_source=blog&amp;utm_term=max_1709" TargetMode="External"/><Relationship Id="rId495" Type="http://schemas.openxmlformats.org/officeDocument/2006/relationships/hyperlink" Target="https://youtube.com/@just_hook_up?si=TwXmM1YSSgvBHaPk" TargetMode="External"/><Relationship Id="rId131" Type="http://schemas.openxmlformats.org/officeDocument/2006/relationships/hyperlink" Target="https://clck.ru/3Vaxnx" TargetMode="External"/><Relationship Id="rId252" Type="http://schemas.openxmlformats.org/officeDocument/2006/relationships/hyperlink" Target="http://www.youtube.com/@drunea11" TargetMode="External"/><Relationship Id="rId373" Type="http://schemas.openxmlformats.org/officeDocument/2006/relationships/hyperlink" Target="https://max.ru/join/Z7chQaJt8p5-nsPCNk8sYRpdyM8NwTfQU-HmTzZ0V0w" TargetMode="External"/><Relationship Id="rId494" Type="http://schemas.openxmlformats.org/officeDocument/2006/relationships/hyperlink" Target="https://dzen.ru/video/watch/6ab69e9a87af81210c3e2eaf" TargetMode="External"/><Relationship Id="rId130" Type="http://schemas.openxmlformats.org/officeDocument/2006/relationships/hyperlink" Target="https://t.me/klev_m_bot?start=tg_telegram_telefishing_post_09_09_26" TargetMode="External"/><Relationship Id="rId251" Type="http://schemas.openxmlformats.org/officeDocument/2006/relationships/hyperlink" Target="https://telegram.me/rybakidv/30684" TargetMode="External"/><Relationship Id="rId372" Type="http://schemas.openxmlformats.org/officeDocument/2006/relationships/hyperlink" Target="https://max.ru/join/TvQLS0w4ME6NxyFNFjDJjcnKXkUrxNLCLkSdEVoL9gk" TargetMode="External"/><Relationship Id="rId493" Type="http://schemas.openxmlformats.org/officeDocument/2006/relationships/hyperlink" Target="https://aminotriggerfish.mobz.market/aoaoa5" TargetMode="External"/><Relationship Id="rId250" Type="http://schemas.openxmlformats.org/officeDocument/2006/relationships/hyperlink" Target="https://t.me/klev_m_bot?start=tg_telegram_rybakidv_post_11_09_26" TargetMode="External"/><Relationship Id="rId371" Type="http://schemas.openxmlformats.org/officeDocument/2006/relationships/hyperlink" Target="https://aminotriggerfish.mobz.market/asfinf" TargetMode="External"/><Relationship Id="rId492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solnce_na_kruchke_ultralight&amp;utm_medium=cpc&amp;utm_source=dzen&amp;utm_term=270926_m1" TargetMode="External"/><Relationship Id="rId136" Type="http://schemas.openxmlformats.org/officeDocument/2006/relationships/hyperlink" Target="https://vk.ru/club47977000" TargetMode="External"/><Relationship Id="rId257" Type="http://schemas.openxmlformats.org/officeDocument/2006/relationships/hyperlink" Target="https://t.me/klev_m_bot?start=tg_telegram_donezk_post_11_09_26" TargetMode="External"/><Relationship Id="rId378" Type="http://schemas.openxmlformats.org/officeDocument/2006/relationships/hyperlink" Target="https://ozon.ru/product/aminotrigger-fish-aromatizator-dlya-rybalki-250-ml-5340361400/?at=1mSl1-brWXio0vr58JpxYin5L28OGbHc&amp;hs=1&amp;utm_campaign=vendor_org_4202727_samodelnaya_tehnika&amp;utm_medium=cpc&amp;utm_source=blog&amp;utm_term=max_1709" TargetMode="External"/><Relationship Id="rId499" Type="http://schemas.openxmlformats.org/officeDocument/2006/relationships/hyperlink" Target="https://vk.ru/just_hook_up" TargetMode="External"/><Relationship Id="rId135" Type="http://schemas.openxmlformats.org/officeDocument/2006/relationships/hyperlink" Target="https://vk.ru/wall-119682343_60725" TargetMode="External"/><Relationship Id="rId256" Type="http://schemas.openxmlformats.org/officeDocument/2006/relationships/hyperlink" Target="https://telegram.me/+vCWMo1HBFIlmMzNi" TargetMode="External"/><Relationship Id="rId377" Type="http://schemas.openxmlformats.org/officeDocument/2006/relationships/hyperlink" Target="https://max.ru/join/5oLcrtQvPyr_ciBlL2jvUs4TgNOKWX64aHUG0t2qmG0" TargetMode="External"/><Relationship Id="rId498" Type="http://schemas.openxmlformats.org/officeDocument/2006/relationships/hyperlink" Target="https://youtube.com/shorts/o9MwXD4ZssQ?si=sIwW2sel72LLTqLv6" TargetMode="External"/><Relationship Id="rId134" Type="http://schemas.openxmlformats.org/officeDocument/2006/relationships/hyperlink" Target="https://clck.ru/3Vaymg" TargetMode="External"/><Relationship Id="rId255" Type="http://schemas.openxmlformats.org/officeDocument/2006/relationships/hyperlink" Target="https://youtu.be/R3q3sui6k-U?si=_MpYbGfULobnh0e5" TargetMode="External"/><Relationship Id="rId376" Type="http://schemas.openxmlformats.org/officeDocument/2006/relationships/hyperlink" Target="https://max.ru/join/Z7chQaJt8p5-nsPCNk8sYRpdyM8NwTfQU-HmTzZ0V0w" TargetMode="External"/><Relationship Id="rId497" Type="http://schemas.openxmlformats.org/officeDocument/2006/relationships/hyperlink" Target="https://aminotriggerfish.mobz.market/e837" TargetMode="External"/><Relationship Id="rId133" Type="http://schemas.openxmlformats.org/officeDocument/2006/relationships/hyperlink" Target="https://vk.ru/club119682343" TargetMode="External"/><Relationship Id="rId254" Type="http://schemas.openxmlformats.org/officeDocument/2006/relationships/hyperlink" Target="https://aminotriggerfish.mobz.market/7eko" TargetMode="External"/><Relationship Id="rId375" Type="http://schemas.openxmlformats.org/officeDocument/2006/relationships/hyperlink" Target="https://aminotriggerfish.mobz.market/esd" TargetMode="External"/><Relationship Id="rId496" Type="http://schemas.openxmlformats.org/officeDocument/2006/relationships/hyperlink" Target="https://ozon.ru/product/aminotrigger-fish-aromatizator-dlya-rybalki-250-ml-5340361400/?at=1mSl1-brWXio0vr58JpxYin5L28OGbHc&amp;hs=1&amp;utm_campaign=vendor_org_4202727_just_hook_up&amp;utm_medium=video&amp;utm_source=youtube&amp;utm_term=200926_m1" TargetMode="External"/><Relationship Id="rId172" Type="http://schemas.openxmlformats.org/officeDocument/2006/relationships/hyperlink" Target="https://telegram.me/rubalkamoskva" TargetMode="External"/><Relationship Id="rId293" Type="http://schemas.openxmlformats.org/officeDocument/2006/relationships/hyperlink" Target="https://max.ru/join/-MJhyPPkgreSIoYuLu0lh-AJuR-cShsiv9NjhUZbTuM" TargetMode="External"/><Relationship Id="rId171" Type="http://schemas.openxmlformats.org/officeDocument/2006/relationships/hyperlink" Target="https://telegram.me/Fishing_Kuban_Adygea/24822" TargetMode="External"/><Relationship Id="rId292" Type="http://schemas.openxmlformats.org/officeDocument/2006/relationships/hyperlink" Target="https://max.ru/sl_fishing/AaCeufQUegM" TargetMode="External"/><Relationship Id="rId170" Type="http://schemas.openxmlformats.org/officeDocument/2006/relationships/hyperlink" Target="https://t.me/klev_m_bot?start=tg_telegram_fishing_kuban_adygea_post_09_09_29" TargetMode="External"/><Relationship Id="rId291" Type="http://schemas.openxmlformats.org/officeDocument/2006/relationships/hyperlink" Target="https://aminotriggerfish.mobz.market/hnx" TargetMode="External"/><Relationship Id="rId290" Type="http://schemas.openxmlformats.org/officeDocument/2006/relationships/hyperlink" Target="https://ozon.ru/product/aminotrigger-fish-aromatizator-dlya-rybalki-250-ml-5340361400/?hs=1&amp;utm_campaign=vendor_org_4202727_max_m1&amp;utm_medium=cpc&amp;utm_source=blog&amp;utm_term=sl_fishing" TargetMode="External"/><Relationship Id="rId165" Type="http://schemas.openxmlformats.org/officeDocument/2006/relationships/hyperlink" Target="https://telegram.me/Ribalka_Maykop/17738" TargetMode="External"/><Relationship Id="rId286" Type="http://schemas.openxmlformats.org/officeDocument/2006/relationships/hyperlink" Target="https://ozon.ru/product/aminotrigger-fish-aromatizator-dlya-rybalki-250-ml-5340361400/?hs=1&amp;utm_campaign=vendor_org_4202727_max_m1&amp;utm_medium=cpc&amp;utm_source=blog&amp;utm_term=sakhahunter" TargetMode="External"/><Relationship Id="rId164" Type="http://schemas.openxmlformats.org/officeDocument/2006/relationships/hyperlink" Target="https://t.me/klev_m_bot?start=tg_telegram_ribalka_maykop_post_09_09_33" TargetMode="External"/><Relationship Id="rId285" Type="http://schemas.openxmlformats.org/officeDocument/2006/relationships/hyperlink" Target="https://max.ru/sakhahunter" TargetMode="External"/><Relationship Id="rId163" Type="http://schemas.openxmlformats.org/officeDocument/2006/relationships/hyperlink" Target="https://telegram.me/Ribalka_Maykop" TargetMode="External"/><Relationship Id="rId284" Type="http://schemas.openxmlformats.org/officeDocument/2006/relationships/hyperlink" Target="https://max.ru/zvuksekta/AaCeu-nvYgM" TargetMode="External"/><Relationship Id="rId162" Type="http://schemas.openxmlformats.org/officeDocument/2006/relationships/hyperlink" Target="https://telegram.me/Rostov_Fishing/11148" TargetMode="External"/><Relationship Id="rId283" Type="http://schemas.openxmlformats.org/officeDocument/2006/relationships/hyperlink" Target="https://aminotriggerfish.mobz.market/cxfiy1" TargetMode="External"/><Relationship Id="rId169" Type="http://schemas.openxmlformats.org/officeDocument/2006/relationships/hyperlink" Target="https://telegram.me/Fishing_Kuban_Adygea" TargetMode="External"/><Relationship Id="rId168" Type="http://schemas.openxmlformats.org/officeDocument/2006/relationships/hyperlink" Target="https://telegram.me/astrafishing30/11025" TargetMode="External"/><Relationship Id="rId289" Type="http://schemas.openxmlformats.org/officeDocument/2006/relationships/hyperlink" Target="https://max.ru/sl_fishing" TargetMode="External"/><Relationship Id="rId167" Type="http://schemas.openxmlformats.org/officeDocument/2006/relationships/hyperlink" Target="https://t.me/klev_m_bot?start=tg_telegram_astrafishing30_post_09_09_31" TargetMode="External"/><Relationship Id="rId288" Type="http://schemas.openxmlformats.org/officeDocument/2006/relationships/hyperlink" Target="https://max.ru/sakhahunter/AaCdbZpWOQQ" TargetMode="External"/><Relationship Id="rId166" Type="http://schemas.openxmlformats.org/officeDocument/2006/relationships/hyperlink" Target="https://telegram.me/astrafishing30" TargetMode="External"/><Relationship Id="rId287" Type="http://schemas.openxmlformats.org/officeDocument/2006/relationships/hyperlink" Target="https://aminotriggerfish.mobz.market/omiuxi" TargetMode="External"/><Relationship Id="rId161" Type="http://schemas.openxmlformats.org/officeDocument/2006/relationships/hyperlink" Target="https://t.me/klev_m_bot?start=tg_telegram_rostov_fishing_post_09_09_43" TargetMode="External"/><Relationship Id="rId282" Type="http://schemas.openxmlformats.org/officeDocument/2006/relationships/hyperlink" Target="https://ozon.ru/product/aminotrigger-fish-aromatizator-dlya-rybalki-250-ml-5340361400/?hs=1&amp;utm_campaign=vendor_org_4202727_max_m1&amp;utm_medium=cpc&amp;utm_source=blog&amp;utm_term=zvuksekta" TargetMode="External"/><Relationship Id="rId160" Type="http://schemas.openxmlformats.org/officeDocument/2006/relationships/hyperlink" Target="https://telegram.me/Rostov_Fishing" TargetMode="External"/><Relationship Id="rId281" Type="http://schemas.openxmlformats.org/officeDocument/2006/relationships/hyperlink" Target="https://max.ru/zvuksekta" TargetMode="External"/><Relationship Id="rId280" Type="http://schemas.openxmlformats.org/officeDocument/2006/relationships/hyperlink" Target="https://max.ru/Fishing_Stavropol/AaCegr08VAM" TargetMode="External"/><Relationship Id="rId159" Type="http://schemas.openxmlformats.org/officeDocument/2006/relationships/hyperlink" Target="https://telegram.me/rybanutyye/11538" TargetMode="External"/><Relationship Id="rId154" Type="http://schemas.openxmlformats.org/officeDocument/2006/relationships/hyperlink" Target="https://telegram.me/rybalka_kanal_fishing" TargetMode="External"/><Relationship Id="rId275" Type="http://schemas.openxmlformats.org/officeDocument/2006/relationships/hyperlink" Target="https://aminotriggerfish.mobz.market/yx58" TargetMode="External"/><Relationship Id="rId396" Type="http://schemas.openxmlformats.org/officeDocument/2006/relationships/hyperlink" Target="https://telegram.me/vderevnes" TargetMode="External"/><Relationship Id="rId153" Type="http://schemas.openxmlformats.org/officeDocument/2006/relationships/hyperlink" Target="https://telegram.me/rf4crazyft/80144" TargetMode="External"/><Relationship Id="rId274" Type="http://schemas.openxmlformats.org/officeDocument/2006/relationships/hyperlink" Target="https://ozon.ru/product/aminotrigger-fish-aromatizator-dlya-rybalki-250-ml-5340361400/?hs=1&amp;utm_campaign=vendor_org_4202727_max_m1&amp;utm_medium=cpc&amp;utm_source=blog&amp;utm_term=we_and_nature" TargetMode="External"/><Relationship Id="rId395" Type="http://schemas.openxmlformats.org/officeDocument/2006/relationships/hyperlink" Target="https://telegram.me/ruki_mastera_sovety/1945" TargetMode="External"/><Relationship Id="rId152" Type="http://schemas.openxmlformats.org/officeDocument/2006/relationships/hyperlink" Target="https://t.me/klev_m_bot?start=tg_telegram_dialogiproribalky_post_09_09_38" TargetMode="External"/><Relationship Id="rId273" Type="http://schemas.openxmlformats.org/officeDocument/2006/relationships/hyperlink" Target="https://max.ru/we_and_nature" TargetMode="External"/><Relationship Id="rId394" Type="http://schemas.openxmlformats.org/officeDocument/2006/relationships/hyperlink" Target="https://t.me/klev_m_bot?start=tg_telegram_ruki_mastera_sovety_post_17_09_26" TargetMode="External"/><Relationship Id="rId151" Type="http://schemas.openxmlformats.org/officeDocument/2006/relationships/hyperlink" Target="https://telegram.me/dialogiproribalky" TargetMode="External"/><Relationship Id="rId272" Type="http://schemas.openxmlformats.org/officeDocument/2006/relationships/hyperlink" Target="https://max.ru/udachnaya_rybalca/AaCeqiG5BXY" TargetMode="External"/><Relationship Id="rId393" Type="http://schemas.openxmlformats.org/officeDocument/2006/relationships/hyperlink" Target="https://telegram.me/ruki_mastera_sovety" TargetMode="External"/><Relationship Id="rId158" Type="http://schemas.openxmlformats.org/officeDocument/2006/relationships/hyperlink" Target="https://t.me/klev_m_bot?start=tg_telegram_rybanutyye_post_09_09_27" TargetMode="External"/><Relationship Id="rId279" Type="http://schemas.openxmlformats.org/officeDocument/2006/relationships/hyperlink" Target="https://aminotriggerfish.mobz.market/k4sdhi" TargetMode="External"/><Relationship Id="rId157" Type="http://schemas.openxmlformats.org/officeDocument/2006/relationships/hyperlink" Target="https://telegram.me/rybanutyye" TargetMode="External"/><Relationship Id="rId278" Type="http://schemas.openxmlformats.org/officeDocument/2006/relationships/hyperlink" Target="https://ozon.ru/product/aminotrigger-fish-aromatizator-dlya-rybalki-250-ml-5340361400/?hs=1&amp;utm_campaign=vendor_org_4202727_max_m1&amp;utm_medium=cpc&amp;utm_source=blog&amp;utm_term=Fishing_Stavropol" TargetMode="External"/><Relationship Id="rId399" Type="http://schemas.openxmlformats.org/officeDocument/2006/relationships/hyperlink" Target="https://telegram.me/+vDD1Cr2TCBwyOWNi" TargetMode="External"/><Relationship Id="rId156" Type="http://schemas.openxmlformats.org/officeDocument/2006/relationships/hyperlink" Target="https://telegram.me/rybalka_kanal_fishing/16144" TargetMode="External"/><Relationship Id="rId277" Type="http://schemas.openxmlformats.org/officeDocument/2006/relationships/hyperlink" Target="https://max.ru/Fishing_Stavropol" TargetMode="External"/><Relationship Id="rId398" Type="http://schemas.openxmlformats.org/officeDocument/2006/relationships/hyperlink" Target="https://telegram.me/vderevnes/9477" TargetMode="External"/><Relationship Id="rId155" Type="http://schemas.openxmlformats.org/officeDocument/2006/relationships/hyperlink" Target="https://t.me/klev_m_bot?start=tg_telegram_rybalka_kanal_fishing_post_09_09_28" TargetMode="External"/><Relationship Id="rId276" Type="http://schemas.openxmlformats.org/officeDocument/2006/relationships/hyperlink" Target="https://max.ru/we_and_nature/AaCgikGxAcM" TargetMode="External"/><Relationship Id="rId397" Type="http://schemas.openxmlformats.org/officeDocument/2006/relationships/hyperlink" Target="https://t.me/klev_m_bot?start=tg_telegram_vderevnes_post_17_09_26" TargetMode="External"/><Relationship Id="rId40" Type="http://schemas.openxmlformats.org/officeDocument/2006/relationships/hyperlink" Target="https://max.ru/vsemkleva" TargetMode="External"/><Relationship Id="rId42" Type="http://schemas.openxmlformats.org/officeDocument/2006/relationships/hyperlink" Target="https://aminotriggerfish.mobz.market/7nge" TargetMode="External"/><Relationship Id="rId41" Type="http://schemas.openxmlformats.org/officeDocument/2006/relationships/hyperlink" Target="https://ozon.onelink.me/SNMZ?af_dp=https://ozon.ru/product/aminotrigger-fish-aromatizator-dlya-rybalki-250-ml-5340361400/&amp;af_web_dp=https://ozon.ru/product/aminotrigger-fish-aromatizator-dlya-rybalki-250-ml-5340361400/&amp;is_retargeting=true&amp;c=vendor_org_4202727_max&amp;pid=vsemkleva%7Ccpc&amp;af_adset=m1_3_0409&amp;hs=1&amp;utm_source=vsemkleva&amp;utm_medium=cpc&amp;utm_campaign=vendor_org_4202727_max&amp;utm_content=m1_3_0409" TargetMode="External"/><Relationship Id="rId44" Type="http://schemas.openxmlformats.org/officeDocument/2006/relationships/hyperlink" Target="https://max.ru/lodka" TargetMode="External"/><Relationship Id="rId43" Type="http://schemas.openxmlformats.org/officeDocument/2006/relationships/hyperlink" Target="https://max.ru/vsemkleva/AaBwVOQKUAA" TargetMode="External"/><Relationship Id="rId46" Type="http://schemas.openxmlformats.org/officeDocument/2006/relationships/hyperlink" Target="https://aminotriggerfish.mobz.market/0lbf" TargetMode="External"/><Relationship Id="rId45" Type="http://schemas.openxmlformats.org/officeDocument/2006/relationships/hyperlink" Target="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lodka%7Cmax&amp;hs=1&amp;utm_source=lodka&amp;utm_medium=max&amp;utm_campaign=vendor_org_4202727" TargetMode="External"/><Relationship Id="rId509" Type="http://schemas.openxmlformats.org/officeDocument/2006/relationships/hyperlink" Target="https://t.me/klev_m_bot?start=tg_telegram_ohota_rybalka_v_rossii_post_24_09_26&amp;erid=2W5zFH6MC9w" TargetMode="External"/><Relationship Id="rId508" Type="http://schemas.openxmlformats.org/officeDocument/2006/relationships/hyperlink" Target="https://t.me/ohota_rybalka_v_rossii" TargetMode="External"/><Relationship Id="rId503" Type="http://schemas.openxmlformats.org/officeDocument/2006/relationships/hyperlink" Target="https://www.tiktok.com/@justhookup?_r=1&amp;_t=ZS-98H58l7jELU" TargetMode="External"/><Relationship Id="rId502" Type="http://schemas.openxmlformats.org/officeDocument/2006/relationships/hyperlink" Target="https://vk.ru/wall-223331432_10243" TargetMode="External"/><Relationship Id="rId501" Type="http://schemas.openxmlformats.org/officeDocument/2006/relationships/hyperlink" Target="https://aminotriggerfish.mobz.market/0sie" TargetMode="External"/><Relationship Id="rId500" Type="http://schemas.openxmlformats.org/officeDocument/2006/relationships/hyperlink" Target="https://ozon.ru/product/aminotrigger-fish-aromatizator-dlya-rybalki-250-ml-5340361400/?at=1mSl1-brWXio0vr58JpxYin5L28OGbHc&amp;hs=1&amp;utm_campaign=vendor_org_4202727_just_hook_up&amp;utm_medium=video&amp;utm_source=vk&amp;utm_term=200926_m1" TargetMode="External"/><Relationship Id="rId507" Type="http://schemas.openxmlformats.org/officeDocument/2006/relationships/hyperlink" Target="https://t.me/acheslark/15802" TargetMode="External"/><Relationship Id="rId506" Type="http://schemas.openxmlformats.org/officeDocument/2006/relationships/hyperlink" Target="https://t.me/klev_m_bot?start=tg_telegram_acheslark_post_24_09_26&amp;erid=2W5zFHCH9HK" TargetMode="External"/><Relationship Id="rId505" Type="http://schemas.openxmlformats.org/officeDocument/2006/relationships/hyperlink" Target="https://t.me/acheslark" TargetMode="External"/><Relationship Id="rId504" Type="http://schemas.openxmlformats.org/officeDocument/2006/relationships/hyperlink" Target="https://vt.tiktok.com/ZSb61DAFd/" TargetMode="External"/><Relationship Id="rId48" Type="http://schemas.openxmlformats.org/officeDocument/2006/relationships/hyperlink" Target="https://max.ru/fish_journal" TargetMode="External"/><Relationship Id="rId47" Type="http://schemas.openxmlformats.org/officeDocument/2006/relationships/hyperlink" Target="https://max.ru/lodka/AaBtGFk-DeA" TargetMode="External"/><Relationship Id="rId49" Type="http://schemas.openxmlformats.org/officeDocument/2006/relationships/hyperlink" Target="https://ozon.onelink.me/SNMZ/22xbvo05" TargetMode="External"/><Relationship Id="rId31" Type="http://schemas.openxmlformats.org/officeDocument/2006/relationships/hyperlink" Target="https://youtu.be/9leqZjgtqlI?si=1fs6DinrjEVcCrbb" TargetMode="External"/><Relationship Id="rId30" Type="http://schemas.openxmlformats.org/officeDocument/2006/relationships/hyperlink" Target="https://aminotriggerfish.mobz.market/zavk" TargetMode="External"/><Relationship Id="rId33" Type="http://schemas.openxmlformats.org/officeDocument/2006/relationships/hyperlink" Target="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Rybalka_52%7Cmax&amp;hs=1&amp;utm_source=Rybalka_52&amp;utm_medium=max&amp;utm_campaign=vendor_org_4202727" TargetMode="External"/><Relationship Id="rId32" Type="http://schemas.openxmlformats.org/officeDocument/2006/relationships/hyperlink" Target="https://max.ru/channel_Rybalka_52" TargetMode="External"/><Relationship Id="rId35" Type="http://schemas.openxmlformats.org/officeDocument/2006/relationships/hyperlink" Target="https://max.ru/channel_Rybalka_52/AaBtr26iVc8" TargetMode="External"/><Relationship Id="rId34" Type="http://schemas.openxmlformats.org/officeDocument/2006/relationships/hyperlink" Target="https://aminotriggerfish.mobz.market/qm4ut" TargetMode="External"/><Relationship Id="rId619" Type="http://schemas.openxmlformats.org/officeDocument/2006/relationships/drawing" Target="../drawings/drawing6.xml"/><Relationship Id="rId618" Type="http://schemas.openxmlformats.org/officeDocument/2006/relationships/hyperlink" Target="https://max.ru/club220202870/AaDtDeklTek" TargetMode="External"/><Relationship Id="rId613" Type="http://schemas.openxmlformats.org/officeDocument/2006/relationships/hyperlink" Target="https://aminotriggerfish.mobz.market/80lpe6" TargetMode="External"/><Relationship Id="rId612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semechkin_vasia&amp;utm_medium=cpc&amp;utm_source=blog&amp;utm_term=max_m1_290926" TargetMode="External"/><Relationship Id="rId611" Type="http://schemas.openxmlformats.org/officeDocument/2006/relationships/hyperlink" Target="https://max.ru/semechkin_vasia" TargetMode="External"/><Relationship Id="rId610" Type="http://schemas.openxmlformats.org/officeDocument/2006/relationships/hyperlink" Target="https://max.ru/join/Xrfy8Z06jPnDVDF4s6MN8pg22ScbSOmVW3hUcZycXmk" TargetMode="External"/><Relationship Id="rId617" Type="http://schemas.openxmlformats.org/officeDocument/2006/relationships/hyperlink" Target="https://aminotriggerfish.mobz.market/sch6" TargetMode="External"/><Relationship Id="rId616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club220202870&amp;utm_medium=cpc&amp;utm_source=blog&amp;utm_term=max_m1_290926" TargetMode="External"/><Relationship Id="rId615" Type="http://schemas.openxmlformats.org/officeDocument/2006/relationships/hyperlink" Target="https://max.ru/club220202870" TargetMode="External"/><Relationship Id="rId614" Type="http://schemas.openxmlformats.org/officeDocument/2006/relationships/hyperlink" Target="https://max.ru/join/2ekcRW3OmRouMMfpcoGvuu-A8kA9ZCue_A1oZBBlufo" TargetMode="External"/><Relationship Id="rId37" Type="http://schemas.openxmlformats.org/officeDocument/2006/relationships/hyperlink" Target="https://www.ozon.ru/product/aminotrigger-fish-aromatizator-dlya-rybalki-250-ml-5340361400/?sh=Llj_ir2lrQ" TargetMode="External"/><Relationship Id="rId36" Type="http://schemas.openxmlformats.org/officeDocument/2006/relationships/hyperlink" Target="https://max.ru/Rybalka_Ural" TargetMode="External"/><Relationship Id="rId39" Type="http://schemas.openxmlformats.org/officeDocument/2006/relationships/hyperlink" Target="https://max.ru/Rybalka_Ural/AaBsSJ4ZcEA" TargetMode="External"/><Relationship Id="rId38" Type="http://schemas.openxmlformats.org/officeDocument/2006/relationships/hyperlink" Target="https://aminotriggerfish.mobz.market/ivt7a6" TargetMode="External"/><Relationship Id="rId20" Type="http://schemas.openxmlformats.org/officeDocument/2006/relationships/hyperlink" Target="https://max.ru/telefishing" TargetMode="External"/><Relationship Id="rId22" Type="http://schemas.openxmlformats.org/officeDocument/2006/relationships/hyperlink" Target="https://aminotriggerfish.mobz.market/ix9" TargetMode="External"/><Relationship Id="rId21" Type="http://schemas.openxmlformats.org/officeDocument/2006/relationships/hyperlink" Target="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telefishing%7Cmax&amp;hs=1&amp;utm_source=telefishing&amp;utm_medium=max&amp;utm_campaign=vendor_org_4202727" TargetMode="External"/><Relationship Id="rId24" Type="http://schemas.openxmlformats.org/officeDocument/2006/relationships/hyperlink" Target="https://max.ru/join/uCdz6lLBZaKQQ-TBrM1kCaXNxdhno0LlLSpv1_WO-yI" TargetMode="External"/><Relationship Id="rId23" Type="http://schemas.openxmlformats.org/officeDocument/2006/relationships/hyperlink" Target="https://max.ru/telefishing/AaBsTBdXFIk" TargetMode="External"/><Relationship Id="rId409" Type="http://schemas.openxmlformats.org/officeDocument/2006/relationships/hyperlink" Target="https://t.me/klev_m_bot?start=tg_telegram_nashastroika161_post_17_09_26" TargetMode="External"/><Relationship Id="rId404" Type="http://schemas.openxmlformats.org/officeDocument/2006/relationships/hyperlink" Target="https://telegram.me/lobnya/43412" TargetMode="External"/><Relationship Id="rId525" Type="http://schemas.openxmlformats.org/officeDocument/2006/relationships/hyperlink" Target="https://telegram.me/fishes_43/9154" TargetMode="External"/><Relationship Id="rId403" Type="http://schemas.openxmlformats.org/officeDocument/2006/relationships/hyperlink" Target="https://t.me/klev_m_bot?start=tg_telegram_lobnya_post_17_09_26&amp;" TargetMode="External"/><Relationship Id="rId524" Type="http://schemas.openxmlformats.org/officeDocument/2006/relationships/hyperlink" Target="https://t.me/klev_m_bot?start=tg_telegram_fishes_43_post_24_09_26&amp;erid=2W5zFH9KAid" TargetMode="External"/><Relationship Id="rId402" Type="http://schemas.openxmlformats.org/officeDocument/2006/relationships/hyperlink" Target="https://telegram.me/lobnya" TargetMode="External"/><Relationship Id="rId523" Type="http://schemas.openxmlformats.org/officeDocument/2006/relationships/hyperlink" Target="https://telegram.me/fishes_43" TargetMode="External"/><Relationship Id="rId401" Type="http://schemas.openxmlformats.org/officeDocument/2006/relationships/hyperlink" Target="https://t.me/c/1922772046/6537" TargetMode="External"/><Relationship Id="rId522" Type="http://schemas.openxmlformats.org/officeDocument/2006/relationships/hyperlink" Target="https://t.me/novosti_novoross/91628" TargetMode="External"/><Relationship Id="rId408" Type="http://schemas.openxmlformats.org/officeDocument/2006/relationships/hyperlink" Target="https://telegram.me/nashastroika161" TargetMode="External"/><Relationship Id="rId529" Type="http://schemas.openxmlformats.org/officeDocument/2006/relationships/hyperlink" Target="https://t.me/Black_History" TargetMode="External"/><Relationship Id="rId407" Type="http://schemas.openxmlformats.org/officeDocument/2006/relationships/hyperlink" Target="https://telegram.me/kraftyou/50335" TargetMode="External"/><Relationship Id="rId528" Type="http://schemas.openxmlformats.org/officeDocument/2006/relationships/hyperlink" Target="https://t.me/Life90x/13660" TargetMode="External"/><Relationship Id="rId406" Type="http://schemas.openxmlformats.org/officeDocument/2006/relationships/hyperlink" Target="https://t.me/klev_m_bot?start=tg_telegram_kraftyou_post_17_09_26" TargetMode="External"/><Relationship Id="rId527" Type="http://schemas.openxmlformats.org/officeDocument/2006/relationships/hyperlink" Target="https://t.me/klev_m_bot?start=tg_telegram_life90x_post_24_09_26&amp;erid=2W5zFGgdPeR" TargetMode="External"/><Relationship Id="rId405" Type="http://schemas.openxmlformats.org/officeDocument/2006/relationships/hyperlink" Target="https://telegram.me/kraftyou" TargetMode="External"/><Relationship Id="rId526" Type="http://schemas.openxmlformats.org/officeDocument/2006/relationships/hyperlink" Target="https://t.me/Life90x" TargetMode="External"/><Relationship Id="rId26" Type="http://schemas.openxmlformats.org/officeDocument/2006/relationships/hyperlink" Target="https://aminotriggerfish.mobz.market/781uu" TargetMode="External"/><Relationship Id="rId25" Type="http://schemas.openxmlformats.org/officeDocument/2006/relationships/hyperlink" Target="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klevoe_mesto%7Cmax&amp;hs=1&amp;utm_source=klevoe_mesto&amp;utm_medium=max&amp;utm_campaign=vendor_org_4202727" TargetMode="External"/><Relationship Id="rId28" Type="http://schemas.openxmlformats.org/officeDocument/2006/relationships/hyperlink" Target="https://youtube.com/@ribachim_inache" TargetMode="External"/><Relationship Id="rId27" Type="http://schemas.openxmlformats.org/officeDocument/2006/relationships/hyperlink" Target="https://max.ru/c/-72893882017859/AaBsFnS0DEA" TargetMode="External"/><Relationship Id="rId400" Type="http://schemas.openxmlformats.org/officeDocument/2006/relationships/hyperlink" Target="https://t.me/klev_m_bot?start=tg_telegram_vdd1cr2tcbwyowni_post_17_09_26" TargetMode="External"/><Relationship Id="rId521" Type="http://schemas.openxmlformats.org/officeDocument/2006/relationships/hyperlink" Target="https://t.me/klev_m_bot?start=tg_telegram_novosti_novoross_post_24_09_26&amp;erid=2W5zFGuyHBX" TargetMode="External"/><Relationship Id="rId29" Type="http://schemas.openxmlformats.org/officeDocument/2006/relationships/hyperlink" Target="https://ozon.onelink.me/SNMZ?af_dp=https://ozon.ru/product/aminotrigger-fish-aromatizator-dlya-rybalki-250-ml-5340361400/&amp;af_web_dp=https://ozon.ru/product/aminotrigger-fish-aromatizator-dlya-rybalki-250-ml-5340361400/&amp;is_retargeting=true&amp;c=vendor_org_4202727_ribachim_inache&amp;pid=youtube%7Cvideo&amp;af_keywords=050926_m1&amp;hs=1&amp;utm_source=youtube&amp;utm_medium=video&amp;utm_campaign=vendor_org_4202727_ribachim_inache&amp;utm_term=050926_m1" TargetMode="External"/><Relationship Id="rId520" Type="http://schemas.openxmlformats.org/officeDocument/2006/relationships/hyperlink" Target="https://telegram.me/novosti_novoross" TargetMode="External"/><Relationship Id="rId11" Type="http://schemas.openxmlformats.org/officeDocument/2006/relationships/hyperlink" Target="https://trigger-fish.ru/?utm_source=vk&amp;utm_medium=cpc&amp;utm_content=rubalka" TargetMode="External"/><Relationship Id="rId10" Type="http://schemas.openxmlformats.org/officeDocument/2006/relationships/hyperlink" Target="https://vk.ru/club2426451" TargetMode="External"/><Relationship Id="rId13" Type="http://schemas.openxmlformats.org/officeDocument/2006/relationships/hyperlink" Target="https://vk.ru/club151125921" TargetMode="External"/><Relationship Id="rId12" Type="http://schemas.openxmlformats.org/officeDocument/2006/relationships/hyperlink" Target="https://vk.ru/wall-2426451_892047" TargetMode="External"/><Relationship Id="rId519" Type="http://schemas.openxmlformats.org/officeDocument/2006/relationships/hyperlink" Target="https://t.me/c/1488811469/5350" TargetMode="External"/><Relationship Id="rId514" Type="http://schemas.openxmlformats.org/officeDocument/2006/relationships/hyperlink" Target="https://telegram.me/otchety_s_rybalok" TargetMode="External"/><Relationship Id="rId513" Type="http://schemas.openxmlformats.org/officeDocument/2006/relationships/hyperlink" Target="https://telegram.me/ogorodidacha/8511" TargetMode="External"/><Relationship Id="rId512" Type="http://schemas.openxmlformats.org/officeDocument/2006/relationships/hyperlink" Target="https://t.me/klev_m_bot?start=tg_telegram_ogorodidacha_post_24_09_26&amp;erid=2W5zFGwTGTs" TargetMode="External"/><Relationship Id="rId511" Type="http://schemas.openxmlformats.org/officeDocument/2006/relationships/hyperlink" Target="https://telegram.me/ogorodidacha" TargetMode="External"/><Relationship Id="rId518" Type="http://schemas.openxmlformats.org/officeDocument/2006/relationships/hyperlink" Target="https://t.me/klev_m_bot?start=tg_telegram_xbt555hjy6ixmtcy_post_24_09_26&amp;erid=2W5zFGp3L49" TargetMode="External"/><Relationship Id="rId517" Type="http://schemas.openxmlformats.org/officeDocument/2006/relationships/hyperlink" Target="https://telegram.me/+xbt555hJy6IxMTcy" TargetMode="External"/><Relationship Id="rId516" Type="http://schemas.openxmlformats.org/officeDocument/2006/relationships/hyperlink" Target="https://telegram.me/otchety_s_rybalok/20101" TargetMode="External"/><Relationship Id="rId515" Type="http://schemas.openxmlformats.org/officeDocument/2006/relationships/hyperlink" Target="https://t.me/klev_m_bot?start=tg_telegram_otchety_s_rybalok_post_24_09_26&amp;erid=2W5zFH7qBSH" TargetMode="External"/><Relationship Id="rId15" Type="http://schemas.openxmlformats.org/officeDocument/2006/relationships/hyperlink" Target="https://vk.ru/wall-151125921_286672" TargetMode="External"/><Relationship Id="rId14" Type="http://schemas.openxmlformats.org/officeDocument/2006/relationships/hyperlink" Target="https://trigger-fish.ru/?utm_source=vk&amp;utm_medium=cpc&amp;utm_content=berfish" TargetMode="External"/><Relationship Id="rId17" Type="http://schemas.openxmlformats.org/officeDocument/2006/relationships/hyperlink" Target="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ybalkavrostove%7Cmax&amp;hs=1&amp;utm_source=ybalkavrostove&amp;utm_medium=max&amp;utm_campaign=vendor_org_4202727" TargetMode="External"/><Relationship Id="rId16" Type="http://schemas.openxmlformats.org/officeDocument/2006/relationships/hyperlink" Target="https://max.ru/rybalkavrostove" TargetMode="External"/><Relationship Id="rId19" Type="http://schemas.openxmlformats.org/officeDocument/2006/relationships/hyperlink" Target="https://max.ru/rybalkavrostove/AaBr13rTGkA" TargetMode="External"/><Relationship Id="rId510" Type="http://schemas.openxmlformats.org/officeDocument/2006/relationships/hyperlink" Target="https://t.me/ohota_rybalka_v_rossii/4103" TargetMode="External"/><Relationship Id="rId18" Type="http://schemas.openxmlformats.org/officeDocument/2006/relationships/hyperlink" Target="https://aminotriggerfish.mobz.market/5rnnam" TargetMode="External"/><Relationship Id="rId84" Type="http://schemas.openxmlformats.org/officeDocument/2006/relationships/hyperlink" Target="https://t.me/karelian_fishing" TargetMode="External"/><Relationship Id="rId83" Type="http://schemas.openxmlformats.org/officeDocument/2006/relationships/hyperlink" Target="https://t.me/rubalkamoskva/43687" TargetMode="External"/><Relationship Id="rId86" Type="http://schemas.openxmlformats.org/officeDocument/2006/relationships/hyperlink" Target="https://aminotriggerfish.mobz.market/uprp9" TargetMode="External"/><Relationship Id="rId85" Type="http://schemas.openxmlformats.org/officeDocument/2006/relationships/hyperlink" Target="https://ozon.ru/product/aminotrigger-fish-aromatizator-dlya-rybalki-250-ml-5340361400/?hs=1&amp;utm_campaign=vendor_org_4202727_karelian_fishing&amp;utm_medium=cpc&amp;utm_source=telegram" TargetMode="External"/><Relationship Id="rId88" Type="http://schemas.openxmlformats.org/officeDocument/2006/relationships/hyperlink" Target="https://vk.com/egor_moskvich" TargetMode="External"/><Relationship Id="rId87" Type="http://schemas.openxmlformats.org/officeDocument/2006/relationships/hyperlink" Target="https://t.me/karelian_fishing/13648" TargetMode="External"/><Relationship Id="rId89" Type="http://schemas.openxmlformats.org/officeDocument/2006/relationships/hyperlink" Target="https://ozon.ru/product/aminotrigger-fish-aromatizator-dlya-rybalki-250-ml-5340361400/?hs=1&amp;utm_campaign=vendor_org_4202727_egor_moskvich&amp;utm_medium=video&amp;utm_source=vk" TargetMode="External"/><Relationship Id="rId80" Type="http://schemas.openxmlformats.org/officeDocument/2006/relationships/hyperlink" Target="https://t.me/rubalkamoskva" TargetMode="External"/><Relationship Id="rId82" Type="http://schemas.openxmlformats.org/officeDocument/2006/relationships/hyperlink" Target="https://aminotriggerfish.mobz.market/n8ggww" TargetMode="External"/><Relationship Id="rId81" Type="http://schemas.openxmlformats.org/officeDocument/2006/relationships/hyperlink" Target="https://ozon.ru/product/aminotrigger-fish-aromatizator-dlya-rybalki-250-ml-5340361400/?hs=1&amp;utm_campaign=vendor_org_4202727_rubalkamoskva&amp;utm_medium=cpc&amp;utm_source=telegram" TargetMode="External"/><Relationship Id="rId73" Type="http://schemas.openxmlformats.org/officeDocument/2006/relationships/hyperlink" Target="https://ozon.ru/product/aminotrigger-fish-aromatizator-dlya-rybalki-250-ml-5340361400/?hs=1&amp;utm_campaign=vendor_org_4202727_egorrybak57&amp;utm_medium=video&amp;utm_source=vk&amp;utm_term=m1" TargetMode="External"/><Relationship Id="rId72" Type="http://schemas.openxmlformats.org/officeDocument/2006/relationships/hyperlink" Target="https://vk.ru/egorrybak57" TargetMode="External"/><Relationship Id="rId75" Type="http://schemas.openxmlformats.org/officeDocument/2006/relationships/hyperlink" Target="https://vk.ru/wall-226872833_346679" TargetMode="External"/><Relationship Id="rId74" Type="http://schemas.openxmlformats.org/officeDocument/2006/relationships/hyperlink" Target="https://aminotriggerfish.mobz.market/fxcns" TargetMode="External"/><Relationship Id="rId77" Type="http://schemas.openxmlformats.org/officeDocument/2006/relationships/hyperlink" Target="https://ozon.ru/product/aminotrigger-fish-aromatizator-dlya-rybalki-250-ml-5340361400/?hs=1&amp;utm_campaign=vendor_org_4202727_fishingspb1&amp;utm_medium=cpc&amp;utm_source=telegram" TargetMode="External"/><Relationship Id="rId76" Type="http://schemas.openxmlformats.org/officeDocument/2006/relationships/hyperlink" Target="https://t.me/fishingspb1" TargetMode="External"/><Relationship Id="rId79" Type="http://schemas.openxmlformats.org/officeDocument/2006/relationships/hyperlink" Target="https://t.me/fishingspb1/64489" TargetMode="External"/><Relationship Id="rId78" Type="http://schemas.openxmlformats.org/officeDocument/2006/relationships/hyperlink" Target="https://aminotriggerfish.mobz.market/n8ggww" TargetMode="External"/><Relationship Id="rId71" Type="http://schemas.openxmlformats.org/officeDocument/2006/relationships/hyperlink" Target="https://vk.ru/wall-106803333_127676" TargetMode="External"/><Relationship Id="rId70" Type="http://schemas.openxmlformats.org/officeDocument/2006/relationships/hyperlink" Target="https://clck.ru/3VaxyJ" TargetMode="External"/><Relationship Id="rId62" Type="http://schemas.openxmlformats.org/officeDocument/2006/relationships/hyperlink" Target="https://max.ru/channel_kluet_fishing/AaBxA1EYWaA" TargetMode="External"/><Relationship Id="rId61" Type="http://schemas.openxmlformats.org/officeDocument/2006/relationships/hyperlink" Target="https://aminotriggerfish.mobz.market/xhuin" TargetMode="External"/><Relationship Id="rId64" Type="http://schemas.openxmlformats.org/officeDocument/2006/relationships/hyperlink" Target="https://ozon.onelink.me/SNMZ?af_dp=https://ozon.ru/product/aminotrigger-fish-aromatizator-dlya-rybalki-250-ml-5340361400/&amp;af_web_dp=https://ozon.ru/product/aminotrigger-fish-aromatizator-dlya-rybalki-250-ml-5340361400/&amp;is_retargeting=true&amp;c=vendor_org_4202727_max&amp;pid=strafishing30%7Ccpc&amp;hs=1&amp;utm_source=strafishing30&amp;utm_medium=cpc&amp;utm_campaign=vendor_org_4202727_max" TargetMode="External"/><Relationship Id="rId63" Type="http://schemas.openxmlformats.org/officeDocument/2006/relationships/hyperlink" Target="https://max.ru/astrafishing30" TargetMode="External"/><Relationship Id="rId66" Type="http://schemas.openxmlformats.org/officeDocument/2006/relationships/hyperlink" Target="https://max.ru/astrafishing30/AaBxA0SobaA" TargetMode="External"/><Relationship Id="rId65" Type="http://schemas.openxmlformats.org/officeDocument/2006/relationships/hyperlink" Target="https://aminotriggerfish.mobz.market/m8jpno" TargetMode="External"/><Relationship Id="rId68" Type="http://schemas.openxmlformats.org/officeDocument/2006/relationships/hyperlink" Target="https://vk.ru/wall-229964760_10351" TargetMode="External"/><Relationship Id="rId67" Type="http://schemas.openxmlformats.org/officeDocument/2006/relationships/hyperlink" Target="https://vk.ru/club229964760" TargetMode="External"/><Relationship Id="rId609" Type="http://schemas.openxmlformats.org/officeDocument/2006/relationships/hyperlink" Target="https://aminotriggerfish.mobz.market/3c8ea" TargetMode="External"/><Relationship Id="rId608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ohumelye_ruchki&amp;utm_medium=cpc&amp;utm_source=blog&amp;utm_term=max_m1_290926" TargetMode="External"/><Relationship Id="rId607" Type="http://schemas.openxmlformats.org/officeDocument/2006/relationships/hyperlink" Target="https://max.ru/join/Xrfy8Z06jPnDVDF4s6MN8pg22ScbSOmVW3hUcZycXmk" TargetMode="External"/><Relationship Id="rId60" Type="http://schemas.openxmlformats.org/officeDocument/2006/relationships/hyperlink" Target="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kluet_fishing%7Cmax&amp;hs=1&amp;utm_source=kluet_fishing&amp;utm_medium=max&amp;utm_campaign=vendor_org_4202727" TargetMode="External"/><Relationship Id="rId602" Type="http://schemas.openxmlformats.org/officeDocument/2006/relationships/hyperlink" Target="https://max.ru/join/9qLFWCP7_Fof0z7MLsPf0HIb5RFVv_As1t9Vp-1f5do" TargetMode="External"/><Relationship Id="rId601" Type="http://schemas.openxmlformats.org/officeDocument/2006/relationships/hyperlink" Target="https://aminotriggerfish.mobz.market/ox33kt" TargetMode="External"/><Relationship Id="rId600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rukimastera&amp;utm_medium=cpc&amp;utm_source=blog&amp;utm_term=max_m1_290926" TargetMode="External"/><Relationship Id="rId606" Type="http://schemas.openxmlformats.org/officeDocument/2006/relationships/hyperlink" Target="https://max.ru/join/2ekcRW3OmRouMMfpcoGvuu-A8kA9ZCue_A1oZBBlufo" TargetMode="External"/><Relationship Id="rId605" Type="http://schemas.openxmlformats.org/officeDocument/2006/relationships/hyperlink" Target="https://aminotriggerfish.mobz.market/88hn" TargetMode="External"/><Relationship Id="rId604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samodelki&amp;utm_medium=cpc&amp;utm_source=blog&amp;utm_term=max_m1_290926" TargetMode="External"/><Relationship Id="rId603" Type="http://schemas.openxmlformats.org/officeDocument/2006/relationships/hyperlink" Target="https://max.ru/join/2ekcRW3OmRouMMfpcoGvuu-A8kA9ZCue_A1oZBBlufo" TargetMode="External"/><Relationship Id="rId69" Type="http://schemas.openxmlformats.org/officeDocument/2006/relationships/hyperlink" Target="https://vk.ru/club106803333" TargetMode="External"/><Relationship Id="rId51" Type="http://schemas.openxmlformats.org/officeDocument/2006/relationships/hyperlink" Target="https://max.ru/fish_journal/AaBs-GjTO-A" TargetMode="External"/><Relationship Id="rId50" Type="http://schemas.openxmlformats.org/officeDocument/2006/relationships/hyperlink" Target="https://aminotriggerfish.mobz.market/h7o47" TargetMode="External"/><Relationship Id="rId53" Type="http://schemas.openxmlformats.org/officeDocument/2006/relationships/hyperlink" Target="https://clck.ru/3VZro7" TargetMode="External"/><Relationship Id="rId52" Type="http://schemas.openxmlformats.org/officeDocument/2006/relationships/hyperlink" Target="https://vk.ru/club231857780" TargetMode="External"/><Relationship Id="rId55" Type="http://schemas.openxmlformats.org/officeDocument/2006/relationships/hyperlink" Target="https://max.ru/trofeysaratov" TargetMode="External"/><Relationship Id="rId54" Type="http://schemas.openxmlformats.org/officeDocument/2006/relationships/hyperlink" Target="https://vk.ru/wall-231857780_531" TargetMode="External"/><Relationship Id="rId57" Type="http://schemas.openxmlformats.org/officeDocument/2006/relationships/hyperlink" Target="https://aminotriggerfish.mobz.market/s4wa" TargetMode="External"/><Relationship Id="rId56" Type="http://schemas.openxmlformats.org/officeDocument/2006/relationships/hyperlink" Target="https://ozon.onelink.me/SNMZ?af_dp=https://ozon.ru/product/aminotrigger-fish-aromatizator-dlya-rybalki-250-ml-5340361400/&amp;af_web_dp=https://ozon.ru/product/aminotrigger-fish-aromatizator-dlya-rybalki-250-ml-5340361400/&amp;is_retargeting=true&amp;c=vendor_org_4202727&amp;pid=trofeysaratov%7Cmax&amp;hs=1&amp;utm_source=trofeysaratov&amp;utm_medium=max&amp;utm_campaign=vendor_org_4202727" TargetMode="External"/><Relationship Id="rId59" Type="http://schemas.openxmlformats.org/officeDocument/2006/relationships/hyperlink" Target="https://max.ru/channel_kluet_fishing" TargetMode="External"/><Relationship Id="rId58" Type="http://schemas.openxmlformats.org/officeDocument/2006/relationships/hyperlink" Target="https://max.ru/trofeysaratov/AaBxcSGcPaA" TargetMode="External"/><Relationship Id="rId590" Type="http://schemas.openxmlformats.org/officeDocument/2006/relationships/hyperlink" Target="https://max.ru/man_building/AaDx_bXUao0" TargetMode="External"/><Relationship Id="rId107" Type="http://schemas.openxmlformats.org/officeDocument/2006/relationships/hyperlink" Target="https://vk.ru/wall-227143597_1590" TargetMode="External"/><Relationship Id="rId228" Type="http://schemas.openxmlformats.org/officeDocument/2006/relationships/hyperlink" Target="https://telegram.me/pp4farmtrof" TargetMode="External"/><Relationship Id="rId349" Type="http://schemas.openxmlformats.org/officeDocument/2006/relationships/hyperlink" Target="https://max.ru/join/MJcSVIhM6mK80nI-q_CGTCGftgGmi9f2euWkcQp00Yc" TargetMode="External"/><Relationship Id="rId106" Type="http://schemas.openxmlformats.org/officeDocument/2006/relationships/hyperlink" Target="https://aminotriggerfish.mobz.market/v5ap" TargetMode="External"/><Relationship Id="rId227" Type="http://schemas.openxmlformats.org/officeDocument/2006/relationships/hyperlink" Target="https://telegram.me/kazanfisher_team/2142" TargetMode="External"/><Relationship Id="rId348" Type="http://schemas.openxmlformats.org/officeDocument/2006/relationships/hyperlink" Target="https://max.ru/join/RsYvXIhAcs28ZYjx1GDjtbwyOTN2xXZ0YnLF78jfGHY" TargetMode="External"/><Relationship Id="rId469" Type="http://schemas.openxmlformats.org/officeDocument/2006/relationships/hyperlink" Target="https://aminotriggerfish.mobz.market/mqc2rz" TargetMode="External"/><Relationship Id="rId105" Type="http://schemas.openxmlformats.org/officeDocument/2006/relationships/hyperlink" Target="https://ozon.ru/product/aminotrigger-fish-aromatizator-dlya-rybalki-250-ml-5340361400/?hs=1&amp;utm_campaign=vendor_org_4202727_club227143597&amp;utm_medium=video&amp;utm_source=vk&amp;utm_term=m1_3" TargetMode="External"/><Relationship Id="rId226" Type="http://schemas.openxmlformats.org/officeDocument/2006/relationships/hyperlink" Target="https://t.me/klev_m_bot?start=tg_telegram_kazanfisher_team_post_11_09_31&amp;amp;erid=2W5zFJGGVKP" TargetMode="External"/><Relationship Id="rId347" Type="http://schemas.openxmlformats.org/officeDocument/2006/relationships/hyperlink" Target="https://aminotriggerfish.mobz.market/qmei" TargetMode="External"/><Relationship Id="rId468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Solnce_na_kruchke_ultralight&amp;utm_medium=cpc&amp;utm_source=blog&amp;utm_term=max_m1_240926" TargetMode="External"/><Relationship Id="rId589" Type="http://schemas.openxmlformats.org/officeDocument/2006/relationships/hyperlink" Target="https://aminotriggerfish.mobz.market/ic0evw" TargetMode="External"/><Relationship Id="rId104" Type="http://schemas.openxmlformats.org/officeDocument/2006/relationships/hyperlink" Target="https://m.vk.ru/club227143597" TargetMode="External"/><Relationship Id="rId225" Type="http://schemas.openxmlformats.org/officeDocument/2006/relationships/hyperlink" Target="https://telegram.me/kazanfisher_team" TargetMode="External"/><Relationship Id="rId346" Type="http://schemas.openxmlformats.org/officeDocument/2006/relationships/hyperlink" Target="https://ozon.ru/product/aminotrigger-fish-aromatizator-dlya-rybalki-250-ml-5340361400/?at=1mSl1-brWXio0vr58JpxYin5L28OGbHc&amp;hs=1&amp;utm_campaign=vendor_org_4202727_batya_na_dache&amp;utm_medium=cpc&amp;utm_source=blog&amp;utm_term=max_m1_15_09" TargetMode="External"/><Relationship Id="rId467" Type="http://schemas.openxmlformats.org/officeDocument/2006/relationships/hyperlink" Target="https://vk.com/club226729822" TargetMode="External"/><Relationship Id="rId588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man_building&amp;utm_medium=cpc&amp;utm_source=blog&amp;utm_term=max_m1_290926" TargetMode="External"/><Relationship Id="rId109" Type="http://schemas.openxmlformats.org/officeDocument/2006/relationships/hyperlink" Target="https://ozon.ru/product/aminotrigger-fish-aromatizator-dlya-rybalki-250-ml-5340361400/?hs=1&amp;utm_campaign=vendor_org_4202727_club230576737&amp;utm_medium=video&amp;utm_source=vk" TargetMode="External"/><Relationship Id="rId108" Type="http://schemas.openxmlformats.org/officeDocument/2006/relationships/hyperlink" Target="https://vk.ru/club230576737" TargetMode="External"/><Relationship Id="rId229" Type="http://schemas.openxmlformats.org/officeDocument/2006/relationships/hyperlink" Target="https://t.me/klev_m_bot?start=tg_telegram_pp4farmtrof_post_11_09_26" TargetMode="External"/><Relationship Id="rId220" Type="http://schemas.openxmlformats.org/officeDocument/2006/relationships/hyperlink" Target="https://t.me/green_doctorbot?start=tg_komnatnierasteniya" TargetMode="External"/><Relationship Id="rId341" Type="http://schemas.openxmlformats.org/officeDocument/2006/relationships/hyperlink" Target="https://max.ru/Donetsk_Detka" TargetMode="External"/><Relationship Id="rId462" Type="http://schemas.openxmlformats.org/officeDocument/2006/relationships/hyperlink" Target="https://max.ru/ruki_mastera_sovety/AaDH7WFZfHI" TargetMode="External"/><Relationship Id="rId583" Type="http://schemas.openxmlformats.org/officeDocument/2006/relationships/hyperlink" Target="https://max.ru/sulinnews" TargetMode="External"/><Relationship Id="rId340" Type="http://schemas.openxmlformats.org/officeDocument/2006/relationships/hyperlink" Target="https://max.ru/izgorodavderevny/AaCmcOYnN7s" TargetMode="External"/><Relationship Id="rId461" Type="http://schemas.openxmlformats.org/officeDocument/2006/relationships/hyperlink" Target="https://aminotriggerfish.mobz.market/jone7n" TargetMode="External"/><Relationship Id="rId582" Type="http://schemas.openxmlformats.org/officeDocument/2006/relationships/hyperlink" Target="https://telegram.me/delnie_soveti/686" TargetMode="External"/><Relationship Id="rId460" Type="http://schemas.openxmlformats.org/officeDocument/2006/relationships/hyperlink" Target="https://ozon.ru/product/aminotrigger-fish-aromatizator-dlya-rybalki-250-ml-5340361400/?at=1mSl1-brWXio0vr58JpxYin5L28OGbHc&amp;hs=1&amp;utm_campaign=vendor_org_4202727_batka_ru&amp;utm_medium=cpc&amp;utm_source=blog&amp;utm_term=max_m1_220926" TargetMode="External"/><Relationship Id="rId581" Type="http://schemas.openxmlformats.org/officeDocument/2006/relationships/hyperlink" Target="https://aminotriggerfish.mobz.market/uwn" TargetMode="External"/><Relationship Id="rId580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delnie_soveti&amp;utm_medium=cpc&amp;utm_source=blog&amp;utm_term=max_m1_290926" TargetMode="External"/><Relationship Id="rId103" Type="http://schemas.openxmlformats.org/officeDocument/2006/relationships/hyperlink" Target="https://vk.ru/wall-225676079_59447" TargetMode="External"/><Relationship Id="rId224" Type="http://schemas.openxmlformats.org/officeDocument/2006/relationships/hyperlink" Target="https://telegram.me/rybalka_kazan_fishing/1156301" TargetMode="External"/><Relationship Id="rId345" Type="http://schemas.openxmlformats.org/officeDocument/2006/relationships/hyperlink" Target="https://max.ru/join/RsYvXIhAcs28ZYjx1GDjtbwyOTN2xXZ0YnLF78jfGHY" TargetMode="External"/><Relationship Id="rId466" Type="http://schemas.openxmlformats.org/officeDocument/2006/relationships/hyperlink" Target="https://vk.ru/clip-211368519_456242518?c=1" TargetMode="External"/><Relationship Id="rId587" Type="http://schemas.openxmlformats.org/officeDocument/2006/relationships/hyperlink" Target="https://max.ru/man_building" TargetMode="External"/><Relationship Id="rId102" Type="http://schemas.openxmlformats.org/officeDocument/2006/relationships/hyperlink" Target="https://aminotriggerfish.mobz.market/0npw" TargetMode="External"/><Relationship Id="rId223" Type="http://schemas.openxmlformats.org/officeDocument/2006/relationships/hyperlink" Target="https://t.me/klev_m_bot?start=tg_telegram_rybalka_kazan_fishing_post_11_09_26" TargetMode="External"/><Relationship Id="rId344" Type="http://schemas.openxmlformats.org/officeDocument/2006/relationships/hyperlink" Target="https://max.ru/Donetsk_Detka/AaCqxKe8Z4w" TargetMode="External"/><Relationship Id="rId465" Type="http://schemas.openxmlformats.org/officeDocument/2006/relationships/hyperlink" Target="https://aminotriggerfish.mobz.market/j10" TargetMode="External"/><Relationship Id="rId586" Type="http://schemas.openxmlformats.org/officeDocument/2006/relationships/hyperlink" Target="https://max.ru/sulinnews/AaDstw1oNek" TargetMode="External"/><Relationship Id="rId101" Type="http://schemas.openxmlformats.org/officeDocument/2006/relationships/hyperlink" Target="https://ozon.ru/product/aminotrigger-fish-aromatizator-dlya-rybalki-250-ml-5340361400/?hs=1&amp;utm_campaign=vendor_org_4202727_vsegda_klyuyet&amp;utm_medium=video&amp;utm_source=vk" TargetMode="External"/><Relationship Id="rId222" Type="http://schemas.openxmlformats.org/officeDocument/2006/relationships/hyperlink" Target="https://telegram.me/rybalka_kazan_fishing" TargetMode="External"/><Relationship Id="rId343" Type="http://schemas.openxmlformats.org/officeDocument/2006/relationships/hyperlink" Target="https://aminotriggerfish.mobz.market/601" TargetMode="External"/><Relationship Id="rId464" Type="http://schemas.openxmlformats.org/officeDocument/2006/relationships/hyperlink" Target="https://ozon.ru/product/aminotrigger-fish-aromatizator-dlya-rybalki-250-ml-5340361400/?at=1mSl1-brWXio0vr58JpxYin5L28OGbHc&amp;hs=1&amp;utm_campaign=vendor_org_4202727_%D1%81lub211368519&amp;utm_medium=blog&amp;utm_source=vk&amp;utm_term=m1_240926" TargetMode="External"/><Relationship Id="rId585" Type="http://schemas.openxmlformats.org/officeDocument/2006/relationships/hyperlink" Target="https://aminotriggerfish.mobz.market/u3wg" TargetMode="External"/><Relationship Id="rId100" Type="http://schemas.openxmlformats.org/officeDocument/2006/relationships/hyperlink" Target="https://vk.ru/vsegda_klyuyet" TargetMode="External"/><Relationship Id="rId221" Type="http://schemas.openxmlformats.org/officeDocument/2006/relationships/hyperlink" Target="https://t.me/ogorod_ot_nevzgod/357" TargetMode="External"/><Relationship Id="rId342" Type="http://schemas.openxmlformats.org/officeDocument/2006/relationships/hyperlink" Target="https://ozon.ru/product/aminotrigger-fish-aromatizator-dlya-rybalki-250-ml-5340361400/?at=1mSl1-brWXio0vr58JpxYin5L28OGbHc&amp;hs=1&amp;utm_campaign=vendor_org_4202727_Donetsk_Detka&amp;utm_medium=cpc&amp;utm_source=blog&amp;utm_term=max_m1_15_09" TargetMode="External"/><Relationship Id="rId463" Type="http://schemas.openxmlformats.org/officeDocument/2006/relationships/hyperlink" Target="https://vk.ru/club211368519" TargetMode="External"/><Relationship Id="rId584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sulinnews&amp;utm_medium=cpc&amp;utm_source=blog&amp;utm_term=max_m1_290926" TargetMode="External"/><Relationship Id="rId217" Type="http://schemas.openxmlformats.org/officeDocument/2006/relationships/hyperlink" Target="https://t.me/green_doctorbot?start=tg_world_plants" TargetMode="External"/><Relationship Id="rId338" Type="http://schemas.openxmlformats.org/officeDocument/2006/relationships/hyperlink" Target="https://ozon.ru/product/aminotrigger-fish-aromatizator-dlya-rybalki-250-ml-5340361400/?at=1mSl1-brWXio0vr58JpxYin5L28OGbHc&amp;hs=1&amp;utm_campaign=vendor_org_4202727_izgorodavderevny&amp;utm_medium=cpc&amp;utm_source=blog&amp;utm_term=max_m1_15_09" TargetMode="External"/><Relationship Id="rId459" Type="http://schemas.openxmlformats.org/officeDocument/2006/relationships/hyperlink" Target="https://max.ru/batka_ru" TargetMode="External"/><Relationship Id="rId216" Type="http://schemas.openxmlformats.org/officeDocument/2006/relationships/hyperlink" Target="https://telegram.me/world_plants" TargetMode="External"/><Relationship Id="rId337" Type="http://schemas.openxmlformats.org/officeDocument/2006/relationships/hyperlink" Target="https://max.ru/izgorodavderevny" TargetMode="External"/><Relationship Id="rId458" Type="http://schemas.openxmlformats.org/officeDocument/2006/relationships/hyperlink" Target="https://max.ru/ruki_mastera_sovety/AaDH7WFZfHI" TargetMode="External"/><Relationship Id="rId579" Type="http://schemas.openxmlformats.org/officeDocument/2006/relationships/hyperlink" Target="https://telegram.me/delnie_soveti" TargetMode="External"/><Relationship Id="rId215" Type="http://schemas.openxmlformats.org/officeDocument/2006/relationships/hyperlink" Target="https://t.me/cvety_uhod/12119" TargetMode="External"/><Relationship Id="rId336" Type="http://schemas.openxmlformats.org/officeDocument/2006/relationships/hyperlink" Target="https://max.ru/rybakidv/AaCng4PDO8w" TargetMode="External"/><Relationship Id="rId457" Type="http://schemas.openxmlformats.org/officeDocument/2006/relationships/hyperlink" Target="https://aminotriggerfish.mobz.market/jyd" TargetMode="External"/><Relationship Id="rId578" Type="http://schemas.openxmlformats.org/officeDocument/2006/relationships/hyperlink" Target="https://telegram.me/dom_mas/3853" TargetMode="External"/><Relationship Id="rId214" Type="http://schemas.openxmlformats.org/officeDocument/2006/relationships/hyperlink" Target="https://t.me/green_doctorbot?start=tg_cvety_uhod" TargetMode="External"/><Relationship Id="rId335" Type="http://schemas.openxmlformats.org/officeDocument/2006/relationships/hyperlink" Target="https://aminotriggerfish.mobz.market/9qwln7" TargetMode="External"/><Relationship Id="rId456" Type="http://schemas.openxmlformats.org/officeDocument/2006/relationships/hyperlink" Target="https://ozon.ru/product/aminotrigger-fish-aromatizator-dlya-rybalki-250-ml-5340361400/?at=1mSl1-brWXio0vr58JpxYin5L28OGbHc&amp;hs=1&amp;utm_campaign=vendor_org_4202727_ruki_mastera_sovety&amp;utm_medium=cpc&amp;utm_source=blog&amp;utm_term=max_m1_220926" TargetMode="External"/><Relationship Id="rId577" Type="http://schemas.openxmlformats.org/officeDocument/2006/relationships/hyperlink" Target="https://aminotriggerfish.mobz.market/nv8zpr" TargetMode="External"/><Relationship Id="rId219" Type="http://schemas.openxmlformats.org/officeDocument/2006/relationships/hyperlink" Target="https://telegram.me/+MV5BmsANr2A2Y2Yy" TargetMode="External"/><Relationship Id="rId218" Type="http://schemas.openxmlformats.org/officeDocument/2006/relationships/hyperlink" Target="https://telegram.me/world_plants/7874" TargetMode="External"/><Relationship Id="rId339" Type="http://schemas.openxmlformats.org/officeDocument/2006/relationships/hyperlink" Target="https://aminotriggerfish.mobz.market/3trtf" TargetMode="External"/><Relationship Id="rId330" Type="http://schemas.openxmlformats.org/officeDocument/2006/relationships/hyperlink" Target="https://ozon.ru/product/aminotrigger-fish-aromatizator-dlya-rybalki-250-ml-5340361400/?at=1mSl1-brWXio0vr58JpxYin5L28OGbHc&amp;hs=1&amp;utm_campaign=vendor_org_4202727_rf4map+&amp;utm_medium=cpc&amp;utm_source=blog&amp;utm_term=max_15_09_m1" TargetMode="External"/><Relationship Id="rId451" Type="http://schemas.openxmlformats.org/officeDocument/2006/relationships/hyperlink" Target="https://max.ru/tatarin23" TargetMode="External"/><Relationship Id="rId572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derbloknot&amp;utm_medium=cpc&amp;utm_source=telegram&amp;utm_term=m1_290926" TargetMode="External"/><Relationship Id="rId450" Type="http://schemas.openxmlformats.org/officeDocument/2006/relationships/hyperlink" Target="https://max.ru/join/OYD5ieoRtXEi3U0yh1aPaO2FCTqWCdj19yiHrDBUYGk" TargetMode="External"/><Relationship Id="rId571" Type="http://schemas.openxmlformats.org/officeDocument/2006/relationships/hyperlink" Target="https://telegram.me/derbloknot" TargetMode="External"/><Relationship Id="rId570" Type="http://schemas.openxmlformats.org/officeDocument/2006/relationships/hyperlink" Target="https://www.tiktok.com/@ribanutij/video/7691299091187371270?_r=1&amp;_t=ZS-9AAFcEargVJ" TargetMode="External"/><Relationship Id="rId213" Type="http://schemas.openxmlformats.org/officeDocument/2006/relationships/hyperlink" Target="https://t.me/cvety_uhod" TargetMode="External"/><Relationship Id="rId334" Type="http://schemas.openxmlformats.org/officeDocument/2006/relationships/hyperlink" Target="https://ozon.ru/product/aminotrigger-fish-aromatizator-dlya-rybalki-250-ml-5340361400/?at=1mSl1-brWXio0vr58JpxYin5L28OGbHc&amp;hs=1&amp;utm_campaign=vendor_org_4202727_rybakidv&amp;utm_medium=cpc&amp;utm_source=blog&amp;utm_term=max_15_09_m1" TargetMode="External"/><Relationship Id="rId455" Type="http://schemas.openxmlformats.org/officeDocument/2006/relationships/hyperlink" Target="https://max.ru/ruki_mastera_sovety" TargetMode="External"/><Relationship Id="rId576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dom_mas&amp;utm_medium=cpc&amp;utm_source=blog&amp;utm_term=%D1%8C%D1%84%D1%87_%D1%8C1_290926" TargetMode="External"/><Relationship Id="rId212" Type="http://schemas.openxmlformats.org/officeDocument/2006/relationships/hyperlink" Target="https://t.me/izgorodavderevny/7283" TargetMode="External"/><Relationship Id="rId333" Type="http://schemas.openxmlformats.org/officeDocument/2006/relationships/hyperlink" Target="https://max.ru/rybakidv" TargetMode="External"/><Relationship Id="rId454" Type="http://schemas.openxmlformats.org/officeDocument/2006/relationships/hyperlink" Target="https://telega.in/analytics/images/cebcb05ac6?screen=https%3A%2F%2Fstorage.yandexcloud.net%2Ftelega-stat-screenshots%2Fattachments%2Fscreenshot%2F7508398852523508595%2Fscreenshot.e688cc0c.jpg" TargetMode="External"/><Relationship Id="rId575" Type="http://schemas.openxmlformats.org/officeDocument/2006/relationships/hyperlink" Target="https://telegram.me/dom_mas" TargetMode="External"/><Relationship Id="rId211" Type="http://schemas.openxmlformats.org/officeDocument/2006/relationships/hyperlink" Target="https://t.me/green_doctorbot?start=tg_izgorodavderevny" TargetMode="External"/><Relationship Id="rId332" Type="http://schemas.openxmlformats.org/officeDocument/2006/relationships/hyperlink" Target="https://max.ru/rf4map/AaCkwGLubAw" TargetMode="External"/><Relationship Id="rId453" Type="http://schemas.openxmlformats.org/officeDocument/2006/relationships/hyperlink" Target="https://aminotriggerfish.mobz.market/wtdu" TargetMode="External"/><Relationship Id="rId574" Type="http://schemas.openxmlformats.org/officeDocument/2006/relationships/hyperlink" Target="https://telegram.me/derbloknot/13510" TargetMode="External"/><Relationship Id="rId210" Type="http://schemas.openxmlformats.org/officeDocument/2006/relationships/hyperlink" Target="https://t.me/izgorodavderevny" TargetMode="External"/><Relationship Id="rId331" Type="http://schemas.openxmlformats.org/officeDocument/2006/relationships/hyperlink" Target="https://aminotriggerfish.mobz.market/muuyk" TargetMode="External"/><Relationship Id="rId452" Type="http://schemas.openxmlformats.org/officeDocument/2006/relationships/hyperlink" Target="https://ozon.ru/product/aminotrigger-fish-aromatizator-dlya-rybalki-250-ml-5340361400/?at=1mSl1-brWXio0vr58JpxYin5L28OGbHc&amp;hs=1&amp;utm_campaign=vendor_org_4202727_tatarin23&amp;utm_medium=cpc&amp;utm_source=blog&amp;utm_term=max_m1_220926" TargetMode="External"/><Relationship Id="rId573" Type="http://schemas.openxmlformats.org/officeDocument/2006/relationships/hyperlink" Target="https://aminotriggerfish.mobz.market/07seeq" TargetMode="External"/><Relationship Id="rId370" Type="http://schemas.openxmlformats.org/officeDocument/2006/relationships/hyperlink" Target="https://ozon.ru/product/aminotrigger-fish-aromatizator-dlya-rybalki-250-ml-5340361400/?at=1mSl1-brWXio0vr58JpxYin5L28OGbHc&amp;hs=1&amp;utm_campaign=vendor_org_4202727_arsenal&amp;utm_medium=cpc&amp;utm_source=blog&amp;utm_term=max_1709" TargetMode="External"/><Relationship Id="rId491" Type="http://schemas.openxmlformats.org/officeDocument/2006/relationships/hyperlink" Target="https://dzen.ru/solnce_na_kruchke_ultralight?ysclid=muf90wr8l3759667293" TargetMode="External"/><Relationship Id="rId490" Type="http://schemas.openxmlformats.org/officeDocument/2006/relationships/hyperlink" Target="https://rutube.ru/video/53c1d681dd04b48722e3a17a2baa0fe6" TargetMode="External"/><Relationship Id="rId129" Type="http://schemas.openxmlformats.org/officeDocument/2006/relationships/hyperlink" Target="https://vk.ru/club230805554" TargetMode="External"/><Relationship Id="rId128" Type="http://schemas.openxmlformats.org/officeDocument/2006/relationships/hyperlink" Target="https://t.me/telefishing/9763" TargetMode="External"/><Relationship Id="rId249" Type="http://schemas.openxmlformats.org/officeDocument/2006/relationships/hyperlink" Target="https://telegram.me/rybakidv" TargetMode="External"/><Relationship Id="rId127" Type="http://schemas.openxmlformats.org/officeDocument/2006/relationships/hyperlink" Target="https://t.me/klev_m_bot?start=tg_telegram_telefishing_post_09_09_26" TargetMode="External"/><Relationship Id="rId248" Type="http://schemas.openxmlformats.org/officeDocument/2006/relationships/hyperlink" Target="https://telegram.me/feeder_spb/10584" TargetMode="External"/><Relationship Id="rId369" Type="http://schemas.openxmlformats.org/officeDocument/2006/relationships/hyperlink" Target="https://max.ru/join/TvQLS0w4ME6NxyFNFjDJjcnKXkUrxNLCLkSdEVoL9gk" TargetMode="External"/><Relationship Id="rId126" Type="http://schemas.openxmlformats.org/officeDocument/2006/relationships/hyperlink" Target="https://telegram.me/telefishing" TargetMode="External"/><Relationship Id="rId247" Type="http://schemas.openxmlformats.org/officeDocument/2006/relationships/hyperlink" Target="https://t.me/klev_m_bot?start=tg_telegram_feeder_spb_post_11_09_29" TargetMode="External"/><Relationship Id="rId368" Type="http://schemas.openxmlformats.org/officeDocument/2006/relationships/hyperlink" Target="https://max.ru/channel_rus_fishin/AaCkvgLBXgw" TargetMode="External"/><Relationship Id="rId489" Type="http://schemas.openxmlformats.org/officeDocument/2006/relationships/hyperlink" Target="https://aminotriggerfish.mobz.market/vhk" TargetMode="External"/><Relationship Id="rId121" Type="http://schemas.openxmlformats.org/officeDocument/2006/relationships/hyperlink" Target="https://t.me/klev_m_bot?start=tg_telegram_justhookup1010_post_09_09_37" TargetMode="External"/><Relationship Id="rId242" Type="http://schemas.openxmlformats.org/officeDocument/2006/relationships/hyperlink" Target="https://telegram.me/anarchyCFT/2703042" TargetMode="External"/><Relationship Id="rId363" Type="http://schemas.openxmlformats.org/officeDocument/2006/relationships/hyperlink" Target="https://aminotriggerfish.mobz.market/pqw" TargetMode="External"/><Relationship Id="rId484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club226729822&amp;utm_medium=cpc&amp;utm_source=vk&amp;utm_term=270926_m1" TargetMode="External"/><Relationship Id="rId120" Type="http://schemas.openxmlformats.org/officeDocument/2006/relationships/hyperlink" Target="https://telegram.me/justhookup1010" TargetMode="External"/><Relationship Id="rId241" Type="http://schemas.openxmlformats.org/officeDocument/2006/relationships/hyperlink" Target="https://t.me/klev_m_bot?start=tg_telegram_anarchycft_post_11_09_26" TargetMode="External"/><Relationship Id="rId362" Type="http://schemas.openxmlformats.org/officeDocument/2006/relationships/hyperlink" Target="https://ozon.ru/product/aminotrigger-fish-aromatizator-dlya-rybalki-250-ml-5340361400/?at=1mSl1-brWXio0vr58JpxYin5L28OGbHc&amp;hs=1&amp;utm_campaign=vendor_org_4202727_channel_rus_fishin&amp;utm_medium=cpc&amp;utm_source=blog&amp;utm_term=max_m1_1509" TargetMode="External"/><Relationship Id="rId483" Type="http://schemas.openxmlformats.org/officeDocument/2006/relationships/hyperlink" Target="https://vk.com/club226729822" TargetMode="External"/><Relationship Id="rId240" Type="http://schemas.openxmlformats.org/officeDocument/2006/relationships/hyperlink" Target="https://t.me/anarchyCFT" TargetMode="External"/><Relationship Id="rId361" Type="http://schemas.openxmlformats.org/officeDocument/2006/relationships/hyperlink" Target="https://max.ru/channel_rus_fishin" TargetMode="External"/><Relationship Id="rId482" Type="http://schemas.openxmlformats.org/officeDocument/2006/relationships/hyperlink" Target="https://www.youtube.com/watch?v=y8Wu8lq9we0" TargetMode="External"/><Relationship Id="rId360" Type="http://schemas.openxmlformats.org/officeDocument/2006/relationships/hyperlink" Target="https://max.ru/Rostov_Fisher/AaCmcP7PM8w" TargetMode="External"/><Relationship Id="rId481" Type="http://schemas.openxmlformats.org/officeDocument/2006/relationships/hyperlink" Target="https://aminotriggerfish.mobz.market/frexm" TargetMode="External"/><Relationship Id="rId125" Type="http://schemas.openxmlformats.org/officeDocument/2006/relationships/hyperlink" Target="https://telegram.me/ultraspin/36512" TargetMode="External"/><Relationship Id="rId246" Type="http://schemas.openxmlformats.org/officeDocument/2006/relationships/hyperlink" Target="https://telegram.me/feeder_spb" TargetMode="External"/><Relationship Id="rId367" Type="http://schemas.openxmlformats.org/officeDocument/2006/relationships/hyperlink" Target="https://aminotriggerfish.mobz.market/xe5bem" TargetMode="External"/><Relationship Id="rId488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channel25410100&amp;utm_medium=cpc&amp;utm_source=blog&amp;utm_term=270926_m1" TargetMode="External"/><Relationship Id="rId124" Type="http://schemas.openxmlformats.org/officeDocument/2006/relationships/hyperlink" Target="https://t.me/klev_m_bot?start=tg_telegram_ultraspin_post_09_09_36" TargetMode="External"/><Relationship Id="rId245" Type="http://schemas.openxmlformats.org/officeDocument/2006/relationships/hyperlink" Target="https://t.me/PromyslovikAlexs/8467" TargetMode="External"/><Relationship Id="rId366" Type="http://schemas.openxmlformats.org/officeDocument/2006/relationships/hyperlink" Target="https://ozon.ru/product/aminotrigger-fish-aromatizator-dlya-rybalki-250-ml-5340361400/?at=1mSl1-brWXio0vr58JpxYin5L28OGbHc&amp;hs=1&amp;utm_campaign=vendor_org_4202727_privolgie116&amp;utm_medium=cpc&amp;utm_source=blog&amp;utm_term=max_1709" TargetMode="External"/><Relationship Id="rId487" Type="http://schemas.openxmlformats.org/officeDocument/2006/relationships/hyperlink" Target="https://vk.ru/away.php?to=https%3A%2F%2Frutube.ru%2Fchannel%2F25410100%2F&amp;utf=1" TargetMode="External"/><Relationship Id="rId123" Type="http://schemas.openxmlformats.org/officeDocument/2006/relationships/hyperlink" Target="https://telegram.me/ultraspin" TargetMode="External"/><Relationship Id="rId244" Type="http://schemas.openxmlformats.org/officeDocument/2006/relationships/hyperlink" Target="https://t.me/klev_m_bot?start=tg_telegram_promyslovikalexs_post_11_09_26" TargetMode="External"/><Relationship Id="rId365" Type="http://schemas.openxmlformats.org/officeDocument/2006/relationships/hyperlink" Target="https://max.ru/privolgie116" TargetMode="External"/><Relationship Id="rId486" Type="http://schemas.openxmlformats.org/officeDocument/2006/relationships/hyperlink" Target="https://vkvideo.ru/video-226729822_456239677" TargetMode="External"/><Relationship Id="rId122" Type="http://schemas.openxmlformats.org/officeDocument/2006/relationships/hyperlink" Target="https://t.me/justhookup1010/1500" TargetMode="External"/><Relationship Id="rId243" Type="http://schemas.openxmlformats.org/officeDocument/2006/relationships/hyperlink" Target="https://t.me/PromyslovikAlexs" TargetMode="External"/><Relationship Id="rId364" Type="http://schemas.openxmlformats.org/officeDocument/2006/relationships/hyperlink" Target="https://max.ru/channel_rus_fishin/AaCkvgLBXgw" TargetMode="External"/><Relationship Id="rId485" Type="http://schemas.openxmlformats.org/officeDocument/2006/relationships/hyperlink" Target="https://aminotriggerfish.mobz.market/hpti" TargetMode="External"/><Relationship Id="rId95" Type="http://schemas.openxmlformats.org/officeDocument/2006/relationships/hyperlink" Target="https://max.ru/rybanutyye/AaCL1VXXb6k" TargetMode="External"/><Relationship Id="rId94" Type="http://schemas.openxmlformats.org/officeDocument/2006/relationships/hyperlink" Target="https://aminotriggerfish.mobz.market/cm2j" TargetMode="External"/><Relationship Id="rId97" Type="http://schemas.openxmlformats.org/officeDocument/2006/relationships/hyperlink" Target="https://ozon.ru/product/aminotrigger-fish-aromatizator-dlya-rybalki-250-ml-5340361400/?hs=1&amp;utm_campaign=vendor_org_4202727_club220872293&amp;utm_medium=cpc&amp;utm_source=blog&amp;utm_term=m1_4" TargetMode="External"/><Relationship Id="rId96" Type="http://schemas.openxmlformats.org/officeDocument/2006/relationships/hyperlink" Target="https://max.ru/club220872293" TargetMode="External"/><Relationship Id="rId99" Type="http://schemas.openxmlformats.org/officeDocument/2006/relationships/hyperlink" Target="https://max.ru/club220872293/AaCL1VHEJVk" TargetMode="External"/><Relationship Id="rId480" Type="http://schemas.openxmlformats.org/officeDocument/2006/relationships/hyperlink" Target="https://ozon.onelink.me/SNMZ/cifnxffc" TargetMode="External"/><Relationship Id="rId98" Type="http://schemas.openxmlformats.org/officeDocument/2006/relationships/hyperlink" Target="https://aminotriggerfish.mobz.market/0str" TargetMode="External"/><Relationship Id="rId91" Type="http://schemas.openxmlformats.org/officeDocument/2006/relationships/hyperlink" Target="https://vk.ru/wall-223529843_13837" TargetMode="External"/><Relationship Id="rId90" Type="http://schemas.openxmlformats.org/officeDocument/2006/relationships/hyperlink" Target="https://aminotriggerfish.mobz.market/xlf" TargetMode="External"/><Relationship Id="rId93" Type="http://schemas.openxmlformats.org/officeDocument/2006/relationships/hyperlink" Target="https://ozon.ru/product/aminotrigger-fish-aromatizator-dlya-rybalki-250-ml-5340361400/?hs=1&amp;utm_campaign=vendor_org_4202727_rybanutyye&amp;utm_medium=cpc&amp;utm_source=blog&amp;utm_term=m_1_4" TargetMode="External"/><Relationship Id="rId92" Type="http://schemas.openxmlformats.org/officeDocument/2006/relationships/hyperlink" Target="https://max.ru/rybanutyye" TargetMode="External"/><Relationship Id="rId118" Type="http://schemas.openxmlformats.org/officeDocument/2006/relationships/hyperlink" Target="https://telegram.me/novosti_rybatskogo" TargetMode="External"/><Relationship Id="rId239" Type="http://schemas.openxmlformats.org/officeDocument/2006/relationships/hyperlink" Target="https://t.me/rybalkasakhalin/18267" TargetMode="External"/><Relationship Id="rId117" Type="http://schemas.openxmlformats.org/officeDocument/2006/relationships/hyperlink" Target="https://vk.ru/wall-232670445_726" TargetMode="External"/><Relationship Id="rId238" Type="http://schemas.openxmlformats.org/officeDocument/2006/relationships/hyperlink" Target="https://t.me/klev_m_bot?start=tg_telegram_rybalkasakhalin_post_11_09_27" TargetMode="External"/><Relationship Id="rId359" Type="http://schemas.openxmlformats.org/officeDocument/2006/relationships/hyperlink" Target="https://aminotriggerfish.mobz.market/sxe1cu" TargetMode="External"/><Relationship Id="rId116" Type="http://schemas.openxmlformats.org/officeDocument/2006/relationships/hyperlink" Target="https://aminotriggerfish.mobz.market/j5kk" TargetMode="External"/><Relationship Id="rId237" Type="http://schemas.openxmlformats.org/officeDocument/2006/relationships/hyperlink" Target="https://t.me/rybalkasakhalin" TargetMode="External"/><Relationship Id="rId358" Type="http://schemas.openxmlformats.org/officeDocument/2006/relationships/hyperlink" Target="https://ozon.ru/product/aminotrigger-fish-aromatizator-dlya-rybalki-250-ml-5340361400/?at=1mSl1-brWXio0vr58JpxYin5L28OGbHc&amp;hs=1&amp;utm_campaign=vendor_org_4202727_Rostov_Fisher&amp;utm_medium=cpc&amp;utm_source=blog&amp;utm_term=max_m1_15_09" TargetMode="External"/><Relationship Id="rId479" Type="http://schemas.openxmlformats.org/officeDocument/2006/relationships/hyperlink" Target="http://www.youtube.com/@Solnce_na_Kruchke" TargetMode="External"/><Relationship Id="rId115" Type="http://schemas.openxmlformats.org/officeDocument/2006/relationships/hyperlink" Target="https://ozon.ru/product/aminotrigger-fish-aromatizator-dlya-rybalki-250-ml-5340361400/?hs=1&amp;utm_campaign=vendor_org_4202727_club232670445&amp;utm_medium=cpc&amp;utm_source=vk" TargetMode="External"/><Relationship Id="rId236" Type="http://schemas.openxmlformats.org/officeDocument/2006/relationships/hyperlink" Target="https://t.me/avito_dacha/17306" TargetMode="External"/><Relationship Id="rId357" Type="http://schemas.openxmlformats.org/officeDocument/2006/relationships/hyperlink" Target="https://max.ru/Rostov_Fisher" TargetMode="External"/><Relationship Id="rId478" Type="http://schemas.openxmlformats.org/officeDocument/2006/relationships/hyperlink" Target="https://dzen.ru/b/arUCvUYkNx2FY860?share_to=link" TargetMode="External"/><Relationship Id="rId599" Type="http://schemas.openxmlformats.org/officeDocument/2006/relationships/hyperlink" Target="https://max.ru/join/9qLFWCP7_Fof0z7MLsPf0HIb5RFVv_As1t9Vp-1f5do" TargetMode="External"/><Relationship Id="rId119" Type="http://schemas.openxmlformats.org/officeDocument/2006/relationships/hyperlink" Target="https://telegram.me/novosti_rybatskogo/8677" TargetMode="External"/><Relationship Id="rId110" Type="http://schemas.openxmlformats.org/officeDocument/2006/relationships/hyperlink" Target="https://aminotriggerfish.mobz.market/ldbk6" TargetMode="External"/><Relationship Id="rId231" Type="http://schemas.openxmlformats.org/officeDocument/2006/relationships/hyperlink" Target="https://telegram.me/+ZdtF1m2QOMMzMGYy" TargetMode="External"/><Relationship Id="rId352" Type="http://schemas.openxmlformats.org/officeDocument/2006/relationships/hyperlink" Target="https://max.ru/join/MJcSVIhM6mK80nI-q_CGTCGftgGmi9f2euWkcQp00Yc" TargetMode="External"/><Relationship Id="rId473" Type="http://schemas.openxmlformats.org/officeDocument/2006/relationships/hyperlink" Target="https://aminotriggerfish.mobz.market/nce9" TargetMode="External"/><Relationship Id="rId594" Type="http://schemas.openxmlformats.org/officeDocument/2006/relationships/hyperlink" Target="https://max.ru/derbloknot/AaDxOHqKIek" TargetMode="External"/><Relationship Id="rId230" Type="http://schemas.openxmlformats.org/officeDocument/2006/relationships/hyperlink" Target="https://telegram.me/pp4farmtrof/194400" TargetMode="External"/><Relationship Id="rId351" Type="http://schemas.openxmlformats.org/officeDocument/2006/relationships/hyperlink" Target="https://aminotriggerfish.mobz.market/vzxql6" TargetMode="External"/><Relationship Id="rId472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club226729822&amp;utm_medium=blog&amp;utm_source=vk&amp;utm_term=240926_m1" TargetMode="External"/><Relationship Id="rId593" Type="http://schemas.openxmlformats.org/officeDocument/2006/relationships/hyperlink" Target="https://aminotriggerfish.mobz.market/2s0ui1" TargetMode="External"/><Relationship Id="rId350" Type="http://schemas.openxmlformats.org/officeDocument/2006/relationships/hyperlink" Target="https://ozon.ru/product/aminotrigger-fish-aromatizator-dlya-rybalki-250-ml-5340361400/?at=1mSl1-brWXio0vr58JpxYin5L28OGbHc&amp;hs=1&amp;utm_campaign=vendor_org_4202727_mehanik_so_stazhem&amp;utm_medium=cpc&amp;utm_source=blog&amp;utm_term=max_m1_15_09" TargetMode="External"/><Relationship Id="rId471" Type="http://schemas.openxmlformats.org/officeDocument/2006/relationships/hyperlink" Target="https://max.ru/channel_Solnce_na_kruchke_ultralight" TargetMode="External"/><Relationship Id="rId592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derbloknot&amp;utm_medium=cpc&amp;utm_source=blog&amp;utm_term=max_m1_290926" TargetMode="External"/><Relationship Id="rId470" Type="http://schemas.openxmlformats.org/officeDocument/2006/relationships/hyperlink" Target="https://max.ru/channel_Solnce_na_kruchke_ultralight/AaDTCFyucH0" TargetMode="External"/><Relationship Id="rId591" Type="http://schemas.openxmlformats.org/officeDocument/2006/relationships/hyperlink" Target="https://max.ru/derbloknot" TargetMode="External"/><Relationship Id="rId114" Type="http://schemas.openxmlformats.org/officeDocument/2006/relationships/hyperlink" Target="https://vk.ru/club232670445" TargetMode="External"/><Relationship Id="rId235" Type="http://schemas.openxmlformats.org/officeDocument/2006/relationships/hyperlink" Target="https://t.me/klev_m_bot?start=tg_telegram_avito_dacha_post_11_09_30" TargetMode="External"/><Relationship Id="rId356" Type="http://schemas.openxmlformats.org/officeDocument/2006/relationships/hyperlink" Target="https://max.ru/snasti_bu_spb/AaCmcPGxDcw" TargetMode="External"/><Relationship Id="rId477" Type="http://schemas.openxmlformats.org/officeDocument/2006/relationships/hyperlink" Target="https://aminotriggerfish.mobz.market/hhk" TargetMode="External"/><Relationship Id="rId598" Type="http://schemas.openxmlformats.org/officeDocument/2006/relationships/hyperlink" Target="https://max.ru/slymaster/AaDr-76iHek" TargetMode="External"/><Relationship Id="rId113" Type="http://schemas.openxmlformats.org/officeDocument/2006/relationships/hyperlink" Target="https://max.ru/club220872293/AaCL1VHEJVk" TargetMode="External"/><Relationship Id="rId234" Type="http://schemas.openxmlformats.org/officeDocument/2006/relationships/hyperlink" Target="https://t.me/avito_dacha" TargetMode="External"/><Relationship Id="rId355" Type="http://schemas.openxmlformats.org/officeDocument/2006/relationships/hyperlink" Target="https://aminotriggerfish.mobz.market/upj" TargetMode="External"/><Relationship Id="rId476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solnce_na_kruchke_ultralight&amp;utm_medium=blog&amp;utm_source=dzen&amp;utm_term=240926_m1" TargetMode="External"/><Relationship Id="rId597" Type="http://schemas.openxmlformats.org/officeDocument/2006/relationships/hyperlink" Target="https://aminotriggerfish.mobz.market/iuvdz" TargetMode="External"/><Relationship Id="rId112" Type="http://schemas.openxmlformats.org/officeDocument/2006/relationships/hyperlink" Target="https://max.ru/life_fishing" TargetMode="External"/><Relationship Id="rId233" Type="http://schemas.openxmlformats.org/officeDocument/2006/relationships/hyperlink" Target="https://telegram.me/+ZdtF1m2QOMMzMGYy" TargetMode="External"/><Relationship Id="rId354" Type="http://schemas.openxmlformats.org/officeDocument/2006/relationships/hyperlink" Target="https://ozon.ru/product/aminotrigger-fish-aromatizator-dlya-rybalki-250-ml-5340361400/?at=1mSl1-brWXio0vr58JpxYin5L28OGbHc&amp;hs=1&amp;utm_campaign=vendor_org_4202727_snasti_bu_spb&amp;utm_medium=cpc&amp;utm_source=blog&amp;utm_term=max_m1_15_09" TargetMode="External"/><Relationship Id="rId475" Type="http://schemas.openxmlformats.org/officeDocument/2006/relationships/hyperlink" Target="https://dzen.ru/solnce_na_kruchke_ultralight?ysclid=muf90wr8l3759667293" TargetMode="External"/><Relationship Id="rId596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slymaster&amp;utm_medium=cpc&amp;utm_source=blog&amp;utm_term=max_m1_290926" TargetMode="External"/><Relationship Id="rId111" Type="http://schemas.openxmlformats.org/officeDocument/2006/relationships/hyperlink" Target="https://vk.ru/wall-230576737_16970" TargetMode="External"/><Relationship Id="rId232" Type="http://schemas.openxmlformats.org/officeDocument/2006/relationships/hyperlink" Target="https://t.me/klev_m_bot?start=tg_telegram_sakhalin_post_11_09_26" TargetMode="External"/><Relationship Id="rId353" Type="http://schemas.openxmlformats.org/officeDocument/2006/relationships/hyperlink" Target="https://max.ru/snasti_bu_spb" TargetMode="External"/><Relationship Id="rId474" Type="http://schemas.openxmlformats.org/officeDocument/2006/relationships/hyperlink" Target="https://vk.ru/wall-226729822_4587" TargetMode="External"/><Relationship Id="rId595" Type="http://schemas.openxmlformats.org/officeDocument/2006/relationships/hyperlink" Target="https://max.ru/slymaster" TargetMode="External"/><Relationship Id="rId305" Type="http://schemas.openxmlformats.org/officeDocument/2006/relationships/hyperlink" Target="https://max.ru/se13290293_biz" TargetMode="External"/><Relationship Id="rId426" Type="http://schemas.openxmlformats.org/officeDocument/2006/relationships/hyperlink" Target="https://telegram.me/sabylinaeladar" TargetMode="External"/><Relationship Id="rId547" Type="http://schemas.openxmlformats.org/officeDocument/2006/relationships/hyperlink" Target="https://t.me/vrn36v" TargetMode="External"/><Relationship Id="rId304" Type="http://schemas.openxmlformats.org/officeDocument/2006/relationships/hyperlink" Target="https://max.ru/join/TAz62IvarhreupeVWAwOLTP6R8EY_0-2O7jKs9CK0tM" TargetMode="External"/><Relationship Id="rId425" Type="http://schemas.openxmlformats.org/officeDocument/2006/relationships/hyperlink" Target="https://telegram.me/crochet_ing/4717" TargetMode="External"/><Relationship Id="rId546" Type="http://schemas.openxmlformats.org/officeDocument/2006/relationships/hyperlink" Target="https://telegram.me/big_kub/34131" TargetMode="External"/><Relationship Id="rId303" Type="http://schemas.openxmlformats.org/officeDocument/2006/relationships/hyperlink" Target="https://aminotriggerfish.mobz.market/3v1s" TargetMode="External"/><Relationship Id="rId424" Type="http://schemas.openxmlformats.org/officeDocument/2006/relationships/hyperlink" Target="https://t.me/green_doctorbot?start=tg_crochet_ing" TargetMode="External"/><Relationship Id="rId545" Type="http://schemas.openxmlformats.org/officeDocument/2006/relationships/hyperlink" Target="https://t.me/klev_m_bot?start=tg_telegram_big_kub_post_24_09_26&amp;erid=2W5zFGxwFkD" TargetMode="External"/><Relationship Id="rId302" Type="http://schemas.openxmlformats.org/officeDocument/2006/relationships/hyperlink" Target="https://ozon.ru/product/aminotrigger-fish-aromatizator-dlya-rybalki-250-ml-5340361400/?at=1mSl1-brWXio0vr58JpxYin5L28OGbHc&amp;hs=1&amp;utm_campaign=vendor_org_4202727_max_m1&amp;utm_medium=cpc&amp;utm_source=blog&amp;utm_term=TAz62IvarhreupeVWAwOLTP6R8EY_0-2O7jKs9CK0tM" TargetMode="External"/><Relationship Id="rId423" Type="http://schemas.openxmlformats.org/officeDocument/2006/relationships/hyperlink" Target="https://telegram.me/crochet_ing" TargetMode="External"/><Relationship Id="rId544" Type="http://schemas.openxmlformats.org/officeDocument/2006/relationships/hyperlink" Target="https://telegram.me/big_kub" TargetMode="External"/><Relationship Id="rId309" Type="http://schemas.openxmlformats.org/officeDocument/2006/relationships/hyperlink" Target="https://max.ru/channel_Ribalka25" TargetMode="External"/><Relationship Id="rId308" Type="http://schemas.openxmlformats.org/officeDocument/2006/relationships/hyperlink" Target="https://max.ru/se13290293_biz/AaCeTVMzDAM" TargetMode="External"/><Relationship Id="rId429" Type="http://schemas.openxmlformats.org/officeDocument/2006/relationships/hyperlink" Target="https://t.me/green_doctorbot?start=tg_evgeniyalemasova" TargetMode="External"/><Relationship Id="rId307" Type="http://schemas.openxmlformats.org/officeDocument/2006/relationships/hyperlink" Target="https://aminotriggerfish.mobz.market/8s6en7" TargetMode="External"/><Relationship Id="rId428" Type="http://schemas.openxmlformats.org/officeDocument/2006/relationships/hyperlink" Target="https://telegram.me/sabylinaeladar/7932" TargetMode="External"/><Relationship Id="rId549" Type="http://schemas.openxmlformats.org/officeDocument/2006/relationships/hyperlink" Target="https://t.me/vrn36v/39407" TargetMode="External"/><Relationship Id="rId306" Type="http://schemas.openxmlformats.org/officeDocument/2006/relationships/hyperlink" Target="https://ozon.ru/product/aminotrigger-fish-aromatizator-dlya-rybalki-250-ml-5340361400/?at=1mSl1-brWXio0vr58JpxYin5L28OGbHc&amp;hs=1&amp;utm_campaign=vendor_org_4202727_max_m1&amp;utm_medium=cpc&amp;utm_source=blog&amp;utm_term=se13290293_biz" TargetMode="External"/><Relationship Id="rId427" Type="http://schemas.openxmlformats.org/officeDocument/2006/relationships/hyperlink" Target="https://t.me/green_doctorbot?start=tg_sabylinaeladar" TargetMode="External"/><Relationship Id="rId548" Type="http://schemas.openxmlformats.org/officeDocument/2006/relationships/hyperlink" Target="https://t.me/klev_m_bot?start=tg_telegram_vrn36v_post_24_09_26&amp;erid=2W5zFHMB4yP" TargetMode="External"/><Relationship Id="rId301" Type="http://schemas.openxmlformats.org/officeDocument/2006/relationships/hyperlink" Target="https://max.ru/join/TAz62IvarhreupeVWAwOLTP6R8EY_0-2O7jKs9CK0tM" TargetMode="External"/><Relationship Id="rId422" Type="http://schemas.openxmlformats.org/officeDocument/2006/relationships/hyperlink" Target="https://telegram.me/uzelok_knit/16500" TargetMode="External"/><Relationship Id="rId543" Type="http://schemas.openxmlformats.org/officeDocument/2006/relationships/hyperlink" Target="https://telegram.me/vbelovo/26899" TargetMode="External"/><Relationship Id="rId300" Type="http://schemas.openxmlformats.org/officeDocument/2006/relationships/hyperlink" Target="https://max.ru/channel_fishing_Moscow/AaChLwGhf8M" TargetMode="External"/><Relationship Id="rId421" Type="http://schemas.openxmlformats.org/officeDocument/2006/relationships/hyperlink" Target="https://t.me/green_doctorbot?start=tg_uzelok_knit" TargetMode="External"/><Relationship Id="rId542" Type="http://schemas.openxmlformats.org/officeDocument/2006/relationships/hyperlink" Target="https://t.me/klev_m_bot?start=tg_telegram_vbelovo_post_24_09_26&amp;erid=2W5zFH4sCsb" TargetMode="External"/><Relationship Id="rId420" Type="http://schemas.openxmlformats.org/officeDocument/2006/relationships/hyperlink" Target="https://telegram.me/uzelok_knit" TargetMode="External"/><Relationship Id="rId541" Type="http://schemas.openxmlformats.org/officeDocument/2006/relationships/hyperlink" Target="https://telegram.me/vbelovo" TargetMode="External"/><Relationship Id="rId540" Type="http://schemas.openxmlformats.org/officeDocument/2006/relationships/hyperlink" Target="https://telegram.me/Ribaki_Kubani/380895" TargetMode="External"/><Relationship Id="rId415" Type="http://schemas.openxmlformats.org/officeDocument/2006/relationships/hyperlink" Target="https://t.me/green_doctorbot?start=tg_vishivaemtut" TargetMode="External"/><Relationship Id="rId536" Type="http://schemas.openxmlformats.org/officeDocument/2006/relationships/hyperlink" Target="https://t.me/klev_m_bot?start=tg_telegram_ssqfk8_ecaq2nzji_post_24_09_26&amp;erid=2W5zFHQ93Y5" TargetMode="External"/><Relationship Id="rId414" Type="http://schemas.openxmlformats.org/officeDocument/2006/relationships/hyperlink" Target="https://telegram.me/vishivaemtut" TargetMode="External"/><Relationship Id="rId535" Type="http://schemas.openxmlformats.org/officeDocument/2006/relationships/hyperlink" Target="https://telegram.me/+ssQFK8_eCaQ2NzJi" TargetMode="External"/><Relationship Id="rId413" Type="http://schemas.openxmlformats.org/officeDocument/2006/relationships/hyperlink" Target="https://t.me/budni_natali_aleksandr/7768" TargetMode="External"/><Relationship Id="rId534" Type="http://schemas.openxmlformats.org/officeDocument/2006/relationships/hyperlink" Target="https://t.me/avito_dacha/17637" TargetMode="External"/><Relationship Id="rId412" Type="http://schemas.openxmlformats.org/officeDocument/2006/relationships/hyperlink" Target="https://t.me/green_doctorbot?start=tg_budni_natali_aleksandr" TargetMode="External"/><Relationship Id="rId533" Type="http://schemas.openxmlformats.org/officeDocument/2006/relationships/hyperlink" Target="https://t.me/klev_m_bot?start=tg_telegram_avito_dacha_post_24_09_26&amp;erid=2W5zFHNf4Fj" TargetMode="External"/><Relationship Id="rId419" Type="http://schemas.openxmlformats.org/officeDocument/2006/relationships/hyperlink" Target="https://telegram.me/mkVyazanie/33752" TargetMode="External"/><Relationship Id="rId418" Type="http://schemas.openxmlformats.org/officeDocument/2006/relationships/hyperlink" Target="https://t.me/green_doctorbot?start=tg_mkVyazanie" TargetMode="External"/><Relationship Id="rId539" Type="http://schemas.openxmlformats.org/officeDocument/2006/relationships/hyperlink" Target="https://t.me/klev_m_bot?start=tg_telegram_ribaki_kubani_post_24_09_26&amp;erid=2W5zFGi7Nvm" TargetMode="External"/><Relationship Id="rId417" Type="http://schemas.openxmlformats.org/officeDocument/2006/relationships/hyperlink" Target="https://telegram.me/mkVyazanie" TargetMode="External"/><Relationship Id="rId538" Type="http://schemas.openxmlformats.org/officeDocument/2006/relationships/hyperlink" Target="https://telegram.me/Ribaki_Kubani" TargetMode="External"/><Relationship Id="rId416" Type="http://schemas.openxmlformats.org/officeDocument/2006/relationships/hyperlink" Target="https://telegram.me/vishivaemtut/30446" TargetMode="External"/><Relationship Id="rId537" Type="http://schemas.openxmlformats.org/officeDocument/2006/relationships/hyperlink" Target="https://t.me/c/2625083120/1160" TargetMode="External"/><Relationship Id="rId411" Type="http://schemas.openxmlformats.org/officeDocument/2006/relationships/hyperlink" Target="https://t.me/budni_natali_aleksandr" TargetMode="External"/><Relationship Id="rId532" Type="http://schemas.openxmlformats.org/officeDocument/2006/relationships/hyperlink" Target="https://t.me/avito_dacha" TargetMode="External"/><Relationship Id="rId410" Type="http://schemas.openxmlformats.org/officeDocument/2006/relationships/hyperlink" Target="https://telegram.me/nashastroika161/4141" TargetMode="External"/><Relationship Id="rId531" Type="http://schemas.openxmlformats.org/officeDocument/2006/relationships/hyperlink" Target="https://t.me/Black_History/15227" TargetMode="External"/><Relationship Id="rId530" Type="http://schemas.openxmlformats.org/officeDocument/2006/relationships/hyperlink" Target="https://t.me/klev_m_bot?start=tg_telegram_black_history_post_24_09_26&amp;erid=2W5zFGjbND7" TargetMode="External"/><Relationship Id="rId206" Type="http://schemas.openxmlformats.org/officeDocument/2006/relationships/hyperlink" Target="https://telegram.me/lena_po_dely/1623" TargetMode="External"/><Relationship Id="rId327" Type="http://schemas.openxmlformats.org/officeDocument/2006/relationships/hyperlink" Target="https://aminotriggerfish.mobz.market/9gd" TargetMode="External"/><Relationship Id="rId448" Type="http://schemas.openxmlformats.org/officeDocument/2006/relationships/hyperlink" Target="https://ozon.ru/product/aminotrigger-fish-aromatizator-dlya-rybalki-250-ml-5340361400/?at=1mSl1-brWXio0vr58JpxYin5L28OGbHc&amp;hs=1&amp;utm_campaign=vendor_org_4202727_OYD5ieoRtXEi3U0yh1aPaO2FCTqWCdj19yiHrDBUYGk&amp;utm_medium=cpc&amp;utm_source=blog&amp;utm_term=max_m1_220926" TargetMode="External"/><Relationship Id="rId569" Type="http://schemas.openxmlformats.org/officeDocument/2006/relationships/hyperlink" Target="https://aminotriggerfish.mobz.market/zszu" TargetMode="External"/><Relationship Id="rId205" Type="http://schemas.openxmlformats.org/officeDocument/2006/relationships/hyperlink" Target="https://t.me/green_doctorbot?start=tg_lena_po_dely" TargetMode="External"/><Relationship Id="rId326" Type="http://schemas.openxmlformats.org/officeDocument/2006/relationships/hyperlink" Target="https://ozon.ru/product/aminotrigger-fish-aromatizator-dlya-rybalki-250-ml-5340361400/?at=1mSl1-brWXio0vr58JpxYin5L28OGbHc&amp;hs=1&amp;utm_campaign=vendor_org_4202727_Voennaja_svodka&amp;utm_medium=cpc&amp;utm_source=telegram&amp;utm_term=14_09_m1" TargetMode="External"/><Relationship Id="rId447" Type="http://schemas.openxmlformats.org/officeDocument/2006/relationships/hyperlink" Target="https://max.ru/join/OYD5ieoRtXEi3U0yh1aPaO2FCTqWCdj19yiHrDBUYGk" TargetMode="External"/><Relationship Id="rId568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ribanutij&amp;utm_medium=video&amp;utm_source=blog&amp;utm_term=tiktok_m1_300926" TargetMode="External"/><Relationship Id="rId204" Type="http://schemas.openxmlformats.org/officeDocument/2006/relationships/hyperlink" Target="https://telegram.me/lena_po_dely" TargetMode="External"/><Relationship Id="rId325" Type="http://schemas.openxmlformats.org/officeDocument/2006/relationships/hyperlink" Target="https://telegram.me/Voennaja_svodka" TargetMode="External"/><Relationship Id="rId446" Type="http://schemas.openxmlformats.org/officeDocument/2006/relationships/hyperlink" Target="https://youtu.be/fcPBgKsHmfw?si=dy0LJ-QJv8u77J6p" TargetMode="External"/><Relationship Id="rId567" Type="http://schemas.openxmlformats.org/officeDocument/2006/relationships/hyperlink" Target="https://www.tiktok.com/@ribanutij?_r=1&amp;_t=ZS-99TUZQjeKJR" TargetMode="External"/><Relationship Id="rId203" Type="http://schemas.openxmlformats.org/officeDocument/2006/relationships/hyperlink" Target="https://telegram.me/we_and_nature/16940" TargetMode="External"/><Relationship Id="rId324" Type="http://schemas.openxmlformats.org/officeDocument/2006/relationships/hyperlink" Target="https://telegram.me/aliakseizhukouski/17517" TargetMode="External"/><Relationship Id="rId445" Type="http://schemas.openxmlformats.org/officeDocument/2006/relationships/hyperlink" Target="https://aminotriggerfish.mobz.market/6yyiob" TargetMode="External"/><Relationship Id="rId566" Type="http://schemas.openxmlformats.org/officeDocument/2006/relationships/hyperlink" Target="https://t.me/perspectiv26/25235" TargetMode="External"/><Relationship Id="rId209" Type="http://schemas.openxmlformats.org/officeDocument/2006/relationships/hyperlink" Target="https://telegram.me/nika_zubra/23248" TargetMode="External"/><Relationship Id="rId208" Type="http://schemas.openxmlformats.org/officeDocument/2006/relationships/hyperlink" Target="https://t.me/green_doctorbot?start=tg_nika_zubra" TargetMode="External"/><Relationship Id="rId329" Type="http://schemas.openxmlformats.org/officeDocument/2006/relationships/hyperlink" Target="https://max.ru/rf4map" TargetMode="External"/><Relationship Id="rId207" Type="http://schemas.openxmlformats.org/officeDocument/2006/relationships/hyperlink" Target="https://telegram.me/nika_zubra" TargetMode="External"/><Relationship Id="rId328" Type="http://schemas.openxmlformats.org/officeDocument/2006/relationships/hyperlink" Target="https://telegram.me/Voennaja_svodka/20391" TargetMode="External"/><Relationship Id="rId449" Type="http://schemas.openxmlformats.org/officeDocument/2006/relationships/hyperlink" Target="https://aminotriggerfish.mobz.market/8kiam" TargetMode="External"/><Relationship Id="rId440" Type="http://schemas.openxmlformats.org/officeDocument/2006/relationships/hyperlink" Target="https://t.me/amigurumchik/20812" TargetMode="External"/><Relationship Id="rId561" Type="http://schemas.openxmlformats.org/officeDocument/2006/relationships/hyperlink" Target="https://t.me/klev_m_bot?start=tg_telegram_gorodorel57_post_24_09_26&amp;erid=2W5zFGzRF2Z" TargetMode="External"/><Relationship Id="rId560" Type="http://schemas.openxmlformats.org/officeDocument/2006/relationships/hyperlink" Target="https://telegram.me/samarafish/20448" TargetMode="External"/><Relationship Id="rId202" Type="http://schemas.openxmlformats.org/officeDocument/2006/relationships/hyperlink" Target="https://t.me/klev_m_bot?start=tg_telegram_we_and_nature_post_09_09_35%5C" TargetMode="External"/><Relationship Id="rId323" Type="http://schemas.openxmlformats.org/officeDocument/2006/relationships/hyperlink" Target="https://aminotriggerfish.mobz.market/rnokt" TargetMode="External"/><Relationship Id="rId444" Type="http://schemas.openxmlformats.org/officeDocument/2006/relationships/hyperlink" Target="https://ozon.ru/product/aminotrigger-fish-aromatizator-dlya-rybalki-250-ml-5340361400/?at=1mSl1-brWXio0vr58JpxYin5L28OGbHc&amp;hs=1&amp;utm_campaign=vendor_org_4202727_rybalkale&amp;utm_medium=video&amp;utm_source=youtube&amp;utm_term=200926_m1" TargetMode="External"/><Relationship Id="rId565" Type="http://schemas.openxmlformats.org/officeDocument/2006/relationships/hyperlink" Target="https://t.me/klev_m_bot?start=tg_telegram_perspectiv26_post_24_09_26&amp;erid=2W5zFH3PDbF" TargetMode="External"/><Relationship Id="rId201" Type="http://schemas.openxmlformats.org/officeDocument/2006/relationships/hyperlink" Target="https://telegram.me/we_and_nature" TargetMode="External"/><Relationship Id="rId322" Type="http://schemas.openxmlformats.org/officeDocument/2006/relationships/hyperlink" Target="https://ozon.ru/product/aminotrigger-fish-aromatizator-dlya-rybalki-250-ml-5340361400/?at=1mSl1-brWXio0vr58JpxYin5L28OGbHc&amp;hs=1&amp;utm_campaign=vendor_org_4202727_aliakseizhukouski&amp;utm_medium=cpc&amp;utm_source=telegram&amp;utm_term=14_09_m1" TargetMode="External"/><Relationship Id="rId443" Type="http://schemas.openxmlformats.org/officeDocument/2006/relationships/hyperlink" Target="https://vk.ru/rybalkale" TargetMode="External"/><Relationship Id="rId564" Type="http://schemas.openxmlformats.org/officeDocument/2006/relationships/hyperlink" Target="https://t.me/perspectiv26" TargetMode="External"/><Relationship Id="rId200" Type="http://schemas.openxmlformats.org/officeDocument/2006/relationships/hyperlink" Target="https://telegram.me/fishingspb1/64502" TargetMode="External"/><Relationship Id="rId321" Type="http://schemas.openxmlformats.org/officeDocument/2006/relationships/hyperlink" Target="https://telegram.me/aliakseizhukouski" TargetMode="External"/><Relationship Id="rId442" Type="http://schemas.openxmlformats.org/officeDocument/2006/relationships/hyperlink" Target="https://vt.tiktok.com/ZSq764vEJ/" TargetMode="External"/><Relationship Id="rId563" Type="http://schemas.openxmlformats.org/officeDocument/2006/relationships/hyperlink" Target="https://telegram.me/Megapolisonline/145900" TargetMode="External"/><Relationship Id="rId320" Type="http://schemas.openxmlformats.org/officeDocument/2006/relationships/hyperlink" Target="https://t.me/maksanapskii/23947" TargetMode="External"/><Relationship Id="rId441" Type="http://schemas.openxmlformats.org/officeDocument/2006/relationships/hyperlink" Target="https://www.tiktok.com/@derevenski_parenek" TargetMode="External"/><Relationship Id="rId562" Type="http://schemas.openxmlformats.org/officeDocument/2006/relationships/hyperlink" Target="https://t.me/klev_m_bot?start=tg_telegram_gorodorel57_post_24_09_26&amp;erid=2W5zFGzRF2Z" TargetMode="External"/><Relationship Id="rId316" Type="http://schemas.openxmlformats.org/officeDocument/2006/relationships/hyperlink" Target="https://max.ru/rybalkaudachnaya/AaCerkLSaj4" TargetMode="External"/><Relationship Id="rId437" Type="http://schemas.openxmlformats.org/officeDocument/2006/relationships/hyperlink" Target="https://t.me/mamavdnr/57522" TargetMode="External"/><Relationship Id="rId558" Type="http://schemas.openxmlformats.org/officeDocument/2006/relationships/hyperlink" Target="https://telegram.me/samarafish" TargetMode="External"/><Relationship Id="rId315" Type="http://schemas.openxmlformats.org/officeDocument/2006/relationships/hyperlink" Target="https://aminotriggerfish.mobz.market/haw" TargetMode="External"/><Relationship Id="rId436" Type="http://schemas.openxmlformats.org/officeDocument/2006/relationships/hyperlink" Target="https://t.me/green_doctorbot?start=tg_mamavdnr" TargetMode="External"/><Relationship Id="rId557" Type="http://schemas.openxmlformats.org/officeDocument/2006/relationships/hyperlink" Target="https://telegram.me/giznnauge/4818" TargetMode="External"/><Relationship Id="rId314" Type="http://schemas.openxmlformats.org/officeDocument/2006/relationships/hyperlink" Target="https://ozon.ru/product/aminotrigger-fish-aromatizator-dlya-rybalki-250-ml-5340361400/?at=1mSl1-brWXio0vr58JpxYin5L28OGbHc&amp;hs=1&amp;utm_campaign=vendor_org_4202727_max_m1&amp;utm_medium=cpc&amp;utm_source=blog&amp;utm_term=rybalkaudachnaya" TargetMode="External"/><Relationship Id="rId435" Type="http://schemas.openxmlformats.org/officeDocument/2006/relationships/hyperlink" Target="https://t.me/mamavdnr" TargetMode="External"/><Relationship Id="rId556" Type="http://schemas.openxmlformats.org/officeDocument/2006/relationships/hyperlink" Target="https://t.me/klev_m_bot?start=tg_telegram_giznnauge_post_24_09_26" TargetMode="External"/><Relationship Id="rId313" Type="http://schemas.openxmlformats.org/officeDocument/2006/relationships/hyperlink" Target="https://max.ru/rybalkaudachnaya" TargetMode="External"/><Relationship Id="rId434" Type="http://schemas.openxmlformats.org/officeDocument/2006/relationships/hyperlink" Target="https://t.me/c/1945008246/1834" TargetMode="External"/><Relationship Id="rId555" Type="http://schemas.openxmlformats.org/officeDocument/2006/relationships/hyperlink" Target="https://telegram.me/giznnauge" TargetMode="External"/><Relationship Id="rId319" Type="http://schemas.openxmlformats.org/officeDocument/2006/relationships/hyperlink" Target="https://aminotriggerfish.mobz.market/xmub" TargetMode="External"/><Relationship Id="rId318" Type="http://schemas.openxmlformats.org/officeDocument/2006/relationships/hyperlink" Target="https://ozon.ru/product/aminotrigger-fish-aromatizator-dlya-rybalki-250-ml-5340361400/?at=1mSl1-brWXio0vr58JpxYin5L28OGbHc&amp;hs=1&amp;utm_campaign=vendor_org_4202727_maksanapskii&amp;utm_medium=cpc&amp;utm_source=telegram&amp;utm_term=14_09_m1" TargetMode="External"/><Relationship Id="rId439" Type="http://schemas.openxmlformats.org/officeDocument/2006/relationships/hyperlink" Target="https://t.me/green_doctorbot?start=tg_amigurumchik&amp;erid=2W5zFJuSuJH" TargetMode="External"/><Relationship Id="rId317" Type="http://schemas.openxmlformats.org/officeDocument/2006/relationships/hyperlink" Target="https://telegram.me/maksanapskii" TargetMode="External"/><Relationship Id="rId438" Type="http://schemas.openxmlformats.org/officeDocument/2006/relationships/hyperlink" Target="https://t.me/amigurumchik" TargetMode="External"/><Relationship Id="rId559" Type="http://schemas.openxmlformats.org/officeDocument/2006/relationships/hyperlink" Target="https://t.me/klev_m_bot?start=tg_telegram_samarafish_post_24_09_26&amp;erid=2W5zFHDm8Zf" TargetMode="External"/><Relationship Id="rId550" Type="http://schemas.openxmlformats.org/officeDocument/2006/relationships/hyperlink" Target="https://telegram.me/nahodki_Wildberriesy" TargetMode="External"/><Relationship Id="rId312" Type="http://schemas.openxmlformats.org/officeDocument/2006/relationships/hyperlink" Target="https://max.ru/channel_Ribalka25/AaCdNvQqTAM" TargetMode="External"/><Relationship Id="rId433" Type="http://schemas.openxmlformats.org/officeDocument/2006/relationships/hyperlink" Target="https://t.me/green_doctorbot?start=tg_4weGiJK25v5hZGE6" TargetMode="External"/><Relationship Id="rId554" Type="http://schemas.openxmlformats.org/officeDocument/2006/relationships/hyperlink" Target="https://telegram.me/Megapolisonline/145900" TargetMode="External"/><Relationship Id="rId311" Type="http://schemas.openxmlformats.org/officeDocument/2006/relationships/hyperlink" Target="https://aminotriggerfish.mobz.market/jwi2vo" TargetMode="External"/><Relationship Id="rId432" Type="http://schemas.openxmlformats.org/officeDocument/2006/relationships/hyperlink" Target="https://telegram.me/+4weGiJK25v5hZGE6" TargetMode="External"/><Relationship Id="rId553" Type="http://schemas.openxmlformats.org/officeDocument/2006/relationships/hyperlink" Target="https://t.me/klev_m_bot?start=tg_telegram_megapolisonline_post_24_09_26&amp;amp;erid=2W5zFGqXKLV" TargetMode="External"/><Relationship Id="rId310" Type="http://schemas.openxmlformats.org/officeDocument/2006/relationships/hyperlink" Target="https://ozon.ru/product/aminotrigger-fish-aromatizator-dlya-rybalki-250-ml-5340361400/?at=1mSl1-brWXio0vr58JpxYin5L28OGbHc&amp;hs=1&amp;utm_campaign=vendor_org_4202727_max_m1&amp;utm_medium=cpc&amp;utm_source=blog&amp;utm_term=channel_Ribalka25" TargetMode="External"/><Relationship Id="rId431" Type="http://schemas.openxmlformats.org/officeDocument/2006/relationships/hyperlink" Target="https://telegram.me/evgeniyalemasova/19402" TargetMode="External"/><Relationship Id="rId552" Type="http://schemas.openxmlformats.org/officeDocument/2006/relationships/hyperlink" Target="https://telegram.me/Megapolisonline" TargetMode="External"/><Relationship Id="rId430" Type="http://schemas.openxmlformats.org/officeDocument/2006/relationships/hyperlink" Target="https://t.me/green_doctorbot?start=tg_evgeniyalemasova" TargetMode="External"/><Relationship Id="rId551" Type="http://schemas.openxmlformats.org/officeDocument/2006/relationships/hyperlink" Target="https://telegram.me/nahodki_Wildberriesy/10844" TargetMode="Externa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s://www.tiktok.com/@shygar_ded" TargetMode="External"/><Relationship Id="rId2" Type="http://schemas.openxmlformats.org/officeDocument/2006/relationships/hyperlink" Target="https://www.youtube.com/@SLMagnat" TargetMode="External"/><Relationship Id="rId3" Type="http://schemas.openxmlformats.org/officeDocument/2006/relationships/hyperlink" Target="https://vk.ru/slmagnat" TargetMode="External"/><Relationship Id="rId4" Type="http://schemas.openxmlformats.org/officeDocument/2006/relationships/hyperlink" Target="https://t.me/warhistoryalconafter" TargetMode="External"/><Relationship Id="rId9" Type="http://schemas.openxmlformats.org/officeDocument/2006/relationships/hyperlink" Target="https://vk.ru/sib_ribachok" TargetMode="External"/><Relationship Id="rId5" Type="http://schemas.openxmlformats.org/officeDocument/2006/relationships/hyperlink" Target="https://max.ru/warhistoryalconafter" TargetMode="External"/><Relationship Id="rId6" Type="http://schemas.openxmlformats.org/officeDocument/2006/relationships/hyperlink" Target="https://t.me/Dyadyabatya0" TargetMode="External"/><Relationship Id="rId7" Type="http://schemas.openxmlformats.org/officeDocument/2006/relationships/hyperlink" Target="https://ozon.ru/product/aktivator-kleva-attraktant-prikormka-rybolovnaya-karp-leshch-250-ml-5340361400/?at=1mSl1-brWXio0vr58JpxYin5L28OGbHc&amp;hs=1&amp;utm_campaign=vendor_org_4202727_zainstrument&amp;utm_medium=cpc&amp;utm_source=telegram&amp;utm_term=tg_m1_290926" TargetMode="External"/><Relationship Id="rId8" Type="http://schemas.openxmlformats.org/officeDocument/2006/relationships/hyperlink" Target="https://aminotriggerfish.mobz.market/qr0s0k" TargetMode="External"/><Relationship Id="rId11" Type="http://schemas.openxmlformats.org/officeDocument/2006/relationships/hyperlink" Target="https://youtube.com/@siberian_fisherman?si=1Jvd__Gfrg6b1Xc6" TargetMode="External"/><Relationship Id="rId10" Type="http://schemas.openxmlformats.org/officeDocument/2006/relationships/hyperlink" Target="https://rutube.ru/u/siberianfisherman/" TargetMode="External"/><Relationship Id="rId13" Type="http://schemas.openxmlformats.org/officeDocument/2006/relationships/hyperlink" Target="https://rutube.ru/channel/23794976/" TargetMode="External"/><Relationship Id="rId12" Type="http://schemas.openxmlformats.org/officeDocument/2006/relationships/hyperlink" Target="https://www.youtube.com/@Weandnature" TargetMode="External"/><Relationship Id="rId15" Type="http://schemas.openxmlformats.org/officeDocument/2006/relationships/drawing" Target="../drawings/drawing7.xml"/><Relationship Id="rId14" Type="http://schemas.openxmlformats.org/officeDocument/2006/relationships/hyperlink" Target="https://vk.com/club182103735" TargetMode="Externa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9.25"/>
    <col customWidth="1" min="2" max="2" width="12.0"/>
    <col customWidth="1" min="3" max="3" width="22.0"/>
    <col customWidth="1" min="4" max="4" width="12.0"/>
    <col customWidth="1" min="5" max="5" width="11.0"/>
    <col customWidth="1" min="6" max="6" width="13.0"/>
    <col customWidth="1" min="7" max="7" width="8.0"/>
    <col customWidth="1" min="8" max="8" width="13.0"/>
    <col customWidth="1" min="9" max="9" width="26.0"/>
    <col customWidth="1" min="10" max="11" width="14.0"/>
    <col customWidth="1" min="12" max="12" width="24.0"/>
    <col customWidth="1" min="13" max="13" width="22.0"/>
    <col customWidth="1" min="14" max="14" width="26.0"/>
    <col customWidth="1" min="15" max="15" width="11.0"/>
    <col customWidth="1" min="16" max="16" width="12.0"/>
    <col customWidth="1" min="17" max="17" width="11.0"/>
    <col customWidth="1" min="18" max="18" width="12.0"/>
    <col customWidth="1" min="19" max="19" width="16.0"/>
    <col customWidth="1" hidden="1" min="20" max="20" width="16.0"/>
    <col customWidth="1" hidden="1" min="21" max="21" width="9.0"/>
    <col customWidth="1" hidden="1" min="22" max="22" width="5.0"/>
    <col customWidth="1" hidden="1" min="23" max="23" width="7.0"/>
    <col customWidth="1" min="24" max="26" width="8.75"/>
  </cols>
  <sheetData>
    <row r="1" ht="30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2"/>
      <c r="T1" s="2" t="s">
        <v>18</v>
      </c>
      <c r="U1" s="2"/>
      <c r="V1" s="2"/>
      <c r="W1" s="2"/>
      <c r="X1" s="3"/>
      <c r="Y1" s="3"/>
      <c r="Z1" s="3"/>
    </row>
    <row r="2" ht="18.0" hidden="1" customHeight="1">
      <c r="A2" s="4" t="s">
        <v>19</v>
      </c>
      <c r="B2" s="5"/>
      <c r="C2" s="5"/>
      <c r="D2" s="5"/>
      <c r="E2" s="6">
        <v>374000.0</v>
      </c>
      <c r="F2" s="6">
        <v>100000.0</v>
      </c>
      <c r="G2" s="6"/>
      <c r="H2" s="7">
        <v>60000.0</v>
      </c>
      <c r="I2" s="7"/>
      <c r="J2" s="5"/>
      <c r="K2" s="8" t="s">
        <v>20</v>
      </c>
      <c r="L2" s="5" t="s">
        <v>21</v>
      </c>
      <c r="M2" s="9"/>
      <c r="N2" s="10" t="s">
        <v>22</v>
      </c>
      <c r="O2" s="10">
        <f t="shared" ref="O2:O673" si="1">IFERROR(IF(OR($F2="",$H2=""),"",ROUND($H2/$F2,2)),"")</f>
        <v>0.6</v>
      </c>
      <c r="P2" s="11">
        <f t="shared" ref="P2:P673" si="2">IFERROR(IF(OR($F2="",$H2=""),"",ROUND($H2/$F2*1000,0)),"")</f>
        <v>600</v>
      </c>
      <c r="Q2" s="12">
        <f t="shared" ref="Q2:Q673" si="3">IF(OR($F2="",$H2=""),"",IFERROR(IF($O2="",0,IF($O2&lt;=$U$53,$W$53,IF($O2&lt;=$U$54,$W$54,IF($O2&lt;=$U$55,$W$55,0))))+IF(N($F2)&gt;=$U$56,$W$56,IF(N($F2)&gt;=$U$57,$W$57,IF(N($F2)&gt;=$U$58,$W$58,0))),0))</f>
        <v>80</v>
      </c>
      <c r="R2" s="13" t="str">
        <f t="shared" ref="R2:R673" si="4">IF($Q2="","",IFERROR(IF($Q2&gt;=$U$59,"Высокий",IF($Q2&gt;=$U$60,"Средний","Низкий")),"Низкий"))</f>
        <v>Высокий</v>
      </c>
      <c r="S2" s="2"/>
      <c r="T2" s="2"/>
      <c r="U2" s="2"/>
      <c r="V2" s="2"/>
      <c r="W2" s="2"/>
      <c r="X2" s="3"/>
      <c r="Y2" s="3"/>
      <c r="Z2" s="3"/>
    </row>
    <row r="3" ht="12.75" hidden="1" customHeight="1">
      <c r="A3" s="4" t="s">
        <v>23</v>
      </c>
      <c r="B3" s="5" t="s">
        <v>24</v>
      </c>
      <c r="C3" s="5"/>
      <c r="D3" s="5"/>
      <c r="E3" s="6">
        <v>1720000.0</v>
      </c>
      <c r="F3" s="6">
        <v>200000.0</v>
      </c>
      <c r="G3" s="6"/>
      <c r="H3" s="7">
        <v>250000.0</v>
      </c>
      <c r="I3" s="7"/>
      <c r="J3" s="5"/>
      <c r="K3" s="8" t="s">
        <v>20</v>
      </c>
      <c r="L3" s="5" t="s">
        <v>21</v>
      </c>
      <c r="M3" s="9"/>
      <c r="N3" s="10" t="s">
        <v>25</v>
      </c>
      <c r="O3" s="10">
        <f t="shared" si="1"/>
        <v>1.25</v>
      </c>
      <c r="P3" s="11">
        <f t="shared" si="2"/>
        <v>1250</v>
      </c>
      <c r="Q3" s="12">
        <f t="shared" si="3"/>
        <v>60</v>
      </c>
      <c r="R3" s="13" t="str">
        <f t="shared" si="4"/>
        <v>Средний</v>
      </c>
      <c r="S3" s="2"/>
      <c r="T3" s="2"/>
      <c r="U3" s="2"/>
      <c r="V3" s="2"/>
      <c r="W3" s="2"/>
      <c r="X3" s="3"/>
      <c r="Y3" s="3"/>
      <c r="Z3" s="3"/>
    </row>
    <row r="4" ht="17.25" hidden="1" customHeight="1">
      <c r="A4" s="4" t="s">
        <v>26</v>
      </c>
      <c r="B4" s="5"/>
      <c r="C4" s="5"/>
      <c r="D4" s="5"/>
      <c r="E4" s="6">
        <v>46200.0</v>
      </c>
      <c r="F4" s="6"/>
      <c r="G4" s="6"/>
      <c r="H4" s="7"/>
      <c r="I4" s="7"/>
      <c r="J4" s="5"/>
      <c r="K4" s="8" t="s">
        <v>20</v>
      </c>
      <c r="L4" s="5" t="s">
        <v>21</v>
      </c>
      <c r="M4" s="9"/>
      <c r="N4" s="10" t="s">
        <v>27</v>
      </c>
      <c r="O4" s="10" t="str">
        <f t="shared" si="1"/>
        <v/>
      </c>
      <c r="P4" s="11" t="str">
        <f t="shared" si="2"/>
        <v/>
      </c>
      <c r="Q4" s="12" t="str">
        <f t="shared" si="3"/>
        <v/>
      </c>
      <c r="R4" s="13" t="str">
        <f t="shared" si="4"/>
        <v/>
      </c>
      <c r="S4" s="2"/>
      <c r="T4" s="2"/>
      <c r="U4" s="2"/>
      <c r="V4" s="2"/>
      <c r="W4" s="2"/>
      <c r="X4" s="3"/>
      <c r="Y4" s="3"/>
      <c r="Z4" s="3"/>
    </row>
    <row r="5" ht="16.5" hidden="1" customHeight="1">
      <c r="A5" s="4" t="s">
        <v>28</v>
      </c>
      <c r="B5" s="5" t="s">
        <v>29</v>
      </c>
      <c r="C5" s="5"/>
      <c r="D5" s="5"/>
      <c r="E5" s="6">
        <v>681100.0</v>
      </c>
      <c r="F5" s="6"/>
      <c r="G5" s="6"/>
      <c r="H5" s="7"/>
      <c r="I5" s="7"/>
      <c r="J5" s="5"/>
      <c r="K5" s="8" t="s">
        <v>20</v>
      </c>
      <c r="L5" s="5" t="s">
        <v>21</v>
      </c>
      <c r="M5" s="9"/>
      <c r="N5" s="10" t="s">
        <v>30</v>
      </c>
      <c r="O5" s="10" t="str">
        <f t="shared" si="1"/>
        <v/>
      </c>
      <c r="P5" s="11" t="str">
        <f t="shared" si="2"/>
        <v/>
      </c>
      <c r="Q5" s="12" t="str">
        <f t="shared" si="3"/>
        <v/>
      </c>
      <c r="R5" s="13" t="str">
        <f t="shared" si="4"/>
        <v/>
      </c>
      <c r="S5" s="2"/>
      <c r="T5" s="2"/>
      <c r="U5" s="2"/>
      <c r="V5" s="2"/>
      <c r="W5" s="2"/>
      <c r="X5" s="3"/>
      <c r="Y5" s="3"/>
      <c r="Z5" s="3"/>
    </row>
    <row r="6" ht="15.0" hidden="1" customHeight="1">
      <c r="A6" s="4" t="s">
        <v>31</v>
      </c>
      <c r="B6" s="5"/>
      <c r="C6" s="5"/>
      <c r="D6" s="5"/>
      <c r="E6" s="6">
        <v>23700.0</v>
      </c>
      <c r="F6" s="6"/>
      <c r="G6" s="6"/>
      <c r="H6" s="7"/>
      <c r="I6" s="7"/>
      <c r="J6" s="5"/>
      <c r="K6" s="8" t="s">
        <v>20</v>
      </c>
      <c r="L6" s="5" t="s">
        <v>21</v>
      </c>
      <c r="M6" s="9"/>
      <c r="N6" s="10" t="s">
        <v>32</v>
      </c>
      <c r="O6" s="10" t="str">
        <f t="shared" si="1"/>
        <v/>
      </c>
      <c r="P6" s="11" t="str">
        <f t="shared" si="2"/>
        <v/>
      </c>
      <c r="Q6" s="12" t="str">
        <f t="shared" si="3"/>
        <v/>
      </c>
      <c r="R6" s="13" t="str">
        <f t="shared" si="4"/>
        <v/>
      </c>
      <c r="S6" s="2"/>
      <c r="T6" s="2"/>
      <c r="U6" s="2"/>
      <c r="V6" s="2"/>
      <c r="W6" s="2"/>
      <c r="X6" s="3"/>
      <c r="Y6" s="3"/>
      <c r="Z6" s="3"/>
    </row>
    <row r="7" ht="15.0" hidden="1" customHeight="1">
      <c r="A7" s="4" t="s">
        <v>33</v>
      </c>
      <c r="B7" s="5" t="s">
        <v>29</v>
      </c>
      <c r="C7" s="5"/>
      <c r="D7" s="5"/>
      <c r="E7" s="6">
        <v>156159.0</v>
      </c>
      <c r="F7" s="6">
        <v>69000.0</v>
      </c>
      <c r="G7" s="6"/>
      <c r="H7" s="7">
        <v>30000.0</v>
      </c>
      <c r="I7" s="7" t="s">
        <v>34</v>
      </c>
      <c r="J7" s="5"/>
      <c r="K7" s="8" t="s">
        <v>20</v>
      </c>
      <c r="L7" s="5" t="s">
        <v>21</v>
      </c>
      <c r="M7" s="9"/>
      <c r="N7" s="10" t="s">
        <v>35</v>
      </c>
      <c r="O7" s="10">
        <f t="shared" si="1"/>
        <v>0.43</v>
      </c>
      <c r="P7" s="11">
        <f t="shared" si="2"/>
        <v>435</v>
      </c>
      <c r="Q7" s="12">
        <f t="shared" si="3"/>
        <v>85</v>
      </c>
      <c r="R7" s="13" t="str">
        <f t="shared" si="4"/>
        <v>Высокий</v>
      </c>
      <c r="S7" s="2"/>
      <c r="T7" s="2"/>
      <c r="U7" s="2"/>
      <c r="V7" s="2"/>
      <c r="W7" s="2"/>
      <c r="X7" s="3"/>
      <c r="Y7" s="3"/>
      <c r="Z7" s="3"/>
    </row>
    <row r="8" ht="26.25" hidden="1" customHeight="1">
      <c r="A8" s="14" t="s">
        <v>36</v>
      </c>
      <c r="B8" s="5" t="s">
        <v>37</v>
      </c>
      <c r="C8" s="5"/>
      <c r="D8" s="5"/>
      <c r="E8" s="6">
        <v>30205.0</v>
      </c>
      <c r="F8" s="6">
        <v>15000.0</v>
      </c>
      <c r="G8" s="6"/>
      <c r="H8" s="7">
        <v>7000.0</v>
      </c>
      <c r="I8" s="7" t="s">
        <v>34</v>
      </c>
      <c r="J8" s="5"/>
      <c r="K8" s="8" t="s">
        <v>20</v>
      </c>
      <c r="L8" s="5" t="s">
        <v>21</v>
      </c>
      <c r="M8" s="9"/>
      <c r="N8" s="10" t="s">
        <v>38</v>
      </c>
      <c r="O8" s="10">
        <f t="shared" si="1"/>
        <v>0.47</v>
      </c>
      <c r="P8" s="11">
        <f t="shared" si="2"/>
        <v>467</v>
      </c>
      <c r="Q8" s="12">
        <f t="shared" si="3"/>
        <v>75</v>
      </c>
      <c r="R8" s="13" t="str">
        <f t="shared" si="4"/>
        <v>Высокий</v>
      </c>
      <c r="S8" s="2"/>
      <c r="T8" s="2"/>
      <c r="U8" s="2"/>
      <c r="V8" s="2"/>
      <c r="W8" s="2"/>
      <c r="X8" s="3"/>
      <c r="Y8" s="3"/>
      <c r="Z8" s="3"/>
    </row>
    <row r="9" ht="15.0" hidden="1" customHeight="1">
      <c r="A9" s="15"/>
      <c r="B9" s="5"/>
      <c r="C9" s="5"/>
      <c r="D9" s="5"/>
      <c r="E9" s="6"/>
      <c r="F9" s="6"/>
      <c r="G9" s="6"/>
      <c r="H9" s="7"/>
      <c r="I9" s="7"/>
      <c r="J9" s="5"/>
      <c r="K9" s="8" t="s">
        <v>20</v>
      </c>
      <c r="L9" s="5" t="s">
        <v>21</v>
      </c>
      <c r="M9" s="9"/>
      <c r="N9" s="10"/>
      <c r="O9" s="10" t="str">
        <f t="shared" si="1"/>
        <v/>
      </c>
      <c r="P9" s="11" t="str">
        <f t="shared" si="2"/>
        <v/>
      </c>
      <c r="Q9" s="12" t="str">
        <f t="shared" si="3"/>
        <v/>
      </c>
      <c r="R9" s="13" t="str">
        <f t="shared" si="4"/>
        <v/>
      </c>
      <c r="S9" s="2"/>
      <c r="T9" s="2"/>
      <c r="U9" s="2"/>
      <c r="V9" s="2"/>
      <c r="W9" s="2"/>
      <c r="X9" s="3"/>
      <c r="Y9" s="3"/>
      <c r="Z9" s="3"/>
    </row>
    <row r="10" ht="15.0" hidden="1" customHeight="1">
      <c r="A10" s="15"/>
      <c r="B10" s="5"/>
      <c r="C10" s="5"/>
      <c r="D10" s="5"/>
      <c r="E10" s="6"/>
      <c r="F10" s="6"/>
      <c r="G10" s="6"/>
      <c r="H10" s="7"/>
      <c r="I10" s="7"/>
      <c r="J10" s="5"/>
      <c r="K10" s="8" t="s">
        <v>20</v>
      </c>
      <c r="L10" s="5" t="s">
        <v>21</v>
      </c>
      <c r="M10" s="9"/>
      <c r="N10" s="10"/>
      <c r="O10" s="10" t="str">
        <f t="shared" si="1"/>
        <v/>
      </c>
      <c r="P10" s="11" t="str">
        <f t="shared" si="2"/>
        <v/>
      </c>
      <c r="Q10" s="12" t="str">
        <f t="shared" si="3"/>
        <v/>
      </c>
      <c r="R10" s="13" t="str">
        <f t="shared" si="4"/>
        <v/>
      </c>
      <c r="S10" s="2"/>
      <c r="T10" s="2"/>
      <c r="U10" s="2"/>
      <c r="V10" s="2"/>
      <c r="W10" s="2"/>
      <c r="X10" s="3"/>
      <c r="Y10" s="3"/>
      <c r="Z10" s="3"/>
    </row>
    <row r="11" ht="15.0" hidden="1" customHeight="1">
      <c r="A11" s="15"/>
      <c r="B11" s="5"/>
      <c r="C11" s="5"/>
      <c r="D11" s="5"/>
      <c r="E11" s="6"/>
      <c r="F11" s="6"/>
      <c r="G11" s="6"/>
      <c r="H11" s="7"/>
      <c r="I11" s="7"/>
      <c r="J11" s="5"/>
      <c r="K11" s="8" t="s">
        <v>20</v>
      </c>
      <c r="L11" s="5"/>
      <c r="M11" s="9"/>
      <c r="N11" s="10"/>
      <c r="O11" s="10" t="str">
        <f t="shared" si="1"/>
        <v/>
      </c>
      <c r="P11" s="11" t="str">
        <f t="shared" si="2"/>
        <v/>
      </c>
      <c r="Q11" s="12" t="str">
        <f t="shared" si="3"/>
        <v/>
      </c>
      <c r="R11" s="13" t="str">
        <f t="shared" si="4"/>
        <v/>
      </c>
      <c r="S11" s="2"/>
      <c r="T11" s="2"/>
      <c r="U11" s="2"/>
      <c r="V11" s="2"/>
      <c r="W11" s="2"/>
      <c r="X11" s="3"/>
      <c r="Y11" s="3"/>
      <c r="Z11" s="3"/>
    </row>
    <row r="12" ht="15.0" hidden="1" customHeight="1">
      <c r="A12" s="15"/>
      <c r="B12" s="5"/>
      <c r="C12" s="5"/>
      <c r="D12" s="5"/>
      <c r="E12" s="6"/>
      <c r="F12" s="6"/>
      <c r="G12" s="6"/>
      <c r="H12" s="7"/>
      <c r="I12" s="7"/>
      <c r="J12" s="5"/>
      <c r="K12" s="8" t="s">
        <v>20</v>
      </c>
      <c r="L12" s="5"/>
      <c r="M12" s="9"/>
      <c r="N12" s="10"/>
      <c r="O12" s="10" t="str">
        <f t="shared" si="1"/>
        <v/>
      </c>
      <c r="P12" s="11" t="str">
        <f t="shared" si="2"/>
        <v/>
      </c>
      <c r="Q12" s="12" t="str">
        <f t="shared" si="3"/>
        <v/>
      </c>
      <c r="R12" s="13" t="str">
        <f t="shared" si="4"/>
        <v/>
      </c>
      <c r="S12" s="2"/>
      <c r="T12" s="2"/>
      <c r="U12" s="2"/>
      <c r="V12" s="2"/>
      <c r="W12" s="2"/>
      <c r="X12" s="3"/>
      <c r="Y12" s="3"/>
      <c r="Z12" s="3"/>
    </row>
    <row r="13" ht="15.0" hidden="1" customHeight="1">
      <c r="A13" s="15"/>
      <c r="B13" s="5"/>
      <c r="C13" s="5"/>
      <c r="D13" s="5"/>
      <c r="E13" s="6"/>
      <c r="F13" s="6"/>
      <c r="G13" s="6"/>
      <c r="H13" s="7"/>
      <c r="I13" s="7"/>
      <c r="J13" s="5"/>
      <c r="K13" s="8" t="s">
        <v>20</v>
      </c>
      <c r="L13" s="5"/>
      <c r="M13" s="9"/>
      <c r="N13" s="10"/>
      <c r="O13" s="10" t="str">
        <f t="shared" si="1"/>
        <v/>
      </c>
      <c r="P13" s="11" t="str">
        <f t="shared" si="2"/>
        <v/>
      </c>
      <c r="Q13" s="12" t="str">
        <f t="shared" si="3"/>
        <v/>
      </c>
      <c r="R13" s="13" t="str">
        <f t="shared" si="4"/>
        <v/>
      </c>
      <c r="S13" s="2"/>
      <c r="T13" s="2"/>
      <c r="U13" s="2"/>
      <c r="V13" s="2"/>
      <c r="W13" s="2"/>
      <c r="X13" s="3"/>
      <c r="Y13" s="3"/>
      <c r="Z13" s="3"/>
    </row>
    <row r="14" ht="15.0" hidden="1" customHeight="1">
      <c r="A14" s="15"/>
      <c r="B14" s="5"/>
      <c r="C14" s="5"/>
      <c r="D14" s="5"/>
      <c r="E14" s="6"/>
      <c r="F14" s="6"/>
      <c r="G14" s="6"/>
      <c r="H14" s="7"/>
      <c r="I14" s="7"/>
      <c r="J14" s="5"/>
      <c r="K14" s="8" t="s">
        <v>20</v>
      </c>
      <c r="L14" s="5"/>
      <c r="M14" s="9"/>
      <c r="N14" s="10"/>
      <c r="O14" s="10" t="str">
        <f t="shared" si="1"/>
        <v/>
      </c>
      <c r="P14" s="11" t="str">
        <f t="shared" si="2"/>
        <v/>
      </c>
      <c r="Q14" s="12" t="str">
        <f t="shared" si="3"/>
        <v/>
      </c>
      <c r="R14" s="13" t="str">
        <f t="shared" si="4"/>
        <v/>
      </c>
      <c r="S14" s="2"/>
      <c r="T14" s="2"/>
      <c r="U14" s="2"/>
      <c r="V14" s="2"/>
      <c r="W14" s="2"/>
      <c r="X14" s="3"/>
      <c r="Y14" s="3"/>
      <c r="Z14" s="3"/>
    </row>
    <row r="15" ht="15.0" hidden="1" customHeight="1">
      <c r="A15" s="15"/>
      <c r="B15" s="5"/>
      <c r="C15" s="5"/>
      <c r="D15" s="5"/>
      <c r="E15" s="6"/>
      <c r="F15" s="6"/>
      <c r="G15" s="6"/>
      <c r="H15" s="7"/>
      <c r="I15" s="7"/>
      <c r="J15" s="5"/>
      <c r="K15" s="8" t="s">
        <v>20</v>
      </c>
      <c r="L15" s="5"/>
      <c r="M15" s="9"/>
      <c r="N15" s="10"/>
      <c r="O15" s="10" t="str">
        <f t="shared" si="1"/>
        <v/>
      </c>
      <c r="P15" s="11" t="str">
        <f t="shared" si="2"/>
        <v/>
      </c>
      <c r="Q15" s="12" t="str">
        <f t="shared" si="3"/>
        <v/>
      </c>
      <c r="R15" s="13" t="str">
        <f t="shared" si="4"/>
        <v/>
      </c>
      <c r="S15" s="2"/>
      <c r="T15" s="2"/>
      <c r="U15" s="2"/>
      <c r="V15" s="2"/>
      <c r="W15" s="2"/>
      <c r="X15" s="3"/>
      <c r="Y15" s="3"/>
      <c r="Z15" s="3"/>
    </row>
    <row r="16" ht="15.0" hidden="1" customHeight="1">
      <c r="A16" s="15"/>
      <c r="B16" s="5"/>
      <c r="C16" s="5"/>
      <c r="D16" s="5"/>
      <c r="E16" s="6"/>
      <c r="F16" s="6"/>
      <c r="G16" s="6"/>
      <c r="H16" s="7"/>
      <c r="I16" s="7"/>
      <c r="J16" s="5"/>
      <c r="K16" s="8" t="s">
        <v>20</v>
      </c>
      <c r="L16" s="5"/>
      <c r="M16" s="9"/>
      <c r="N16" s="10"/>
      <c r="O16" s="10" t="str">
        <f t="shared" si="1"/>
        <v/>
      </c>
      <c r="P16" s="11" t="str">
        <f t="shared" si="2"/>
        <v/>
      </c>
      <c r="Q16" s="12" t="str">
        <f t="shared" si="3"/>
        <v/>
      </c>
      <c r="R16" s="13" t="str">
        <f t="shared" si="4"/>
        <v/>
      </c>
      <c r="S16" s="2"/>
      <c r="T16" s="2"/>
      <c r="U16" s="2"/>
      <c r="V16" s="2"/>
      <c r="W16" s="2"/>
      <c r="X16" s="3"/>
      <c r="Y16" s="3"/>
      <c r="Z16" s="3"/>
    </row>
    <row r="17" ht="15.0" hidden="1" customHeight="1">
      <c r="A17" s="15"/>
      <c r="B17" s="5"/>
      <c r="C17" s="5"/>
      <c r="D17" s="5"/>
      <c r="E17" s="6"/>
      <c r="F17" s="6"/>
      <c r="G17" s="6"/>
      <c r="H17" s="7"/>
      <c r="I17" s="7"/>
      <c r="J17" s="5"/>
      <c r="K17" s="8" t="s">
        <v>20</v>
      </c>
      <c r="L17" s="5"/>
      <c r="M17" s="9"/>
      <c r="N17" s="10"/>
      <c r="O17" s="10" t="str">
        <f t="shared" si="1"/>
        <v/>
      </c>
      <c r="P17" s="11" t="str">
        <f t="shared" si="2"/>
        <v/>
      </c>
      <c r="Q17" s="12" t="str">
        <f t="shared" si="3"/>
        <v/>
      </c>
      <c r="R17" s="13" t="str">
        <f t="shared" si="4"/>
        <v/>
      </c>
      <c r="S17" s="2"/>
      <c r="T17" s="2"/>
      <c r="U17" s="2"/>
      <c r="V17" s="2"/>
      <c r="W17" s="2"/>
      <c r="X17" s="3"/>
      <c r="Y17" s="3"/>
      <c r="Z17" s="3"/>
    </row>
    <row r="18" ht="15.0" hidden="1" customHeight="1">
      <c r="A18" s="15"/>
      <c r="B18" s="5"/>
      <c r="C18" s="5"/>
      <c r="D18" s="5"/>
      <c r="E18" s="6"/>
      <c r="F18" s="6"/>
      <c r="G18" s="6"/>
      <c r="H18" s="7"/>
      <c r="I18" s="7"/>
      <c r="J18" s="5"/>
      <c r="K18" s="8" t="s">
        <v>20</v>
      </c>
      <c r="L18" s="5"/>
      <c r="M18" s="9"/>
      <c r="N18" s="10"/>
      <c r="O18" s="10" t="str">
        <f t="shared" si="1"/>
        <v/>
      </c>
      <c r="P18" s="11" t="str">
        <f t="shared" si="2"/>
        <v/>
      </c>
      <c r="Q18" s="12" t="str">
        <f t="shared" si="3"/>
        <v/>
      </c>
      <c r="R18" s="13" t="str">
        <f t="shared" si="4"/>
        <v/>
      </c>
      <c r="S18" s="2"/>
      <c r="T18" s="2"/>
      <c r="U18" s="2"/>
      <c r="V18" s="2"/>
      <c r="W18" s="2"/>
      <c r="X18" s="3"/>
      <c r="Y18" s="3"/>
      <c r="Z18" s="3"/>
    </row>
    <row r="19" ht="15.0" hidden="1" customHeight="1">
      <c r="A19" s="15"/>
      <c r="B19" s="5"/>
      <c r="C19" s="5"/>
      <c r="D19" s="5"/>
      <c r="E19" s="6"/>
      <c r="F19" s="6"/>
      <c r="G19" s="6"/>
      <c r="H19" s="7"/>
      <c r="I19" s="7"/>
      <c r="J19" s="5"/>
      <c r="K19" s="8" t="s">
        <v>20</v>
      </c>
      <c r="L19" s="5"/>
      <c r="M19" s="9"/>
      <c r="N19" s="10"/>
      <c r="O19" s="10" t="str">
        <f t="shared" si="1"/>
        <v/>
      </c>
      <c r="P19" s="11" t="str">
        <f t="shared" si="2"/>
        <v/>
      </c>
      <c r="Q19" s="12" t="str">
        <f t="shared" si="3"/>
        <v/>
      </c>
      <c r="R19" s="13" t="str">
        <f t="shared" si="4"/>
        <v/>
      </c>
      <c r="S19" s="2"/>
      <c r="T19" s="2"/>
      <c r="U19" s="2"/>
      <c r="V19" s="2"/>
      <c r="W19" s="2"/>
      <c r="X19" s="3"/>
      <c r="Y19" s="3"/>
      <c r="Z19" s="3"/>
    </row>
    <row r="20" ht="15.0" hidden="1" customHeight="1">
      <c r="A20" s="15"/>
      <c r="B20" s="5"/>
      <c r="C20" s="5"/>
      <c r="D20" s="5"/>
      <c r="E20" s="6"/>
      <c r="F20" s="6"/>
      <c r="G20" s="6"/>
      <c r="H20" s="7"/>
      <c r="I20" s="7"/>
      <c r="J20" s="5"/>
      <c r="K20" s="8" t="s">
        <v>20</v>
      </c>
      <c r="L20" s="5"/>
      <c r="M20" s="9"/>
      <c r="N20" s="10"/>
      <c r="O20" s="10" t="str">
        <f t="shared" si="1"/>
        <v/>
      </c>
      <c r="P20" s="11" t="str">
        <f t="shared" si="2"/>
        <v/>
      </c>
      <c r="Q20" s="12" t="str">
        <f t="shared" si="3"/>
        <v/>
      </c>
      <c r="R20" s="13" t="str">
        <f t="shared" si="4"/>
        <v/>
      </c>
      <c r="S20" s="2"/>
      <c r="T20" s="2"/>
      <c r="U20" s="2"/>
      <c r="V20" s="2"/>
      <c r="W20" s="2"/>
      <c r="X20" s="3"/>
      <c r="Y20" s="3"/>
      <c r="Z20" s="3"/>
    </row>
    <row r="21" ht="15.75" customHeight="1">
      <c r="A21" s="4" t="s">
        <v>39</v>
      </c>
      <c r="B21" s="5" t="s">
        <v>24</v>
      </c>
      <c r="C21" s="5"/>
      <c r="D21" s="5" t="s">
        <v>40</v>
      </c>
      <c r="E21" s="6">
        <v>288000.0</v>
      </c>
      <c r="F21" s="6">
        <v>25000.0</v>
      </c>
      <c r="G21" s="16"/>
      <c r="H21" s="7">
        <v>42500.0</v>
      </c>
      <c r="I21" s="9"/>
      <c r="J21" s="5"/>
      <c r="K21" s="8" t="s">
        <v>20</v>
      </c>
      <c r="L21" s="5" t="s">
        <v>21</v>
      </c>
      <c r="M21" s="9"/>
      <c r="N21" s="10" t="s">
        <v>41</v>
      </c>
      <c r="O21" s="10">
        <f t="shared" si="1"/>
        <v>1.7</v>
      </c>
      <c r="P21" s="11">
        <f t="shared" si="2"/>
        <v>1700</v>
      </c>
      <c r="Q21" s="12">
        <f t="shared" si="3"/>
        <v>35</v>
      </c>
      <c r="R21" s="13" t="str">
        <f t="shared" si="4"/>
        <v>Низкий</v>
      </c>
      <c r="S21" s="3"/>
      <c r="T21" s="3"/>
      <c r="U21" s="3"/>
      <c r="V21" s="3"/>
      <c r="W21" s="3"/>
      <c r="X21" s="3"/>
      <c r="Y21" s="3"/>
      <c r="Z21" s="3"/>
    </row>
    <row r="22" ht="15.75" customHeight="1">
      <c r="A22" s="4" t="s">
        <v>42</v>
      </c>
      <c r="B22" s="5" t="s">
        <v>37</v>
      </c>
      <c r="C22" s="5"/>
      <c r="D22" s="5" t="s">
        <v>40</v>
      </c>
      <c r="E22" s="6">
        <v>8829.0</v>
      </c>
      <c r="F22" s="6">
        <v>3000.0</v>
      </c>
      <c r="G22" s="16"/>
      <c r="H22" s="7">
        <v>2000.0</v>
      </c>
      <c r="I22" s="9"/>
      <c r="J22" s="5"/>
      <c r="K22" s="8" t="s">
        <v>20</v>
      </c>
      <c r="L22" s="5" t="s">
        <v>21</v>
      </c>
      <c r="M22" s="9"/>
      <c r="N22" s="10" t="s">
        <v>43</v>
      </c>
      <c r="O22" s="10">
        <f t="shared" si="1"/>
        <v>0.67</v>
      </c>
      <c r="P22" s="11">
        <f t="shared" si="2"/>
        <v>667</v>
      </c>
      <c r="Q22" s="12">
        <f t="shared" si="3"/>
        <v>40</v>
      </c>
      <c r="R22" s="13" t="str">
        <f t="shared" si="4"/>
        <v>Низкий</v>
      </c>
      <c r="S22" s="3"/>
      <c r="T22" s="3"/>
      <c r="U22" s="3"/>
      <c r="V22" s="3"/>
      <c r="W22" s="3"/>
      <c r="X22" s="3"/>
      <c r="Y22" s="3"/>
      <c r="Z22" s="3"/>
    </row>
    <row r="23" ht="15.75" customHeight="1">
      <c r="A23" s="4" t="s">
        <v>44</v>
      </c>
      <c r="B23" s="5" t="s">
        <v>29</v>
      </c>
      <c r="C23" s="5"/>
      <c r="D23" s="5" t="s">
        <v>40</v>
      </c>
      <c r="E23" s="6">
        <v>15000.0</v>
      </c>
      <c r="F23" s="6">
        <v>3000.0</v>
      </c>
      <c r="G23" s="16"/>
      <c r="H23" s="7">
        <v>2000.0</v>
      </c>
      <c r="I23" s="9"/>
      <c r="J23" s="5"/>
      <c r="K23" s="8" t="s">
        <v>20</v>
      </c>
      <c r="L23" s="5" t="s">
        <v>21</v>
      </c>
      <c r="M23" s="9"/>
      <c r="N23" s="10" t="s">
        <v>45</v>
      </c>
      <c r="O23" s="10">
        <f t="shared" si="1"/>
        <v>0.67</v>
      </c>
      <c r="P23" s="11">
        <f t="shared" si="2"/>
        <v>667</v>
      </c>
      <c r="Q23" s="12">
        <f t="shared" si="3"/>
        <v>40</v>
      </c>
      <c r="R23" s="13" t="str">
        <f t="shared" si="4"/>
        <v>Низкий</v>
      </c>
      <c r="S23" s="3"/>
      <c r="T23" s="3"/>
      <c r="U23" s="3"/>
      <c r="V23" s="3"/>
      <c r="W23" s="3"/>
      <c r="X23" s="3"/>
      <c r="Y23" s="3"/>
      <c r="Z23" s="3"/>
    </row>
    <row r="24" ht="15.75" customHeight="1">
      <c r="A24" s="4" t="s">
        <v>46</v>
      </c>
      <c r="B24" s="5" t="s">
        <v>24</v>
      </c>
      <c r="C24" s="5"/>
      <c r="D24" s="5" t="s">
        <v>40</v>
      </c>
      <c r="E24" s="6">
        <v>14300.0</v>
      </c>
      <c r="F24" s="6">
        <v>20000.0</v>
      </c>
      <c r="G24" s="16"/>
      <c r="H24" s="7">
        <v>10000.0</v>
      </c>
      <c r="I24" s="9"/>
      <c r="J24" s="5"/>
      <c r="K24" s="8" t="s">
        <v>20</v>
      </c>
      <c r="L24" s="5" t="s">
        <v>21</v>
      </c>
      <c r="M24" s="9"/>
      <c r="N24" s="10" t="s">
        <v>47</v>
      </c>
      <c r="O24" s="10">
        <f t="shared" si="1"/>
        <v>0.5</v>
      </c>
      <c r="P24" s="11">
        <f t="shared" si="2"/>
        <v>500</v>
      </c>
      <c r="Q24" s="12">
        <f t="shared" si="3"/>
        <v>75</v>
      </c>
      <c r="R24" s="13" t="str">
        <f t="shared" si="4"/>
        <v>Высокий</v>
      </c>
      <c r="S24" s="3"/>
      <c r="T24" s="3"/>
      <c r="U24" s="3"/>
      <c r="V24" s="3"/>
      <c r="W24" s="3"/>
      <c r="X24" s="3"/>
      <c r="Y24" s="3"/>
      <c r="Z24" s="3"/>
    </row>
    <row r="25" ht="15.75" customHeight="1">
      <c r="A25" s="4" t="s">
        <v>48</v>
      </c>
      <c r="B25" s="5" t="s">
        <v>24</v>
      </c>
      <c r="C25" s="5"/>
      <c r="D25" s="5" t="s">
        <v>40</v>
      </c>
      <c r="E25" s="6">
        <v>48900.0</v>
      </c>
      <c r="F25" s="6">
        <v>80000.0</v>
      </c>
      <c r="G25" s="16"/>
      <c r="H25" s="7">
        <v>80000.0</v>
      </c>
      <c r="I25" s="9"/>
      <c r="J25" s="5"/>
      <c r="K25" s="8" t="s">
        <v>20</v>
      </c>
      <c r="L25" s="5" t="s">
        <v>21</v>
      </c>
      <c r="M25" s="9"/>
      <c r="N25" s="10" t="s">
        <v>49</v>
      </c>
      <c r="O25" s="10">
        <f t="shared" si="1"/>
        <v>1</v>
      </c>
      <c r="P25" s="11">
        <f t="shared" si="2"/>
        <v>1000</v>
      </c>
      <c r="Q25" s="12">
        <f t="shared" si="3"/>
        <v>65</v>
      </c>
      <c r="R25" s="13" t="str">
        <f t="shared" si="4"/>
        <v>Средний</v>
      </c>
      <c r="S25" s="3"/>
      <c r="T25" s="3"/>
      <c r="U25" s="3"/>
      <c r="V25" s="3"/>
      <c r="W25" s="3"/>
      <c r="X25" s="3"/>
      <c r="Y25" s="3"/>
      <c r="Z25" s="3"/>
    </row>
    <row r="26" ht="15.75" customHeight="1">
      <c r="A26" s="15" t="s">
        <v>50</v>
      </c>
      <c r="B26" s="5" t="s">
        <v>24</v>
      </c>
      <c r="C26" s="5"/>
      <c r="D26" s="5" t="s">
        <v>40</v>
      </c>
      <c r="E26" s="6">
        <v>793000.0</v>
      </c>
      <c r="F26" s="6">
        <v>400000.0</v>
      </c>
      <c r="G26" s="16"/>
      <c r="H26" s="7">
        <v>50000.0</v>
      </c>
      <c r="I26" s="9"/>
      <c r="J26" s="5"/>
      <c r="K26" s="8" t="s">
        <v>20</v>
      </c>
      <c r="L26" s="5" t="s">
        <v>21</v>
      </c>
      <c r="M26" s="9"/>
      <c r="N26" s="10" t="s">
        <v>51</v>
      </c>
      <c r="O26" s="10">
        <f t="shared" si="1"/>
        <v>0.13</v>
      </c>
      <c r="P26" s="11">
        <f t="shared" si="2"/>
        <v>125</v>
      </c>
      <c r="Q26" s="12">
        <f t="shared" si="3"/>
        <v>100</v>
      </c>
      <c r="R26" s="13" t="str">
        <f t="shared" si="4"/>
        <v>Высокий</v>
      </c>
      <c r="S26" s="3"/>
      <c r="T26" s="3"/>
      <c r="U26" s="3"/>
      <c r="V26" s="3"/>
      <c r="W26" s="3"/>
      <c r="X26" s="3"/>
      <c r="Y26" s="3"/>
      <c r="Z26" s="3"/>
    </row>
    <row r="27" ht="15.75" customHeight="1">
      <c r="A27" s="4" t="s">
        <v>52</v>
      </c>
      <c r="B27" s="5" t="s">
        <v>24</v>
      </c>
      <c r="C27" s="5"/>
      <c r="D27" s="5" t="s">
        <v>40</v>
      </c>
      <c r="E27" s="6"/>
      <c r="F27" s="6">
        <v>10000.0</v>
      </c>
      <c r="G27" s="16"/>
      <c r="H27" s="7">
        <v>5000.0</v>
      </c>
      <c r="I27" s="9"/>
      <c r="J27" s="5"/>
      <c r="K27" s="8" t="s">
        <v>20</v>
      </c>
      <c r="L27" s="5" t="s">
        <v>21</v>
      </c>
      <c r="M27" s="9"/>
      <c r="N27" s="10" t="s">
        <v>53</v>
      </c>
      <c r="O27" s="10">
        <f t="shared" si="1"/>
        <v>0.5</v>
      </c>
      <c r="P27" s="11">
        <f t="shared" si="2"/>
        <v>500</v>
      </c>
      <c r="Q27" s="12">
        <f t="shared" si="3"/>
        <v>75</v>
      </c>
      <c r="R27" s="13" t="str">
        <f t="shared" si="4"/>
        <v>Высокий</v>
      </c>
      <c r="S27" s="3"/>
      <c r="T27" s="3"/>
      <c r="U27" s="3"/>
      <c r="V27" s="3"/>
      <c r="W27" s="3"/>
      <c r="X27" s="3"/>
      <c r="Y27" s="3"/>
      <c r="Z27" s="3"/>
    </row>
    <row r="28" ht="15.75" customHeight="1">
      <c r="A28" s="4" t="s">
        <v>54</v>
      </c>
      <c r="B28" s="5" t="s">
        <v>24</v>
      </c>
      <c r="C28" s="5"/>
      <c r="D28" s="5" t="s">
        <v>40</v>
      </c>
      <c r="E28" s="6">
        <v>400000.0</v>
      </c>
      <c r="F28" s="6">
        <v>80000.0</v>
      </c>
      <c r="G28" s="16"/>
      <c r="H28" s="7">
        <v>35000.0</v>
      </c>
      <c r="I28" s="9"/>
      <c r="J28" s="5"/>
      <c r="K28" s="8" t="s">
        <v>20</v>
      </c>
      <c r="L28" s="5" t="s">
        <v>21</v>
      </c>
      <c r="M28" s="9"/>
      <c r="N28" s="10" t="s">
        <v>55</v>
      </c>
      <c r="O28" s="10">
        <f t="shared" si="1"/>
        <v>0.44</v>
      </c>
      <c r="P28" s="11">
        <f t="shared" si="2"/>
        <v>438</v>
      </c>
      <c r="Q28" s="12">
        <f t="shared" si="3"/>
        <v>85</v>
      </c>
      <c r="R28" s="13" t="str">
        <f t="shared" si="4"/>
        <v>Высокий</v>
      </c>
      <c r="S28" s="3"/>
      <c r="T28" s="3"/>
      <c r="U28" s="3"/>
      <c r="V28" s="3"/>
      <c r="W28" s="3"/>
      <c r="X28" s="3"/>
      <c r="Y28" s="3"/>
      <c r="Z28" s="3"/>
    </row>
    <row r="29" ht="15.75" customHeight="1">
      <c r="A29" s="4" t="s">
        <v>56</v>
      </c>
      <c r="B29" s="5" t="s">
        <v>24</v>
      </c>
      <c r="C29" s="5"/>
      <c r="D29" s="5" t="s">
        <v>40</v>
      </c>
      <c r="E29" s="6">
        <v>128000.0</v>
      </c>
      <c r="F29" s="6">
        <v>40000.0</v>
      </c>
      <c r="G29" s="16"/>
      <c r="H29" s="7">
        <v>28750.0</v>
      </c>
      <c r="I29" s="9"/>
      <c r="J29" s="5"/>
      <c r="K29" s="8" t="s">
        <v>20</v>
      </c>
      <c r="L29" s="5" t="s">
        <v>21</v>
      </c>
      <c r="M29" s="9"/>
      <c r="N29" s="10" t="s">
        <v>57</v>
      </c>
      <c r="O29" s="10">
        <f t="shared" si="1"/>
        <v>0.72</v>
      </c>
      <c r="P29" s="11">
        <f t="shared" si="2"/>
        <v>719</v>
      </c>
      <c r="Q29" s="12">
        <f t="shared" si="3"/>
        <v>65</v>
      </c>
      <c r="R29" s="13" t="str">
        <f t="shared" si="4"/>
        <v>Средний</v>
      </c>
      <c r="S29" s="3"/>
      <c r="T29" s="3"/>
      <c r="U29" s="3"/>
      <c r="V29" s="3"/>
      <c r="W29" s="3"/>
      <c r="X29" s="3"/>
      <c r="Y29" s="3"/>
      <c r="Z29" s="3"/>
    </row>
    <row r="30" ht="15.75" customHeight="1">
      <c r="A30" s="4" t="s">
        <v>58</v>
      </c>
      <c r="B30" s="5" t="s">
        <v>24</v>
      </c>
      <c r="C30" s="5"/>
      <c r="D30" s="5" t="s">
        <v>40</v>
      </c>
      <c r="E30" s="6">
        <v>89000.0</v>
      </c>
      <c r="F30" s="6">
        <v>15000.0</v>
      </c>
      <c r="G30" s="16"/>
      <c r="H30" s="7">
        <v>7500.0</v>
      </c>
      <c r="I30" s="9"/>
      <c r="J30" s="5"/>
      <c r="K30" s="8" t="s">
        <v>20</v>
      </c>
      <c r="L30" s="5" t="s">
        <v>21</v>
      </c>
      <c r="M30" s="9"/>
      <c r="N30" s="10" t="s">
        <v>59</v>
      </c>
      <c r="O30" s="10">
        <f t="shared" si="1"/>
        <v>0.5</v>
      </c>
      <c r="P30" s="11">
        <f t="shared" si="2"/>
        <v>500</v>
      </c>
      <c r="Q30" s="12">
        <f t="shared" si="3"/>
        <v>75</v>
      </c>
      <c r="R30" s="13" t="str">
        <f t="shared" si="4"/>
        <v>Высокий</v>
      </c>
      <c r="S30" s="3"/>
      <c r="T30" s="3"/>
      <c r="U30" s="3"/>
      <c r="V30" s="3"/>
      <c r="W30" s="3"/>
      <c r="X30" s="3"/>
      <c r="Y30" s="3"/>
      <c r="Z30" s="3"/>
    </row>
    <row r="31" ht="15.75" customHeight="1">
      <c r="A31" s="4" t="s">
        <v>60</v>
      </c>
      <c r="B31" s="5" t="s">
        <v>24</v>
      </c>
      <c r="C31" s="5"/>
      <c r="D31" s="5" t="s">
        <v>40</v>
      </c>
      <c r="E31" s="6">
        <v>7860.0</v>
      </c>
      <c r="F31" s="6">
        <v>1000.0</v>
      </c>
      <c r="G31" s="16"/>
      <c r="H31" s="7">
        <v>650.0</v>
      </c>
      <c r="I31" s="9"/>
      <c r="J31" s="5"/>
      <c r="K31" s="8" t="s">
        <v>20</v>
      </c>
      <c r="L31" s="5" t="s">
        <v>21</v>
      </c>
      <c r="M31" s="9"/>
      <c r="N31" s="10" t="s">
        <v>61</v>
      </c>
      <c r="O31" s="10">
        <f t="shared" si="1"/>
        <v>0.65</v>
      </c>
      <c r="P31" s="11">
        <f t="shared" si="2"/>
        <v>650</v>
      </c>
      <c r="Q31" s="12">
        <f t="shared" si="3"/>
        <v>40</v>
      </c>
      <c r="R31" s="13" t="str">
        <f t="shared" si="4"/>
        <v>Низкий</v>
      </c>
      <c r="S31" s="3"/>
      <c r="T31" s="3"/>
      <c r="U31" s="3"/>
      <c r="V31" s="3"/>
      <c r="W31" s="3"/>
      <c r="X31" s="3"/>
      <c r="Y31" s="3"/>
      <c r="Z31" s="3"/>
    </row>
    <row r="32" ht="15.75" customHeight="1">
      <c r="A32" s="4" t="s">
        <v>62</v>
      </c>
      <c r="B32" s="5" t="s">
        <v>24</v>
      </c>
      <c r="C32" s="5"/>
      <c r="D32" s="5" t="s">
        <v>40</v>
      </c>
      <c r="E32" s="6">
        <v>152927.0</v>
      </c>
      <c r="F32" s="6">
        <v>8000.0</v>
      </c>
      <c r="G32" s="16"/>
      <c r="H32" s="7">
        <v>14000.0</v>
      </c>
      <c r="I32" s="9"/>
      <c r="J32" s="5"/>
      <c r="K32" s="8" t="s">
        <v>20</v>
      </c>
      <c r="L32" s="5" t="s">
        <v>21</v>
      </c>
      <c r="M32" s="9"/>
      <c r="N32" s="10" t="s">
        <v>63</v>
      </c>
      <c r="O32" s="10">
        <f t="shared" si="1"/>
        <v>1.75</v>
      </c>
      <c r="P32" s="11">
        <f t="shared" si="2"/>
        <v>1750</v>
      </c>
      <c r="Q32" s="12">
        <f t="shared" si="3"/>
        <v>20</v>
      </c>
      <c r="R32" s="13" t="str">
        <f t="shared" si="4"/>
        <v>Низкий</v>
      </c>
      <c r="S32" s="3"/>
      <c r="T32" s="3"/>
      <c r="U32" s="3"/>
      <c r="V32" s="3"/>
      <c r="W32" s="3"/>
      <c r="X32" s="3"/>
      <c r="Y32" s="3"/>
      <c r="Z32" s="3"/>
    </row>
    <row r="33" ht="15.75" customHeight="1">
      <c r="A33" s="4" t="s">
        <v>64</v>
      </c>
      <c r="B33" s="5" t="s">
        <v>24</v>
      </c>
      <c r="C33" s="5"/>
      <c r="D33" s="5" t="s">
        <v>40</v>
      </c>
      <c r="E33" s="6">
        <v>108526.0</v>
      </c>
      <c r="F33" s="6">
        <v>6000.0</v>
      </c>
      <c r="G33" s="16"/>
      <c r="H33" s="7">
        <v>2000.0</v>
      </c>
      <c r="I33" s="9"/>
      <c r="J33" s="5"/>
      <c r="K33" s="8" t="s">
        <v>20</v>
      </c>
      <c r="L33" s="5" t="s">
        <v>21</v>
      </c>
      <c r="M33" s="9"/>
      <c r="N33" s="10" t="s">
        <v>65</v>
      </c>
      <c r="O33" s="10">
        <f t="shared" si="1"/>
        <v>0.33</v>
      </c>
      <c r="P33" s="11">
        <f t="shared" si="2"/>
        <v>333</v>
      </c>
      <c r="Q33" s="12">
        <f t="shared" si="3"/>
        <v>60</v>
      </c>
      <c r="R33" s="13" t="str">
        <f t="shared" si="4"/>
        <v>Средний</v>
      </c>
      <c r="S33" s="3"/>
      <c r="T33" s="3"/>
      <c r="U33" s="3"/>
      <c r="V33" s="3"/>
      <c r="W33" s="3"/>
      <c r="X33" s="3"/>
      <c r="Y33" s="3"/>
      <c r="Z33" s="3"/>
    </row>
    <row r="34" ht="15.75" customHeight="1">
      <c r="A34" s="4" t="s">
        <v>66</v>
      </c>
      <c r="B34" s="5" t="s">
        <v>24</v>
      </c>
      <c r="C34" s="5"/>
      <c r="D34" s="5" t="s">
        <v>40</v>
      </c>
      <c r="E34" s="6">
        <v>10400.0</v>
      </c>
      <c r="F34" s="6">
        <v>10000.0</v>
      </c>
      <c r="G34" s="16"/>
      <c r="H34" s="7">
        <v>5000.0</v>
      </c>
      <c r="I34" s="9"/>
      <c r="J34" s="5"/>
      <c r="K34" s="8" t="s">
        <v>20</v>
      </c>
      <c r="L34" s="5" t="s">
        <v>21</v>
      </c>
      <c r="M34" s="9"/>
      <c r="N34" s="10" t="s">
        <v>67</v>
      </c>
      <c r="O34" s="10">
        <f t="shared" si="1"/>
        <v>0.5</v>
      </c>
      <c r="P34" s="11">
        <f t="shared" si="2"/>
        <v>500</v>
      </c>
      <c r="Q34" s="12">
        <f t="shared" si="3"/>
        <v>75</v>
      </c>
      <c r="R34" s="13" t="str">
        <f t="shared" si="4"/>
        <v>Высокий</v>
      </c>
      <c r="S34" s="3"/>
      <c r="T34" s="3"/>
      <c r="U34" s="3"/>
      <c r="V34" s="3"/>
      <c r="W34" s="3"/>
      <c r="X34" s="3"/>
      <c r="Y34" s="3"/>
      <c r="Z34" s="3"/>
    </row>
    <row r="35" ht="15.75" customHeight="1">
      <c r="A35" s="4" t="s">
        <v>68</v>
      </c>
      <c r="B35" s="5" t="s">
        <v>24</v>
      </c>
      <c r="C35" s="5"/>
      <c r="D35" s="5" t="s">
        <v>40</v>
      </c>
      <c r="E35" s="6">
        <v>141000.0</v>
      </c>
      <c r="F35" s="6">
        <v>50000.0</v>
      </c>
      <c r="G35" s="16"/>
      <c r="H35" s="7">
        <v>30000.0</v>
      </c>
      <c r="I35" s="9"/>
      <c r="J35" s="5"/>
      <c r="K35" s="8" t="s">
        <v>20</v>
      </c>
      <c r="L35" s="5" t="s">
        <v>21</v>
      </c>
      <c r="M35" s="9"/>
      <c r="N35" s="10" t="s">
        <v>69</v>
      </c>
      <c r="O35" s="10">
        <f t="shared" si="1"/>
        <v>0.6</v>
      </c>
      <c r="P35" s="11">
        <f t="shared" si="2"/>
        <v>600</v>
      </c>
      <c r="Q35" s="12">
        <f t="shared" si="3"/>
        <v>65</v>
      </c>
      <c r="R35" s="13" t="str">
        <f t="shared" si="4"/>
        <v>Средний</v>
      </c>
      <c r="S35" s="3"/>
      <c r="T35" s="3"/>
      <c r="U35" s="3"/>
      <c r="V35" s="3"/>
      <c r="W35" s="3"/>
      <c r="X35" s="3"/>
      <c r="Y35" s="3"/>
      <c r="Z35" s="3"/>
    </row>
    <row r="36" ht="15.75" customHeight="1">
      <c r="A36" s="4" t="s">
        <v>70</v>
      </c>
      <c r="B36" s="5"/>
      <c r="C36" s="5"/>
      <c r="D36" s="5" t="s">
        <v>40</v>
      </c>
      <c r="E36" s="6">
        <v>425300.0</v>
      </c>
      <c r="F36" s="6">
        <v>400000.0</v>
      </c>
      <c r="G36" s="16"/>
      <c r="H36" s="7">
        <v>50000.0</v>
      </c>
      <c r="I36" s="9"/>
      <c r="J36" s="5"/>
      <c r="K36" s="8" t="s">
        <v>20</v>
      </c>
      <c r="L36" s="5" t="s">
        <v>21</v>
      </c>
      <c r="M36" s="9"/>
      <c r="N36" s="10" t="s">
        <v>71</v>
      </c>
      <c r="O36" s="10">
        <f t="shared" si="1"/>
        <v>0.13</v>
      </c>
      <c r="P36" s="11">
        <f t="shared" si="2"/>
        <v>125</v>
      </c>
      <c r="Q36" s="12">
        <f t="shared" si="3"/>
        <v>100</v>
      </c>
      <c r="R36" s="13" t="str">
        <f t="shared" si="4"/>
        <v>Высокий</v>
      </c>
      <c r="S36" s="3"/>
      <c r="T36" s="3"/>
      <c r="U36" s="3"/>
      <c r="V36" s="3"/>
      <c r="W36" s="3"/>
      <c r="X36" s="3"/>
      <c r="Y36" s="3"/>
      <c r="Z36" s="3"/>
    </row>
    <row r="37" ht="15.75" customHeight="1">
      <c r="A37" s="4" t="s">
        <v>72</v>
      </c>
      <c r="B37" s="5" t="s">
        <v>24</v>
      </c>
      <c r="C37" s="5"/>
      <c r="D37" s="5" t="s">
        <v>40</v>
      </c>
      <c r="E37" s="6">
        <v>10600.0</v>
      </c>
      <c r="F37" s="6">
        <v>8000.0</v>
      </c>
      <c r="G37" s="16"/>
      <c r="H37" s="7">
        <v>5000.0</v>
      </c>
      <c r="I37" s="9"/>
      <c r="J37" s="5"/>
      <c r="K37" s="8" t="s">
        <v>20</v>
      </c>
      <c r="L37" s="5" t="s">
        <v>21</v>
      </c>
      <c r="M37" s="9"/>
      <c r="N37" s="10" t="s">
        <v>73</v>
      </c>
      <c r="O37" s="10">
        <f t="shared" si="1"/>
        <v>0.63</v>
      </c>
      <c r="P37" s="11">
        <f t="shared" si="2"/>
        <v>625</v>
      </c>
      <c r="Q37" s="12">
        <f t="shared" si="3"/>
        <v>40</v>
      </c>
      <c r="R37" s="13" t="str">
        <f t="shared" si="4"/>
        <v>Низкий</v>
      </c>
      <c r="S37" s="3"/>
      <c r="T37" s="3"/>
      <c r="U37" s="3"/>
      <c r="V37" s="3"/>
      <c r="W37" s="3"/>
      <c r="X37" s="3"/>
      <c r="Y37" s="3"/>
      <c r="Z37" s="3"/>
    </row>
    <row r="38" ht="15.75" customHeight="1">
      <c r="A38" s="4" t="s">
        <v>74</v>
      </c>
      <c r="B38" s="5" t="s">
        <v>37</v>
      </c>
      <c r="C38" s="5"/>
      <c r="D38" s="5" t="s">
        <v>40</v>
      </c>
      <c r="E38" s="6">
        <v>6942.0</v>
      </c>
      <c r="F38" s="6">
        <v>4700.0</v>
      </c>
      <c r="G38" s="16"/>
      <c r="H38" s="7">
        <v>3776.0</v>
      </c>
      <c r="I38" s="9"/>
      <c r="J38" s="5"/>
      <c r="K38" s="8" t="s">
        <v>20</v>
      </c>
      <c r="L38" s="5" t="s">
        <v>21</v>
      </c>
      <c r="M38" s="9"/>
      <c r="N38" s="10" t="s">
        <v>75</v>
      </c>
      <c r="O38" s="10">
        <f t="shared" si="1"/>
        <v>0.8</v>
      </c>
      <c r="P38" s="11">
        <f t="shared" si="2"/>
        <v>803</v>
      </c>
      <c r="Q38" s="12">
        <f t="shared" si="3"/>
        <v>40</v>
      </c>
      <c r="R38" s="13" t="str">
        <f t="shared" si="4"/>
        <v>Низкий</v>
      </c>
      <c r="S38" s="3"/>
      <c r="T38" s="3"/>
      <c r="U38" s="3"/>
      <c r="V38" s="3"/>
      <c r="W38" s="3"/>
      <c r="X38" s="3"/>
      <c r="Y38" s="3"/>
      <c r="Z38" s="3"/>
    </row>
    <row r="39" ht="15.75" customHeight="1">
      <c r="A39" s="4" t="s">
        <v>76</v>
      </c>
      <c r="B39" s="5" t="s">
        <v>37</v>
      </c>
      <c r="C39" s="5"/>
      <c r="D39" s="5" t="s">
        <v>40</v>
      </c>
      <c r="E39" s="6">
        <v>5678.0</v>
      </c>
      <c r="F39" s="6">
        <v>4300.0</v>
      </c>
      <c r="G39" s="16"/>
      <c r="H39" s="7">
        <v>8000.0</v>
      </c>
      <c r="I39" s="9"/>
      <c r="J39" s="5"/>
      <c r="K39" s="8" t="s">
        <v>20</v>
      </c>
      <c r="L39" s="5" t="s">
        <v>21</v>
      </c>
      <c r="M39" s="9"/>
      <c r="N39" s="10" t="s">
        <v>77</v>
      </c>
      <c r="O39" s="10">
        <f t="shared" si="1"/>
        <v>1.86</v>
      </c>
      <c r="P39" s="11">
        <f t="shared" si="2"/>
        <v>1860</v>
      </c>
      <c r="Q39" s="12">
        <f t="shared" si="3"/>
        <v>20</v>
      </c>
      <c r="R39" s="13" t="str">
        <f t="shared" si="4"/>
        <v>Низкий</v>
      </c>
      <c r="S39" s="3"/>
      <c r="T39" s="3"/>
      <c r="U39" s="3"/>
      <c r="V39" s="3"/>
      <c r="W39" s="3"/>
      <c r="X39" s="3"/>
      <c r="Y39" s="3"/>
      <c r="Z39" s="3"/>
    </row>
    <row r="40" ht="15.75" customHeight="1">
      <c r="A40" s="4" t="s">
        <v>78</v>
      </c>
      <c r="B40" s="5" t="s">
        <v>37</v>
      </c>
      <c r="C40" s="5"/>
      <c r="D40" s="5" t="s">
        <v>40</v>
      </c>
      <c r="E40" s="6">
        <v>67235.0</v>
      </c>
      <c r="F40" s="6">
        <v>30000.0</v>
      </c>
      <c r="G40" s="16"/>
      <c r="H40" s="7">
        <v>15000.0</v>
      </c>
      <c r="I40" s="9"/>
      <c r="J40" s="5"/>
      <c r="K40" s="8" t="s">
        <v>20</v>
      </c>
      <c r="L40" s="5" t="s">
        <v>21</v>
      </c>
      <c r="M40" s="9"/>
      <c r="N40" s="10" t="s">
        <v>79</v>
      </c>
      <c r="O40" s="10">
        <f t="shared" si="1"/>
        <v>0.5</v>
      </c>
      <c r="P40" s="11">
        <f t="shared" si="2"/>
        <v>500</v>
      </c>
      <c r="Q40" s="12">
        <f t="shared" si="3"/>
        <v>85</v>
      </c>
      <c r="R40" s="13" t="str">
        <f t="shared" si="4"/>
        <v>Высокий</v>
      </c>
      <c r="S40" s="3"/>
      <c r="T40" s="3"/>
      <c r="U40" s="3"/>
      <c r="V40" s="3"/>
      <c r="W40" s="3"/>
      <c r="X40" s="3"/>
      <c r="Y40" s="3"/>
      <c r="Z40" s="3"/>
    </row>
    <row r="41" ht="15.75" customHeight="1">
      <c r="A41" s="4" t="s">
        <v>80</v>
      </c>
      <c r="B41" s="5" t="s">
        <v>37</v>
      </c>
      <c r="C41" s="5"/>
      <c r="D41" s="5" t="s">
        <v>40</v>
      </c>
      <c r="E41" s="6">
        <v>25691.0</v>
      </c>
      <c r="F41" s="6">
        <v>5300.0</v>
      </c>
      <c r="G41" s="16"/>
      <c r="H41" s="7">
        <v>4000.0</v>
      </c>
      <c r="I41" s="9"/>
      <c r="J41" s="5"/>
      <c r="K41" s="8" t="s">
        <v>20</v>
      </c>
      <c r="L41" s="5" t="s">
        <v>21</v>
      </c>
      <c r="M41" s="9"/>
      <c r="N41" s="10" t="s">
        <v>81</v>
      </c>
      <c r="O41" s="10">
        <f t="shared" si="1"/>
        <v>0.75</v>
      </c>
      <c r="P41" s="11">
        <f t="shared" si="2"/>
        <v>755</v>
      </c>
      <c r="Q41" s="12">
        <f t="shared" si="3"/>
        <v>40</v>
      </c>
      <c r="R41" s="13" t="str">
        <f t="shared" si="4"/>
        <v>Низкий</v>
      </c>
      <c r="S41" s="3"/>
      <c r="T41" s="3"/>
      <c r="U41" s="3"/>
      <c r="V41" s="3"/>
      <c r="W41" s="3"/>
      <c r="X41" s="3"/>
      <c r="Y41" s="3"/>
      <c r="Z41" s="3"/>
    </row>
    <row r="42" ht="15.75" customHeight="1">
      <c r="A42" s="4" t="s">
        <v>82</v>
      </c>
      <c r="B42" s="5" t="s">
        <v>24</v>
      </c>
      <c r="C42" s="5"/>
      <c r="D42" s="5" t="s">
        <v>40</v>
      </c>
      <c r="E42" s="6">
        <v>138000.0</v>
      </c>
      <c r="F42" s="6">
        <v>15000.0</v>
      </c>
      <c r="G42" s="16"/>
      <c r="H42" s="7">
        <v>10000.0</v>
      </c>
      <c r="I42" s="9"/>
      <c r="J42" s="5"/>
      <c r="K42" s="8" t="s">
        <v>20</v>
      </c>
      <c r="L42" s="5" t="s">
        <v>21</v>
      </c>
      <c r="M42" s="9"/>
      <c r="N42" s="10" t="s">
        <v>83</v>
      </c>
      <c r="O42" s="10">
        <f t="shared" si="1"/>
        <v>0.67</v>
      </c>
      <c r="P42" s="11">
        <f t="shared" si="2"/>
        <v>667</v>
      </c>
      <c r="Q42" s="12">
        <f t="shared" si="3"/>
        <v>55</v>
      </c>
      <c r="R42" s="13" t="str">
        <f t="shared" si="4"/>
        <v>Средний</v>
      </c>
      <c r="S42" s="3"/>
      <c r="T42" s="3"/>
      <c r="U42" s="3"/>
      <c r="V42" s="3"/>
      <c r="W42" s="3"/>
      <c r="X42" s="3"/>
      <c r="Y42" s="3"/>
      <c r="Z42" s="3"/>
    </row>
    <row r="43" ht="15.75" customHeight="1">
      <c r="A43" s="4" t="s">
        <v>84</v>
      </c>
      <c r="B43" s="5" t="s">
        <v>24</v>
      </c>
      <c r="C43" s="5"/>
      <c r="D43" s="5" t="s">
        <v>40</v>
      </c>
      <c r="E43" s="6">
        <v>106000.0</v>
      </c>
      <c r="F43" s="6">
        <v>25000.0</v>
      </c>
      <c r="G43" s="16"/>
      <c r="H43" s="7">
        <v>15000.0</v>
      </c>
      <c r="I43" s="9"/>
      <c r="J43" s="5"/>
      <c r="K43" s="8" t="s">
        <v>20</v>
      </c>
      <c r="L43" s="5" t="s">
        <v>21</v>
      </c>
      <c r="M43" s="9"/>
      <c r="N43" s="10" t="s">
        <v>85</v>
      </c>
      <c r="O43" s="10">
        <f t="shared" si="1"/>
        <v>0.6</v>
      </c>
      <c r="P43" s="11">
        <f t="shared" si="2"/>
        <v>600</v>
      </c>
      <c r="Q43" s="12">
        <f t="shared" si="3"/>
        <v>55</v>
      </c>
      <c r="R43" s="13" t="str">
        <f t="shared" si="4"/>
        <v>Средний</v>
      </c>
      <c r="S43" s="3"/>
      <c r="T43" s="3"/>
      <c r="U43" s="3"/>
      <c r="V43" s="3"/>
      <c r="W43" s="3"/>
      <c r="X43" s="3"/>
      <c r="Y43" s="3"/>
      <c r="Z43" s="3"/>
    </row>
    <row r="44" ht="15.75" customHeight="1">
      <c r="A44" s="4" t="s">
        <v>86</v>
      </c>
      <c r="B44" s="5" t="s">
        <v>24</v>
      </c>
      <c r="C44" s="5"/>
      <c r="D44" s="5" t="s">
        <v>40</v>
      </c>
      <c r="E44" s="6">
        <v>479000.0</v>
      </c>
      <c r="F44" s="6">
        <v>60000.0</v>
      </c>
      <c r="G44" s="16"/>
      <c r="H44" s="7">
        <v>30000.0</v>
      </c>
      <c r="I44" s="9"/>
      <c r="J44" s="5"/>
      <c r="K44" s="8" t="s">
        <v>20</v>
      </c>
      <c r="L44" s="5" t="s">
        <v>21</v>
      </c>
      <c r="M44" s="9"/>
      <c r="N44" s="10" t="s">
        <v>87</v>
      </c>
      <c r="O44" s="10">
        <f t="shared" si="1"/>
        <v>0.5</v>
      </c>
      <c r="P44" s="11">
        <f t="shared" si="2"/>
        <v>500</v>
      </c>
      <c r="Q44" s="12">
        <f t="shared" si="3"/>
        <v>85</v>
      </c>
      <c r="R44" s="13" t="str">
        <f t="shared" si="4"/>
        <v>Высокий</v>
      </c>
      <c r="S44" s="3"/>
      <c r="T44" s="3"/>
      <c r="U44" s="3"/>
      <c r="V44" s="3"/>
      <c r="W44" s="3"/>
      <c r="X44" s="3"/>
      <c r="Y44" s="3"/>
      <c r="Z44" s="3"/>
    </row>
    <row r="45" ht="15.75" customHeight="1">
      <c r="A45" s="4" t="s">
        <v>88</v>
      </c>
      <c r="B45" s="5" t="s">
        <v>37</v>
      </c>
      <c r="C45" s="5"/>
      <c r="D45" s="5" t="s">
        <v>40</v>
      </c>
      <c r="E45" s="6">
        <v>4616.0</v>
      </c>
      <c r="F45" s="6">
        <v>1700.0</v>
      </c>
      <c r="G45" s="16"/>
      <c r="H45" s="7">
        <v>1200.0</v>
      </c>
      <c r="I45" s="9"/>
      <c r="J45" s="5"/>
      <c r="K45" s="8" t="s">
        <v>20</v>
      </c>
      <c r="L45" s="5" t="s">
        <v>21</v>
      </c>
      <c r="M45" s="9"/>
      <c r="N45" s="10" t="s">
        <v>89</v>
      </c>
      <c r="O45" s="10">
        <f t="shared" si="1"/>
        <v>0.71</v>
      </c>
      <c r="P45" s="11">
        <f t="shared" si="2"/>
        <v>706</v>
      </c>
      <c r="Q45" s="12">
        <f t="shared" si="3"/>
        <v>40</v>
      </c>
      <c r="R45" s="13" t="str">
        <f t="shared" si="4"/>
        <v>Низкий</v>
      </c>
      <c r="S45" s="3"/>
      <c r="T45" s="3"/>
      <c r="U45" s="3"/>
      <c r="V45" s="3"/>
      <c r="W45" s="3"/>
      <c r="X45" s="3"/>
      <c r="Y45" s="3"/>
      <c r="Z45" s="3"/>
    </row>
    <row r="46" ht="15.75" customHeight="1">
      <c r="A46" s="4" t="s">
        <v>90</v>
      </c>
      <c r="B46" s="5" t="s">
        <v>37</v>
      </c>
      <c r="C46" s="5"/>
      <c r="D46" s="5" t="s">
        <v>40</v>
      </c>
      <c r="E46" s="6">
        <v>33089.0</v>
      </c>
      <c r="F46" s="6">
        <v>7000.0</v>
      </c>
      <c r="G46" s="16"/>
      <c r="H46" s="7">
        <v>4500.0</v>
      </c>
      <c r="I46" s="9"/>
      <c r="J46" s="5"/>
      <c r="K46" s="8" t="s">
        <v>20</v>
      </c>
      <c r="L46" s="5" t="s">
        <v>21</v>
      </c>
      <c r="M46" s="9"/>
      <c r="N46" s="10" t="s">
        <v>91</v>
      </c>
      <c r="O46" s="10">
        <f t="shared" si="1"/>
        <v>0.64</v>
      </c>
      <c r="P46" s="11">
        <f t="shared" si="2"/>
        <v>643</v>
      </c>
      <c r="Q46" s="12">
        <f t="shared" si="3"/>
        <v>40</v>
      </c>
      <c r="R46" s="13" t="str">
        <f t="shared" si="4"/>
        <v>Низкий</v>
      </c>
      <c r="S46" s="3"/>
      <c r="T46" s="3"/>
      <c r="U46" s="3"/>
      <c r="V46" s="3"/>
      <c r="W46" s="3"/>
      <c r="X46" s="3"/>
      <c r="Y46" s="3"/>
      <c r="Z46" s="3"/>
    </row>
    <row r="47" ht="15.75" customHeight="1">
      <c r="A47" s="4" t="s">
        <v>92</v>
      </c>
      <c r="B47" s="5" t="s">
        <v>37</v>
      </c>
      <c r="C47" s="5"/>
      <c r="D47" s="5" t="s">
        <v>40</v>
      </c>
      <c r="E47" s="6">
        <v>7900.0</v>
      </c>
      <c r="F47" s="6">
        <v>1700.0</v>
      </c>
      <c r="G47" s="16"/>
      <c r="H47" s="7">
        <v>1000.0</v>
      </c>
      <c r="I47" s="9"/>
      <c r="J47" s="5"/>
      <c r="K47" s="8" t="s">
        <v>20</v>
      </c>
      <c r="L47" s="5" t="s">
        <v>21</v>
      </c>
      <c r="M47" s="9"/>
      <c r="N47" s="10" t="s">
        <v>93</v>
      </c>
      <c r="O47" s="10">
        <f t="shared" si="1"/>
        <v>0.59</v>
      </c>
      <c r="P47" s="11">
        <f t="shared" si="2"/>
        <v>588</v>
      </c>
      <c r="Q47" s="12">
        <f t="shared" si="3"/>
        <v>40</v>
      </c>
      <c r="R47" s="13" t="str">
        <f t="shared" si="4"/>
        <v>Низкий</v>
      </c>
      <c r="S47" s="3"/>
      <c r="T47" s="3"/>
      <c r="U47" s="3"/>
      <c r="V47" s="3"/>
      <c r="W47" s="3"/>
      <c r="X47" s="3"/>
      <c r="Y47" s="3"/>
      <c r="Z47" s="3"/>
    </row>
    <row r="48" ht="15.75" customHeight="1">
      <c r="A48" s="4" t="s">
        <v>94</v>
      </c>
      <c r="B48" s="5" t="s">
        <v>37</v>
      </c>
      <c r="C48" s="5"/>
      <c r="D48" s="5" t="s">
        <v>40</v>
      </c>
      <c r="E48" s="6">
        <v>3249.0</v>
      </c>
      <c r="F48" s="6">
        <v>1000.0</v>
      </c>
      <c r="G48" s="16"/>
      <c r="H48" s="7">
        <v>500.0</v>
      </c>
      <c r="I48" s="9"/>
      <c r="J48" s="5"/>
      <c r="K48" s="8" t="s">
        <v>20</v>
      </c>
      <c r="L48" s="5" t="s">
        <v>21</v>
      </c>
      <c r="M48" s="9"/>
      <c r="N48" s="10" t="s">
        <v>95</v>
      </c>
      <c r="O48" s="10">
        <f t="shared" si="1"/>
        <v>0.5</v>
      </c>
      <c r="P48" s="11">
        <f t="shared" si="2"/>
        <v>500</v>
      </c>
      <c r="Q48" s="12">
        <f t="shared" si="3"/>
        <v>60</v>
      </c>
      <c r="R48" s="13" t="str">
        <f t="shared" si="4"/>
        <v>Средний</v>
      </c>
      <c r="S48" s="3"/>
      <c r="T48" s="3"/>
      <c r="U48" s="3"/>
      <c r="V48" s="3"/>
      <c r="W48" s="3"/>
      <c r="X48" s="3"/>
      <c r="Y48" s="3"/>
      <c r="Z48" s="3"/>
    </row>
    <row r="49" ht="15.75" customHeight="1">
      <c r="A49" s="4" t="s">
        <v>96</v>
      </c>
      <c r="B49" s="5" t="s">
        <v>37</v>
      </c>
      <c r="C49" s="5"/>
      <c r="D49" s="5" t="s">
        <v>40</v>
      </c>
      <c r="E49" s="6">
        <v>3136.0</v>
      </c>
      <c r="F49" s="6">
        <v>1600.0</v>
      </c>
      <c r="G49" s="16"/>
      <c r="H49" s="7">
        <v>700.0</v>
      </c>
      <c r="I49" s="9"/>
      <c r="J49" s="5"/>
      <c r="K49" s="8" t="s">
        <v>20</v>
      </c>
      <c r="L49" s="5" t="s">
        <v>21</v>
      </c>
      <c r="M49" s="9"/>
      <c r="N49" s="10" t="s">
        <v>97</v>
      </c>
      <c r="O49" s="10">
        <f t="shared" si="1"/>
        <v>0.44</v>
      </c>
      <c r="P49" s="11">
        <f t="shared" si="2"/>
        <v>438</v>
      </c>
      <c r="Q49" s="12">
        <f t="shared" si="3"/>
        <v>60</v>
      </c>
      <c r="R49" s="13" t="str">
        <f t="shared" si="4"/>
        <v>Средний</v>
      </c>
      <c r="S49" s="3"/>
      <c r="T49" s="3"/>
      <c r="U49" s="3"/>
      <c r="V49" s="3"/>
      <c r="W49" s="3"/>
      <c r="X49" s="3"/>
      <c r="Y49" s="3"/>
      <c r="Z49" s="3"/>
    </row>
    <row r="50" ht="15.75" customHeight="1">
      <c r="A50" s="4" t="s">
        <v>98</v>
      </c>
      <c r="B50" s="5" t="s">
        <v>24</v>
      </c>
      <c r="C50" s="5"/>
      <c r="D50" s="5" t="s">
        <v>40</v>
      </c>
      <c r="E50" s="6">
        <v>351000.0</v>
      </c>
      <c r="F50" s="6">
        <v>30000.0</v>
      </c>
      <c r="G50" s="16"/>
      <c r="H50" s="7">
        <v>18000.0</v>
      </c>
      <c r="I50" s="9"/>
      <c r="J50" s="5"/>
      <c r="K50" s="8" t="s">
        <v>20</v>
      </c>
      <c r="L50" s="5" t="s">
        <v>21</v>
      </c>
      <c r="M50" s="9"/>
      <c r="N50" s="10" t="s">
        <v>99</v>
      </c>
      <c r="O50" s="10">
        <f t="shared" si="1"/>
        <v>0.6</v>
      </c>
      <c r="P50" s="11">
        <f t="shared" si="2"/>
        <v>600</v>
      </c>
      <c r="Q50" s="12">
        <f t="shared" si="3"/>
        <v>65</v>
      </c>
      <c r="R50" s="13" t="str">
        <f t="shared" si="4"/>
        <v>Средний</v>
      </c>
      <c r="S50" s="3"/>
      <c r="T50" s="3"/>
      <c r="U50" s="3"/>
      <c r="V50" s="3"/>
      <c r="W50" s="3"/>
      <c r="X50" s="3"/>
      <c r="Y50" s="3"/>
      <c r="Z50" s="3"/>
    </row>
    <row r="51" ht="15.75" customHeight="1">
      <c r="A51" s="4" t="s">
        <v>100</v>
      </c>
      <c r="B51" s="5" t="s">
        <v>24</v>
      </c>
      <c r="C51" s="5"/>
      <c r="D51" s="5" t="s">
        <v>40</v>
      </c>
      <c r="E51" s="6">
        <v>35700.0</v>
      </c>
      <c r="F51" s="6">
        <v>4600.0</v>
      </c>
      <c r="G51" s="16"/>
      <c r="H51" s="7">
        <v>3000.0</v>
      </c>
      <c r="I51" s="9"/>
      <c r="J51" s="5"/>
      <c r="K51" s="8" t="s">
        <v>20</v>
      </c>
      <c r="L51" s="5" t="s">
        <v>21</v>
      </c>
      <c r="M51" s="9"/>
      <c r="N51" s="10" t="s">
        <v>101</v>
      </c>
      <c r="O51" s="10">
        <f t="shared" si="1"/>
        <v>0.65</v>
      </c>
      <c r="P51" s="11">
        <f t="shared" si="2"/>
        <v>652</v>
      </c>
      <c r="Q51" s="12">
        <f t="shared" si="3"/>
        <v>40</v>
      </c>
      <c r="R51" s="13" t="str">
        <f t="shared" si="4"/>
        <v>Низкий</v>
      </c>
      <c r="S51" s="3"/>
      <c r="T51" s="3"/>
      <c r="U51" s="3"/>
      <c r="V51" s="3"/>
      <c r="W51" s="3"/>
      <c r="X51" s="3"/>
      <c r="Y51" s="3"/>
      <c r="Z51" s="3"/>
    </row>
    <row r="52" ht="15.75" customHeight="1">
      <c r="A52" s="4" t="s">
        <v>102</v>
      </c>
      <c r="B52" s="5" t="s">
        <v>24</v>
      </c>
      <c r="C52" s="5"/>
      <c r="D52" s="5" t="s">
        <v>40</v>
      </c>
      <c r="E52" s="6">
        <v>409000.0</v>
      </c>
      <c r="F52" s="6">
        <v>60000.0</v>
      </c>
      <c r="G52" s="16"/>
      <c r="H52" s="7">
        <v>25000.0</v>
      </c>
      <c r="I52" s="9"/>
      <c r="J52" s="5"/>
      <c r="K52" s="8" t="s">
        <v>20</v>
      </c>
      <c r="L52" s="5" t="s">
        <v>21</v>
      </c>
      <c r="M52" s="9"/>
      <c r="N52" s="10" t="s">
        <v>103</v>
      </c>
      <c r="O52" s="10">
        <f t="shared" si="1"/>
        <v>0.42</v>
      </c>
      <c r="P52" s="11">
        <f t="shared" si="2"/>
        <v>417</v>
      </c>
      <c r="Q52" s="12">
        <f t="shared" si="3"/>
        <v>85</v>
      </c>
      <c r="R52" s="13" t="str">
        <f t="shared" si="4"/>
        <v>Высокий</v>
      </c>
      <c r="S52" s="3"/>
      <c r="T52" s="3"/>
      <c r="U52" s="3"/>
      <c r="V52" s="3"/>
      <c r="W52" s="3"/>
      <c r="X52" s="3"/>
      <c r="Y52" s="3"/>
      <c r="Z52" s="3"/>
    </row>
    <row r="53" ht="15.75" customHeight="1">
      <c r="A53" s="17" t="s">
        <v>104</v>
      </c>
      <c r="B53" s="5" t="s">
        <v>24</v>
      </c>
      <c r="C53" s="5" t="s">
        <v>105</v>
      </c>
      <c r="D53" s="5" t="s">
        <v>40</v>
      </c>
      <c r="E53" s="6">
        <v>4220.0</v>
      </c>
      <c r="F53" s="6">
        <v>1301.0</v>
      </c>
      <c r="G53" s="16"/>
      <c r="H53" s="7">
        <v>1000.0</v>
      </c>
      <c r="I53" s="9" t="s">
        <v>106</v>
      </c>
      <c r="J53" s="5" t="s">
        <v>107</v>
      </c>
      <c r="K53" s="8" t="s">
        <v>20</v>
      </c>
      <c r="L53" s="5"/>
      <c r="M53" s="9"/>
      <c r="N53" s="18" t="s">
        <v>108</v>
      </c>
      <c r="O53" s="10">
        <f t="shared" si="1"/>
        <v>0.77</v>
      </c>
      <c r="P53" s="11">
        <f t="shared" si="2"/>
        <v>769</v>
      </c>
      <c r="Q53" s="12">
        <f t="shared" si="3"/>
        <v>40</v>
      </c>
      <c r="R53" s="13" t="str">
        <f t="shared" si="4"/>
        <v>Низкий</v>
      </c>
      <c r="S53" s="19"/>
      <c r="T53" s="20" t="s">
        <v>109</v>
      </c>
      <c r="U53" s="21">
        <v>0.5</v>
      </c>
      <c r="V53" s="20" t="s">
        <v>110</v>
      </c>
      <c r="W53" s="21">
        <v>60.0</v>
      </c>
      <c r="X53" s="3"/>
      <c r="Y53" s="3"/>
      <c r="Z53" s="3"/>
    </row>
    <row r="54" ht="15.75" customHeight="1">
      <c r="A54" s="17" t="s">
        <v>111</v>
      </c>
      <c r="B54" s="5" t="s">
        <v>24</v>
      </c>
      <c r="C54" s="5" t="s">
        <v>112</v>
      </c>
      <c r="D54" s="5" t="s">
        <v>40</v>
      </c>
      <c r="E54" s="6">
        <v>39685.0</v>
      </c>
      <c r="F54" s="6">
        <v>17854.0</v>
      </c>
      <c r="G54" s="16"/>
      <c r="H54" s="7">
        <v>6700.0</v>
      </c>
      <c r="I54" s="9"/>
      <c r="J54" s="5" t="s">
        <v>113</v>
      </c>
      <c r="K54" s="8" t="s">
        <v>20</v>
      </c>
      <c r="L54" s="5"/>
      <c r="M54" s="9"/>
      <c r="N54" s="18" t="s">
        <v>114</v>
      </c>
      <c r="O54" s="10">
        <f t="shared" si="1"/>
        <v>0.38</v>
      </c>
      <c r="P54" s="11">
        <f t="shared" si="2"/>
        <v>375</v>
      </c>
      <c r="Q54" s="12">
        <f t="shared" si="3"/>
        <v>75</v>
      </c>
      <c r="R54" s="13" t="str">
        <f t="shared" si="4"/>
        <v>Высокий</v>
      </c>
      <c r="S54" s="19"/>
      <c r="T54" s="20" t="s">
        <v>115</v>
      </c>
      <c r="U54" s="21">
        <v>1.2</v>
      </c>
      <c r="V54" s="20" t="s">
        <v>110</v>
      </c>
      <c r="W54" s="21">
        <v>40.0</v>
      </c>
      <c r="X54" s="3"/>
      <c r="Y54" s="3"/>
      <c r="Z54" s="3"/>
    </row>
    <row r="55" ht="15.75" customHeight="1">
      <c r="A55" s="17" t="s">
        <v>116</v>
      </c>
      <c r="B55" s="5" t="s">
        <v>29</v>
      </c>
      <c r="C55" s="5" t="s">
        <v>112</v>
      </c>
      <c r="D55" s="5" t="s">
        <v>40</v>
      </c>
      <c r="E55" s="6">
        <v>33516.0</v>
      </c>
      <c r="F55" s="6">
        <v>10327.0</v>
      </c>
      <c r="G55" s="16"/>
      <c r="H55" s="7">
        <v>6700.0</v>
      </c>
      <c r="I55" s="9"/>
      <c r="J55" s="5" t="s">
        <v>113</v>
      </c>
      <c r="K55" s="8" t="s">
        <v>20</v>
      </c>
      <c r="L55" s="5"/>
      <c r="M55" s="9"/>
      <c r="N55" s="18" t="s">
        <v>117</v>
      </c>
      <c r="O55" s="10">
        <f t="shared" si="1"/>
        <v>0.65</v>
      </c>
      <c r="P55" s="11">
        <f t="shared" si="2"/>
        <v>649</v>
      </c>
      <c r="Q55" s="12">
        <f t="shared" si="3"/>
        <v>55</v>
      </c>
      <c r="R55" s="13" t="str">
        <f t="shared" si="4"/>
        <v>Средний</v>
      </c>
      <c r="S55" s="19"/>
      <c r="T55" s="20" t="s">
        <v>118</v>
      </c>
      <c r="U55" s="21">
        <v>2.5</v>
      </c>
      <c r="V55" s="20" t="s">
        <v>110</v>
      </c>
      <c r="W55" s="21">
        <v>20.0</v>
      </c>
      <c r="X55" s="3"/>
      <c r="Y55" s="3"/>
      <c r="Z55" s="3"/>
    </row>
    <row r="56" ht="15.75" customHeight="1">
      <c r="A56" s="17" t="s">
        <v>119</v>
      </c>
      <c r="B56" s="5" t="s">
        <v>120</v>
      </c>
      <c r="C56" s="5" t="s">
        <v>112</v>
      </c>
      <c r="D56" s="5" t="s">
        <v>40</v>
      </c>
      <c r="E56" s="6">
        <v>41494.0</v>
      </c>
      <c r="F56" s="6">
        <v>8982.0</v>
      </c>
      <c r="G56" s="16"/>
      <c r="H56" s="7">
        <v>6700.0</v>
      </c>
      <c r="I56" s="9"/>
      <c r="J56" s="5" t="s">
        <v>113</v>
      </c>
      <c r="K56" s="8" t="s">
        <v>20</v>
      </c>
      <c r="L56" s="5"/>
      <c r="M56" s="9"/>
      <c r="N56" s="18" t="s">
        <v>121</v>
      </c>
      <c r="O56" s="10">
        <f t="shared" si="1"/>
        <v>0.75</v>
      </c>
      <c r="P56" s="11">
        <f t="shared" si="2"/>
        <v>746</v>
      </c>
      <c r="Q56" s="12">
        <f t="shared" si="3"/>
        <v>40</v>
      </c>
      <c r="R56" s="13" t="str">
        <f t="shared" si="4"/>
        <v>Низкий</v>
      </c>
      <c r="S56" s="19"/>
      <c r="T56" s="20" t="s">
        <v>122</v>
      </c>
      <c r="U56" s="21">
        <v>100000.0</v>
      </c>
      <c r="V56" s="20" t="s">
        <v>110</v>
      </c>
      <c r="W56" s="21">
        <v>40.0</v>
      </c>
      <c r="X56" s="3"/>
      <c r="Y56" s="3"/>
      <c r="Z56" s="3"/>
    </row>
    <row r="57" ht="15.75" customHeight="1">
      <c r="A57" s="17" t="s">
        <v>123</v>
      </c>
      <c r="B57" s="5" t="s">
        <v>29</v>
      </c>
      <c r="C57" s="5" t="s">
        <v>112</v>
      </c>
      <c r="D57" s="5" t="s">
        <v>40</v>
      </c>
      <c r="E57" s="6">
        <v>36548.0</v>
      </c>
      <c r="F57" s="6">
        <v>11568.0</v>
      </c>
      <c r="G57" s="16"/>
      <c r="H57" s="7">
        <v>3356.0</v>
      </c>
      <c r="I57" s="9"/>
      <c r="J57" s="5" t="s">
        <v>124</v>
      </c>
      <c r="K57" s="8" t="s">
        <v>20</v>
      </c>
      <c r="L57" s="5"/>
      <c r="M57" s="9"/>
      <c r="N57" s="18" t="s">
        <v>125</v>
      </c>
      <c r="O57" s="10">
        <f t="shared" si="1"/>
        <v>0.29</v>
      </c>
      <c r="P57" s="11">
        <f t="shared" si="2"/>
        <v>290</v>
      </c>
      <c r="Q57" s="12">
        <f t="shared" si="3"/>
        <v>75</v>
      </c>
      <c r="R57" s="13" t="str">
        <f t="shared" si="4"/>
        <v>Высокий</v>
      </c>
      <c r="S57" s="19"/>
      <c r="T57" s="20" t="s">
        <v>126</v>
      </c>
      <c r="U57" s="21">
        <v>30000.0</v>
      </c>
      <c r="V57" s="20" t="s">
        <v>110</v>
      </c>
      <c r="W57" s="21">
        <v>25.0</v>
      </c>
      <c r="X57" s="3"/>
      <c r="Y57" s="3"/>
      <c r="Z57" s="3"/>
    </row>
    <row r="58" ht="15.75" customHeight="1">
      <c r="A58" s="17" t="s">
        <v>127</v>
      </c>
      <c r="B58" s="5" t="s">
        <v>37</v>
      </c>
      <c r="C58" s="5" t="s">
        <v>112</v>
      </c>
      <c r="D58" s="5" t="s">
        <v>40</v>
      </c>
      <c r="E58" s="6">
        <v>43236.0</v>
      </c>
      <c r="F58" s="6">
        <v>18485.0</v>
      </c>
      <c r="G58" s="16"/>
      <c r="H58" s="7">
        <v>699.0</v>
      </c>
      <c r="I58" s="9"/>
      <c r="J58" s="5" t="s">
        <v>128</v>
      </c>
      <c r="K58" s="8" t="s">
        <v>20</v>
      </c>
      <c r="L58" s="5"/>
      <c r="M58" s="9"/>
      <c r="N58" s="18" t="s">
        <v>129</v>
      </c>
      <c r="O58" s="10">
        <f t="shared" si="1"/>
        <v>0.04</v>
      </c>
      <c r="P58" s="11">
        <f t="shared" si="2"/>
        <v>38</v>
      </c>
      <c r="Q58" s="12">
        <f t="shared" si="3"/>
        <v>75</v>
      </c>
      <c r="R58" s="13" t="str">
        <f t="shared" si="4"/>
        <v>Высокий</v>
      </c>
      <c r="S58" s="19"/>
      <c r="T58" s="20" t="s">
        <v>130</v>
      </c>
      <c r="U58" s="21">
        <v>10000.0</v>
      </c>
      <c r="V58" s="20" t="s">
        <v>110</v>
      </c>
      <c r="W58" s="21">
        <v>15.0</v>
      </c>
      <c r="X58" s="3"/>
      <c r="Y58" s="3"/>
      <c r="Z58" s="3"/>
    </row>
    <row r="59" ht="15.75" customHeight="1">
      <c r="A59" s="17" t="s">
        <v>131</v>
      </c>
      <c r="B59" s="5" t="s">
        <v>29</v>
      </c>
      <c r="C59" s="5" t="s">
        <v>112</v>
      </c>
      <c r="D59" s="5" t="s">
        <v>40</v>
      </c>
      <c r="E59" s="6">
        <v>9168.0</v>
      </c>
      <c r="F59" s="6">
        <v>2808.0</v>
      </c>
      <c r="G59" s="16"/>
      <c r="H59" s="7">
        <v>629.0</v>
      </c>
      <c r="I59" s="9"/>
      <c r="J59" s="5" t="s">
        <v>132</v>
      </c>
      <c r="K59" s="8" t="s">
        <v>20</v>
      </c>
      <c r="L59" s="5"/>
      <c r="M59" s="9"/>
      <c r="N59" s="18" t="s">
        <v>133</v>
      </c>
      <c r="O59" s="10">
        <f t="shared" si="1"/>
        <v>0.22</v>
      </c>
      <c r="P59" s="11">
        <f t="shared" si="2"/>
        <v>224</v>
      </c>
      <c r="Q59" s="12">
        <f t="shared" si="3"/>
        <v>60</v>
      </c>
      <c r="R59" s="13" t="str">
        <f t="shared" si="4"/>
        <v>Средний</v>
      </c>
      <c r="S59" s="19"/>
      <c r="T59" s="20" t="s">
        <v>134</v>
      </c>
      <c r="U59" s="21">
        <v>70.0</v>
      </c>
      <c r="V59" s="3"/>
      <c r="W59" s="3"/>
      <c r="X59" s="3"/>
      <c r="Y59" s="3"/>
      <c r="Z59" s="3"/>
    </row>
    <row r="60" ht="15.75" customHeight="1">
      <c r="A60" s="17" t="s">
        <v>135</v>
      </c>
      <c r="B60" s="5" t="s">
        <v>37</v>
      </c>
      <c r="C60" s="5" t="s">
        <v>112</v>
      </c>
      <c r="D60" s="5" t="s">
        <v>40</v>
      </c>
      <c r="E60" s="6">
        <v>12292.0</v>
      </c>
      <c r="F60" s="6">
        <v>2233.0</v>
      </c>
      <c r="G60" s="16"/>
      <c r="H60" s="7">
        <v>620.0</v>
      </c>
      <c r="I60" s="9"/>
      <c r="J60" s="5" t="s">
        <v>136</v>
      </c>
      <c r="K60" s="8" t="s">
        <v>20</v>
      </c>
      <c r="L60" s="5"/>
      <c r="M60" s="9"/>
      <c r="N60" s="18" t="s">
        <v>137</v>
      </c>
      <c r="O60" s="10">
        <f t="shared" si="1"/>
        <v>0.28</v>
      </c>
      <c r="P60" s="11">
        <f t="shared" si="2"/>
        <v>278</v>
      </c>
      <c r="Q60" s="12">
        <f t="shared" si="3"/>
        <v>60</v>
      </c>
      <c r="R60" s="13" t="str">
        <f t="shared" si="4"/>
        <v>Средний</v>
      </c>
      <c r="S60" s="19"/>
      <c r="T60" s="20" t="s">
        <v>138</v>
      </c>
      <c r="U60" s="21">
        <v>45.0</v>
      </c>
      <c r="V60" s="3"/>
      <c r="W60" s="3"/>
      <c r="X60" s="3"/>
      <c r="Y60" s="3"/>
      <c r="Z60" s="3"/>
    </row>
    <row r="61" ht="15.75" customHeight="1">
      <c r="A61" s="17" t="s">
        <v>139</v>
      </c>
      <c r="B61" s="5" t="s">
        <v>37</v>
      </c>
      <c r="C61" s="5" t="s">
        <v>112</v>
      </c>
      <c r="D61" s="5" t="s">
        <v>40</v>
      </c>
      <c r="E61" s="6">
        <v>44579.0</v>
      </c>
      <c r="F61" s="6">
        <v>7340.0</v>
      </c>
      <c r="G61" s="16"/>
      <c r="H61" s="7">
        <v>699.0</v>
      </c>
      <c r="I61" s="9"/>
      <c r="J61" s="5" t="s">
        <v>140</v>
      </c>
      <c r="K61" s="8" t="s">
        <v>20</v>
      </c>
      <c r="L61" s="5"/>
      <c r="M61" s="9"/>
      <c r="N61" s="18" t="s">
        <v>141</v>
      </c>
      <c r="O61" s="10">
        <f t="shared" si="1"/>
        <v>0.1</v>
      </c>
      <c r="P61" s="11">
        <f t="shared" si="2"/>
        <v>95</v>
      </c>
      <c r="Q61" s="12">
        <f t="shared" si="3"/>
        <v>60</v>
      </c>
      <c r="R61" s="13" t="str">
        <f t="shared" si="4"/>
        <v>Средний</v>
      </c>
      <c r="S61" s="3"/>
      <c r="T61" s="3"/>
      <c r="U61" s="3"/>
      <c r="V61" s="3"/>
      <c r="W61" s="3"/>
      <c r="X61" s="3"/>
      <c r="Y61" s="3"/>
      <c r="Z61" s="3"/>
    </row>
    <row r="62" ht="15.75" customHeight="1">
      <c r="A62" s="17" t="s">
        <v>142</v>
      </c>
      <c r="B62" s="5" t="s">
        <v>37</v>
      </c>
      <c r="C62" s="5" t="s">
        <v>112</v>
      </c>
      <c r="D62" s="5" t="s">
        <v>40</v>
      </c>
      <c r="E62" s="6">
        <v>28962.0</v>
      </c>
      <c r="F62" s="6">
        <v>14123.0</v>
      </c>
      <c r="G62" s="16"/>
      <c r="H62" s="7">
        <v>1398.0</v>
      </c>
      <c r="I62" s="9"/>
      <c r="J62" s="5" t="s">
        <v>143</v>
      </c>
      <c r="K62" s="8" t="s">
        <v>20</v>
      </c>
      <c r="L62" s="5"/>
      <c r="M62" s="9"/>
      <c r="N62" s="18" t="s">
        <v>144</v>
      </c>
      <c r="O62" s="10">
        <f t="shared" si="1"/>
        <v>0.1</v>
      </c>
      <c r="P62" s="11">
        <f t="shared" si="2"/>
        <v>99</v>
      </c>
      <c r="Q62" s="12">
        <f t="shared" si="3"/>
        <v>75</v>
      </c>
      <c r="R62" s="13" t="str">
        <f t="shared" si="4"/>
        <v>Высокий</v>
      </c>
      <c r="S62" s="3"/>
      <c r="T62" s="3"/>
      <c r="U62" s="3"/>
      <c r="V62" s="3"/>
      <c r="W62" s="3"/>
      <c r="X62" s="3"/>
      <c r="Y62" s="3"/>
      <c r="Z62" s="3"/>
    </row>
    <row r="63" ht="15.75" customHeight="1">
      <c r="A63" s="17" t="s">
        <v>145</v>
      </c>
      <c r="B63" s="5" t="s">
        <v>37</v>
      </c>
      <c r="C63" s="5" t="s">
        <v>112</v>
      </c>
      <c r="D63" s="5" t="s">
        <v>40</v>
      </c>
      <c r="E63" s="6">
        <v>43341.0</v>
      </c>
      <c r="F63" s="6">
        <v>16362.0</v>
      </c>
      <c r="G63" s="16"/>
      <c r="H63" s="7">
        <v>2097.0</v>
      </c>
      <c r="I63" s="9"/>
      <c r="J63" s="5" t="s">
        <v>146</v>
      </c>
      <c r="K63" s="8" t="s">
        <v>20</v>
      </c>
      <c r="L63" s="5"/>
      <c r="M63" s="9"/>
      <c r="N63" s="18" t="s">
        <v>75</v>
      </c>
      <c r="O63" s="10">
        <f t="shared" si="1"/>
        <v>0.13</v>
      </c>
      <c r="P63" s="11">
        <f t="shared" si="2"/>
        <v>128</v>
      </c>
      <c r="Q63" s="12">
        <f t="shared" si="3"/>
        <v>75</v>
      </c>
      <c r="R63" s="13" t="str">
        <f t="shared" si="4"/>
        <v>Высокий</v>
      </c>
      <c r="S63" s="3"/>
      <c r="T63" s="3"/>
      <c r="U63" s="3"/>
      <c r="V63" s="3"/>
      <c r="W63" s="3"/>
      <c r="X63" s="3"/>
      <c r="Y63" s="3"/>
      <c r="Z63" s="3"/>
    </row>
    <row r="64" ht="15.75" customHeight="1">
      <c r="A64" s="17" t="s">
        <v>147</v>
      </c>
      <c r="B64" s="5" t="s">
        <v>37</v>
      </c>
      <c r="C64" s="5" t="s">
        <v>112</v>
      </c>
      <c r="D64" s="5" t="s">
        <v>40</v>
      </c>
      <c r="E64" s="6">
        <v>43837.0</v>
      </c>
      <c r="F64" s="6">
        <v>6805.0</v>
      </c>
      <c r="G64" s="16"/>
      <c r="H64" s="7">
        <v>1188.0</v>
      </c>
      <c r="I64" s="9"/>
      <c r="J64" s="5" t="s">
        <v>148</v>
      </c>
      <c r="K64" s="8" t="s">
        <v>20</v>
      </c>
      <c r="L64" s="5"/>
      <c r="M64" s="9"/>
      <c r="N64" s="18" t="s">
        <v>89</v>
      </c>
      <c r="O64" s="10">
        <f t="shared" si="1"/>
        <v>0.17</v>
      </c>
      <c r="P64" s="11">
        <f t="shared" si="2"/>
        <v>175</v>
      </c>
      <c r="Q64" s="12">
        <f t="shared" si="3"/>
        <v>60</v>
      </c>
      <c r="R64" s="13" t="str">
        <f t="shared" si="4"/>
        <v>Средний</v>
      </c>
      <c r="S64" s="3"/>
      <c r="T64" s="3"/>
      <c r="U64" s="3"/>
      <c r="V64" s="3"/>
      <c r="W64" s="3"/>
      <c r="X64" s="3"/>
      <c r="Y64" s="3"/>
      <c r="Z64" s="3"/>
    </row>
    <row r="65" ht="15.75" customHeight="1">
      <c r="A65" s="17" t="s">
        <v>149</v>
      </c>
      <c r="B65" s="5" t="s">
        <v>37</v>
      </c>
      <c r="C65" s="5" t="s">
        <v>112</v>
      </c>
      <c r="D65" s="5" t="s">
        <v>40</v>
      </c>
      <c r="E65" s="6">
        <v>37627.0</v>
      </c>
      <c r="F65" s="6">
        <v>6475.0</v>
      </c>
      <c r="G65" s="16"/>
      <c r="H65" s="7">
        <v>2937.0</v>
      </c>
      <c r="I65" s="9"/>
      <c r="J65" s="5" t="s">
        <v>150</v>
      </c>
      <c r="K65" s="8" t="s">
        <v>20</v>
      </c>
      <c r="L65" s="5"/>
      <c r="M65" s="9"/>
      <c r="N65" s="18" t="s">
        <v>77</v>
      </c>
      <c r="O65" s="10">
        <f t="shared" si="1"/>
        <v>0.45</v>
      </c>
      <c r="P65" s="11">
        <f t="shared" si="2"/>
        <v>454</v>
      </c>
      <c r="Q65" s="12">
        <f t="shared" si="3"/>
        <v>60</v>
      </c>
      <c r="R65" s="13" t="str">
        <f t="shared" si="4"/>
        <v>Средний</v>
      </c>
      <c r="S65" s="3"/>
      <c r="T65" s="3"/>
      <c r="U65" s="3"/>
      <c r="V65" s="3"/>
      <c r="W65" s="3"/>
      <c r="X65" s="3"/>
      <c r="Y65" s="3"/>
      <c r="Z65" s="3"/>
    </row>
    <row r="66" ht="15.75" customHeight="1">
      <c r="A66" s="17" t="s">
        <v>151</v>
      </c>
      <c r="B66" s="5" t="s">
        <v>37</v>
      </c>
      <c r="C66" s="5" t="s">
        <v>112</v>
      </c>
      <c r="D66" s="5" t="s">
        <v>40</v>
      </c>
      <c r="E66" s="6">
        <v>5336.0</v>
      </c>
      <c r="F66" s="6">
        <v>1155.0</v>
      </c>
      <c r="G66" s="16"/>
      <c r="H66" s="7">
        <v>13986.0</v>
      </c>
      <c r="I66" s="9"/>
      <c r="J66" s="5" t="s">
        <v>136</v>
      </c>
      <c r="K66" s="8" t="s">
        <v>20</v>
      </c>
      <c r="L66" s="5"/>
      <c r="M66" s="9"/>
      <c r="N66" s="18" t="s">
        <v>79</v>
      </c>
      <c r="O66" s="10">
        <f t="shared" si="1"/>
        <v>12.11</v>
      </c>
      <c r="P66" s="11">
        <f t="shared" si="2"/>
        <v>12109</v>
      </c>
      <c r="Q66" s="12">
        <f t="shared" si="3"/>
        <v>0</v>
      </c>
      <c r="R66" s="13" t="str">
        <f t="shared" si="4"/>
        <v>Низкий</v>
      </c>
      <c r="S66" s="3"/>
      <c r="T66" s="3"/>
      <c r="U66" s="3"/>
      <c r="V66" s="3"/>
      <c r="W66" s="3"/>
      <c r="X66" s="3"/>
      <c r="Y66" s="3"/>
      <c r="Z66" s="3"/>
    </row>
    <row r="67" ht="15.75" customHeight="1">
      <c r="A67" s="17" t="s">
        <v>152</v>
      </c>
      <c r="B67" s="5" t="s">
        <v>29</v>
      </c>
      <c r="C67" s="5" t="s">
        <v>112</v>
      </c>
      <c r="D67" s="5" t="s">
        <v>40</v>
      </c>
      <c r="E67" s="6">
        <v>18855.0</v>
      </c>
      <c r="F67" s="6">
        <v>6785.0</v>
      </c>
      <c r="G67" s="16"/>
      <c r="H67" s="7">
        <v>1258.0</v>
      </c>
      <c r="I67" s="9"/>
      <c r="J67" s="5" t="s">
        <v>153</v>
      </c>
      <c r="K67" s="8" t="s">
        <v>20</v>
      </c>
      <c r="L67" s="5"/>
      <c r="M67" s="9"/>
      <c r="N67" s="18" t="s">
        <v>154</v>
      </c>
      <c r="O67" s="10">
        <f t="shared" si="1"/>
        <v>0.19</v>
      </c>
      <c r="P67" s="11">
        <f t="shared" si="2"/>
        <v>185</v>
      </c>
      <c r="Q67" s="12">
        <f t="shared" si="3"/>
        <v>60</v>
      </c>
      <c r="R67" s="13" t="str">
        <f t="shared" si="4"/>
        <v>Средний</v>
      </c>
      <c r="S67" s="3"/>
      <c r="T67" s="3"/>
      <c r="U67" s="3"/>
      <c r="V67" s="3"/>
      <c r="W67" s="3"/>
      <c r="X67" s="3"/>
      <c r="Y67" s="3"/>
      <c r="Z67" s="3"/>
    </row>
    <row r="68" ht="15.75" customHeight="1">
      <c r="A68" s="17" t="s">
        <v>155</v>
      </c>
      <c r="B68" s="5" t="s">
        <v>29</v>
      </c>
      <c r="C68" s="5" t="s">
        <v>112</v>
      </c>
      <c r="D68" s="5" t="s">
        <v>40</v>
      </c>
      <c r="E68" s="6">
        <v>33404.0</v>
      </c>
      <c r="F68" s="6">
        <v>8825.0</v>
      </c>
      <c r="G68" s="16"/>
      <c r="H68" s="7">
        <v>1678.0</v>
      </c>
      <c r="I68" s="9"/>
      <c r="J68" s="5" t="s">
        <v>156</v>
      </c>
      <c r="K68" s="8" t="s">
        <v>20</v>
      </c>
      <c r="L68" s="5"/>
      <c r="M68" s="9"/>
      <c r="N68" s="18" t="s">
        <v>157</v>
      </c>
      <c r="O68" s="10">
        <f t="shared" si="1"/>
        <v>0.19</v>
      </c>
      <c r="P68" s="11">
        <f t="shared" si="2"/>
        <v>190</v>
      </c>
      <c r="Q68" s="12">
        <f t="shared" si="3"/>
        <v>60</v>
      </c>
      <c r="R68" s="13" t="str">
        <f t="shared" si="4"/>
        <v>Средний</v>
      </c>
      <c r="S68" s="3"/>
      <c r="T68" s="3"/>
      <c r="U68" s="3"/>
      <c r="V68" s="3"/>
      <c r="W68" s="3"/>
      <c r="X68" s="3"/>
      <c r="Y68" s="3"/>
      <c r="Z68" s="3"/>
    </row>
    <row r="69" ht="15.75" customHeight="1">
      <c r="A69" s="17" t="s">
        <v>158</v>
      </c>
      <c r="B69" s="5" t="s">
        <v>37</v>
      </c>
      <c r="C69" s="5" t="s">
        <v>112</v>
      </c>
      <c r="D69" s="5" t="s">
        <v>40</v>
      </c>
      <c r="E69" s="6">
        <v>41729.0</v>
      </c>
      <c r="F69" s="6">
        <v>18563.0</v>
      </c>
      <c r="G69" s="16"/>
      <c r="H69" s="7">
        <v>587.0</v>
      </c>
      <c r="I69" s="9"/>
      <c r="J69" s="5" t="s">
        <v>159</v>
      </c>
      <c r="K69" s="8" t="s">
        <v>20</v>
      </c>
      <c r="L69" s="5"/>
      <c r="M69" s="9"/>
      <c r="N69" s="18" t="s">
        <v>160</v>
      </c>
      <c r="O69" s="10">
        <f t="shared" si="1"/>
        <v>0.03</v>
      </c>
      <c r="P69" s="11">
        <f t="shared" si="2"/>
        <v>32</v>
      </c>
      <c r="Q69" s="12">
        <f t="shared" si="3"/>
        <v>75</v>
      </c>
      <c r="R69" s="13" t="str">
        <f t="shared" si="4"/>
        <v>Высокий</v>
      </c>
      <c r="S69" s="3"/>
      <c r="T69" s="3"/>
      <c r="U69" s="3"/>
      <c r="V69" s="3"/>
      <c r="W69" s="3"/>
      <c r="X69" s="3"/>
      <c r="Y69" s="3"/>
      <c r="Z69" s="3"/>
    </row>
    <row r="70" ht="15.75" customHeight="1">
      <c r="A70" s="17" t="s">
        <v>161</v>
      </c>
      <c r="B70" s="5" t="s">
        <v>37</v>
      </c>
      <c r="C70" s="5" t="s">
        <v>112</v>
      </c>
      <c r="D70" s="5" t="s">
        <v>40</v>
      </c>
      <c r="E70" s="6">
        <v>37021.0</v>
      </c>
      <c r="F70" s="6">
        <v>8580.0</v>
      </c>
      <c r="G70" s="16"/>
      <c r="H70" s="7">
        <v>769.0</v>
      </c>
      <c r="I70" s="9"/>
      <c r="J70" s="5" t="s">
        <v>148</v>
      </c>
      <c r="K70" s="8" t="s">
        <v>20</v>
      </c>
      <c r="L70" s="5"/>
      <c r="M70" s="9"/>
      <c r="N70" s="18" t="s">
        <v>162</v>
      </c>
      <c r="O70" s="10">
        <f t="shared" si="1"/>
        <v>0.09</v>
      </c>
      <c r="P70" s="11">
        <f t="shared" si="2"/>
        <v>90</v>
      </c>
      <c r="Q70" s="12">
        <f t="shared" si="3"/>
        <v>60</v>
      </c>
      <c r="R70" s="13" t="str">
        <f t="shared" si="4"/>
        <v>Средний</v>
      </c>
      <c r="S70" s="3"/>
      <c r="T70" s="3"/>
      <c r="U70" s="3"/>
      <c r="V70" s="3"/>
      <c r="W70" s="3"/>
      <c r="X70" s="3"/>
      <c r="Y70" s="3"/>
      <c r="Z70" s="3"/>
    </row>
    <row r="71" ht="15.75" customHeight="1">
      <c r="A71" s="17" t="s">
        <v>163</v>
      </c>
      <c r="B71" s="5" t="s">
        <v>37</v>
      </c>
      <c r="C71" s="5" t="s">
        <v>112</v>
      </c>
      <c r="D71" s="5" t="s">
        <v>40</v>
      </c>
      <c r="E71" s="6">
        <v>22277.0</v>
      </c>
      <c r="F71" s="6">
        <v>7238.0</v>
      </c>
      <c r="G71" s="16"/>
      <c r="H71" s="7">
        <v>979.0</v>
      </c>
      <c r="I71" s="9"/>
      <c r="J71" s="5" t="s">
        <v>164</v>
      </c>
      <c r="K71" s="8" t="s">
        <v>20</v>
      </c>
      <c r="L71" s="5"/>
      <c r="M71" s="9"/>
      <c r="N71" s="18" t="s">
        <v>165</v>
      </c>
      <c r="O71" s="10">
        <f t="shared" si="1"/>
        <v>0.14</v>
      </c>
      <c r="P71" s="11">
        <f t="shared" si="2"/>
        <v>135</v>
      </c>
      <c r="Q71" s="12">
        <f t="shared" si="3"/>
        <v>60</v>
      </c>
      <c r="R71" s="13" t="str">
        <f t="shared" si="4"/>
        <v>Средний</v>
      </c>
      <c r="S71" s="3"/>
      <c r="T71" s="3"/>
      <c r="U71" s="3"/>
      <c r="V71" s="3"/>
      <c r="W71" s="3"/>
      <c r="X71" s="3"/>
      <c r="Y71" s="3"/>
      <c r="Z71" s="3"/>
    </row>
    <row r="72" ht="15.75" customHeight="1">
      <c r="A72" s="17" t="s">
        <v>166</v>
      </c>
      <c r="B72" s="5" t="s">
        <v>29</v>
      </c>
      <c r="C72" s="5" t="s">
        <v>112</v>
      </c>
      <c r="D72" s="5" t="s">
        <v>40</v>
      </c>
      <c r="E72" s="6">
        <v>8569.0</v>
      </c>
      <c r="F72" s="6">
        <v>2656.0</v>
      </c>
      <c r="G72" s="16"/>
      <c r="H72" s="7">
        <v>3500.0</v>
      </c>
      <c r="I72" s="9"/>
      <c r="J72" s="5" t="s">
        <v>167</v>
      </c>
      <c r="K72" s="8" t="s">
        <v>20</v>
      </c>
      <c r="L72" s="5"/>
      <c r="M72" s="9"/>
      <c r="N72" s="18" t="s">
        <v>65</v>
      </c>
      <c r="O72" s="10">
        <f t="shared" si="1"/>
        <v>1.32</v>
      </c>
      <c r="P72" s="11">
        <f t="shared" si="2"/>
        <v>1318</v>
      </c>
      <c r="Q72" s="12">
        <f t="shared" si="3"/>
        <v>20</v>
      </c>
      <c r="R72" s="13" t="str">
        <f t="shared" si="4"/>
        <v>Низкий</v>
      </c>
      <c r="S72" s="3"/>
      <c r="T72" s="3"/>
      <c r="U72" s="3"/>
      <c r="V72" s="3"/>
      <c r="W72" s="3"/>
      <c r="X72" s="3"/>
      <c r="Y72" s="3"/>
      <c r="Z72" s="3"/>
    </row>
    <row r="73" ht="15.75" hidden="1" customHeight="1">
      <c r="A73" s="4" t="s">
        <v>168</v>
      </c>
      <c r="B73" s="5" t="s">
        <v>29</v>
      </c>
      <c r="C73" s="5" t="s">
        <v>169</v>
      </c>
      <c r="D73" s="5" t="s">
        <v>170</v>
      </c>
      <c r="E73" s="6">
        <v>291000.0</v>
      </c>
      <c r="F73" s="6"/>
      <c r="G73" s="16"/>
      <c r="H73" s="7"/>
      <c r="I73" s="9"/>
      <c r="J73" s="5"/>
      <c r="K73" s="8"/>
      <c r="L73" s="5"/>
      <c r="M73" s="9"/>
      <c r="N73" s="10"/>
      <c r="O73" s="10" t="str">
        <f t="shared" si="1"/>
        <v/>
      </c>
      <c r="P73" s="11" t="str">
        <f t="shared" si="2"/>
        <v/>
      </c>
      <c r="Q73" s="12" t="str">
        <f t="shared" si="3"/>
        <v/>
      </c>
      <c r="R73" s="13" t="str">
        <f t="shared" si="4"/>
        <v/>
      </c>
      <c r="S73" s="3"/>
      <c r="T73" s="3"/>
      <c r="U73" s="3"/>
      <c r="V73" s="3"/>
      <c r="W73" s="3"/>
      <c r="X73" s="3"/>
      <c r="Y73" s="3"/>
      <c r="Z73" s="3"/>
    </row>
    <row r="74" ht="15.75" hidden="1" customHeight="1">
      <c r="A74" s="4" t="s">
        <v>171</v>
      </c>
      <c r="B74" s="5" t="s">
        <v>29</v>
      </c>
      <c r="C74" s="5" t="s">
        <v>169</v>
      </c>
      <c r="D74" s="5" t="s">
        <v>170</v>
      </c>
      <c r="E74" s="6">
        <v>112000.0</v>
      </c>
      <c r="F74" s="6"/>
      <c r="G74" s="16"/>
      <c r="H74" s="7"/>
      <c r="I74" s="9"/>
      <c r="J74" s="5"/>
      <c r="K74" s="8"/>
      <c r="L74" s="5"/>
      <c r="M74" s="9"/>
      <c r="N74" s="10"/>
      <c r="O74" s="10" t="str">
        <f t="shared" si="1"/>
        <v/>
      </c>
      <c r="P74" s="11" t="str">
        <f t="shared" si="2"/>
        <v/>
      </c>
      <c r="Q74" s="12" t="str">
        <f t="shared" si="3"/>
        <v/>
      </c>
      <c r="R74" s="13" t="str">
        <f t="shared" si="4"/>
        <v/>
      </c>
      <c r="S74" s="3"/>
      <c r="T74" s="3"/>
      <c r="U74" s="3"/>
      <c r="V74" s="3"/>
      <c r="W74" s="3"/>
      <c r="X74" s="3"/>
      <c r="Y74" s="3"/>
      <c r="Z74" s="3"/>
    </row>
    <row r="75" ht="15.75" hidden="1" customHeight="1">
      <c r="A75" s="4" t="s">
        <v>172</v>
      </c>
      <c r="B75" s="5" t="s">
        <v>29</v>
      </c>
      <c r="C75" s="5" t="s">
        <v>169</v>
      </c>
      <c r="D75" s="5" t="s">
        <v>170</v>
      </c>
      <c r="E75" s="6">
        <v>93500.0</v>
      </c>
      <c r="F75" s="6"/>
      <c r="G75" s="16"/>
      <c r="H75" s="7"/>
      <c r="I75" s="9"/>
      <c r="J75" s="5"/>
      <c r="K75" s="8"/>
      <c r="L75" s="5"/>
      <c r="M75" s="9"/>
      <c r="N75" s="10"/>
      <c r="O75" s="10" t="str">
        <f t="shared" si="1"/>
        <v/>
      </c>
      <c r="P75" s="11" t="str">
        <f t="shared" si="2"/>
        <v/>
      </c>
      <c r="Q75" s="12" t="str">
        <f t="shared" si="3"/>
        <v/>
      </c>
      <c r="R75" s="13" t="str">
        <f t="shared" si="4"/>
        <v/>
      </c>
      <c r="S75" s="3"/>
      <c r="T75" s="3"/>
      <c r="U75" s="3"/>
      <c r="V75" s="3"/>
      <c r="W75" s="3"/>
      <c r="X75" s="3"/>
      <c r="Y75" s="3"/>
      <c r="Z75" s="3"/>
    </row>
    <row r="76" ht="15.75" hidden="1" customHeight="1">
      <c r="A76" s="4" t="s">
        <v>173</v>
      </c>
      <c r="B76" s="5" t="s">
        <v>29</v>
      </c>
      <c r="C76" s="5" t="s">
        <v>169</v>
      </c>
      <c r="D76" s="5" t="s">
        <v>170</v>
      </c>
      <c r="E76" s="6">
        <v>67900.0</v>
      </c>
      <c r="F76" s="6"/>
      <c r="G76" s="16"/>
      <c r="H76" s="7"/>
      <c r="I76" s="9"/>
      <c r="J76" s="5"/>
      <c r="K76" s="8"/>
      <c r="L76" s="5"/>
      <c r="M76" s="9"/>
      <c r="N76" s="10"/>
      <c r="O76" s="10" t="str">
        <f t="shared" si="1"/>
        <v/>
      </c>
      <c r="P76" s="11" t="str">
        <f t="shared" si="2"/>
        <v/>
      </c>
      <c r="Q76" s="12" t="str">
        <f t="shared" si="3"/>
        <v/>
      </c>
      <c r="R76" s="13" t="str">
        <f t="shared" si="4"/>
        <v/>
      </c>
      <c r="S76" s="3"/>
      <c r="T76" s="3"/>
      <c r="U76" s="3"/>
      <c r="V76" s="3"/>
      <c r="W76" s="3"/>
      <c r="X76" s="3"/>
      <c r="Y76" s="3"/>
      <c r="Z76" s="3"/>
    </row>
    <row r="77" ht="15.75" hidden="1" customHeight="1">
      <c r="A77" s="4" t="s">
        <v>174</v>
      </c>
      <c r="B77" s="5" t="s">
        <v>29</v>
      </c>
      <c r="C77" s="5" t="s">
        <v>169</v>
      </c>
      <c r="D77" s="5" t="s">
        <v>170</v>
      </c>
      <c r="E77" s="6">
        <v>59700.0</v>
      </c>
      <c r="F77" s="6"/>
      <c r="G77" s="16"/>
      <c r="H77" s="7"/>
      <c r="I77" s="9"/>
      <c r="J77" s="5"/>
      <c r="K77" s="8"/>
      <c r="L77" s="5"/>
      <c r="M77" s="9"/>
      <c r="N77" s="10"/>
      <c r="O77" s="10" t="str">
        <f t="shared" si="1"/>
        <v/>
      </c>
      <c r="P77" s="11" t="str">
        <f t="shared" si="2"/>
        <v/>
      </c>
      <c r="Q77" s="12" t="str">
        <f t="shared" si="3"/>
        <v/>
      </c>
      <c r="R77" s="13" t="str">
        <f t="shared" si="4"/>
        <v/>
      </c>
      <c r="S77" s="3"/>
      <c r="T77" s="3"/>
      <c r="U77" s="3"/>
      <c r="V77" s="3"/>
      <c r="W77" s="3"/>
      <c r="X77" s="3"/>
      <c r="Y77" s="3"/>
      <c r="Z77" s="3"/>
    </row>
    <row r="78" ht="15.75" hidden="1" customHeight="1">
      <c r="A78" s="4" t="s">
        <v>175</v>
      </c>
      <c r="B78" s="5" t="s">
        <v>29</v>
      </c>
      <c r="C78" s="5" t="s">
        <v>169</v>
      </c>
      <c r="D78" s="5" t="s">
        <v>170</v>
      </c>
      <c r="E78" s="6">
        <v>50300.0</v>
      </c>
      <c r="F78" s="6"/>
      <c r="G78" s="16"/>
      <c r="H78" s="7"/>
      <c r="I78" s="9"/>
      <c r="J78" s="5"/>
      <c r="K78" s="8"/>
      <c r="L78" s="5"/>
      <c r="M78" s="9"/>
      <c r="N78" s="10"/>
      <c r="O78" s="10" t="str">
        <f t="shared" si="1"/>
        <v/>
      </c>
      <c r="P78" s="11" t="str">
        <f t="shared" si="2"/>
        <v/>
      </c>
      <c r="Q78" s="12" t="str">
        <f t="shared" si="3"/>
        <v/>
      </c>
      <c r="R78" s="13" t="str">
        <f t="shared" si="4"/>
        <v/>
      </c>
      <c r="S78" s="3"/>
      <c r="T78" s="3"/>
      <c r="U78" s="3"/>
      <c r="V78" s="3"/>
      <c r="W78" s="3"/>
      <c r="X78" s="3"/>
      <c r="Y78" s="3"/>
      <c r="Z78" s="3"/>
    </row>
    <row r="79" ht="15.75" hidden="1" customHeight="1">
      <c r="A79" s="4" t="s">
        <v>176</v>
      </c>
      <c r="B79" s="5" t="s">
        <v>29</v>
      </c>
      <c r="C79" s="5" t="s">
        <v>169</v>
      </c>
      <c r="D79" s="5" t="s">
        <v>170</v>
      </c>
      <c r="E79" s="6">
        <v>47700.0</v>
      </c>
      <c r="F79" s="6"/>
      <c r="G79" s="16"/>
      <c r="H79" s="7"/>
      <c r="I79" s="9"/>
      <c r="J79" s="5"/>
      <c r="K79" s="8"/>
      <c r="L79" s="5"/>
      <c r="M79" s="9"/>
      <c r="N79" s="10"/>
      <c r="O79" s="10" t="str">
        <f t="shared" si="1"/>
        <v/>
      </c>
      <c r="P79" s="11" t="str">
        <f t="shared" si="2"/>
        <v/>
      </c>
      <c r="Q79" s="12" t="str">
        <f t="shared" si="3"/>
        <v/>
      </c>
      <c r="R79" s="13" t="str">
        <f t="shared" si="4"/>
        <v/>
      </c>
      <c r="S79" s="3"/>
      <c r="T79" s="3"/>
      <c r="U79" s="3"/>
      <c r="V79" s="3"/>
      <c r="W79" s="3"/>
      <c r="X79" s="3"/>
      <c r="Y79" s="3"/>
      <c r="Z79" s="3"/>
    </row>
    <row r="80" ht="15.75" hidden="1" customHeight="1">
      <c r="A80" s="4" t="s">
        <v>177</v>
      </c>
      <c r="B80" s="5" t="s">
        <v>29</v>
      </c>
      <c r="C80" s="5" t="s">
        <v>169</v>
      </c>
      <c r="D80" s="5" t="s">
        <v>170</v>
      </c>
      <c r="E80" s="6">
        <v>44400.0</v>
      </c>
      <c r="F80" s="6"/>
      <c r="G80" s="16"/>
      <c r="H80" s="7"/>
      <c r="I80" s="9"/>
      <c r="J80" s="5"/>
      <c r="K80" s="8"/>
      <c r="L80" s="5"/>
      <c r="M80" s="9"/>
      <c r="N80" s="10"/>
      <c r="O80" s="10" t="str">
        <f t="shared" si="1"/>
        <v/>
      </c>
      <c r="P80" s="11" t="str">
        <f t="shared" si="2"/>
        <v/>
      </c>
      <c r="Q80" s="12" t="str">
        <f t="shared" si="3"/>
        <v/>
      </c>
      <c r="R80" s="13" t="str">
        <f t="shared" si="4"/>
        <v/>
      </c>
      <c r="S80" s="3"/>
      <c r="T80" s="3"/>
      <c r="U80" s="3"/>
      <c r="V80" s="3"/>
      <c r="W80" s="3"/>
      <c r="X80" s="3"/>
      <c r="Y80" s="3"/>
      <c r="Z80" s="3"/>
    </row>
    <row r="81" ht="15.75" hidden="1" customHeight="1">
      <c r="A81" s="4" t="s">
        <v>178</v>
      </c>
      <c r="B81" s="5" t="s">
        <v>24</v>
      </c>
      <c r="C81" s="5" t="s">
        <v>105</v>
      </c>
      <c r="D81" s="5" t="s">
        <v>170</v>
      </c>
      <c r="E81" s="6">
        <v>43700.0</v>
      </c>
      <c r="F81" s="6"/>
      <c r="G81" s="16"/>
      <c r="H81" s="7"/>
      <c r="I81" s="9"/>
      <c r="J81" s="5"/>
      <c r="K81" s="8"/>
      <c r="L81" s="5"/>
      <c r="M81" s="9"/>
      <c r="N81" s="10"/>
      <c r="O81" s="10" t="str">
        <f t="shared" si="1"/>
        <v/>
      </c>
      <c r="P81" s="11" t="str">
        <f t="shared" si="2"/>
        <v/>
      </c>
      <c r="Q81" s="12" t="str">
        <f t="shared" si="3"/>
        <v/>
      </c>
      <c r="R81" s="13" t="str">
        <f t="shared" si="4"/>
        <v/>
      </c>
      <c r="S81" s="3"/>
      <c r="T81" s="3"/>
      <c r="U81" s="3"/>
      <c r="V81" s="3"/>
      <c r="W81" s="3"/>
      <c r="X81" s="3"/>
      <c r="Y81" s="3"/>
      <c r="Z81" s="3"/>
    </row>
    <row r="82" ht="15.75" hidden="1" customHeight="1">
      <c r="A82" s="4" t="s">
        <v>179</v>
      </c>
      <c r="B82" s="5" t="s">
        <v>29</v>
      </c>
      <c r="C82" s="5" t="s">
        <v>169</v>
      </c>
      <c r="D82" s="5" t="s">
        <v>170</v>
      </c>
      <c r="E82" s="6">
        <v>39500.0</v>
      </c>
      <c r="F82" s="6"/>
      <c r="G82" s="16"/>
      <c r="H82" s="7"/>
      <c r="I82" s="9"/>
      <c r="J82" s="5"/>
      <c r="K82" s="8"/>
      <c r="L82" s="5"/>
      <c r="M82" s="9"/>
      <c r="N82" s="10"/>
      <c r="O82" s="10" t="str">
        <f t="shared" si="1"/>
        <v/>
      </c>
      <c r="P82" s="11" t="str">
        <f t="shared" si="2"/>
        <v/>
      </c>
      <c r="Q82" s="12" t="str">
        <f t="shared" si="3"/>
        <v/>
      </c>
      <c r="R82" s="13" t="str">
        <f t="shared" si="4"/>
        <v/>
      </c>
      <c r="S82" s="3"/>
      <c r="T82" s="3"/>
      <c r="U82" s="3"/>
      <c r="V82" s="3"/>
      <c r="W82" s="3"/>
      <c r="X82" s="3"/>
      <c r="Y82" s="3"/>
      <c r="Z82" s="3"/>
    </row>
    <row r="83" ht="15.75" hidden="1" customHeight="1">
      <c r="A83" s="4" t="s">
        <v>180</v>
      </c>
      <c r="B83" s="5" t="s">
        <v>29</v>
      </c>
      <c r="C83" s="5" t="s">
        <v>169</v>
      </c>
      <c r="D83" s="5" t="s">
        <v>170</v>
      </c>
      <c r="E83" s="6">
        <v>32400.0</v>
      </c>
      <c r="F83" s="6"/>
      <c r="G83" s="16"/>
      <c r="H83" s="7"/>
      <c r="I83" s="9"/>
      <c r="J83" s="5"/>
      <c r="K83" s="8"/>
      <c r="L83" s="5"/>
      <c r="M83" s="9"/>
      <c r="N83" s="10"/>
      <c r="O83" s="10" t="str">
        <f t="shared" si="1"/>
        <v/>
      </c>
      <c r="P83" s="11" t="str">
        <f t="shared" si="2"/>
        <v/>
      </c>
      <c r="Q83" s="12" t="str">
        <f t="shared" si="3"/>
        <v/>
      </c>
      <c r="R83" s="13" t="str">
        <f t="shared" si="4"/>
        <v/>
      </c>
      <c r="S83" s="3"/>
      <c r="T83" s="3"/>
      <c r="U83" s="3"/>
      <c r="V83" s="3"/>
      <c r="W83" s="3"/>
      <c r="X83" s="3"/>
      <c r="Y83" s="3"/>
      <c r="Z83" s="3"/>
    </row>
    <row r="84" ht="15.75" hidden="1" customHeight="1">
      <c r="A84" s="4" t="s">
        <v>181</v>
      </c>
      <c r="B84" s="5" t="s">
        <v>29</v>
      </c>
      <c r="C84" s="5" t="s">
        <v>169</v>
      </c>
      <c r="D84" s="5" t="s">
        <v>170</v>
      </c>
      <c r="E84" s="6">
        <v>31800.0</v>
      </c>
      <c r="F84" s="6"/>
      <c r="G84" s="16"/>
      <c r="H84" s="7"/>
      <c r="I84" s="9"/>
      <c r="J84" s="5"/>
      <c r="K84" s="8"/>
      <c r="L84" s="5"/>
      <c r="M84" s="9"/>
      <c r="N84" s="10"/>
      <c r="O84" s="10" t="str">
        <f t="shared" si="1"/>
        <v/>
      </c>
      <c r="P84" s="11" t="str">
        <f t="shared" si="2"/>
        <v/>
      </c>
      <c r="Q84" s="12" t="str">
        <f t="shared" si="3"/>
        <v/>
      </c>
      <c r="R84" s="13" t="str">
        <f t="shared" si="4"/>
        <v/>
      </c>
      <c r="S84" s="3"/>
      <c r="T84" s="3"/>
      <c r="U84" s="3"/>
      <c r="V84" s="3"/>
      <c r="W84" s="3"/>
      <c r="X84" s="3"/>
      <c r="Y84" s="3"/>
      <c r="Z84" s="3"/>
    </row>
    <row r="85" ht="15.75" hidden="1" customHeight="1">
      <c r="A85" s="4" t="s">
        <v>182</v>
      </c>
      <c r="B85" s="5" t="s">
        <v>29</v>
      </c>
      <c r="C85" s="5" t="s">
        <v>169</v>
      </c>
      <c r="D85" s="5" t="s">
        <v>170</v>
      </c>
      <c r="E85" s="6">
        <v>28500.0</v>
      </c>
      <c r="F85" s="6"/>
      <c r="G85" s="16"/>
      <c r="H85" s="7"/>
      <c r="I85" s="9"/>
      <c r="J85" s="5"/>
      <c r="K85" s="8"/>
      <c r="L85" s="5"/>
      <c r="M85" s="9"/>
      <c r="N85" s="10"/>
      <c r="O85" s="10" t="str">
        <f t="shared" si="1"/>
        <v/>
      </c>
      <c r="P85" s="11" t="str">
        <f t="shared" si="2"/>
        <v/>
      </c>
      <c r="Q85" s="12" t="str">
        <f t="shared" si="3"/>
        <v/>
      </c>
      <c r="R85" s="13" t="str">
        <f t="shared" si="4"/>
        <v/>
      </c>
      <c r="S85" s="3"/>
      <c r="T85" s="3"/>
      <c r="U85" s="3"/>
      <c r="V85" s="3"/>
      <c r="W85" s="3"/>
      <c r="X85" s="3"/>
      <c r="Y85" s="3"/>
      <c r="Z85" s="3"/>
    </row>
    <row r="86" ht="15.75" hidden="1" customHeight="1">
      <c r="A86" s="4" t="s">
        <v>183</v>
      </c>
      <c r="B86" s="5" t="s">
        <v>29</v>
      </c>
      <c r="C86" s="5" t="s">
        <v>169</v>
      </c>
      <c r="D86" s="5" t="s">
        <v>170</v>
      </c>
      <c r="E86" s="6">
        <v>28100.0</v>
      </c>
      <c r="F86" s="6"/>
      <c r="G86" s="16"/>
      <c r="H86" s="7"/>
      <c r="I86" s="9"/>
      <c r="J86" s="5"/>
      <c r="K86" s="8"/>
      <c r="L86" s="5"/>
      <c r="M86" s="9"/>
      <c r="N86" s="10"/>
      <c r="O86" s="10" t="str">
        <f t="shared" si="1"/>
        <v/>
      </c>
      <c r="P86" s="11" t="str">
        <f t="shared" si="2"/>
        <v/>
      </c>
      <c r="Q86" s="12" t="str">
        <f t="shared" si="3"/>
        <v/>
      </c>
      <c r="R86" s="13" t="str">
        <f t="shared" si="4"/>
        <v/>
      </c>
      <c r="S86" s="3"/>
      <c r="T86" s="3"/>
      <c r="U86" s="3"/>
      <c r="V86" s="3"/>
      <c r="W86" s="3"/>
      <c r="X86" s="3"/>
      <c r="Y86" s="3"/>
      <c r="Z86" s="3"/>
    </row>
    <row r="87" ht="15.75" hidden="1" customHeight="1">
      <c r="A87" s="4" t="s">
        <v>184</v>
      </c>
      <c r="B87" s="5" t="s">
        <v>29</v>
      </c>
      <c r="C87" s="5" t="s">
        <v>169</v>
      </c>
      <c r="D87" s="5" t="s">
        <v>170</v>
      </c>
      <c r="E87" s="6">
        <v>23800.0</v>
      </c>
      <c r="F87" s="6"/>
      <c r="G87" s="16"/>
      <c r="H87" s="7"/>
      <c r="I87" s="9"/>
      <c r="J87" s="5"/>
      <c r="K87" s="8"/>
      <c r="L87" s="5"/>
      <c r="M87" s="9"/>
      <c r="N87" s="10"/>
      <c r="O87" s="10" t="str">
        <f t="shared" si="1"/>
        <v/>
      </c>
      <c r="P87" s="11" t="str">
        <f t="shared" si="2"/>
        <v/>
      </c>
      <c r="Q87" s="12" t="str">
        <f t="shared" si="3"/>
        <v/>
      </c>
      <c r="R87" s="13" t="str">
        <f t="shared" si="4"/>
        <v/>
      </c>
      <c r="S87" s="3"/>
      <c r="T87" s="3"/>
      <c r="U87" s="3"/>
      <c r="V87" s="3"/>
      <c r="W87" s="3"/>
      <c r="X87" s="3"/>
      <c r="Y87" s="3"/>
      <c r="Z87" s="3"/>
    </row>
    <row r="88" ht="15.75" hidden="1" customHeight="1">
      <c r="A88" s="4" t="s">
        <v>185</v>
      </c>
      <c r="B88" s="5" t="s">
        <v>29</v>
      </c>
      <c r="C88" s="5" t="s">
        <v>169</v>
      </c>
      <c r="D88" s="5" t="s">
        <v>170</v>
      </c>
      <c r="E88" s="6">
        <v>20900.0</v>
      </c>
      <c r="F88" s="6"/>
      <c r="G88" s="16"/>
      <c r="H88" s="7"/>
      <c r="I88" s="9"/>
      <c r="J88" s="5"/>
      <c r="K88" s="8"/>
      <c r="L88" s="5"/>
      <c r="M88" s="9"/>
      <c r="N88" s="10"/>
      <c r="O88" s="10" t="str">
        <f t="shared" si="1"/>
        <v/>
      </c>
      <c r="P88" s="11" t="str">
        <f t="shared" si="2"/>
        <v/>
      </c>
      <c r="Q88" s="12" t="str">
        <f t="shared" si="3"/>
        <v/>
      </c>
      <c r="R88" s="13" t="str">
        <f t="shared" si="4"/>
        <v/>
      </c>
      <c r="S88" s="3"/>
      <c r="T88" s="3"/>
      <c r="U88" s="3"/>
      <c r="V88" s="3"/>
      <c r="W88" s="3"/>
      <c r="X88" s="3"/>
      <c r="Y88" s="3"/>
      <c r="Z88" s="3"/>
    </row>
    <row r="89" ht="15.75" hidden="1" customHeight="1">
      <c r="A89" s="4" t="s">
        <v>186</v>
      </c>
      <c r="B89" s="5" t="s">
        <v>29</v>
      </c>
      <c r="C89" s="5" t="s">
        <v>169</v>
      </c>
      <c r="D89" s="5" t="s">
        <v>170</v>
      </c>
      <c r="E89" s="6">
        <v>20600.0</v>
      </c>
      <c r="F89" s="6"/>
      <c r="G89" s="16"/>
      <c r="H89" s="7"/>
      <c r="I89" s="9"/>
      <c r="J89" s="5"/>
      <c r="K89" s="8"/>
      <c r="L89" s="5"/>
      <c r="M89" s="9"/>
      <c r="N89" s="10"/>
      <c r="O89" s="10" t="str">
        <f t="shared" si="1"/>
        <v/>
      </c>
      <c r="P89" s="11" t="str">
        <f t="shared" si="2"/>
        <v/>
      </c>
      <c r="Q89" s="12" t="str">
        <f t="shared" si="3"/>
        <v/>
      </c>
      <c r="R89" s="13" t="str">
        <f t="shared" si="4"/>
        <v/>
      </c>
      <c r="S89" s="3"/>
      <c r="T89" s="3"/>
      <c r="U89" s="3"/>
      <c r="V89" s="3"/>
      <c r="W89" s="3"/>
      <c r="X89" s="3"/>
      <c r="Y89" s="3"/>
      <c r="Z89" s="3"/>
    </row>
    <row r="90" ht="15.75" hidden="1" customHeight="1">
      <c r="A90" s="4" t="s">
        <v>187</v>
      </c>
      <c r="B90" s="5" t="s">
        <v>29</v>
      </c>
      <c r="C90" s="5" t="s">
        <v>169</v>
      </c>
      <c r="D90" s="5" t="s">
        <v>170</v>
      </c>
      <c r="E90" s="6">
        <v>19300.0</v>
      </c>
      <c r="F90" s="6"/>
      <c r="G90" s="16"/>
      <c r="H90" s="7"/>
      <c r="I90" s="9"/>
      <c r="J90" s="5"/>
      <c r="K90" s="8"/>
      <c r="L90" s="5"/>
      <c r="M90" s="9"/>
      <c r="N90" s="10"/>
      <c r="O90" s="10" t="str">
        <f t="shared" si="1"/>
        <v/>
      </c>
      <c r="P90" s="11" t="str">
        <f t="shared" si="2"/>
        <v/>
      </c>
      <c r="Q90" s="12" t="str">
        <f t="shared" si="3"/>
        <v/>
      </c>
      <c r="R90" s="13" t="str">
        <f t="shared" si="4"/>
        <v/>
      </c>
      <c r="S90" s="3"/>
      <c r="T90" s="3"/>
      <c r="U90" s="3"/>
      <c r="V90" s="3"/>
      <c r="W90" s="3"/>
      <c r="X90" s="3"/>
      <c r="Y90" s="3"/>
      <c r="Z90" s="3"/>
    </row>
    <row r="91" ht="15.75" hidden="1" customHeight="1">
      <c r="A91" s="4" t="s">
        <v>188</v>
      </c>
      <c r="B91" s="5" t="s">
        <v>29</v>
      </c>
      <c r="C91" s="5" t="s">
        <v>189</v>
      </c>
      <c r="D91" s="5" t="s">
        <v>170</v>
      </c>
      <c r="E91" s="6">
        <v>18262.0</v>
      </c>
      <c r="F91" s="6"/>
      <c r="G91" s="16"/>
      <c r="H91" s="7"/>
      <c r="I91" s="9"/>
      <c r="J91" s="5"/>
      <c r="K91" s="8"/>
      <c r="L91" s="5"/>
      <c r="M91" s="9"/>
      <c r="N91" s="10"/>
      <c r="O91" s="10" t="str">
        <f t="shared" si="1"/>
        <v/>
      </c>
      <c r="P91" s="11" t="str">
        <f t="shared" si="2"/>
        <v/>
      </c>
      <c r="Q91" s="12" t="str">
        <f t="shared" si="3"/>
        <v/>
      </c>
      <c r="R91" s="13" t="str">
        <f t="shared" si="4"/>
        <v/>
      </c>
      <c r="S91" s="3"/>
      <c r="T91" s="3"/>
      <c r="U91" s="3"/>
      <c r="V91" s="3"/>
      <c r="W91" s="3"/>
      <c r="X91" s="3"/>
      <c r="Y91" s="3"/>
      <c r="Z91" s="3"/>
    </row>
    <row r="92" ht="15.75" hidden="1" customHeight="1">
      <c r="A92" s="4" t="s">
        <v>190</v>
      </c>
      <c r="B92" s="5" t="s">
        <v>29</v>
      </c>
      <c r="C92" s="5" t="s">
        <v>169</v>
      </c>
      <c r="D92" s="5" t="s">
        <v>170</v>
      </c>
      <c r="E92" s="6">
        <v>18100.0</v>
      </c>
      <c r="F92" s="6"/>
      <c r="G92" s="16"/>
      <c r="H92" s="7"/>
      <c r="I92" s="9"/>
      <c r="J92" s="5"/>
      <c r="K92" s="8"/>
      <c r="L92" s="5"/>
      <c r="M92" s="9"/>
      <c r="N92" s="10"/>
      <c r="O92" s="10" t="str">
        <f t="shared" si="1"/>
        <v/>
      </c>
      <c r="P92" s="11" t="str">
        <f t="shared" si="2"/>
        <v/>
      </c>
      <c r="Q92" s="12" t="str">
        <f t="shared" si="3"/>
        <v/>
      </c>
      <c r="R92" s="13" t="str">
        <f t="shared" si="4"/>
        <v/>
      </c>
      <c r="S92" s="3"/>
      <c r="T92" s="3"/>
      <c r="U92" s="3"/>
      <c r="V92" s="3"/>
      <c r="W92" s="3"/>
      <c r="X92" s="3"/>
      <c r="Y92" s="3"/>
      <c r="Z92" s="3"/>
    </row>
    <row r="93" ht="15.75" hidden="1" customHeight="1">
      <c r="A93" s="4" t="s">
        <v>191</v>
      </c>
      <c r="B93" s="5" t="s">
        <v>29</v>
      </c>
      <c r="C93" s="5" t="s">
        <v>169</v>
      </c>
      <c r="D93" s="5" t="s">
        <v>170</v>
      </c>
      <c r="E93" s="6">
        <v>17700.0</v>
      </c>
      <c r="F93" s="6"/>
      <c r="G93" s="16"/>
      <c r="H93" s="7"/>
      <c r="I93" s="9"/>
      <c r="J93" s="5"/>
      <c r="K93" s="8"/>
      <c r="L93" s="5"/>
      <c r="M93" s="9"/>
      <c r="N93" s="10"/>
      <c r="O93" s="10" t="str">
        <f t="shared" si="1"/>
        <v/>
      </c>
      <c r="P93" s="11" t="str">
        <f t="shared" si="2"/>
        <v/>
      </c>
      <c r="Q93" s="12" t="str">
        <f t="shared" si="3"/>
        <v/>
      </c>
      <c r="R93" s="13" t="str">
        <f t="shared" si="4"/>
        <v/>
      </c>
      <c r="S93" s="3"/>
      <c r="T93" s="3"/>
      <c r="U93" s="3"/>
      <c r="V93" s="3"/>
      <c r="W93" s="3"/>
      <c r="X93" s="3"/>
      <c r="Y93" s="3"/>
      <c r="Z93" s="3"/>
    </row>
    <row r="94" ht="15.75" hidden="1" customHeight="1">
      <c r="A94" s="4" t="s">
        <v>192</v>
      </c>
      <c r="B94" s="5" t="s">
        <v>29</v>
      </c>
      <c r="C94" s="5" t="s">
        <v>169</v>
      </c>
      <c r="D94" s="5" t="s">
        <v>170</v>
      </c>
      <c r="E94" s="6">
        <v>15200.0</v>
      </c>
      <c r="F94" s="6"/>
      <c r="G94" s="16"/>
      <c r="H94" s="7"/>
      <c r="I94" s="9"/>
      <c r="J94" s="5"/>
      <c r="K94" s="8"/>
      <c r="L94" s="5"/>
      <c r="M94" s="9"/>
      <c r="N94" s="10"/>
      <c r="O94" s="10" t="str">
        <f t="shared" si="1"/>
        <v/>
      </c>
      <c r="P94" s="11" t="str">
        <f t="shared" si="2"/>
        <v/>
      </c>
      <c r="Q94" s="12" t="str">
        <f t="shared" si="3"/>
        <v/>
      </c>
      <c r="R94" s="13" t="str">
        <f t="shared" si="4"/>
        <v/>
      </c>
      <c r="S94" s="3"/>
      <c r="T94" s="3"/>
      <c r="U94" s="3"/>
      <c r="V94" s="3"/>
      <c r="W94" s="3"/>
      <c r="X94" s="3"/>
      <c r="Y94" s="3"/>
      <c r="Z94" s="3"/>
    </row>
    <row r="95" ht="15.75" hidden="1" customHeight="1">
      <c r="A95" s="4" t="s">
        <v>193</v>
      </c>
      <c r="B95" s="5" t="s">
        <v>29</v>
      </c>
      <c r="C95" s="5" t="s">
        <v>169</v>
      </c>
      <c r="D95" s="5" t="s">
        <v>170</v>
      </c>
      <c r="E95" s="6">
        <v>14900.0</v>
      </c>
      <c r="F95" s="6"/>
      <c r="G95" s="16"/>
      <c r="H95" s="7"/>
      <c r="I95" s="9"/>
      <c r="J95" s="5"/>
      <c r="K95" s="8"/>
      <c r="L95" s="5"/>
      <c r="M95" s="9"/>
      <c r="N95" s="10"/>
      <c r="O95" s="10" t="str">
        <f t="shared" si="1"/>
        <v/>
      </c>
      <c r="P95" s="11" t="str">
        <f t="shared" si="2"/>
        <v/>
      </c>
      <c r="Q95" s="12" t="str">
        <f t="shared" si="3"/>
        <v/>
      </c>
      <c r="R95" s="13" t="str">
        <f t="shared" si="4"/>
        <v/>
      </c>
      <c r="S95" s="3"/>
      <c r="T95" s="3"/>
      <c r="U95" s="3"/>
      <c r="V95" s="3"/>
      <c r="W95" s="3"/>
      <c r="X95" s="3"/>
      <c r="Y95" s="3"/>
      <c r="Z95" s="3"/>
    </row>
    <row r="96" ht="15.75" hidden="1" customHeight="1">
      <c r="A96" s="4" t="s">
        <v>194</v>
      </c>
      <c r="B96" s="5" t="s">
        <v>29</v>
      </c>
      <c r="C96" s="5" t="s">
        <v>169</v>
      </c>
      <c r="D96" s="5" t="s">
        <v>170</v>
      </c>
      <c r="E96" s="6">
        <v>14700.0</v>
      </c>
      <c r="F96" s="6"/>
      <c r="G96" s="16"/>
      <c r="H96" s="7"/>
      <c r="I96" s="9"/>
      <c r="J96" s="5"/>
      <c r="K96" s="8"/>
      <c r="L96" s="5"/>
      <c r="M96" s="9"/>
      <c r="N96" s="10"/>
      <c r="O96" s="10" t="str">
        <f t="shared" si="1"/>
        <v/>
      </c>
      <c r="P96" s="11" t="str">
        <f t="shared" si="2"/>
        <v/>
      </c>
      <c r="Q96" s="12" t="str">
        <f t="shared" si="3"/>
        <v/>
      </c>
      <c r="R96" s="13" t="str">
        <f t="shared" si="4"/>
        <v/>
      </c>
      <c r="S96" s="3"/>
      <c r="T96" s="3"/>
      <c r="U96" s="3"/>
      <c r="V96" s="3"/>
      <c r="W96" s="3"/>
      <c r="X96" s="3"/>
      <c r="Y96" s="3"/>
      <c r="Z96" s="3"/>
    </row>
    <row r="97" ht="15.75" hidden="1" customHeight="1">
      <c r="A97" s="4" t="s">
        <v>195</v>
      </c>
      <c r="B97" s="5" t="s">
        <v>29</v>
      </c>
      <c r="C97" s="5" t="s">
        <v>169</v>
      </c>
      <c r="D97" s="5" t="s">
        <v>170</v>
      </c>
      <c r="E97" s="6">
        <v>12800.0</v>
      </c>
      <c r="F97" s="6"/>
      <c r="G97" s="16"/>
      <c r="H97" s="7"/>
      <c r="I97" s="9"/>
      <c r="J97" s="5"/>
      <c r="K97" s="8"/>
      <c r="L97" s="5"/>
      <c r="M97" s="9"/>
      <c r="N97" s="10"/>
      <c r="O97" s="10" t="str">
        <f t="shared" si="1"/>
        <v/>
      </c>
      <c r="P97" s="11" t="str">
        <f t="shared" si="2"/>
        <v/>
      </c>
      <c r="Q97" s="12" t="str">
        <f t="shared" si="3"/>
        <v/>
      </c>
      <c r="R97" s="13" t="str">
        <f t="shared" si="4"/>
        <v/>
      </c>
      <c r="S97" s="3"/>
      <c r="T97" s="3"/>
      <c r="U97" s="3"/>
      <c r="V97" s="3"/>
      <c r="W97" s="3"/>
      <c r="X97" s="3"/>
      <c r="Y97" s="3"/>
      <c r="Z97" s="3"/>
    </row>
    <row r="98" ht="15.75" hidden="1" customHeight="1">
      <c r="A98" s="4" t="s">
        <v>196</v>
      </c>
      <c r="B98" s="5" t="s">
        <v>29</v>
      </c>
      <c r="C98" s="5" t="s">
        <v>169</v>
      </c>
      <c r="D98" s="5" t="s">
        <v>170</v>
      </c>
      <c r="E98" s="6">
        <v>11900.0</v>
      </c>
      <c r="F98" s="6"/>
      <c r="G98" s="16"/>
      <c r="H98" s="7"/>
      <c r="I98" s="9"/>
      <c r="J98" s="5"/>
      <c r="K98" s="8"/>
      <c r="L98" s="5"/>
      <c r="M98" s="9"/>
      <c r="N98" s="10"/>
      <c r="O98" s="10" t="str">
        <f t="shared" si="1"/>
        <v/>
      </c>
      <c r="P98" s="11" t="str">
        <f t="shared" si="2"/>
        <v/>
      </c>
      <c r="Q98" s="12" t="str">
        <f t="shared" si="3"/>
        <v/>
      </c>
      <c r="R98" s="13" t="str">
        <f t="shared" si="4"/>
        <v/>
      </c>
      <c r="S98" s="3"/>
      <c r="T98" s="3"/>
      <c r="U98" s="3"/>
      <c r="V98" s="3"/>
      <c r="W98" s="3"/>
      <c r="X98" s="3"/>
      <c r="Y98" s="3"/>
      <c r="Z98" s="3"/>
    </row>
    <row r="99" ht="15.75" hidden="1" customHeight="1">
      <c r="A99" s="4" t="s">
        <v>197</v>
      </c>
      <c r="B99" s="5" t="s">
        <v>29</v>
      </c>
      <c r="C99" s="5" t="s">
        <v>169</v>
      </c>
      <c r="D99" s="5" t="s">
        <v>170</v>
      </c>
      <c r="E99" s="6">
        <v>11300.0</v>
      </c>
      <c r="F99" s="6"/>
      <c r="G99" s="16"/>
      <c r="H99" s="7"/>
      <c r="I99" s="9"/>
      <c r="J99" s="5"/>
      <c r="K99" s="8"/>
      <c r="L99" s="5"/>
      <c r="M99" s="9"/>
      <c r="N99" s="10"/>
      <c r="O99" s="10" t="str">
        <f t="shared" si="1"/>
        <v/>
      </c>
      <c r="P99" s="11" t="str">
        <f t="shared" si="2"/>
        <v/>
      </c>
      <c r="Q99" s="12" t="str">
        <f t="shared" si="3"/>
        <v/>
      </c>
      <c r="R99" s="13" t="str">
        <f t="shared" si="4"/>
        <v/>
      </c>
      <c r="S99" s="3"/>
      <c r="T99" s="3"/>
      <c r="U99" s="3"/>
      <c r="V99" s="3"/>
      <c r="W99" s="3"/>
      <c r="X99" s="3"/>
      <c r="Y99" s="3"/>
      <c r="Z99" s="3"/>
    </row>
    <row r="100" ht="15.75" hidden="1" customHeight="1">
      <c r="A100" s="4" t="s">
        <v>198</v>
      </c>
      <c r="B100" s="5" t="s">
        <v>29</v>
      </c>
      <c r="C100" s="5" t="s">
        <v>169</v>
      </c>
      <c r="D100" s="5" t="s">
        <v>170</v>
      </c>
      <c r="E100" s="6">
        <v>9900.0</v>
      </c>
      <c r="F100" s="6"/>
      <c r="G100" s="16"/>
      <c r="H100" s="7"/>
      <c r="I100" s="9"/>
      <c r="J100" s="5"/>
      <c r="K100" s="8"/>
      <c r="L100" s="5"/>
      <c r="M100" s="9"/>
      <c r="N100" s="10"/>
      <c r="O100" s="10" t="str">
        <f t="shared" si="1"/>
        <v/>
      </c>
      <c r="P100" s="11" t="str">
        <f t="shared" si="2"/>
        <v/>
      </c>
      <c r="Q100" s="12" t="str">
        <f t="shared" si="3"/>
        <v/>
      </c>
      <c r="R100" s="13" t="str">
        <f t="shared" si="4"/>
        <v/>
      </c>
      <c r="S100" s="3"/>
      <c r="T100" s="3"/>
      <c r="U100" s="3"/>
      <c r="V100" s="3"/>
      <c r="W100" s="3"/>
      <c r="X100" s="3"/>
      <c r="Y100" s="3"/>
      <c r="Z100" s="3"/>
    </row>
    <row r="101" ht="15.75" hidden="1" customHeight="1">
      <c r="A101" s="4" t="s">
        <v>199</v>
      </c>
      <c r="B101" s="5" t="s">
        <v>29</v>
      </c>
      <c r="C101" s="5" t="s">
        <v>169</v>
      </c>
      <c r="D101" s="5" t="s">
        <v>170</v>
      </c>
      <c r="E101" s="6">
        <v>9600.0</v>
      </c>
      <c r="F101" s="6"/>
      <c r="G101" s="16"/>
      <c r="H101" s="7"/>
      <c r="I101" s="9"/>
      <c r="J101" s="5"/>
      <c r="K101" s="8"/>
      <c r="L101" s="5"/>
      <c r="M101" s="9"/>
      <c r="N101" s="10"/>
      <c r="O101" s="10" t="str">
        <f t="shared" si="1"/>
        <v/>
      </c>
      <c r="P101" s="11" t="str">
        <f t="shared" si="2"/>
        <v/>
      </c>
      <c r="Q101" s="12" t="str">
        <f t="shared" si="3"/>
        <v/>
      </c>
      <c r="R101" s="13" t="str">
        <f t="shared" si="4"/>
        <v/>
      </c>
      <c r="S101" s="3"/>
      <c r="T101" s="3"/>
      <c r="U101" s="3"/>
      <c r="V101" s="3"/>
      <c r="W101" s="3"/>
      <c r="X101" s="3"/>
      <c r="Y101" s="3"/>
      <c r="Z101" s="3"/>
    </row>
    <row r="102" ht="15.75" hidden="1" customHeight="1">
      <c r="A102" s="4" t="s">
        <v>200</v>
      </c>
      <c r="B102" s="5" t="s">
        <v>29</v>
      </c>
      <c r="C102" s="5" t="s">
        <v>169</v>
      </c>
      <c r="D102" s="5" t="s">
        <v>170</v>
      </c>
      <c r="E102" s="6">
        <v>9500.0</v>
      </c>
      <c r="F102" s="6"/>
      <c r="G102" s="16"/>
      <c r="H102" s="7"/>
      <c r="I102" s="9"/>
      <c r="J102" s="5"/>
      <c r="K102" s="8"/>
      <c r="L102" s="5"/>
      <c r="M102" s="9"/>
      <c r="N102" s="10"/>
      <c r="O102" s="10" t="str">
        <f t="shared" si="1"/>
        <v/>
      </c>
      <c r="P102" s="11" t="str">
        <f t="shared" si="2"/>
        <v/>
      </c>
      <c r="Q102" s="12" t="str">
        <f t="shared" si="3"/>
        <v/>
      </c>
      <c r="R102" s="13" t="str">
        <f t="shared" si="4"/>
        <v/>
      </c>
      <c r="S102" s="3"/>
      <c r="T102" s="3"/>
      <c r="U102" s="3"/>
      <c r="V102" s="3"/>
      <c r="W102" s="3"/>
      <c r="X102" s="3"/>
      <c r="Y102" s="3"/>
      <c r="Z102" s="3"/>
    </row>
    <row r="103" ht="15.75" hidden="1" customHeight="1">
      <c r="A103" s="4" t="s">
        <v>201</v>
      </c>
      <c r="B103" s="5" t="s">
        <v>29</v>
      </c>
      <c r="C103" s="5" t="s">
        <v>169</v>
      </c>
      <c r="D103" s="5" t="s">
        <v>170</v>
      </c>
      <c r="E103" s="6">
        <v>9300.0</v>
      </c>
      <c r="F103" s="6"/>
      <c r="G103" s="16"/>
      <c r="H103" s="7"/>
      <c r="I103" s="9"/>
      <c r="J103" s="5"/>
      <c r="K103" s="8"/>
      <c r="L103" s="5"/>
      <c r="M103" s="9"/>
      <c r="N103" s="10"/>
      <c r="O103" s="10" t="str">
        <f t="shared" si="1"/>
        <v/>
      </c>
      <c r="P103" s="11" t="str">
        <f t="shared" si="2"/>
        <v/>
      </c>
      <c r="Q103" s="12" t="str">
        <f t="shared" si="3"/>
        <v/>
      </c>
      <c r="R103" s="13" t="str">
        <f t="shared" si="4"/>
        <v/>
      </c>
      <c r="S103" s="3"/>
      <c r="T103" s="3"/>
      <c r="U103" s="3"/>
      <c r="V103" s="3"/>
      <c r="W103" s="3"/>
      <c r="X103" s="3"/>
      <c r="Y103" s="3"/>
      <c r="Z103" s="3"/>
    </row>
    <row r="104" ht="15.75" hidden="1" customHeight="1">
      <c r="A104" s="4" t="s">
        <v>202</v>
      </c>
      <c r="B104" s="5" t="s">
        <v>29</v>
      </c>
      <c r="C104" s="5" t="s">
        <v>169</v>
      </c>
      <c r="D104" s="5" t="s">
        <v>170</v>
      </c>
      <c r="E104" s="6">
        <v>9300.0</v>
      </c>
      <c r="F104" s="6"/>
      <c r="G104" s="16"/>
      <c r="H104" s="7"/>
      <c r="I104" s="9"/>
      <c r="J104" s="5"/>
      <c r="K104" s="8"/>
      <c r="L104" s="5"/>
      <c r="M104" s="9"/>
      <c r="N104" s="10"/>
      <c r="O104" s="10" t="str">
        <f t="shared" si="1"/>
        <v/>
      </c>
      <c r="P104" s="11" t="str">
        <f t="shared" si="2"/>
        <v/>
      </c>
      <c r="Q104" s="12" t="str">
        <f t="shared" si="3"/>
        <v/>
      </c>
      <c r="R104" s="13" t="str">
        <f t="shared" si="4"/>
        <v/>
      </c>
      <c r="S104" s="3"/>
      <c r="T104" s="3"/>
      <c r="U104" s="3"/>
      <c r="V104" s="3"/>
      <c r="W104" s="3"/>
      <c r="X104" s="3"/>
      <c r="Y104" s="3"/>
      <c r="Z104" s="3"/>
    </row>
    <row r="105" ht="15.75" hidden="1" customHeight="1">
      <c r="A105" s="4" t="s">
        <v>203</v>
      </c>
      <c r="B105" s="5" t="s">
        <v>29</v>
      </c>
      <c r="C105" s="5" t="s">
        <v>169</v>
      </c>
      <c r="D105" s="5" t="s">
        <v>170</v>
      </c>
      <c r="E105" s="6">
        <v>8900.0</v>
      </c>
      <c r="F105" s="6"/>
      <c r="G105" s="16"/>
      <c r="H105" s="7"/>
      <c r="I105" s="9"/>
      <c r="J105" s="5"/>
      <c r="K105" s="8"/>
      <c r="L105" s="5"/>
      <c r="M105" s="9"/>
      <c r="N105" s="10"/>
      <c r="O105" s="10" t="str">
        <f t="shared" si="1"/>
        <v/>
      </c>
      <c r="P105" s="11" t="str">
        <f t="shared" si="2"/>
        <v/>
      </c>
      <c r="Q105" s="12" t="str">
        <f t="shared" si="3"/>
        <v/>
      </c>
      <c r="R105" s="13" t="str">
        <f t="shared" si="4"/>
        <v/>
      </c>
      <c r="S105" s="3"/>
      <c r="T105" s="3"/>
      <c r="U105" s="3"/>
      <c r="V105" s="3"/>
      <c r="W105" s="3"/>
      <c r="X105" s="3"/>
      <c r="Y105" s="3"/>
      <c r="Z105" s="3"/>
    </row>
    <row r="106" ht="15.75" hidden="1" customHeight="1">
      <c r="A106" s="4" t="s">
        <v>204</v>
      </c>
      <c r="B106" s="5" t="s">
        <v>29</v>
      </c>
      <c r="C106" s="5" t="s">
        <v>169</v>
      </c>
      <c r="D106" s="5" t="s">
        <v>170</v>
      </c>
      <c r="E106" s="6">
        <v>8800.0</v>
      </c>
      <c r="F106" s="6"/>
      <c r="G106" s="16"/>
      <c r="H106" s="7"/>
      <c r="I106" s="9"/>
      <c r="J106" s="5"/>
      <c r="K106" s="8"/>
      <c r="L106" s="5"/>
      <c r="M106" s="9"/>
      <c r="N106" s="10"/>
      <c r="O106" s="10" t="str">
        <f t="shared" si="1"/>
        <v/>
      </c>
      <c r="P106" s="11" t="str">
        <f t="shared" si="2"/>
        <v/>
      </c>
      <c r="Q106" s="12" t="str">
        <f t="shared" si="3"/>
        <v/>
      </c>
      <c r="R106" s="13" t="str">
        <f t="shared" si="4"/>
        <v/>
      </c>
      <c r="S106" s="3"/>
      <c r="T106" s="3"/>
      <c r="U106" s="3"/>
      <c r="V106" s="3"/>
      <c r="W106" s="3"/>
      <c r="X106" s="3"/>
      <c r="Y106" s="3"/>
      <c r="Z106" s="3"/>
    </row>
    <row r="107" ht="15.75" hidden="1" customHeight="1">
      <c r="A107" s="4" t="s">
        <v>205</v>
      </c>
      <c r="B107" s="5" t="s">
        <v>29</v>
      </c>
      <c r="C107" s="5" t="s">
        <v>169</v>
      </c>
      <c r="D107" s="5" t="s">
        <v>170</v>
      </c>
      <c r="E107" s="6">
        <v>8100.0</v>
      </c>
      <c r="F107" s="6"/>
      <c r="G107" s="16"/>
      <c r="H107" s="7"/>
      <c r="I107" s="9"/>
      <c r="J107" s="5"/>
      <c r="K107" s="8"/>
      <c r="L107" s="5"/>
      <c r="M107" s="9"/>
      <c r="N107" s="10"/>
      <c r="O107" s="10" t="str">
        <f t="shared" si="1"/>
        <v/>
      </c>
      <c r="P107" s="11" t="str">
        <f t="shared" si="2"/>
        <v/>
      </c>
      <c r="Q107" s="12" t="str">
        <f t="shared" si="3"/>
        <v/>
      </c>
      <c r="R107" s="13" t="str">
        <f t="shared" si="4"/>
        <v/>
      </c>
      <c r="S107" s="3"/>
      <c r="T107" s="3"/>
      <c r="U107" s="3"/>
      <c r="V107" s="3"/>
      <c r="W107" s="3"/>
      <c r="X107" s="3"/>
      <c r="Y107" s="3"/>
      <c r="Z107" s="3"/>
    </row>
    <row r="108" ht="15.75" hidden="1" customHeight="1">
      <c r="A108" s="4" t="s">
        <v>206</v>
      </c>
      <c r="B108" s="5" t="s">
        <v>29</v>
      </c>
      <c r="C108" s="5" t="s">
        <v>169</v>
      </c>
      <c r="D108" s="5" t="s">
        <v>170</v>
      </c>
      <c r="E108" s="6">
        <v>8100.0</v>
      </c>
      <c r="F108" s="6"/>
      <c r="G108" s="16"/>
      <c r="H108" s="7"/>
      <c r="I108" s="9"/>
      <c r="J108" s="5"/>
      <c r="K108" s="8"/>
      <c r="L108" s="5"/>
      <c r="M108" s="9"/>
      <c r="N108" s="10"/>
      <c r="O108" s="10" t="str">
        <f t="shared" si="1"/>
        <v/>
      </c>
      <c r="P108" s="11" t="str">
        <f t="shared" si="2"/>
        <v/>
      </c>
      <c r="Q108" s="12" t="str">
        <f t="shared" si="3"/>
        <v/>
      </c>
      <c r="R108" s="13" t="str">
        <f t="shared" si="4"/>
        <v/>
      </c>
      <c r="S108" s="3"/>
      <c r="T108" s="3"/>
      <c r="U108" s="3"/>
      <c r="V108" s="3"/>
      <c r="W108" s="3"/>
      <c r="X108" s="3"/>
      <c r="Y108" s="3"/>
      <c r="Z108" s="3"/>
    </row>
    <row r="109" ht="15.75" hidden="1" customHeight="1">
      <c r="A109" s="4" t="s">
        <v>207</v>
      </c>
      <c r="B109" s="5" t="s">
        <v>29</v>
      </c>
      <c r="C109" s="5" t="s">
        <v>112</v>
      </c>
      <c r="D109" s="5" t="s">
        <v>170</v>
      </c>
      <c r="E109" s="6">
        <v>8017.0</v>
      </c>
      <c r="F109" s="6"/>
      <c r="G109" s="16"/>
      <c r="H109" s="7"/>
      <c r="I109" s="9"/>
      <c r="J109" s="5"/>
      <c r="K109" s="8"/>
      <c r="L109" s="5"/>
      <c r="M109" s="9"/>
      <c r="N109" s="10"/>
      <c r="O109" s="10" t="str">
        <f t="shared" si="1"/>
        <v/>
      </c>
      <c r="P109" s="11" t="str">
        <f t="shared" si="2"/>
        <v/>
      </c>
      <c r="Q109" s="12" t="str">
        <f t="shared" si="3"/>
        <v/>
      </c>
      <c r="R109" s="13" t="str">
        <f t="shared" si="4"/>
        <v/>
      </c>
      <c r="S109" s="3"/>
      <c r="T109" s="3"/>
      <c r="U109" s="3"/>
      <c r="V109" s="3"/>
      <c r="W109" s="3"/>
      <c r="X109" s="3"/>
      <c r="Y109" s="3"/>
      <c r="Z109" s="3"/>
    </row>
    <row r="110" ht="15.75" hidden="1" customHeight="1">
      <c r="A110" s="4" t="s">
        <v>208</v>
      </c>
      <c r="B110" s="5" t="s">
        <v>29</v>
      </c>
      <c r="C110" s="5" t="s">
        <v>189</v>
      </c>
      <c r="D110" s="5" t="s">
        <v>170</v>
      </c>
      <c r="E110" s="6">
        <v>7383.0</v>
      </c>
      <c r="F110" s="6"/>
      <c r="G110" s="16"/>
      <c r="H110" s="7"/>
      <c r="I110" s="9"/>
      <c r="J110" s="5"/>
      <c r="K110" s="8"/>
      <c r="L110" s="5"/>
      <c r="M110" s="9"/>
      <c r="N110" s="10"/>
      <c r="O110" s="10" t="str">
        <f t="shared" si="1"/>
        <v/>
      </c>
      <c r="P110" s="11" t="str">
        <f t="shared" si="2"/>
        <v/>
      </c>
      <c r="Q110" s="12" t="str">
        <f t="shared" si="3"/>
        <v/>
      </c>
      <c r="R110" s="13" t="str">
        <f t="shared" si="4"/>
        <v/>
      </c>
      <c r="S110" s="3"/>
      <c r="T110" s="3"/>
      <c r="U110" s="3"/>
      <c r="V110" s="3"/>
      <c r="W110" s="3"/>
      <c r="X110" s="3"/>
      <c r="Y110" s="3"/>
      <c r="Z110" s="3"/>
    </row>
    <row r="111" ht="15.75" hidden="1" customHeight="1">
      <c r="A111" s="4" t="s">
        <v>209</v>
      </c>
      <c r="B111" s="5" t="s">
        <v>29</v>
      </c>
      <c r="C111" s="5" t="s">
        <v>169</v>
      </c>
      <c r="D111" s="5" t="s">
        <v>170</v>
      </c>
      <c r="E111" s="6">
        <v>6400.0</v>
      </c>
      <c r="F111" s="6"/>
      <c r="G111" s="16"/>
      <c r="H111" s="7"/>
      <c r="I111" s="9"/>
      <c r="J111" s="5"/>
      <c r="K111" s="8"/>
      <c r="L111" s="5"/>
      <c r="M111" s="9"/>
      <c r="N111" s="10"/>
      <c r="O111" s="10" t="str">
        <f t="shared" si="1"/>
        <v/>
      </c>
      <c r="P111" s="11" t="str">
        <f t="shared" si="2"/>
        <v/>
      </c>
      <c r="Q111" s="12" t="str">
        <f t="shared" si="3"/>
        <v/>
      </c>
      <c r="R111" s="13" t="str">
        <f t="shared" si="4"/>
        <v/>
      </c>
      <c r="S111" s="3"/>
      <c r="T111" s="3"/>
      <c r="U111" s="3"/>
      <c r="V111" s="3"/>
      <c r="W111" s="3"/>
      <c r="X111" s="3"/>
      <c r="Y111" s="3"/>
      <c r="Z111" s="3"/>
    </row>
    <row r="112" ht="15.75" hidden="1" customHeight="1">
      <c r="A112" s="4" t="s">
        <v>210</v>
      </c>
      <c r="B112" s="5" t="s">
        <v>29</v>
      </c>
      <c r="C112" s="5" t="s">
        <v>169</v>
      </c>
      <c r="D112" s="5" t="s">
        <v>170</v>
      </c>
      <c r="E112" s="6">
        <v>6300.0</v>
      </c>
      <c r="F112" s="6"/>
      <c r="G112" s="16"/>
      <c r="H112" s="7"/>
      <c r="I112" s="9"/>
      <c r="J112" s="5"/>
      <c r="K112" s="8"/>
      <c r="L112" s="5"/>
      <c r="M112" s="9"/>
      <c r="N112" s="10"/>
      <c r="O112" s="10" t="str">
        <f t="shared" si="1"/>
        <v/>
      </c>
      <c r="P112" s="11" t="str">
        <f t="shared" si="2"/>
        <v/>
      </c>
      <c r="Q112" s="12" t="str">
        <f t="shared" si="3"/>
        <v/>
      </c>
      <c r="R112" s="13" t="str">
        <f t="shared" si="4"/>
        <v/>
      </c>
      <c r="S112" s="3"/>
      <c r="T112" s="3"/>
      <c r="U112" s="3"/>
      <c r="V112" s="3"/>
      <c r="W112" s="3"/>
      <c r="X112" s="3"/>
      <c r="Y112" s="3"/>
      <c r="Z112" s="3"/>
    </row>
    <row r="113" ht="15.75" hidden="1" customHeight="1">
      <c r="A113" s="4" t="s">
        <v>211</v>
      </c>
      <c r="B113" s="5" t="s">
        <v>29</v>
      </c>
      <c r="C113" s="5" t="s">
        <v>169</v>
      </c>
      <c r="D113" s="5" t="s">
        <v>170</v>
      </c>
      <c r="E113" s="6">
        <v>6300.0</v>
      </c>
      <c r="F113" s="6"/>
      <c r="G113" s="16"/>
      <c r="H113" s="7"/>
      <c r="I113" s="9"/>
      <c r="J113" s="5"/>
      <c r="K113" s="8"/>
      <c r="L113" s="5"/>
      <c r="M113" s="9"/>
      <c r="N113" s="10"/>
      <c r="O113" s="10" t="str">
        <f t="shared" si="1"/>
        <v/>
      </c>
      <c r="P113" s="11" t="str">
        <f t="shared" si="2"/>
        <v/>
      </c>
      <c r="Q113" s="12" t="str">
        <f t="shared" si="3"/>
        <v/>
      </c>
      <c r="R113" s="13" t="str">
        <f t="shared" si="4"/>
        <v/>
      </c>
      <c r="S113" s="3"/>
      <c r="T113" s="3"/>
      <c r="U113" s="3"/>
      <c r="V113" s="3"/>
      <c r="W113" s="3"/>
      <c r="X113" s="3"/>
      <c r="Y113" s="3"/>
      <c r="Z113" s="3"/>
    </row>
    <row r="114" ht="15.75" hidden="1" customHeight="1">
      <c r="A114" s="4" t="s">
        <v>212</v>
      </c>
      <c r="B114" s="5" t="s">
        <v>29</v>
      </c>
      <c r="C114" s="5" t="s">
        <v>169</v>
      </c>
      <c r="D114" s="5" t="s">
        <v>170</v>
      </c>
      <c r="E114" s="6">
        <v>6200.0</v>
      </c>
      <c r="F114" s="6"/>
      <c r="G114" s="16"/>
      <c r="H114" s="7"/>
      <c r="I114" s="9"/>
      <c r="J114" s="5"/>
      <c r="K114" s="8"/>
      <c r="L114" s="5"/>
      <c r="M114" s="9"/>
      <c r="N114" s="10"/>
      <c r="O114" s="10" t="str">
        <f t="shared" si="1"/>
        <v/>
      </c>
      <c r="P114" s="11" t="str">
        <f t="shared" si="2"/>
        <v/>
      </c>
      <c r="Q114" s="12" t="str">
        <f t="shared" si="3"/>
        <v/>
      </c>
      <c r="R114" s="13" t="str">
        <f t="shared" si="4"/>
        <v/>
      </c>
      <c r="S114" s="3"/>
      <c r="T114" s="3"/>
      <c r="U114" s="3"/>
      <c r="V114" s="3"/>
      <c r="W114" s="3"/>
      <c r="X114" s="3"/>
      <c r="Y114" s="3"/>
      <c r="Z114" s="3"/>
    </row>
    <row r="115" ht="15.75" hidden="1" customHeight="1">
      <c r="A115" s="4" t="s">
        <v>213</v>
      </c>
      <c r="B115" s="5" t="s">
        <v>29</v>
      </c>
      <c r="C115" s="5" t="s">
        <v>169</v>
      </c>
      <c r="D115" s="5" t="s">
        <v>170</v>
      </c>
      <c r="E115" s="6">
        <v>6000.0</v>
      </c>
      <c r="F115" s="6"/>
      <c r="G115" s="16"/>
      <c r="H115" s="7"/>
      <c r="I115" s="9"/>
      <c r="J115" s="5"/>
      <c r="K115" s="8"/>
      <c r="L115" s="5"/>
      <c r="M115" s="9"/>
      <c r="N115" s="10"/>
      <c r="O115" s="10" t="str">
        <f t="shared" si="1"/>
        <v/>
      </c>
      <c r="P115" s="11" t="str">
        <f t="shared" si="2"/>
        <v/>
      </c>
      <c r="Q115" s="12" t="str">
        <f t="shared" si="3"/>
        <v/>
      </c>
      <c r="R115" s="13" t="str">
        <f t="shared" si="4"/>
        <v/>
      </c>
      <c r="S115" s="3"/>
      <c r="T115" s="3"/>
      <c r="U115" s="3"/>
      <c r="V115" s="3"/>
      <c r="W115" s="3"/>
      <c r="X115" s="3"/>
      <c r="Y115" s="3"/>
      <c r="Z115" s="3"/>
    </row>
    <row r="116" ht="15.75" hidden="1" customHeight="1">
      <c r="A116" s="4" t="s">
        <v>214</v>
      </c>
      <c r="B116" s="5" t="s">
        <v>29</v>
      </c>
      <c r="C116" s="5" t="s">
        <v>169</v>
      </c>
      <c r="D116" s="5" t="s">
        <v>170</v>
      </c>
      <c r="E116" s="6">
        <v>5900.0</v>
      </c>
      <c r="F116" s="6"/>
      <c r="G116" s="16"/>
      <c r="H116" s="7"/>
      <c r="I116" s="9"/>
      <c r="J116" s="5"/>
      <c r="K116" s="8"/>
      <c r="L116" s="5"/>
      <c r="M116" s="9"/>
      <c r="N116" s="10"/>
      <c r="O116" s="10" t="str">
        <f t="shared" si="1"/>
        <v/>
      </c>
      <c r="P116" s="11" t="str">
        <f t="shared" si="2"/>
        <v/>
      </c>
      <c r="Q116" s="12" t="str">
        <f t="shared" si="3"/>
        <v/>
      </c>
      <c r="R116" s="13" t="str">
        <f t="shared" si="4"/>
        <v/>
      </c>
      <c r="S116" s="3"/>
      <c r="T116" s="3"/>
      <c r="U116" s="3"/>
      <c r="V116" s="3"/>
      <c r="W116" s="3"/>
      <c r="X116" s="3"/>
      <c r="Y116" s="3"/>
      <c r="Z116" s="3"/>
    </row>
    <row r="117" ht="15.75" hidden="1" customHeight="1">
      <c r="A117" s="4" t="s">
        <v>215</v>
      </c>
      <c r="B117" s="5" t="s">
        <v>29</v>
      </c>
      <c r="C117" s="5" t="s">
        <v>169</v>
      </c>
      <c r="D117" s="5" t="s">
        <v>170</v>
      </c>
      <c r="E117" s="6">
        <v>5500.0</v>
      </c>
      <c r="F117" s="6"/>
      <c r="G117" s="16"/>
      <c r="H117" s="7"/>
      <c r="I117" s="9"/>
      <c r="J117" s="5"/>
      <c r="K117" s="8"/>
      <c r="L117" s="5"/>
      <c r="M117" s="9"/>
      <c r="N117" s="10"/>
      <c r="O117" s="10" t="str">
        <f t="shared" si="1"/>
        <v/>
      </c>
      <c r="P117" s="11" t="str">
        <f t="shared" si="2"/>
        <v/>
      </c>
      <c r="Q117" s="12" t="str">
        <f t="shared" si="3"/>
        <v/>
      </c>
      <c r="R117" s="13" t="str">
        <f t="shared" si="4"/>
        <v/>
      </c>
      <c r="S117" s="3"/>
      <c r="T117" s="3"/>
      <c r="U117" s="3"/>
      <c r="V117" s="3"/>
      <c r="W117" s="3"/>
      <c r="X117" s="3"/>
      <c r="Y117" s="3"/>
      <c r="Z117" s="3"/>
    </row>
    <row r="118" ht="15.75" hidden="1" customHeight="1">
      <c r="A118" s="4" t="s">
        <v>216</v>
      </c>
      <c r="B118" s="5" t="s">
        <v>29</v>
      </c>
      <c r="C118" s="5" t="s">
        <v>169</v>
      </c>
      <c r="D118" s="5" t="s">
        <v>170</v>
      </c>
      <c r="E118" s="6">
        <v>5100.0</v>
      </c>
      <c r="F118" s="6"/>
      <c r="G118" s="16"/>
      <c r="H118" s="7"/>
      <c r="I118" s="9"/>
      <c r="J118" s="5"/>
      <c r="K118" s="8"/>
      <c r="L118" s="5"/>
      <c r="M118" s="9"/>
      <c r="N118" s="10"/>
      <c r="O118" s="10" t="str">
        <f t="shared" si="1"/>
        <v/>
      </c>
      <c r="P118" s="11" t="str">
        <f t="shared" si="2"/>
        <v/>
      </c>
      <c r="Q118" s="12" t="str">
        <f t="shared" si="3"/>
        <v/>
      </c>
      <c r="R118" s="13" t="str">
        <f t="shared" si="4"/>
        <v/>
      </c>
      <c r="S118" s="3"/>
      <c r="T118" s="3"/>
      <c r="U118" s="3"/>
      <c r="V118" s="3"/>
      <c r="W118" s="3"/>
      <c r="X118" s="3"/>
      <c r="Y118" s="3"/>
      <c r="Z118" s="3"/>
    </row>
    <row r="119" ht="15.75" hidden="1" customHeight="1">
      <c r="A119" s="4" t="s">
        <v>217</v>
      </c>
      <c r="B119" s="5" t="s">
        <v>29</v>
      </c>
      <c r="C119" s="5" t="s">
        <v>189</v>
      </c>
      <c r="D119" s="5" t="s">
        <v>170</v>
      </c>
      <c r="E119" s="6">
        <v>5021.0</v>
      </c>
      <c r="F119" s="6"/>
      <c r="G119" s="16"/>
      <c r="H119" s="7"/>
      <c r="I119" s="9"/>
      <c r="J119" s="5"/>
      <c r="K119" s="8"/>
      <c r="L119" s="5"/>
      <c r="M119" s="9"/>
      <c r="N119" s="10"/>
      <c r="O119" s="10" t="str">
        <f t="shared" si="1"/>
        <v/>
      </c>
      <c r="P119" s="11" t="str">
        <f t="shared" si="2"/>
        <v/>
      </c>
      <c r="Q119" s="12" t="str">
        <f t="shared" si="3"/>
        <v/>
      </c>
      <c r="R119" s="13" t="str">
        <f t="shared" si="4"/>
        <v/>
      </c>
      <c r="S119" s="3"/>
      <c r="T119" s="3"/>
      <c r="U119" s="3"/>
      <c r="V119" s="3"/>
      <c r="W119" s="3"/>
      <c r="X119" s="3"/>
      <c r="Y119" s="3"/>
      <c r="Z119" s="3"/>
    </row>
    <row r="120" ht="15.75" hidden="1" customHeight="1">
      <c r="A120" s="4" t="s">
        <v>218</v>
      </c>
      <c r="B120" s="5" t="s">
        <v>29</v>
      </c>
      <c r="C120" s="5" t="s">
        <v>169</v>
      </c>
      <c r="D120" s="5" t="s">
        <v>170</v>
      </c>
      <c r="E120" s="6">
        <v>4900.0</v>
      </c>
      <c r="F120" s="6"/>
      <c r="G120" s="16"/>
      <c r="H120" s="7"/>
      <c r="I120" s="9"/>
      <c r="J120" s="5"/>
      <c r="K120" s="8"/>
      <c r="L120" s="5"/>
      <c r="M120" s="9"/>
      <c r="N120" s="10"/>
      <c r="O120" s="10" t="str">
        <f t="shared" si="1"/>
        <v/>
      </c>
      <c r="P120" s="11" t="str">
        <f t="shared" si="2"/>
        <v/>
      </c>
      <c r="Q120" s="12" t="str">
        <f t="shared" si="3"/>
        <v/>
      </c>
      <c r="R120" s="13" t="str">
        <f t="shared" si="4"/>
        <v/>
      </c>
      <c r="S120" s="3"/>
      <c r="T120" s="3"/>
      <c r="U120" s="3"/>
      <c r="V120" s="3"/>
      <c r="W120" s="3"/>
      <c r="X120" s="3"/>
      <c r="Y120" s="3"/>
      <c r="Z120" s="3"/>
    </row>
    <row r="121" ht="15.75" hidden="1" customHeight="1">
      <c r="A121" s="4" t="s">
        <v>219</v>
      </c>
      <c r="B121" s="5" t="s">
        <v>29</v>
      </c>
      <c r="C121" s="5" t="s">
        <v>169</v>
      </c>
      <c r="D121" s="5" t="s">
        <v>170</v>
      </c>
      <c r="E121" s="6">
        <v>4900.0</v>
      </c>
      <c r="F121" s="6"/>
      <c r="G121" s="16"/>
      <c r="H121" s="7"/>
      <c r="I121" s="9"/>
      <c r="J121" s="5"/>
      <c r="K121" s="8"/>
      <c r="L121" s="5"/>
      <c r="M121" s="9"/>
      <c r="N121" s="10"/>
      <c r="O121" s="10" t="str">
        <f t="shared" si="1"/>
        <v/>
      </c>
      <c r="P121" s="11" t="str">
        <f t="shared" si="2"/>
        <v/>
      </c>
      <c r="Q121" s="12" t="str">
        <f t="shared" si="3"/>
        <v/>
      </c>
      <c r="R121" s="13" t="str">
        <f t="shared" si="4"/>
        <v/>
      </c>
      <c r="S121" s="3"/>
      <c r="T121" s="3"/>
      <c r="U121" s="3"/>
      <c r="V121" s="3"/>
      <c r="W121" s="3"/>
      <c r="X121" s="3"/>
      <c r="Y121" s="3"/>
      <c r="Z121" s="3"/>
    </row>
    <row r="122" ht="15.75" hidden="1" customHeight="1">
      <c r="A122" s="4" t="s">
        <v>220</v>
      </c>
      <c r="B122" s="5" t="s">
        <v>29</v>
      </c>
      <c r="C122" s="5" t="s">
        <v>169</v>
      </c>
      <c r="D122" s="5" t="s">
        <v>170</v>
      </c>
      <c r="E122" s="6">
        <v>4900.0</v>
      </c>
      <c r="F122" s="6"/>
      <c r="G122" s="16"/>
      <c r="H122" s="7"/>
      <c r="I122" s="9"/>
      <c r="J122" s="5"/>
      <c r="K122" s="8"/>
      <c r="L122" s="5"/>
      <c r="M122" s="9"/>
      <c r="N122" s="10"/>
      <c r="O122" s="10" t="str">
        <f t="shared" si="1"/>
        <v/>
      </c>
      <c r="P122" s="11" t="str">
        <f t="shared" si="2"/>
        <v/>
      </c>
      <c r="Q122" s="12" t="str">
        <f t="shared" si="3"/>
        <v/>
      </c>
      <c r="R122" s="13" t="str">
        <f t="shared" si="4"/>
        <v/>
      </c>
      <c r="S122" s="3"/>
      <c r="T122" s="3"/>
      <c r="U122" s="3"/>
      <c r="V122" s="3"/>
      <c r="W122" s="3"/>
      <c r="X122" s="3"/>
      <c r="Y122" s="3"/>
      <c r="Z122" s="3"/>
    </row>
    <row r="123" ht="15.75" hidden="1" customHeight="1">
      <c r="A123" s="4" t="s">
        <v>221</v>
      </c>
      <c r="B123" s="5" t="s">
        <v>29</v>
      </c>
      <c r="C123" s="5" t="s">
        <v>169</v>
      </c>
      <c r="D123" s="5" t="s">
        <v>170</v>
      </c>
      <c r="E123" s="6">
        <v>4700.0</v>
      </c>
      <c r="F123" s="6"/>
      <c r="G123" s="16"/>
      <c r="H123" s="7"/>
      <c r="I123" s="9"/>
      <c r="J123" s="5"/>
      <c r="K123" s="8"/>
      <c r="L123" s="5"/>
      <c r="M123" s="9"/>
      <c r="N123" s="10"/>
      <c r="O123" s="10" t="str">
        <f t="shared" si="1"/>
        <v/>
      </c>
      <c r="P123" s="11" t="str">
        <f t="shared" si="2"/>
        <v/>
      </c>
      <c r="Q123" s="12" t="str">
        <f t="shared" si="3"/>
        <v/>
      </c>
      <c r="R123" s="13" t="str">
        <f t="shared" si="4"/>
        <v/>
      </c>
      <c r="S123" s="3"/>
      <c r="T123" s="3"/>
      <c r="U123" s="3"/>
      <c r="V123" s="3"/>
      <c r="W123" s="3"/>
      <c r="X123" s="3"/>
      <c r="Y123" s="3"/>
      <c r="Z123" s="3"/>
    </row>
    <row r="124" ht="15.75" hidden="1" customHeight="1">
      <c r="A124" s="4" t="s">
        <v>222</v>
      </c>
      <c r="B124" s="5" t="s">
        <v>29</v>
      </c>
      <c r="C124" s="5" t="s">
        <v>169</v>
      </c>
      <c r="D124" s="5" t="s">
        <v>170</v>
      </c>
      <c r="E124" s="6">
        <v>4700.0</v>
      </c>
      <c r="F124" s="6"/>
      <c r="G124" s="16"/>
      <c r="H124" s="7"/>
      <c r="I124" s="9"/>
      <c r="J124" s="5"/>
      <c r="K124" s="8"/>
      <c r="L124" s="5"/>
      <c r="M124" s="9"/>
      <c r="N124" s="10"/>
      <c r="O124" s="10" t="str">
        <f t="shared" si="1"/>
        <v/>
      </c>
      <c r="P124" s="11" t="str">
        <f t="shared" si="2"/>
        <v/>
      </c>
      <c r="Q124" s="12" t="str">
        <f t="shared" si="3"/>
        <v/>
      </c>
      <c r="R124" s="13" t="str">
        <f t="shared" si="4"/>
        <v/>
      </c>
      <c r="S124" s="3"/>
      <c r="T124" s="3"/>
      <c r="U124" s="3"/>
      <c r="V124" s="3"/>
      <c r="W124" s="3"/>
      <c r="X124" s="3"/>
      <c r="Y124" s="3"/>
      <c r="Z124" s="3"/>
    </row>
    <row r="125" ht="15.75" hidden="1" customHeight="1">
      <c r="A125" s="4" t="s">
        <v>223</v>
      </c>
      <c r="B125" s="5" t="s">
        <v>29</v>
      </c>
      <c r="C125" s="5" t="s">
        <v>169</v>
      </c>
      <c r="D125" s="5" t="s">
        <v>170</v>
      </c>
      <c r="E125" s="6">
        <v>4500.0</v>
      </c>
      <c r="F125" s="6"/>
      <c r="G125" s="16"/>
      <c r="H125" s="7"/>
      <c r="I125" s="9"/>
      <c r="J125" s="5"/>
      <c r="K125" s="8"/>
      <c r="L125" s="5"/>
      <c r="M125" s="9"/>
      <c r="N125" s="10"/>
      <c r="O125" s="10" t="str">
        <f t="shared" si="1"/>
        <v/>
      </c>
      <c r="P125" s="11" t="str">
        <f t="shared" si="2"/>
        <v/>
      </c>
      <c r="Q125" s="12" t="str">
        <f t="shared" si="3"/>
        <v/>
      </c>
      <c r="R125" s="13" t="str">
        <f t="shared" si="4"/>
        <v/>
      </c>
      <c r="S125" s="3"/>
      <c r="T125" s="3"/>
      <c r="U125" s="3"/>
      <c r="V125" s="3"/>
      <c r="W125" s="3"/>
      <c r="X125" s="3"/>
      <c r="Y125" s="3"/>
      <c r="Z125" s="3"/>
    </row>
    <row r="126" ht="15.75" hidden="1" customHeight="1">
      <c r="A126" s="4" t="s">
        <v>224</v>
      </c>
      <c r="B126" s="5" t="s">
        <v>29</v>
      </c>
      <c r="C126" s="5" t="s">
        <v>169</v>
      </c>
      <c r="D126" s="5" t="s">
        <v>170</v>
      </c>
      <c r="E126" s="6">
        <v>4200.0</v>
      </c>
      <c r="F126" s="6"/>
      <c r="G126" s="16"/>
      <c r="H126" s="7"/>
      <c r="I126" s="9"/>
      <c r="J126" s="5"/>
      <c r="K126" s="8"/>
      <c r="L126" s="5"/>
      <c r="M126" s="9"/>
      <c r="N126" s="10"/>
      <c r="O126" s="10" t="str">
        <f t="shared" si="1"/>
        <v/>
      </c>
      <c r="P126" s="11" t="str">
        <f t="shared" si="2"/>
        <v/>
      </c>
      <c r="Q126" s="12" t="str">
        <f t="shared" si="3"/>
        <v/>
      </c>
      <c r="R126" s="13" t="str">
        <f t="shared" si="4"/>
        <v/>
      </c>
      <c r="S126" s="3"/>
      <c r="T126" s="3"/>
      <c r="U126" s="3"/>
      <c r="V126" s="3"/>
      <c r="W126" s="3"/>
      <c r="X126" s="3"/>
      <c r="Y126" s="3"/>
      <c r="Z126" s="3"/>
    </row>
    <row r="127" ht="15.75" hidden="1" customHeight="1">
      <c r="A127" s="4" t="s">
        <v>225</v>
      </c>
      <c r="B127" s="5" t="s">
        <v>29</v>
      </c>
      <c r="C127" s="5" t="s">
        <v>169</v>
      </c>
      <c r="D127" s="5" t="s">
        <v>170</v>
      </c>
      <c r="E127" s="6">
        <v>4100.0</v>
      </c>
      <c r="F127" s="6"/>
      <c r="G127" s="16"/>
      <c r="H127" s="7"/>
      <c r="I127" s="9"/>
      <c r="J127" s="5"/>
      <c r="K127" s="8"/>
      <c r="L127" s="5"/>
      <c r="M127" s="9"/>
      <c r="N127" s="10"/>
      <c r="O127" s="10" t="str">
        <f t="shared" si="1"/>
        <v/>
      </c>
      <c r="P127" s="11" t="str">
        <f t="shared" si="2"/>
        <v/>
      </c>
      <c r="Q127" s="12" t="str">
        <f t="shared" si="3"/>
        <v/>
      </c>
      <c r="R127" s="13" t="str">
        <f t="shared" si="4"/>
        <v/>
      </c>
      <c r="S127" s="3"/>
      <c r="T127" s="3"/>
      <c r="U127" s="3"/>
      <c r="V127" s="3"/>
      <c r="W127" s="3"/>
      <c r="X127" s="3"/>
      <c r="Y127" s="3"/>
      <c r="Z127" s="3"/>
    </row>
    <row r="128" ht="15.75" hidden="1" customHeight="1">
      <c r="A128" s="4" t="s">
        <v>226</v>
      </c>
      <c r="B128" s="5" t="s">
        <v>29</v>
      </c>
      <c r="C128" s="5" t="s">
        <v>169</v>
      </c>
      <c r="D128" s="5" t="s">
        <v>170</v>
      </c>
      <c r="E128" s="6">
        <v>3900.0</v>
      </c>
      <c r="F128" s="6"/>
      <c r="G128" s="16"/>
      <c r="H128" s="7"/>
      <c r="I128" s="9"/>
      <c r="J128" s="5"/>
      <c r="K128" s="8"/>
      <c r="L128" s="5"/>
      <c r="M128" s="9"/>
      <c r="N128" s="10"/>
      <c r="O128" s="10" t="str">
        <f t="shared" si="1"/>
        <v/>
      </c>
      <c r="P128" s="11" t="str">
        <f t="shared" si="2"/>
        <v/>
      </c>
      <c r="Q128" s="12" t="str">
        <f t="shared" si="3"/>
        <v/>
      </c>
      <c r="R128" s="13" t="str">
        <f t="shared" si="4"/>
        <v/>
      </c>
      <c r="S128" s="3"/>
      <c r="T128" s="3"/>
      <c r="U128" s="3"/>
      <c r="V128" s="3"/>
      <c r="W128" s="3"/>
      <c r="X128" s="3"/>
      <c r="Y128" s="3"/>
      <c r="Z128" s="3"/>
    </row>
    <row r="129" ht="15.75" hidden="1" customHeight="1">
      <c r="A129" s="4" t="s">
        <v>227</v>
      </c>
      <c r="B129" s="5" t="s">
        <v>29</v>
      </c>
      <c r="C129" s="5" t="s">
        <v>169</v>
      </c>
      <c r="D129" s="5" t="s">
        <v>170</v>
      </c>
      <c r="E129" s="6">
        <v>3900.0</v>
      </c>
      <c r="F129" s="6"/>
      <c r="G129" s="16"/>
      <c r="H129" s="7"/>
      <c r="I129" s="9"/>
      <c r="J129" s="5"/>
      <c r="K129" s="8"/>
      <c r="L129" s="5"/>
      <c r="M129" s="9"/>
      <c r="N129" s="10"/>
      <c r="O129" s="10" t="str">
        <f t="shared" si="1"/>
        <v/>
      </c>
      <c r="P129" s="11" t="str">
        <f t="shared" si="2"/>
        <v/>
      </c>
      <c r="Q129" s="12" t="str">
        <f t="shared" si="3"/>
        <v/>
      </c>
      <c r="R129" s="13" t="str">
        <f t="shared" si="4"/>
        <v/>
      </c>
      <c r="S129" s="3"/>
      <c r="T129" s="3"/>
      <c r="U129" s="3"/>
      <c r="V129" s="3"/>
      <c r="W129" s="3"/>
      <c r="X129" s="3"/>
      <c r="Y129" s="3"/>
      <c r="Z129" s="3"/>
    </row>
    <row r="130" ht="15.75" hidden="1" customHeight="1">
      <c r="A130" s="4" t="s">
        <v>228</v>
      </c>
      <c r="B130" s="5" t="s">
        <v>29</v>
      </c>
      <c r="C130" s="5" t="s">
        <v>169</v>
      </c>
      <c r="D130" s="5" t="s">
        <v>170</v>
      </c>
      <c r="E130" s="6">
        <v>3600.0</v>
      </c>
      <c r="F130" s="6"/>
      <c r="G130" s="16"/>
      <c r="H130" s="7"/>
      <c r="I130" s="9"/>
      <c r="J130" s="5"/>
      <c r="K130" s="8"/>
      <c r="L130" s="5"/>
      <c r="M130" s="9"/>
      <c r="N130" s="10"/>
      <c r="O130" s="10" t="str">
        <f t="shared" si="1"/>
        <v/>
      </c>
      <c r="P130" s="11" t="str">
        <f t="shared" si="2"/>
        <v/>
      </c>
      <c r="Q130" s="12" t="str">
        <f t="shared" si="3"/>
        <v/>
      </c>
      <c r="R130" s="13" t="str">
        <f t="shared" si="4"/>
        <v/>
      </c>
      <c r="S130" s="3"/>
      <c r="T130" s="3"/>
      <c r="U130" s="3"/>
      <c r="V130" s="3"/>
      <c r="W130" s="3"/>
      <c r="X130" s="3"/>
      <c r="Y130" s="3"/>
      <c r="Z130" s="3"/>
    </row>
    <row r="131" ht="15.75" hidden="1" customHeight="1">
      <c r="A131" s="4" t="s">
        <v>229</v>
      </c>
      <c r="B131" s="5" t="s">
        <v>29</v>
      </c>
      <c r="C131" s="5" t="s">
        <v>169</v>
      </c>
      <c r="D131" s="5" t="s">
        <v>170</v>
      </c>
      <c r="E131" s="6">
        <v>3500.0</v>
      </c>
      <c r="F131" s="6"/>
      <c r="G131" s="16"/>
      <c r="H131" s="7"/>
      <c r="I131" s="9"/>
      <c r="J131" s="5"/>
      <c r="K131" s="8"/>
      <c r="L131" s="5"/>
      <c r="M131" s="9"/>
      <c r="N131" s="10"/>
      <c r="O131" s="10" t="str">
        <f t="shared" si="1"/>
        <v/>
      </c>
      <c r="P131" s="11" t="str">
        <f t="shared" si="2"/>
        <v/>
      </c>
      <c r="Q131" s="12" t="str">
        <f t="shared" si="3"/>
        <v/>
      </c>
      <c r="R131" s="13" t="str">
        <f t="shared" si="4"/>
        <v/>
      </c>
      <c r="S131" s="3"/>
      <c r="T131" s="3"/>
      <c r="U131" s="3"/>
      <c r="V131" s="3"/>
      <c r="W131" s="3"/>
      <c r="X131" s="3"/>
      <c r="Y131" s="3"/>
      <c r="Z131" s="3"/>
    </row>
    <row r="132" ht="15.75" hidden="1" customHeight="1">
      <c r="A132" s="4" t="s">
        <v>230</v>
      </c>
      <c r="B132" s="5" t="s">
        <v>29</v>
      </c>
      <c r="C132" s="5" t="s">
        <v>169</v>
      </c>
      <c r="D132" s="5" t="s">
        <v>170</v>
      </c>
      <c r="E132" s="6">
        <v>3100.0</v>
      </c>
      <c r="F132" s="6"/>
      <c r="G132" s="16"/>
      <c r="H132" s="7"/>
      <c r="I132" s="9"/>
      <c r="J132" s="5"/>
      <c r="K132" s="8"/>
      <c r="L132" s="5"/>
      <c r="M132" s="9"/>
      <c r="N132" s="10"/>
      <c r="O132" s="10" t="str">
        <f t="shared" si="1"/>
        <v/>
      </c>
      <c r="P132" s="11" t="str">
        <f t="shared" si="2"/>
        <v/>
      </c>
      <c r="Q132" s="12" t="str">
        <f t="shared" si="3"/>
        <v/>
      </c>
      <c r="R132" s="13" t="str">
        <f t="shared" si="4"/>
        <v/>
      </c>
      <c r="S132" s="3"/>
      <c r="T132" s="3"/>
      <c r="U132" s="3"/>
      <c r="V132" s="3"/>
      <c r="W132" s="3"/>
      <c r="X132" s="3"/>
      <c r="Y132" s="3"/>
      <c r="Z132" s="3"/>
    </row>
    <row r="133" ht="15.75" hidden="1" customHeight="1">
      <c r="A133" s="4" t="s">
        <v>231</v>
      </c>
      <c r="B133" s="5" t="s">
        <v>29</v>
      </c>
      <c r="C133" s="5" t="s">
        <v>169</v>
      </c>
      <c r="D133" s="5" t="s">
        <v>170</v>
      </c>
      <c r="E133" s="6">
        <v>3000.0</v>
      </c>
      <c r="F133" s="6"/>
      <c r="G133" s="16"/>
      <c r="H133" s="7"/>
      <c r="I133" s="9"/>
      <c r="J133" s="5"/>
      <c r="K133" s="8"/>
      <c r="L133" s="5"/>
      <c r="M133" s="9"/>
      <c r="N133" s="10"/>
      <c r="O133" s="10" t="str">
        <f t="shared" si="1"/>
        <v/>
      </c>
      <c r="P133" s="11" t="str">
        <f t="shared" si="2"/>
        <v/>
      </c>
      <c r="Q133" s="12" t="str">
        <f t="shared" si="3"/>
        <v/>
      </c>
      <c r="R133" s="13" t="str">
        <f t="shared" si="4"/>
        <v/>
      </c>
      <c r="S133" s="3"/>
      <c r="T133" s="3"/>
      <c r="U133" s="3"/>
      <c r="V133" s="3"/>
      <c r="W133" s="3"/>
      <c r="X133" s="3"/>
      <c r="Y133" s="3"/>
      <c r="Z133" s="3"/>
    </row>
    <row r="134" ht="15.75" hidden="1" customHeight="1">
      <c r="A134" s="4" t="s">
        <v>232</v>
      </c>
      <c r="B134" s="5" t="s">
        <v>29</v>
      </c>
      <c r="C134" s="5" t="s">
        <v>169</v>
      </c>
      <c r="D134" s="5" t="s">
        <v>170</v>
      </c>
      <c r="E134" s="6">
        <v>3000.0</v>
      </c>
      <c r="F134" s="6"/>
      <c r="G134" s="16"/>
      <c r="H134" s="7"/>
      <c r="I134" s="9"/>
      <c r="J134" s="5"/>
      <c r="K134" s="8"/>
      <c r="L134" s="5"/>
      <c r="M134" s="9"/>
      <c r="N134" s="10"/>
      <c r="O134" s="10" t="str">
        <f t="shared" si="1"/>
        <v/>
      </c>
      <c r="P134" s="11" t="str">
        <f t="shared" si="2"/>
        <v/>
      </c>
      <c r="Q134" s="12" t="str">
        <f t="shared" si="3"/>
        <v/>
      </c>
      <c r="R134" s="13" t="str">
        <f t="shared" si="4"/>
        <v/>
      </c>
      <c r="S134" s="3"/>
      <c r="T134" s="3"/>
      <c r="U134" s="3"/>
      <c r="V134" s="3"/>
      <c r="W134" s="3"/>
      <c r="X134" s="3"/>
      <c r="Y134" s="3"/>
      <c r="Z134" s="3"/>
    </row>
    <row r="135" ht="15.75" hidden="1" customHeight="1">
      <c r="A135" s="4" t="s">
        <v>233</v>
      </c>
      <c r="B135" s="5" t="s">
        <v>29</v>
      </c>
      <c r="C135" s="5" t="s">
        <v>169</v>
      </c>
      <c r="D135" s="5" t="s">
        <v>170</v>
      </c>
      <c r="E135" s="6">
        <v>2900.0</v>
      </c>
      <c r="F135" s="6"/>
      <c r="G135" s="16"/>
      <c r="H135" s="7"/>
      <c r="I135" s="9"/>
      <c r="J135" s="5"/>
      <c r="K135" s="8"/>
      <c r="L135" s="5"/>
      <c r="M135" s="9"/>
      <c r="N135" s="10"/>
      <c r="O135" s="10" t="str">
        <f t="shared" si="1"/>
        <v/>
      </c>
      <c r="P135" s="11" t="str">
        <f t="shared" si="2"/>
        <v/>
      </c>
      <c r="Q135" s="12" t="str">
        <f t="shared" si="3"/>
        <v/>
      </c>
      <c r="R135" s="13" t="str">
        <f t="shared" si="4"/>
        <v/>
      </c>
      <c r="S135" s="3"/>
      <c r="T135" s="3"/>
      <c r="U135" s="3"/>
      <c r="V135" s="3"/>
      <c r="W135" s="3"/>
      <c r="X135" s="3"/>
      <c r="Y135" s="3"/>
      <c r="Z135" s="3"/>
    </row>
    <row r="136" ht="15.75" hidden="1" customHeight="1">
      <c r="A136" s="4" t="s">
        <v>234</v>
      </c>
      <c r="B136" s="5" t="s">
        <v>29</v>
      </c>
      <c r="C136" s="5" t="s">
        <v>169</v>
      </c>
      <c r="D136" s="5" t="s">
        <v>170</v>
      </c>
      <c r="E136" s="6">
        <v>2800.0</v>
      </c>
      <c r="F136" s="6"/>
      <c r="G136" s="16"/>
      <c r="H136" s="7"/>
      <c r="I136" s="9"/>
      <c r="J136" s="5"/>
      <c r="K136" s="8"/>
      <c r="L136" s="5"/>
      <c r="M136" s="9"/>
      <c r="N136" s="10"/>
      <c r="O136" s="10" t="str">
        <f t="shared" si="1"/>
        <v/>
      </c>
      <c r="P136" s="11" t="str">
        <f t="shared" si="2"/>
        <v/>
      </c>
      <c r="Q136" s="12" t="str">
        <f t="shared" si="3"/>
        <v/>
      </c>
      <c r="R136" s="13" t="str">
        <f t="shared" si="4"/>
        <v/>
      </c>
      <c r="S136" s="3"/>
      <c r="T136" s="3"/>
      <c r="U136" s="3"/>
      <c r="V136" s="3"/>
      <c r="W136" s="3"/>
      <c r="X136" s="3"/>
      <c r="Y136" s="3"/>
      <c r="Z136" s="3"/>
    </row>
    <row r="137" ht="15.75" hidden="1" customHeight="1">
      <c r="A137" s="4" t="s">
        <v>235</v>
      </c>
      <c r="B137" s="5" t="s">
        <v>29</v>
      </c>
      <c r="C137" s="5" t="s">
        <v>169</v>
      </c>
      <c r="D137" s="5" t="s">
        <v>170</v>
      </c>
      <c r="E137" s="6">
        <v>2600.0</v>
      </c>
      <c r="F137" s="6"/>
      <c r="G137" s="16"/>
      <c r="H137" s="7"/>
      <c r="I137" s="9"/>
      <c r="J137" s="5"/>
      <c r="K137" s="8"/>
      <c r="L137" s="5"/>
      <c r="M137" s="9"/>
      <c r="N137" s="10"/>
      <c r="O137" s="10" t="str">
        <f t="shared" si="1"/>
        <v/>
      </c>
      <c r="P137" s="11" t="str">
        <f t="shared" si="2"/>
        <v/>
      </c>
      <c r="Q137" s="12" t="str">
        <f t="shared" si="3"/>
        <v/>
      </c>
      <c r="R137" s="13" t="str">
        <f t="shared" si="4"/>
        <v/>
      </c>
      <c r="S137" s="3"/>
      <c r="T137" s="3"/>
      <c r="U137" s="3"/>
      <c r="V137" s="3"/>
      <c r="W137" s="3"/>
      <c r="X137" s="3"/>
      <c r="Y137" s="3"/>
      <c r="Z137" s="3"/>
    </row>
    <row r="138" ht="15.75" hidden="1" customHeight="1">
      <c r="A138" s="4" t="s">
        <v>236</v>
      </c>
      <c r="B138" s="5" t="s">
        <v>29</v>
      </c>
      <c r="C138" s="5" t="s">
        <v>169</v>
      </c>
      <c r="D138" s="5" t="s">
        <v>170</v>
      </c>
      <c r="E138" s="6">
        <v>2200.0</v>
      </c>
      <c r="F138" s="6"/>
      <c r="G138" s="16"/>
      <c r="H138" s="7"/>
      <c r="I138" s="9"/>
      <c r="J138" s="5"/>
      <c r="K138" s="8"/>
      <c r="L138" s="5"/>
      <c r="M138" s="9"/>
      <c r="N138" s="10"/>
      <c r="O138" s="10" t="str">
        <f t="shared" si="1"/>
        <v/>
      </c>
      <c r="P138" s="11" t="str">
        <f t="shared" si="2"/>
        <v/>
      </c>
      <c r="Q138" s="12" t="str">
        <f t="shared" si="3"/>
        <v/>
      </c>
      <c r="R138" s="13" t="str">
        <f t="shared" si="4"/>
        <v/>
      </c>
      <c r="S138" s="3"/>
      <c r="T138" s="3"/>
      <c r="U138" s="3"/>
      <c r="V138" s="3"/>
      <c r="W138" s="3"/>
      <c r="X138" s="3"/>
      <c r="Y138" s="3"/>
      <c r="Z138" s="3"/>
    </row>
    <row r="139" ht="15.75" hidden="1" customHeight="1">
      <c r="A139" s="4" t="s">
        <v>237</v>
      </c>
      <c r="B139" s="5" t="s">
        <v>29</v>
      </c>
      <c r="C139" s="5" t="s">
        <v>169</v>
      </c>
      <c r="D139" s="5" t="s">
        <v>170</v>
      </c>
      <c r="E139" s="6">
        <v>2100.0</v>
      </c>
      <c r="F139" s="6"/>
      <c r="G139" s="16"/>
      <c r="H139" s="7"/>
      <c r="I139" s="9"/>
      <c r="J139" s="5"/>
      <c r="K139" s="8"/>
      <c r="L139" s="5"/>
      <c r="M139" s="9"/>
      <c r="N139" s="10"/>
      <c r="O139" s="10" t="str">
        <f t="shared" si="1"/>
        <v/>
      </c>
      <c r="P139" s="11" t="str">
        <f t="shared" si="2"/>
        <v/>
      </c>
      <c r="Q139" s="12" t="str">
        <f t="shared" si="3"/>
        <v/>
      </c>
      <c r="R139" s="13" t="str">
        <f t="shared" si="4"/>
        <v/>
      </c>
      <c r="S139" s="3"/>
      <c r="T139" s="3"/>
      <c r="U139" s="3"/>
      <c r="V139" s="3"/>
      <c r="W139" s="3"/>
      <c r="X139" s="3"/>
      <c r="Y139" s="3"/>
      <c r="Z139" s="3"/>
    </row>
    <row r="140" ht="15.75" hidden="1" customHeight="1">
      <c r="A140" s="4" t="s">
        <v>238</v>
      </c>
      <c r="B140" s="5" t="s">
        <v>29</v>
      </c>
      <c r="C140" s="5" t="s">
        <v>169</v>
      </c>
      <c r="D140" s="5" t="s">
        <v>170</v>
      </c>
      <c r="E140" s="6">
        <v>2000.0</v>
      </c>
      <c r="F140" s="6"/>
      <c r="G140" s="16"/>
      <c r="H140" s="7"/>
      <c r="I140" s="9"/>
      <c r="J140" s="5"/>
      <c r="K140" s="8"/>
      <c r="L140" s="5"/>
      <c r="M140" s="9"/>
      <c r="N140" s="10"/>
      <c r="O140" s="10" t="str">
        <f t="shared" si="1"/>
        <v/>
      </c>
      <c r="P140" s="11" t="str">
        <f t="shared" si="2"/>
        <v/>
      </c>
      <c r="Q140" s="12" t="str">
        <f t="shared" si="3"/>
        <v/>
      </c>
      <c r="R140" s="13" t="str">
        <f t="shared" si="4"/>
        <v/>
      </c>
      <c r="S140" s="3"/>
      <c r="T140" s="3"/>
      <c r="U140" s="3"/>
      <c r="V140" s="3"/>
      <c r="W140" s="3"/>
      <c r="X140" s="3"/>
      <c r="Y140" s="3"/>
      <c r="Z140" s="3"/>
    </row>
    <row r="141" ht="15.75" hidden="1" customHeight="1">
      <c r="A141" s="4" t="s">
        <v>239</v>
      </c>
      <c r="B141" s="5" t="s">
        <v>29</v>
      </c>
      <c r="C141" s="5" t="s">
        <v>169</v>
      </c>
      <c r="D141" s="5" t="s">
        <v>170</v>
      </c>
      <c r="E141" s="6">
        <v>2000.0</v>
      </c>
      <c r="F141" s="6"/>
      <c r="G141" s="16"/>
      <c r="H141" s="7"/>
      <c r="I141" s="9"/>
      <c r="J141" s="5"/>
      <c r="K141" s="8"/>
      <c r="L141" s="5"/>
      <c r="M141" s="9"/>
      <c r="N141" s="10"/>
      <c r="O141" s="10" t="str">
        <f t="shared" si="1"/>
        <v/>
      </c>
      <c r="P141" s="11" t="str">
        <f t="shared" si="2"/>
        <v/>
      </c>
      <c r="Q141" s="12" t="str">
        <f t="shared" si="3"/>
        <v/>
      </c>
      <c r="R141" s="13" t="str">
        <f t="shared" si="4"/>
        <v/>
      </c>
      <c r="S141" s="3"/>
      <c r="T141" s="3"/>
      <c r="U141" s="3"/>
      <c r="V141" s="3"/>
      <c r="W141" s="3"/>
      <c r="X141" s="3"/>
      <c r="Y141" s="3"/>
      <c r="Z141" s="3"/>
    </row>
    <row r="142" ht="15.75" hidden="1" customHeight="1">
      <c r="A142" s="4" t="s">
        <v>240</v>
      </c>
      <c r="B142" s="5" t="s">
        <v>29</v>
      </c>
      <c r="C142" s="5" t="s">
        <v>169</v>
      </c>
      <c r="D142" s="5" t="s">
        <v>170</v>
      </c>
      <c r="E142" s="6">
        <v>1700.0</v>
      </c>
      <c r="F142" s="6"/>
      <c r="G142" s="16"/>
      <c r="H142" s="7"/>
      <c r="I142" s="9"/>
      <c r="J142" s="5"/>
      <c r="K142" s="8"/>
      <c r="L142" s="5"/>
      <c r="M142" s="9"/>
      <c r="N142" s="10"/>
      <c r="O142" s="10" t="str">
        <f t="shared" si="1"/>
        <v/>
      </c>
      <c r="P142" s="11" t="str">
        <f t="shared" si="2"/>
        <v/>
      </c>
      <c r="Q142" s="12" t="str">
        <f t="shared" si="3"/>
        <v/>
      </c>
      <c r="R142" s="13" t="str">
        <f t="shared" si="4"/>
        <v/>
      </c>
      <c r="S142" s="3"/>
      <c r="T142" s="3"/>
      <c r="U142" s="3"/>
      <c r="V142" s="3"/>
      <c r="W142" s="3"/>
      <c r="X142" s="3"/>
      <c r="Y142" s="3"/>
      <c r="Z142" s="3"/>
    </row>
    <row r="143" ht="15.75" hidden="1" customHeight="1">
      <c r="A143" s="4" t="s">
        <v>241</v>
      </c>
      <c r="B143" s="5" t="s">
        <v>29</v>
      </c>
      <c r="C143" s="5" t="s">
        <v>169</v>
      </c>
      <c r="D143" s="5" t="s">
        <v>170</v>
      </c>
      <c r="E143" s="6">
        <v>1700.0</v>
      </c>
      <c r="F143" s="6"/>
      <c r="G143" s="16"/>
      <c r="H143" s="7"/>
      <c r="I143" s="9"/>
      <c r="J143" s="5"/>
      <c r="K143" s="8"/>
      <c r="L143" s="5"/>
      <c r="M143" s="9"/>
      <c r="N143" s="10"/>
      <c r="O143" s="10" t="str">
        <f t="shared" si="1"/>
        <v/>
      </c>
      <c r="P143" s="11" t="str">
        <f t="shared" si="2"/>
        <v/>
      </c>
      <c r="Q143" s="12" t="str">
        <f t="shared" si="3"/>
        <v/>
      </c>
      <c r="R143" s="13" t="str">
        <f t="shared" si="4"/>
        <v/>
      </c>
      <c r="S143" s="3"/>
      <c r="T143" s="3"/>
      <c r="U143" s="3"/>
      <c r="V143" s="3"/>
      <c r="W143" s="3"/>
      <c r="X143" s="3"/>
      <c r="Y143" s="3"/>
      <c r="Z143" s="3"/>
    </row>
    <row r="144" ht="15.75" hidden="1" customHeight="1">
      <c r="A144" s="4" t="s">
        <v>242</v>
      </c>
      <c r="B144" s="5" t="s">
        <v>29</v>
      </c>
      <c r="C144" s="5" t="s">
        <v>112</v>
      </c>
      <c r="D144" s="5" t="s">
        <v>170</v>
      </c>
      <c r="E144" s="6"/>
      <c r="F144" s="6"/>
      <c r="G144" s="16"/>
      <c r="H144" s="7"/>
      <c r="I144" s="9"/>
      <c r="J144" s="5"/>
      <c r="K144" s="8"/>
      <c r="L144" s="5"/>
      <c r="M144" s="9"/>
      <c r="N144" s="10"/>
      <c r="O144" s="10" t="str">
        <f t="shared" si="1"/>
        <v/>
      </c>
      <c r="P144" s="11" t="str">
        <f t="shared" si="2"/>
        <v/>
      </c>
      <c r="Q144" s="12" t="str">
        <f t="shared" si="3"/>
        <v/>
      </c>
      <c r="R144" s="13" t="str">
        <f t="shared" si="4"/>
        <v/>
      </c>
      <c r="S144" s="3"/>
      <c r="T144" s="3"/>
      <c r="U144" s="3"/>
      <c r="V144" s="3"/>
      <c r="W144" s="3"/>
      <c r="X144" s="3"/>
      <c r="Y144" s="3"/>
      <c r="Z144" s="3"/>
    </row>
    <row r="145" ht="15.75" hidden="1" customHeight="1">
      <c r="A145" s="4" t="s">
        <v>243</v>
      </c>
      <c r="B145" s="5" t="s">
        <v>244</v>
      </c>
      <c r="C145" s="5" t="s">
        <v>112</v>
      </c>
      <c r="D145" s="5" t="s">
        <v>170</v>
      </c>
      <c r="E145" s="6"/>
      <c r="F145" s="6"/>
      <c r="G145" s="16"/>
      <c r="H145" s="7"/>
      <c r="I145" s="9"/>
      <c r="J145" s="5"/>
      <c r="K145" s="8"/>
      <c r="L145" s="5"/>
      <c r="M145" s="9"/>
      <c r="N145" s="10"/>
      <c r="O145" s="10" t="str">
        <f t="shared" si="1"/>
        <v/>
      </c>
      <c r="P145" s="11" t="str">
        <f t="shared" si="2"/>
        <v/>
      </c>
      <c r="Q145" s="12" t="str">
        <f t="shared" si="3"/>
        <v/>
      </c>
      <c r="R145" s="13" t="str">
        <f t="shared" si="4"/>
        <v/>
      </c>
      <c r="S145" s="3"/>
      <c r="T145" s="3"/>
      <c r="U145" s="3"/>
      <c r="V145" s="3"/>
      <c r="W145" s="3"/>
      <c r="X145" s="3"/>
      <c r="Y145" s="3"/>
      <c r="Z145" s="3"/>
    </row>
    <row r="146" ht="15.75" hidden="1" customHeight="1">
      <c r="A146" s="5" t="s">
        <v>243</v>
      </c>
      <c r="B146" s="5" t="s">
        <v>37</v>
      </c>
      <c r="C146" s="5" t="s">
        <v>112</v>
      </c>
      <c r="D146" s="5" t="s">
        <v>170</v>
      </c>
      <c r="E146" s="6"/>
      <c r="F146" s="6"/>
      <c r="G146" s="16"/>
      <c r="H146" s="7"/>
      <c r="I146" s="9"/>
      <c r="J146" s="5"/>
      <c r="K146" s="8"/>
      <c r="L146" s="5"/>
      <c r="M146" s="9"/>
      <c r="N146" s="10"/>
      <c r="O146" s="10" t="str">
        <f t="shared" si="1"/>
        <v/>
      </c>
      <c r="P146" s="11" t="str">
        <f t="shared" si="2"/>
        <v/>
      </c>
      <c r="Q146" s="12" t="str">
        <f t="shared" si="3"/>
        <v/>
      </c>
      <c r="R146" s="13" t="str">
        <f t="shared" si="4"/>
        <v/>
      </c>
      <c r="S146" s="3"/>
      <c r="T146" s="3"/>
      <c r="U146" s="3"/>
      <c r="V146" s="3"/>
      <c r="W146" s="3"/>
      <c r="X146" s="3"/>
      <c r="Y146" s="3"/>
      <c r="Z146" s="3"/>
    </row>
    <row r="147" ht="15.75" hidden="1" customHeight="1">
      <c r="A147" s="4" t="s">
        <v>245</v>
      </c>
      <c r="B147" s="5" t="s">
        <v>37</v>
      </c>
      <c r="C147" s="5" t="s">
        <v>112</v>
      </c>
      <c r="D147" s="5" t="s">
        <v>170</v>
      </c>
      <c r="E147" s="6"/>
      <c r="F147" s="6"/>
      <c r="G147" s="16"/>
      <c r="H147" s="7"/>
      <c r="I147" s="9"/>
      <c r="J147" s="5"/>
      <c r="K147" s="8"/>
      <c r="L147" s="5"/>
      <c r="M147" s="9"/>
      <c r="N147" s="10"/>
      <c r="O147" s="10" t="str">
        <f t="shared" si="1"/>
        <v/>
      </c>
      <c r="P147" s="11" t="str">
        <f t="shared" si="2"/>
        <v/>
      </c>
      <c r="Q147" s="12" t="str">
        <f t="shared" si="3"/>
        <v/>
      </c>
      <c r="R147" s="13" t="str">
        <f t="shared" si="4"/>
        <v/>
      </c>
      <c r="S147" s="3"/>
      <c r="T147" s="3"/>
      <c r="U147" s="3"/>
      <c r="V147" s="3"/>
      <c r="W147" s="3"/>
      <c r="X147" s="3"/>
      <c r="Y147" s="3"/>
      <c r="Z147" s="3"/>
    </row>
    <row r="148" ht="15.75" hidden="1" customHeight="1">
      <c r="A148" s="4" t="s">
        <v>246</v>
      </c>
      <c r="B148" s="5" t="s">
        <v>37</v>
      </c>
      <c r="C148" s="5" t="s">
        <v>112</v>
      </c>
      <c r="D148" s="5" t="s">
        <v>170</v>
      </c>
      <c r="E148" s="6"/>
      <c r="F148" s="6"/>
      <c r="G148" s="16"/>
      <c r="H148" s="7"/>
      <c r="I148" s="9"/>
      <c r="J148" s="5"/>
      <c r="K148" s="8"/>
      <c r="L148" s="5"/>
      <c r="M148" s="9"/>
      <c r="N148" s="10"/>
      <c r="O148" s="10" t="str">
        <f t="shared" si="1"/>
        <v/>
      </c>
      <c r="P148" s="11" t="str">
        <f t="shared" si="2"/>
        <v/>
      </c>
      <c r="Q148" s="12" t="str">
        <f t="shared" si="3"/>
        <v/>
      </c>
      <c r="R148" s="13" t="str">
        <f t="shared" si="4"/>
        <v/>
      </c>
      <c r="S148" s="3"/>
      <c r="T148" s="3"/>
      <c r="U148" s="3"/>
      <c r="V148" s="3"/>
      <c r="W148" s="3"/>
      <c r="X148" s="3"/>
      <c r="Y148" s="3"/>
      <c r="Z148" s="3"/>
    </row>
    <row r="149" ht="15.75" hidden="1" customHeight="1">
      <c r="A149" s="4" t="s">
        <v>247</v>
      </c>
      <c r="B149" s="5" t="s">
        <v>37</v>
      </c>
      <c r="C149" s="5" t="s">
        <v>112</v>
      </c>
      <c r="D149" s="5" t="s">
        <v>170</v>
      </c>
      <c r="E149" s="6"/>
      <c r="F149" s="6"/>
      <c r="G149" s="16"/>
      <c r="H149" s="7"/>
      <c r="I149" s="9"/>
      <c r="J149" s="5"/>
      <c r="K149" s="8"/>
      <c r="L149" s="5"/>
      <c r="M149" s="9"/>
      <c r="N149" s="10"/>
      <c r="O149" s="10" t="str">
        <f t="shared" si="1"/>
        <v/>
      </c>
      <c r="P149" s="11" t="str">
        <f t="shared" si="2"/>
        <v/>
      </c>
      <c r="Q149" s="12" t="str">
        <f t="shared" si="3"/>
        <v/>
      </c>
      <c r="R149" s="13" t="str">
        <f t="shared" si="4"/>
        <v/>
      </c>
      <c r="S149" s="3"/>
      <c r="T149" s="3"/>
      <c r="U149" s="3"/>
      <c r="V149" s="3"/>
      <c r="W149" s="3"/>
      <c r="X149" s="3"/>
      <c r="Y149" s="3"/>
      <c r="Z149" s="3"/>
    </row>
    <row r="150" ht="15.75" hidden="1" customHeight="1">
      <c r="A150" s="4" t="s">
        <v>248</v>
      </c>
      <c r="B150" s="5" t="s">
        <v>37</v>
      </c>
      <c r="C150" s="5" t="s">
        <v>112</v>
      </c>
      <c r="D150" s="5" t="s">
        <v>170</v>
      </c>
      <c r="E150" s="6"/>
      <c r="F150" s="6"/>
      <c r="G150" s="16"/>
      <c r="H150" s="7"/>
      <c r="I150" s="9"/>
      <c r="J150" s="5"/>
      <c r="K150" s="8"/>
      <c r="L150" s="5"/>
      <c r="M150" s="9"/>
      <c r="N150" s="10"/>
      <c r="O150" s="10" t="str">
        <f t="shared" si="1"/>
        <v/>
      </c>
      <c r="P150" s="11" t="str">
        <f t="shared" si="2"/>
        <v/>
      </c>
      <c r="Q150" s="12" t="str">
        <f t="shared" si="3"/>
        <v/>
      </c>
      <c r="R150" s="13" t="str">
        <f t="shared" si="4"/>
        <v/>
      </c>
      <c r="S150" s="3"/>
      <c r="T150" s="3"/>
      <c r="U150" s="3"/>
      <c r="V150" s="3"/>
      <c r="W150" s="3"/>
      <c r="X150" s="3"/>
      <c r="Y150" s="3"/>
      <c r="Z150" s="3"/>
    </row>
    <row r="151" ht="15.75" hidden="1" customHeight="1">
      <c r="A151" s="4" t="s">
        <v>249</v>
      </c>
      <c r="B151" s="5" t="s">
        <v>37</v>
      </c>
      <c r="C151" s="5" t="s">
        <v>112</v>
      </c>
      <c r="D151" s="5" t="s">
        <v>170</v>
      </c>
      <c r="E151" s="6"/>
      <c r="F151" s="6"/>
      <c r="G151" s="16"/>
      <c r="H151" s="7"/>
      <c r="I151" s="9"/>
      <c r="J151" s="5"/>
      <c r="K151" s="8"/>
      <c r="L151" s="5"/>
      <c r="M151" s="9"/>
      <c r="N151" s="10"/>
      <c r="O151" s="10" t="str">
        <f t="shared" si="1"/>
        <v/>
      </c>
      <c r="P151" s="11" t="str">
        <f t="shared" si="2"/>
        <v/>
      </c>
      <c r="Q151" s="12" t="str">
        <f t="shared" si="3"/>
        <v/>
      </c>
      <c r="R151" s="13" t="str">
        <f t="shared" si="4"/>
        <v/>
      </c>
      <c r="S151" s="3"/>
      <c r="T151" s="3"/>
      <c r="U151" s="3"/>
      <c r="V151" s="3"/>
      <c r="W151" s="3"/>
      <c r="X151" s="3"/>
      <c r="Y151" s="3"/>
      <c r="Z151" s="3"/>
    </row>
    <row r="152" ht="15.75" hidden="1" customHeight="1">
      <c r="A152" s="4" t="s">
        <v>250</v>
      </c>
      <c r="B152" s="5" t="s">
        <v>37</v>
      </c>
      <c r="C152" s="5" t="s">
        <v>112</v>
      </c>
      <c r="D152" s="5" t="s">
        <v>170</v>
      </c>
      <c r="E152" s="6"/>
      <c r="F152" s="6"/>
      <c r="G152" s="16"/>
      <c r="H152" s="7"/>
      <c r="I152" s="9"/>
      <c r="J152" s="5"/>
      <c r="K152" s="8"/>
      <c r="L152" s="5"/>
      <c r="M152" s="9"/>
      <c r="N152" s="10"/>
      <c r="O152" s="10" t="str">
        <f t="shared" si="1"/>
        <v/>
      </c>
      <c r="P152" s="11" t="str">
        <f t="shared" si="2"/>
        <v/>
      </c>
      <c r="Q152" s="12" t="str">
        <f t="shared" si="3"/>
        <v/>
      </c>
      <c r="R152" s="13" t="str">
        <f t="shared" si="4"/>
        <v/>
      </c>
      <c r="S152" s="3"/>
      <c r="T152" s="3"/>
      <c r="U152" s="3"/>
      <c r="V152" s="3"/>
      <c r="W152" s="3"/>
      <c r="X152" s="3"/>
      <c r="Y152" s="3"/>
      <c r="Z152" s="3"/>
    </row>
    <row r="153" ht="15.75" hidden="1" customHeight="1">
      <c r="A153" s="4" t="s">
        <v>250</v>
      </c>
      <c r="B153" s="5" t="s">
        <v>244</v>
      </c>
      <c r="C153" s="5" t="s">
        <v>112</v>
      </c>
      <c r="D153" s="5" t="s">
        <v>170</v>
      </c>
      <c r="E153" s="6"/>
      <c r="F153" s="6"/>
      <c r="G153" s="16"/>
      <c r="H153" s="7"/>
      <c r="I153" s="9"/>
      <c r="J153" s="5"/>
      <c r="K153" s="9"/>
      <c r="L153" s="5"/>
      <c r="M153" s="9"/>
      <c r="N153" s="10"/>
      <c r="O153" s="10" t="str">
        <f t="shared" si="1"/>
        <v/>
      </c>
      <c r="P153" s="11" t="str">
        <f t="shared" si="2"/>
        <v/>
      </c>
      <c r="Q153" s="12" t="str">
        <f t="shared" si="3"/>
        <v/>
      </c>
      <c r="R153" s="13" t="str">
        <f t="shared" si="4"/>
        <v/>
      </c>
      <c r="S153" s="3"/>
      <c r="T153" s="3"/>
      <c r="U153" s="3"/>
      <c r="V153" s="3"/>
      <c r="W153" s="3"/>
      <c r="X153" s="3"/>
      <c r="Y153" s="3"/>
      <c r="Z153" s="3"/>
    </row>
    <row r="154" ht="15.75" hidden="1" customHeight="1">
      <c r="A154" s="4" t="s">
        <v>251</v>
      </c>
      <c r="B154" s="5" t="s">
        <v>37</v>
      </c>
      <c r="C154" s="5" t="s">
        <v>112</v>
      </c>
      <c r="D154" s="5" t="s">
        <v>170</v>
      </c>
      <c r="E154" s="6"/>
      <c r="F154" s="6"/>
      <c r="G154" s="16"/>
      <c r="H154" s="7"/>
      <c r="I154" s="9"/>
      <c r="J154" s="5"/>
      <c r="K154" s="9"/>
      <c r="L154" s="5"/>
      <c r="M154" s="9"/>
      <c r="N154" s="10"/>
      <c r="O154" s="10" t="str">
        <f t="shared" si="1"/>
        <v/>
      </c>
      <c r="P154" s="11" t="str">
        <f t="shared" si="2"/>
        <v/>
      </c>
      <c r="Q154" s="12" t="str">
        <f t="shared" si="3"/>
        <v/>
      </c>
      <c r="R154" s="13" t="str">
        <f t="shared" si="4"/>
        <v/>
      </c>
      <c r="S154" s="3"/>
      <c r="T154" s="3"/>
      <c r="U154" s="3"/>
      <c r="V154" s="3"/>
      <c r="W154" s="3"/>
      <c r="X154" s="3"/>
      <c r="Y154" s="3"/>
      <c r="Z154" s="3"/>
    </row>
    <row r="155" ht="15.75" hidden="1" customHeight="1">
      <c r="A155" s="4" t="s">
        <v>252</v>
      </c>
      <c r="B155" s="5" t="s">
        <v>37</v>
      </c>
      <c r="C155" s="5" t="s">
        <v>112</v>
      </c>
      <c r="D155" s="5" t="s">
        <v>170</v>
      </c>
      <c r="E155" s="6"/>
      <c r="F155" s="6"/>
      <c r="G155" s="16"/>
      <c r="H155" s="7"/>
      <c r="I155" s="9"/>
      <c r="J155" s="5"/>
      <c r="K155" s="9"/>
      <c r="L155" s="5"/>
      <c r="M155" s="9"/>
      <c r="N155" s="10"/>
      <c r="O155" s="10" t="str">
        <f t="shared" si="1"/>
        <v/>
      </c>
      <c r="P155" s="11" t="str">
        <f t="shared" si="2"/>
        <v/>
      </c>
      <c r="Q155" s="12" t="str">
        <f t="shared" si="3"/>
        <v/>
      </c>
      <c r="R155" s="13" t="str">
        <f t="shared" si="4"/>
        <v/>
      </c>
      <c r="S155" s="3"/>
      <c r="T155" s="3"/>
      <c r="U155" s="3"/>
      <c r="V155" s="3"/>
      <c r="W155" s="3"/>
      <c r="X155" s="3"/>
      <c r="Y155" s="3"/>
      <c r="Z155" s="3"/>
    </row>
    <row r="156" ht="15.75" hidden="1" customHeight="1">
      <c r="A156" s="4" t="s">
        <v>253</v>
      </c>
      <c r="B156" s="5" t="s">
        <v>37</v>
      </c>
      <c r="C156" s="5" t="s">
        <v>112</v>
      </c>
      <c r="D156" s="5" t="s">
        <v>170</v>
      </c>
      <c r="E156" s="6"/>
      <c r="F156" s="6"/>
      <c r="G156" s="16"/>
      <c r="H156" s="7"/>
      <c r="I156" s="9"/>
      <c r="J156" s="5"/>
      <c r="K156" s="9"/>
      <c r="L156" s="5"/>
      <c r="M156" s="9"/>
      <c r="N156" s="10"/>
      <c r="O156" s="10" t="str">
        <f t="shared" si="1"/>
        <v/>
      </c>
      <c r="P156" s="11" t="str">
        <f t="shared" si="2"/>
        <v/>
      </c>
      <c r="Q156" s="12" t="str">
        <f t="shared" si="3"/>
        <v/>
      </c>
      <c r="R156" s="13" t="str">
        <f t="shared" si="4"/>
        <v/>
      </c>
      <c r="S156" s="3"/>
      <c r="T156" s="3"/>
      <c r="U156" s="3"/>
      <c r="V156" s="3"/>
      <c r="W156" s="3"/>
      <c r="X156" s="3"/>
      <c r="Y156" s="3"/>
      <c r="Z156" s="3"/>
    </row>
    <row r="157" ht="15.75" hidden="1" customHeight="1">
      <c r="A157" s="4" t="s">
        <v>254</v>
      </c>
      <c r="B157" s="5" t="s">
        <v>24</v>
      </c>
      <c r="C157" s="5" t="s">
        <v>112</v>
      </c>
      <c r="D157" s="5" t="s">
        <v>170</v>
      </c>
      <c r="E157" s="6"/>
      <c r="F157" s="6"/>
      <c r="G157" s="16"/>
      <c r="H157" s="7"/>
      <c r="I157" s="9"/>
      <c r="J157" s="5"/>
      <c r="K157" s="9"/>
      <c r="L157" s="5"/>
      <c r="M157" s="9"/>
      <c r="N157" s="10"/>
      <c r="O157" s="10" t="str">
        <f t="shared" si="1"/>
        <v/>
      </c>
      <c r="P157" s="11" t="str">
        <f t="shared" si="2"/>
        <v/>
      </c>
      <c r="Q157" s="12" t="str">
        <f t="shared" si="3"/>
        <v/>
      </c>
      <c r="R157" s="13" t="str">
        <f t="shared" si="4"/>
        <v/>
      </c>
      <c r="S157" s="3"/>
      <c r="T157" s="3"/>
      <c r="U157" s="3"/>
      <c r="V157" s="3"/>
      <c r="W157" s="3"/>
      <c r="X157" s="3"/>
      <c r="Y157" s="3"/>
      <c r="Z157" s="3"/>
    </row>
    <row r="158" ht="15.75" hidden="1" customHeight="1">
      <c r="A158" s="4" t="s">
        <v>255</v>
      </c>
      <c r="B158" s="5" t="s">
        <v>244</v>
      </c>
      <c r="C158" s="5" t="s">
        <v>112</v>
      </c>
      <c r="D158" s="5" t="s">
        <v>170</v>
      </c>
      <c r="E158" s="6"/>
      <c r="F158" s="6"/>
      <c r="G158" s="16"/>
      <c r="H158" s="7"/>
      <c r="I158" s="9"/>
      <c r="J158" s="5"/>
      <c r="K158" s="9"/>
      <c r="L158" s="5"/>
      <c r="M158" s="9"/>
      <c r="N158" s="10"/>
      <c r="O158" s="10" t="str">
        <f t="shared" si="1"/>
        <v/>
      </c>
      <c r="P158" s="11" t="str">
        <f t="shared" si="2"/>
        <v/>
      </c>
      <c r="Q158" s="12" t="str">
        <f t="shared" si="3"/>
        <v/>
      </c>
      <c r="R158" s="13" t="str">
        <f t="shared" si="4"/>
        <v/>
      </c>
      <c r="S158" s="3"/>
      <c r="T158" s="3"/>
      <c r="U158" s="3"/>
      <c r="V158" s="3"/>
      <c r="W158" s="3"/>
      <c r="X158" s="3"/>
      <c r="Y158" s="3"/>
      <c r="Z158" s="3"/>
    </row>
    <row r="159" ht="15.75" hidden="1" customHeight="1">
      <c r="A159" s="4" t="s">
        <v>256</v>
      </c>
      <c r="B159" s="5" t="s">
        <v>29</v>
      </c>
      <c r="C159" s="5" t="s">
        <v>112</v>
      </c>
      <c r="D159" s="5" t="s">
        <v>170</v>
      </c>
      <c r="E159" s="6"/>
      <c r="F159" s="6"/>
      <c r="G159" s="16"/>
      <c r="H159" s="7"/>
      <c r="I159" s="9"/>
      <c r="J159" s="5"/>
      <c r="K159" s="9"/>
      <c r="L159" s="5"/>
      <c r="M159" s="9"/>
      <c r="N159" s="10"/>
      <c r="O159" s="10" t="str">
        <f t="shared" si="1"/>
        <v/>
      </c>
      <c r="P159" s="11" t="str">
        <f t="shared" si="2"/>
        <v/>
      </c>
      <c r="Q159" s="12" t="str">
        <f t="shared" si="3"/>
        <v/>
      </c>
      <c r="R159" s="13" t="str">
        <f t="shared" si="4"/>
        <v/>
      </c>
      <c r="S159" s="3"/>
      <c r="T159" s="3"/>
      <c r="U159" s="3"/>
      <c r="V159" s="3"/>
      <c r="W159" s="3"/>
      <c r="X159" s="3"/>
      <c r="Y159" s="3"/>
      <c r="Z159" s="3"/>
    </row>
    <row r="160" ht="15.75" hidden="1" customHeight="1">
      <c r="A160" s="4" t="s">
        <v>257</v>
      </c>
      <c r="B160" s="5" t="s">
        <v>37</v>
      </c>
      <c r="C160" s="5" t="s">
        <v>112</v>
      </c>
      <c r="D160" s="5" t="s">
        <v>170</v>
      </c>
      <c r="E160" s="6"/>
      <c r="F160" s="6"/>
      <c r="G160" s="16"/>
      <c r="H160" s="7"/>
      <c r="I160" s="9"/>
      <c r="J160" s="5"/>
      <c r="K160" s="9"/>
      <c r="L160" s="5"/>
      <c r="M160" s="9"/>
      <c r="N160" s="10"/>
      <c r="O160" s="10" t="str">
        <f t="shared" si="1"/>
        <v/>
      </c>
      <c r="P160" s="11" t="str">
        <f t="shared" si="2"/>
        <v/>
      </c>
      <c r="Q160" s="12" t="str">
        <f t="shared" si="3"/>
        <v/>
      </c>
      <c r="R160" s="13" t="str">
        <f t="shared" si="4"/>
        <v/>
      </c>
      <c r="S160" s="3"/>
      <c r="T160" s="3"/>
      <c r="U160" s="3"/>
      <c r="V160" s="3"/>
      <c r="W160" s="3"/>
      <c r="X160" s="3"/>
      <c r="Y160" s="3"/>
      <c r="Z160" s="3"/>
    </row>
    <row r="161" ht="15.75" hidden="1" customHeight="1">
      <c r="A161" s="4" t="s">
        <v>257</v>
      </c>
      <c r="B161" s="5" t="s">
        <v>244</v>
      </c>
      <c r="C161" s="5" t="s">
        <v>112</v>
      </c>
      <c r="D161" s="5" t="s">
        <v>170</v>
      </c>
      <c r="E161" s="6"/>
      <c r="F161" s="6"/>
      <c r="G161" s="16"/>
      <c r="H161" s="7"/>
      <c r="I161" s="9"/>
      <c r="J161" s="5"/>
      <c r="K161" s="9"/>
      <c r="L161" s="5"/>
      <c r="M161" s="9"/>
      <c r="N161" s="10"/>
      <c r="O161" s="10" t="str">
        <f t="shared" si="1"/>
        <v/>
      </c>
      <c r="P161" s="11" t="str">
        <f t="shared" si="2"/>
        <v/>
      </c>
      <c r="Q161" s="12" t="str">
        <f t="shared" si="3"/>
        <v/>
      </c>
      <c r="R161" s="13" t="str">
        <f t="shared" si="4"/>
        <v/>
      </c>
      <c r="S161" s="3"/>
      <c r="T161" s="3"/>
      <c r="U161" s="3"/>
      <c r="V161" s="3"/>
      <c r="W161" s="3"/>
      <c r="X161" s="3"/>
      <c r="Y161" s="3"/>
      <c r="Z161" s="3"/>
    </row>
    <row r="162" ht="15.75" hidden="1" customHeight="1">
      <c r="A162" s="4" t="s">
        <v>258</v>
      </c>
      <c r="B162" s="5" t="s">
        <v>244</v>
      </c>
      <c r="C162" s="5" t="s">
        <v>112</v>
      </c>
      <c r="D162" s="5" t="s">
        <v>170</v>
      </c>
      <c r="E162" s="6"/>
      <c r="F162" s="6"/>
      <c r="G162" s="16"/>
      <c r="H162" s="7"/>
      <c r="I162" s="9"/>
      <c r="J162" s="5"/>
      <c r="K162" s="9"/>
      <c r="L162" s="5"/>
      <c r="M162" s="9"/>
      <c r="N162" s="10"/>
      <c r="O162" s="10" t="str">
        <f t="shared" si="1"/>
        <v/>
      </c>
      <c r="P162" s="11" t="str">
        <f t="shared" si="2"/>
        <v/>
      </c>
      <c r="Q162" s="12" t="str">
        <f t="shared" si="3"/>
        <v/>
      </c>
      <c r="R162" s="13" t="str">
        <f t="shared" si="4"/>
        <v/>
      </c>
      <c r="S162" s="3"/>
      <c r="T162" s="3"/>
      <c r="U162" s="3"/>
      <c r="V162" s="3"/>
      <c r="W162" s="3"/>
      <c r="X162" s="3"/>
      <c r="Y162" s="3"/>
      <c r="Z162" s="3"/>
    </row>
    <row r="163" ht="15.75" hidden="1" customHeight="1">
      <c r="A163" s="4" t="s">
        <v>258</v>
      </c>
      <c r="B163" s="5" t="s">
        <v>29</v>
      </c>
      <c r="C163" s="5" t="s">
        <v>112</v>
      </c>
      <c r="D163" s="5" t="s">
        <v>170</v>
      </c>
      <c r="E163" s="6"/>
      <c r="F163" s="6"/>
      <c r="G163" s="16"/>
      <c r="H163" s="7"/>
      <c r="I163" s="9"/>
      <c r="J163" s="5"/>
      <c r="K163" s="9"/>
      <c r="L163" s="5"/>
      <c r="M163" s="9"/>
      <c r="N163" s="10"/>
      <c r="O163" s="10" t="str">
        <f t="shared" si="1"/>
        <v/>
      </c>
      <c r="P163" s="11" t="str">
        <f t="shared" si="2"/>
        <v/>
      </c>
      <c r="Q163" s="12" t="str">
        <f t="shared" si="3"/>
        <v/>
      </c>
      <c r="R163" s="13" t="str">
        <f t="shared" si="4"/>
        <v/>
      </c>
      <c r="S163" s="3"/>
      <c r="T163" s="3"/>
      <c r="U163" s="3"/>
      <c r="V163" s="3"/>
      <c r="W163" s="3"/>
      <c r="X163" s="3"/>
      <c r="Y163" s="3"/>
      <c r="Z163" s="3"/>
    </row>
    <row r="164" ht="15.75" hidden="1" customHeight="1">
      <c r="A164" s="4" t="s">
        <v>258</v>
      </c>
      <c r="B164" s="5" t="s">
        <v>24</v>
      </c>
      <c r="C164" s="5" t="s">
        <v>112</v>
      </c>
      <c r="D164" s="5" t="s">
        <v>170</v>
      </c>
      <c r="E164" s="6"/>
      <c r="F164" s="6"/>
      <c r="G164" s="16"/>
      <c r="H164" s="7"/>
      <c r="I164" s="9"/>
      <c r="J164" s="5"/>
      <c r="K164" s="9"/>
      <c r="L164" s="5"/>
      <c r="M164" s="9"/>
      <c r="N164" s="10"/>
      <c r="O164" s="10" t="str">
        <f t="shared" si="1"/>
        <v/>
      </c>
      <c r="P164" s="11" t="str">
        <f t="shared" si="2"/>
        <v/>
      </c>
      <c r="Q164" s="12" t="str">
        <f t="shared" si="3"/>
        <v/>
      </c>
      <c r="R164" s="13" t="str">
        <f t="shared" si="4"/>
        <v/>
      </c>
      <c r="S164" s="3"/>
      <c r="T164" s="3"/>
      <c r="U164" s="3"/>
      <c r="V164" s="3"/>
      <c r="W164" s="3"/>
      <c r="X164" s="3"/>
      <c r="Y164" s="3"/>
      <c r="Z164" s="3"/>
    </row>
    <row r="165" ht="15.75" hidden="1" customHeight="1">
      <c r="A165" s="4" t="s">
        <v>258</v>
      </c>
      <c r="B165" s="5" t="s">
        <v>120</v>
      </c>
      <c r="C165" s="5" t="s">
        <v>112</v>
      </c>
      <c r="D165" s="5" t="s">
        <v>170</v>
      </c>
      <c r="E165" s="6"/>
      <c r="F165" s="6"/>
      <c r="G165" s="16"/>
      <c r="H165" s="7"/>
      <c r="I165" s="9"/>
      <c r="J165" s="5"/>
      <c r="K165" s="9"/>
      <c r="L165" s="5"/>
      <c r="M165" s="9"/>
      <c r="N165" s="10"/>
      <c r="O165" s="10" t="str">
        <f t="shared" si="1"/>
        <v/>
      </c>
      <c r="P165" s="11" t="str">
        <f t="shared" si="2"/>
        <v/>
      </c>
      <c r="Q165" s="12" t="str">
        <f t="shared" si="3"/>
        <v/>
      </c>
      <c r="R165" s="13" t="str">
        <f t="shared" si="4"/>
        <v/>
      </c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4" t="s">
        <v>259</v>
      </c>
      <c r="B166" s="5" t="s">
        <v>29</v>
      </c>
      <c r="C166" s="5"/>
      <c r="D166" s="5"/>
      <c r="E166" s="6">
        <v>156000.0</v>
      </c>
      <c r="F166" s="6">
        <v>70000.0</v>
      </c>
      <c r="G166" s="16"/>
      <c r="H166" s="7">
        <v>22500.0</v>
      </c>
      <c r="I166" s="9"/>
      <c r="J166" s="5"/>
      <c r="K166" s="9" t="s">
        <v>260</v>
      </c>
      <c r="L166" s="5"/>
      <c r="M166" s="9"/>
      <c r="N166" s="10" t="s">
        <v>35</v>
      </c>
      <c r="O166" s="10">
        <f t="shared" si="1"/>
        <v>0.32</v>
      </c>
      <c r="P166" s="11">
        <f t="shared" si="2"/>
        <v>321</v>
      </c>
      <c r="Q166" s="12">
        <f t="shared" si="3"/>
        <v>85</v>
      </c>
      <c r="R166" s="13" t="str">
        <f t="shared" si="4"/>
        <v>Высокий</v>
      </c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4" t="s">
        <v>261</v>
      </c>
      <c r="B167" s="5" t="s">
        <v>244</v>
      </c>
      <c r="C167" s="5"/>
      <c r="D167" s="5"/>
      <c r="E167" s="6">
        <v>40000.0</v>
      </c>
      <c r="F167" s="6">
        <v>60000.0</v>
      </c>
      <c r="G167" s="16"/>
      <c r="H167" s="7">
        <v>20000.0</v>
      </c>
      <c r="I167" s="9"/>
      <c r="J167" s="5"/>
      <c r="K167" s="9"/>
      <c r="L167" s="5"/>
      <c r="M167" s="9"/>
      <c r="N167" s="10" t="s">
        <v>262</v>
      </c>
      <c r="O167" s="10">
        <f t="shared" si="1"/>
        <v>0.33</v>
      </c>
      <c r="P167" s="11">
        <f t="shared" si="2"/>
        <v>333</v>
      </c>
      <c r="Q167" s="12">
        <f t="shared" si="3"/>
        <v>85</v>
      </c>
      <c r="R167" s="13" t="str">
        <f t="shared" si="4"/>
        <v>Высокий</v>
      </c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22"/>
      <c r="B168" s="8"/>
      <c r="C168" s="8"/>
      <c r="D168" s="8"/>
      <c r="E168" s="23"/>
      <c r="F168" s="23"/>
      <c r="G168" s="24"/>
      <c r="H168" s="23"/>
      <c r="I168" s="8"/>
      <c r="J168" s="8"/>
      <c r="K168" s="8"/>
      <c r="L168" s="8"/>
      <c r="M168" s="8"/>
      <c r="N168" s="25"/>
      <c r="O168" s="25" t="str">
        <f t="shared" si="1"/>
        <v/>
      </c>
      <c r="P168" s="26" t="str">
        <f t="shared" si="2"/>
        <v/>
      </c>
      <c r="Q168" s="27" t="str">
        <f t="shared" si="3"/>
        <v/>
      </c>
      <c r="R168" s="28" t="str">
        <f t="shared" si="4"/>
        <v/>
      </c>
      <c r="S168" s="29"/>
      <c r="T168" s="29"/>
      <c r="U168" s="29"/>
      <c r="V168" s="29"/>
      <c r="W168" s="29"/>
      <c r="X168" s="29"/>
      <c r="Y168" s="29"/>
      <c r="Z168" s="29"/>
    </row>
    <row r="169" ht="15.75" customHeight="1">
      <c r="A169" s="4" t="s">
        <v>263</v>
      </c>
      <c r="B169" s="5" t="s">
        <v>37</v>
      </c>
      <c r="C169" s="5"/>
      <c r="D169" s="5"/>
      <c r="E169" s="6">
        <v>69897.0</v>
      </c>
      <c r="F169" s="6">
        <v>26000.0</v>
      </c>
      <c r="G169" s="16"/>
      <c r="H169" s="7">
        <v>13000.0</v>
      </c>
      <c r="I169" s="9"/>
      <c r="J169" s="5"/>
      <c r="K169" s="9"/>
      <c r="L169" s="5"/>
      <c r="M169" s="9"/>
      <c r="N169" s="10" t="s">
        <v>79</v>
      </c>
      <c r="O169" s="10">
        <f t="shared" si="1"/>
        <v>0.5</v>
      </c>
      <c r="P169" s="11">
        <f t="shared" si="2"/>
        <v>500</v>
      </c>
      <c r="Q169" s="12">
        <f t="shared" si="3"/>
        <v>75</v>
      </c>
      <c r="R169" s="13" t="str">
        <f t="shared" si="4"/>
        <v>Высокий</v>
      </c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4" t="s">
        <v>264</v>
      </c>
      <c r="B170" s="5" t="s">
        <v>244</v>
      </c>
      <c r="C170" s="5"/>
      <c r="D170" s="5"/>
      <c r="E170" s="6">
        <v>10000.0</v>
      </c>
      <c r="F170" s="6">
        <v>7000.0</v>
      </c>
      <c r="G170" s="16"/>
      <c r="H170" s="7">
        <v>3000.0</v>
      </c>
      <c r="I170" s="9"/>
      <c r="J170" s="5"/>
      <c r="K170" s="9"/>
      <c r="L170" s="5"/>
      <c r="M170" s="9"/>
      <c r="N170" s="10" t="s">
        <v>265</v>
      </c>
      <c r="O170" s="10">
        <f t="shared" si="1"/>
        <v>0.43</v>
      </c>
      <c r="P170" s="11">
        <f t="shared" si="2"/>
        <v>429</v>
      </c>
      <c r="Q170" s="12">
        <f t="shared" si="3"/>
        <v>60</v>
      </c>
      <c r="R170" s="13" t="str">
        <f t="shared" si="4"/>
        <v>Средний</v>
      </c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4" t="s">
        <v>266</v>
      </c>
      <c r="B171" s="5" t="s">
        <v>24</v>
      </c>
      <c r="C171" s="5"/>
      <c r="D171" s="5"/>
      <c r="E171" s="6">
        <v>94000.0</v>
      </c>
      <c r="F171" s="6">
        <v>10000.0</v>
      </c>
      <c r="G171" s="16"/>
      <c r="H171" s="7">
        <v>6650.0</v>
      </c>
      <c r="I171" s="9"/>
      <c r="J171" s="5"/>
      <c r="K171" s="9"/>
      <c r="L171" s="5"/>
      <c r="M171" s="9"/>
      <c r="N171" s="10" t="s">
        <v>267</v>
      </c>
      <c r="O171" s="10">
        <f t="shared" si="1"/>
        <v>0.67</v>
      </c>
      <c r="P171" s="11">
        <f t="shared" si="2"/>
        <v>665</v>
      </c>
      <c r="Q171" s="12">
        <f t="shared" si="3"/>
        <v>55</v>
      </c>
      <c r="R171" s="13" t="str">
        <f t="shared" si="4"/>
        <v>Средний</v>
      </c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0" t="s">
        <v>268</v>
      </c>
      <c r="B172" s="5" t="s">
        <v>269</v>
      </c>
      <c r="C172" s="5"/>
      <c r="D172" s="5"/>
      <c r="E172" s="6">
        <v>156000.0</v>
      </c>
      <c r="F172" s="6">
        <v>20000.0</v>
      </c>
      <c r="G172" s="16"/>
      <c r="H172" s="7">
        <v>1.0</v>
      </c>
      <c r="I172" s="9"/>
      <c r="J172" s="5"/>
      <c r="K172" s="9"/>
      <c r="L172" s="5"/>
      <c r="M172" s="9"/>
      <c r="N172" s="10" t="s">
        <v>270</v>
      </c>
      <c r="O172" s="10">
        <f t="shared" si="1"/>
        <v>0</v>
      </c>
      <c r="P172" s="11">
        <f t="shared" si="2"/>
        <v>0</v>
      </c>
      <c r="Q172" s="12">
        <f t="shared" si="3"/>
        <v>75</v>
      </c>
      <c r="R172" s="13" t="str">
        <f t="shared" si="4"/>
        <v>Высокий</v>
      </c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4" t="s">
        <v>40</v>
      </c>
      <c r="B173" s="5" t="s">
        <v>37</v>
      </c>
      <c r="C173" s="5"/>
      <c r="D173" s="5"/>
      <c r="E173" s="6">
        <v>12384.0</v>
      </c>
      <c r="F173" s="6">
        <v>11000.0</v>
      </c>
      <c r="G173" s="16"/>
      <c r="H173" s="7">
        <v>4000.0</v>
      </c>
      <c r="I173" s="9"/>
      <c r="J173" s="5"/>
      <c r="K173" s="9"/>
      <c r="L173" s="5"/>
      <c r="M173" s="9"/>
      <c r="N173" s="10" t="s">
        <v>271</v>
      </c>
      <c r="O173" s="10">
        <f t="shared" si="1"/>
        <v>0.36</v>
      </c>
      <c r="P173" s="11">
        <f t="shared" si="2"/>
        <v>364</v>
      </c>
      <c r="Q173" s="12">
        <f t="shared" si="3"/>
        <v>75</v>
      </c>
      <c r="R173" s="13" t="str">
        <f t="shared" si="4"/>
        <v>Высокий</v>
      </c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4" t="s">
        <v>272</v>
      </c>
      <c r="B174" s="5" t="s">
        <v>37</v>
      </c>
      <c r="C174" s="5"/>
      <c r="D174" s="5"/>
      <c r="E174" s="6">
        <v>22900.0</v>
      </c>
      <c r="F174" s="6">
        <v>10000.0</v>
      </c>
      <c r="G174" s="16"/>
      <c r="H174" s="7">
        <v>4800.0</v>
      </c>
      <c r="I174" s="9"/>
      <c r="J174" s="5"/>
      <c r="K174" s="9"/>
      <c r="L174" s="5"/>
      <c r="M174" s="9"/>
      <c r="N174" s="10" t="s">
        <v>273</v>
      </c>
      <c r="O174" s="10">
        <f t="shared" si="1"/>
        <v>0.48</v>
      </c>
      <c r="P174" s="11">
        <f t="shared" si="2"/>
        <v>480</v>
      </c>
      <c r="Q174" s="12">
        <f t="shared" si="3"/>
        <v>75</v>
      </c>
      <c r="R174" s="13" t="str">
        <f t="shared" si="4"/>
        <v>Высокий</v>
      </c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4" t="s">
        <v>274</v>
      </c>
      <c r="B175" s="5" t="s">
        <v>37</v>
      </c>
      <c r="C175" s="5"/>
      <c r="D175" s="5"/>
      <c r="E175" s="6">
        <v>18057.0</v>
      </c>
      <c r="F175" s="6">
        <v>8000.0</v>
      </c>
      <c r="G175" s="16"/>
      <c r="H175" s="7">
        <v>3500.0</v>
      </c>
      <c r="I175" s="9"/>
      <c r="J175" s="5"/>
      <c r="K175" s="9"/>
      <c r="L175" s="5"/>
      <c r="M175" s="9"/>
      <c r="N175" s="10" t="s">
        <v>275</v>
      </c>
      <c r="O175" s="10">
        <f t="shared" si="1"/>
        <v>0.44</v>
      </c>
      <c r="P175" s="11">
        <f t="shared" si="2"/>
        <v>438</v>
      </c>
      <c r="Q175" s="12">
        <f t="shared" si="3"/>
        <v>60</v>
      </c>
      <c r="R175" s="13" t="str">
        <f t="shared" si="4"/>
        <v>Средний</v>
      </c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4" t="s">
        <v>276</v>
      </c>
      <c r="B176" s="5" t="s">
        <v>37</v>
      </c>
      <c r="C176" s="5"/>
      <c r="D176" s="5"/>
      <c r="E176" s="6">
        <v>6168.0</v>
      </c>
      <c r="F176" s="6">
        <v>4000.0</v>
      </c>
      <c r="G176" s="16"/>
      <c r="H176" s="7">
        <v>1500.0</v>
      </c>
      <c r="I176" s="9"/>
      <c r="J176" s="5"/>
      <c r="K176" s="9"/>
      <c r="L176" s="5"/>
      <c r="M176" s="9"/>
      <c r="N176" s="10" t="s">
        <v>277</v>
      </c>
      <c r="O176" s="10">
        <f t="shared" si="1"/>
        <v>0.38</v>
      </c>
      <c r="P176" s="11">
        <f t="shared" si="2"/>
        <v>375</v>
      </c>
      <c r="Q176" s="12">
        <f t="shared" si="3"/>
        <v>60</v>
      </c>
      <c r="R176" s="13" t="str">
        <f t="shared" si="4"/>
        <v>Средний</v>
      </c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4" t="s">
        <v>278</v>
      </c>
      <c r="B177" s="5" t="s">
        <v>29</v>
      </c>
      <c r="C177" s="5"/>
      <c r="D177" s="5"/>
      <c r="E177" s="6">
        <v>12346.0</v>
      </c>
      <c r="F177" s="6">
        <v>3000.0</v>
      </c>
      <c r="G177" s="16"/>
      <c r="H177" s="7">
        <v>1000.0</v>
      </c>
      <c r="I177" s="9"/>
      <c r="J177" s="5"/>
      <c r="K177" s="9"/>
      <c r="L177" s="5"/>
      <c r="M177" s="9"/>
      <c r="N177" s="10" t="s">
        <v>154</v>
      </c>
      <c r="O177" s="10">
        <f t="shared" si="1"/>
        <v>0.33</v>
      </c>
      <c r="P177" s="11">
        <f t="shared" si="2"/>
        <v>333</v>
      </c>
      <c r="Q177" s="12">
        <f t="shared" si="3"/>
        <v>60</v>
      </c>
      <c r="R177" s="13" t="str">
        <f t="shared" si="4"/>
        <v>Средний</v>
      </c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4" t="s">
        <v>279</v>
      </c>
      <c r="B178" s="5" t="s">
        <v>244</v>
      </c>
      <c r="C178" s="5"/>
      <c r="D178" s="5"/>
      <c r="E178" s="6">
        <v>131431.0</v>
      </c>
      <c r="F178" s="6">
        <v>100000.0</v>
      </c>
      <c r="G178" s="16"/>
      <c r="H178" s="7">
        <v>50000.0</v>
      </c>
      <c r="I178" s="9"/>
      <c r="J178" s="5"/>
      <c r="K178" s="9"/>
      <c r="L178" s="5"/>
      <c r="M178" s="9"/>
      <c r="N178" s="10" t="s">
        <v>280</v>
      </c>
      <c r="O178" s="10">
        <f t="shared" si="1"/>
        <v>0.5</v>
      </c>
      <c r="P178" s="11">
        <f t="shared" si="2"/>
        <v>500</v>
      </c>
      <c r="Q178" s="12">
        <f t="shared" si="3"/>
        <v>100</v>
      </c>
      <c r="R178" s="13" t="str">
        <f t="shared" si="4"/>
        <v>Высокий</v>
      </c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4" t="s">
        <v>281</v>
      </c>
      <c r="B179" s="5" t="s">
        <v>244</v>
      </c>
      <c r="C179" s="5"/>
      <c r="D179" s="5"/>
      <c r="E179" s="6">
        <v>33800.0</v>
      </c>
      <c r="F179" s="6">
        <v>60000.0</v>
      </c>
      <c r="G179" s="16"/>
      <c r="H179" s="7">
        <v>30000.0</v>
      </c>
      <c r="I179" s="9"/>
      <c r="J179" s="5"/>
      <c r="K179" s="9"/>
      <c r="L179" s="5"/>
      <c r="M179" s="9"/>
      <c r="N179" s="10" t="s">
        <v>282</v>
      </c>
      <c r="O179" s="10">
        <f t="shared" si="1"/>
        <v>0.5</v>
      </c>
      <c r="P179" s="11">
        <f t="shared" si="2"/>
        <v>500</v>
      </c>
      <c r="Q179" s="12">
        <f t="shared" si="3"/>
        <v>85</v>
      </c>
      <c r="R179" s="13" t="str">
        <f t="shared" si="4"/>
        <v>Высокий</v>
      </c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4" t="s">
        <v>283</v>
      </c>
      <c r="B180" s="5" t="s">
        <v>244</v>
      </c>
      <c r="C180" s="5"/>
      <c r="D180" s="5"/>
      <c r="E180" s="6">
        <v>36700.0</v>
      </c>
      <c r="F180" s="6">
        <v>80000.0</v>
      </c>
      <c r="G180" s="16"/>
      <c r="H180" s="7">
        <v>40000.0</v>
      </c>
      <c r="I180" s="9"/>
      <c r="J180" s="5"/>
      <c r="K180" s="9"/>
      <c r="L180" s="5"/>
      <c r="M180" s="9"/>
      <c r="N180" s="10" t="s">
        <v>284</v>
      </c>
      <c r="O180" s="10">
        <f t="shared" si="1"/>
        <v>0.5</v>
      </c>
      <c r="P180" s="11">
        <f t="shared" si="2"/>
        <v>500</v>
      </c>
      <c r="Q180" s="12">
        <f t="shared" si="3"/>
        <v>85</v>
      </c>
      <c r="R180" s="13" t="str">
        <f t="shared" si="4"/>
        <v>Высокий</v>
      </c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14" t="s">
        <v>285</v>
      </c>
      <c r="B181" s="5" t="s">
        <v>24</v>
      </c>
      <c r="C181" s="5"/>
      <c r="D181" s="5"/>
      <c r="E181" s="6">
        <v>99800.0</v>
      </c>
      <c r="F181" s="6">
        <v>20000.0</v>
      </c>
      <c r="G181" s="16"/>
      <c r="H181" s="7">
        <v>10000.0</v>
      </c>
      <c r="I181" s="9"/>
      <c r="J181" s="5"/>
      <c r="K181" s="9"/>
      <c r="L181" s="5"/>
      <c r="M181" s="9"/>
      <c r="N181" s="10" t="s">
        <v>286</v>
      </c>
      <c r="O181" s="10">
        <f t="shared" si="1"/>
        <v>0.5</v>
      </c>
      <c r="P181" s="11">
        <f t="shared" si="2"/>
        <v>500</v>
      </c>
      <c r="Q181" s="12">
        <f t="shared" si="3"/>
        <v>75</v>
      </c>
      <c r="R181" s="13" t="str">
        <f t="shared" si="4"/>
        <v>Высокий</v>
      </c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4" t="s">
        <v>287</v>
      </c>
      <c r="B182" s="5" t="s">
        <v>244</v>
      </c>
      <c r="C182" s="5"/>
      <c r="D182" s="5"/>
      <c r="E182" s="6">
        <v>434200.0</v>
      </c>
      <c r="F182" s="6">
        <v>8000.0</v>
      </c>
      <c r="G182" s="16"/>
      <c r="H182" s="7">
        <v>1400.0</v>
      </c>
      <c r="I182" s="9"/>
      <c r="J182" s="5"/>
      <c r="K182" s="9"/>
      <c r="L182" s="5"/>
      <c r="M182" s="9"/>
      <c r="N182" s="10" t="s">
        <v>288</v>
      </c>
      <c r="O182" s="10">
        <f t="shared" si="1"/>
        <v>0.18</v>
      </c>
      <c r="P182" s="11">
        <f t="shared" si="2"/>
        <v>175</v>
      </c>
      <c r="Q182" s="12">
        <f t="shared" si="3"/>
        <v>60</v>
      </c>
      <c r="R182" s="13" t="str">
        <f t="shared" si="4"/>
        <v>Средний</v>
      </c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4" t="s">
        <v>289</v>
      </c>
      <c r="B183" s="5" t="s">
        <v>24</v>
      </c>
      <c r="C183" s="5"/>
      <c r="D183" s="5"/>
      <c r="E183" s="6">
        <v>902000.0</v>
      </c>
      <c r="F183" s="6">
        <v>3000.0</v>
      </c>
      <c r="G183" s="16"/>
      <c r="H183" s="7">
        <v>1.0</v>
      </c>
      <c r="I183" s="9"/>
      <c r="J183" s="5"/>
      <c r="K183" s="9"/>
      <c r="L183" s="5"/>
      <c r="M183" s="9"/>
      <c r="N183" s="10" t="s">
        <v>290</v>
      </c>
      <c r="O183" s="10">
        <f t="shared" si="1"/>
        <v>0</v>
      </c>
      <c r="P183" s="11">
        <f t="shared" si="2"/>
        <v>0</v>
      </c>
      <c r="Q183" s="12">
        <f t="shared" si="3"/>
        <v>60</v>
      </c>
      <c r="R183" s="13" t="str">
        <f t="shared" si="4"/>
        <v>Средний</v>
      </c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1"/>
      <c r="B184" s="32"/>
      <c r="C184" s="32"/>
      <c r="D184" s="32"/>
      <c r="E184" s="33"/>
      <c r="F184" s="33"/>
      <c r="G184" s="34"/>
      <c r="H184" s="33"/>
      <c r="I184" s="32"/>
      <c r="J184" s="32"/>
      <c r="K184" s="32"/>
      <c r="L184" s="32"/>
      <c r="M184" s="32"/>
      <c r="N184" s="35"/>
      <c r="O184" s="35" t="str">
        <f t="shared" si="1"/>
        <v/>
      </c>
      <c r="P184" s="36" t="str">
        <f t="shared" si="2"/>
        <v/>
      </c>
      <c r="Q184" s="37" t="str">
        <f t="shared" si="3"/>
        <v/>
      </c>
      <c r="R184" s="38" t="str">
        <f t="shared" si="4"/>
        <v/>
      </c>
      <c r="S184" s="39"/>
      <c r="T184" s="39"/>
      <c r="U184" s="39"/>
      <c r="V184" s="39"/>
      <c r="W184" s="39"/>
      <c r="X184" s="39"/>
      <c r="Y184" s="39"/>
      <c r="Z184" s="39"/>
    </row>
    <row r="185" ht="15.75" customHeight="1">
      <c r="A185" s="30" t="s">
        <v>291</v>
      </c>
      <c r="B185" s="5" t="s">
        <v>292</v>
      </c>
      <c r="C185" s="5"/>
      <c r="D185" s="5"/>
      <c r="E185" s="6">
        <v>953300.0</v>
      </c>
      <c r="F185" s="6">
        <v>300000.0</v>
      </c>
      <c r="G185" s="16"/>
      <c r="H185" s="7">
        <v>80000.0</v>
      </c>
      <c r="I185" s="9"/>
      <c r="J185" s="5"/>
      <c r="K185" s="9"/>
      <c r="L185" s="5"/>
      <c r="M185" s="9"/>
      <c r="N185" s="10" t="s">
        <v>293</v>
      </c>
      <c r="O185" s="10">
        <f t="shared" si="1"/>
        <v>0.27</v>
      </c>
      <c r="P185" s="11">
        <f t="shared" si="2"/>
        <v>267</v>
      </c>
      <c r="Q185" s="12">
        <f t="shared" si="3"/>
        <v>100</v>
      </c>
      <c r="R185" s="13" t="str">
        <f t="shared" si="4"/>
        <v>Высокий</v>
      </c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0" t="s">
        <v>294</v>
      </c>
      <c r="B186" s="5" t="s">
        <v>292</v>
      </c>
      <c r="C186" s="5"/>
      <c r="D186" s="5"/>
      <c r="E186" s="6">
        <v>5200000.0</v>
      </c>
      <c r="F186" s="6">
        <v>100000.0</v>
      </c>
      <c r="G186" s="16"/>
      <c r="H186" s="7">
        <v>60000.0</v>
      </c>
      <c r="I186" s="9"/>
      <c r="J186" s="5"/>
      <c r="K186" s="9"/>
      <c r="L186" s="5"/>
      <c r="M186" s="9"/>
      <c r="N186" s="10"/>
      <c r="O186" s="10">
        <f t="shared" si="1"/>
        <v>0.6</v>
      </c>
      <c r="P186" s="11">
        <f t="shared" si="2"/>
        <v>600</v>
      </c>
      <c r="Q186" s="12">
        <f t="shared" si="3"/>
        <v>80</v>
      </c>
      <c r="R186" s="13" t="str">
        <f t="shared" si="4"/>
        <v>Высокий</v>
      </c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0" t="s">
        <v>295</v>
      </c>
      <c r="B187" s="5" t="s">
        <v>244</v>
      </c>
      <c r="C187" s="5"/>
      <c r="D187" s="5"/>
      <c r="E187" s="6">
        <v>41700.0</v>
      </c>
      <c r="F187" s="6">
        <v>60000.0</v>
      </c>
      <c r="G187" s="16"/>
      <c r="H187" s="7">
        <v>30000.0</v>
      </c>
      <c r="I187" s="9"/>
      <c r="J187" s="5"/>
      <c r="K187" s="9"/>
      <c r="L187" s="5"/>
      <c r="M187" s="9"/>
      <c r="N187" s="10"/>
      <c r="O187" s="10">
        <f t="shared" si="1"/>
        <v>0.5</v>
      </c>
      <c r="P187" s="11">
        <f t="shared" si="2"/>
        <v>500</v>
      </c>
      <c r="Q187" s="12">
        <f t="shared" si="3"/>
        <v>85</v>
      </c>
      <c r="R187" s="13" t="str">
        <f t="shared" si="4"/>
        <v>Высокий</v>
      </c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0" t="s">
        <v>296</v>
      </c>
      <c r="B188" s="5" t="s">
        <v>297</v>
      </c>
      <c r="C188" s="5"/>
      <c r="D188" s="5"/>
      <c r="E188" s="6"/>
      <c r="F188" s="6"/>
      <c r="G188" s="16"/>
      <c r="H188" s="7">
        <v>7000.0</v>
      </c>
      <c r="I188" s="9" t="s">
        <v>298</v>
      </c>
      <c r="J188" s="5"/>
      <c r="K188" s="9"/>
      <c r="L188" s="5"/>
      <c r="M188" s="9"/>
      <c r="N188" s="40" t="s">
        <v>299</v>
      </c>
      <c r="O188" s="10" t="str">
        <f t="shared" si="1"/>
        <v/>
      </c>
      <c r="P188" s="11" t="str">
        <f t="shared" si="2"/>
        <v/>
      </c>
      <c r="Q188" s="12" t="str">
        <f t="shared" si="3"/>
        <v/>
      </c>
      <c r="R188" s="13" t="str">
        <f t="shared" si="4"/>
        <v/>
      </c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41" t="s">
        <v>300</v>
      </c>
      <c r="B189" s="5" t="s">
        <v>24</v>
      </c>
      <c r="C189" s="5"/>
      <c r="D189" s="5"/>
      <c r="E189" s="6"/>
      <c r="F189" s="6"/>
      <c r="G189" s="16"/>
      <c r="H189" s="7">
        <v>3000.0</v>
      </c>
      <c r="I189" s="9" t="s">
        <v>301</v>
      </c>
      <c r="J189" s="5"/>
      <c r="K189" s="9"/>
      <c r="L189" s="5"/>
      <c r="M189" s="9"/>
      <c r="N189" s="42" t="s">
        <v>302</v>
      </c>
      <c r="O189" s="10" t="str">
        <f t="shared" si="1"/>
        <v/>
      </c>
      <c r="P189" s="11" t="str">
        <f t="shared" si="2"/>
        <v/>
      </c>
      <c r="Q189" s="12" t="str">
        <f t="shared" si="3"/>
        <v/>
      </c>
      <c r="R189" s="13" t="str">
        <f t="shared" si="4"/>
        <v/>
      </c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4" t="s">
        <v>303</v>
      </c>
      <c r="B190" s="5" t="s">
        <v>29</v>
      </c>
      <c r="C190" s="5" t="s">
        <v>112</v>
      </c>
      <c r="D190" s="5" t="s">
        <v>170</v>
      </c>
      <c r="E190" s="6"/>
      <c r="F190" s="6"/>
      <c r="G190" s="16"/>
      <c r="H190" s="7"/>
      <c r="I190" s="9"/>
      <c r="J190" s="5"/>
      <c r="K190" s="9"/>
      <c r="L190" s="5"/>
      <c r="M190" s="9"/>
      <c r="N190" s="10"/>
      <c r="O190" s="10" t="str">
        <f t="shared" si="1"/>
        <v/>
      </c>
      <c r="P190" s="11" t="str">
        <f t="shared" si="2"/>
        <v/>
      </c>
      <c r="Q190" s="12" t="str">
        <f t="shared" si="3"/>
        <v/>
      </c>
      <c r="R190" s="13" t="str">
        <f t="shared" si="4"/>
        <v/>
      </c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4" t="s">
        <v>304</v>
      </c>
      <c r="B191" s="5" t="s">
        <v>29</v>
      </c>
      <c r="C191" s="5" t="s">
        <v>112</v>
      </c>
      <c r="D191" s="5" t="s">
        <v>170</v>
      </c>
      <c r="E191" s="6"/>
      <c r="F191" s="6"/>
      <c r="G191" s="16"/>
      <c r="H191" s="7"/>
      <c r="I191" s="9"/>
      <c r="J191" s="5"/>
      <c r="K191" s="9"/>
      <c r="L191" s="5"/>
      <c r="M191" s="9"/>
      <c r="N191" s="10"/>
      <c r="O191" s="10" t="str">
        <f t="shared" si="1"/>
        <v/>
      </c>
      <c r="P191" s="11" t="str">
        <f t="shared" si="2"/>
        <v/>
      </c>
      <c r="Q191" s="12" t="str">
        <f t="shared" si="3"/>
        <v/>
      </c>
      <c r="R191" s="13" t="str">
        <f t="shared" si="4"/>
        <v/>
      </c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4" t="s">
        <v>305</v>
      </c>
      <c r="B192" s="5" t="s">
        <v>29</v>
      </c>
      <c r="C192" s="5" t="s">
        <v>112</v>
      </c>
      <c r="D192" s="5" t="s">
        <v>170</v>
      </c>
      <c r="E192" s="6"/>
      <c r="F192" s="6"/>
      <c r="G192" s="16"/>
      <c r="H192" s="7"/>
      <c r="I192" s="9"/>
      <c r="J192" s="5"/>
      <c r="K192" s="9"/>
      <c r="L192" s="5"/>
      <c r="M192" s="9"/>
      <c r="N192" s="10"/>
      <c r="O192" s="10" t="str">
        <f t="shared" si="1"/>
        <v/>
      </c>
      <c r="P192" s="11" t="str">
        <f t="shared" si="2"/>
        <v/>
      </c>
      <c r="Q192" s="12" t="str">
        <f t="shared" si="3"/>
        <v/>
      </c>
      <c r="R192" s="13" t="str">
        <f t="shared" si="4"/>
        <v/>
      </c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4" t="s">
        <v>306</v>
      </c>
      <c r="B193" s="5" t="s">
        <v>29</v>
      </c>
      <c r="C193" s="5" t="s">
        <v>112</v>
      </c>
      <c r="D193" s="5" t="s">
        <v>170</v>
      </c>
      <c r="E193" s="6"/>
      <c r="F193" s="6"/>
      <c r="G193" s="16"/>
      <c r="H193" s="7"/>
      <c r="I193" s="9"/>
      <c r="J193" s="5"/>
      <c r="K193" s="9"/>
      <c r="L193" s="5"/>
      <c r="M193" s="9"/>
      <c r="N193" s="10"/>
      <c r="O193" s="10" t="str">
        <f t="shared" si="1"/>
        <v/>
      </c>
      <c r="P193" s="11" t="str">
        <f t="shared" si="2"/>
        <v/>
      </c>
      <c r="Q193" s="12" t="str">
        <f t="shared" si="3"/>
        <v/>
      </c>
      <c r="R193" s="13" t="str">
        <f t="shared" si="4"/>
        <v/>
      </c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4" t="s">
        <v>307</v>
      </c>
      <c r="B194" s="5" t="s">
        <v>29</v>
      </c>
      <c r="C194" s="5" t="s">
        <v>112</v>
      </c>
      <c r="D194" s="5" t="s">
        <v>170</v>
      </c>
      <c r="E194" s="6"/>
      <c r="F194" s="6"/>
      <c r="G194" s="16"/>
      <c r="H194" s="7"/>
      <c r="I194" s="9"/>
      <c r="J194" s="5"/>
      <c r="K194" s="9"/>
      <c r="L194" s="5"/>
      <c r="M194" s="9"/>
      <c r="N194" s="10"/>
      <c r="O194" s="10" t="str">
        <f t="shared" si="1"/>
        <v/>
      </c>
      <c r="P194" s="11" t="str">
        <f t="shared" si="2"/>
        <v/>
      </c>
      <c r="Q194" s="12" t="str">
        <f t="shared" si="3"/>
        <v/>
      </c>
      <c r="R194" s="13" t="str">
        <f t="shared" si="4"/>
        <v/>
      </c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4" t="s">
        <v>308</v>
      </c>
      <c r="B195" s="5" t="s">
        <v>29</v>
      </c>
      <c r="C195" s="5" t="s">
        <v>112</v>
      </c>
      <c r="D195" s="5" t="s">
        <v>170</v>
      </c>
      <c r="E195" s="6"/>
      <c r="F195" s="6"/>
      <c r="G195" s="16"/>
      <c r="H195" s="7"/>
      <c r="I195" s="9"/>
      <c r="J195" s="5"/>
      <c r="K195" s="9"/>
      <c r="L195" s="5"/>
      <c r="M195" s="9"/>
      <c r="N195" s="10"/>
      <c r="O195" s="10" t="str">
        <f t="shared" si="1"/>
        <v/>
      </c>
      <c r="P195" s="11" t="str">
        <f t="shared" si="2"/>
        <v/>
      </c>
      <c r="Q195" s="12" t="str">
        <f t="shared" si="3"/>
        <v/>
      </c>
      <c r="R195" s="13" t="str">
        <f t="shared" si="4"/>
        <v/>
      </c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4" t="s">
        <v>309</v>
      </c>
      <c r="B196" s="5" t="s">
        <v>29</v>
      </c>
      <c r="C196" s="5" t="s">
        <v>112</v>
      </c>
      <c r="D196" s="5" t="s">
        <v>170</v>
      </c>
      <c r="E196" s="6"/>
      <c r="F196" s="6"/>
      <c r="G196" s="16"/>
      <c r="H196" s="7"/>
      <c r="I196" s="9"/>
      <c r="J196" s="5"/>
      <c r="K196" s="9"/>
      <c r="L196" s="5"/>
      <c r="M196" s="9"/>
      <c r="N196" s="10"/>
      <c r="O196" s="10" t="str">
        <f t="shared" si="1"/>
        <v/>
      </c>
      <c r="P196" s="11" t="str">
        <f t="shared" si="2"/>
        <v/>
      </c>
      <c r="Q196" s="12" t="str">
        <f t="shared" si="3"/>
        <v/>
      </c>
      <c r="R196" s="13" t="str">
        <f t="shared" si="4"/>
        <v/>
      </c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4" t="s">
        <v>310</v>
      </c>
      <c r="B197" s="5" t="s">
        <v>29</v>
      </c>
      <c r="C197" s="5" t="s">
        <v>112</v>
      </c>
      <c r="D197" s="5" t="s">
        <v>170</v>
      </c>
      <c r="E197" s="6"/>
      <c r="F197" s="6"/>
      <c r="G197" s="16"/>
      <c r="H197" s="7"/>
      <c r="I197" s="9"/>
      <c r="J197" s="5"/>
      <c r="K197" s="9"/>
      <c r="L197" s="5"/>
      <c r="M197" s="9"/>
      <c r="N197" s="10"/>
      <c r="O197" s="10" t="str">
        <f t="shared" si="1"/>
        <v/>
      </c>
      <c r="P197" s="11" t="str">
        <f t="shared" si="2"/>
        <v/>
      </c>
      <c r="Q197" s="12" t="str">
        <f t="shared" si="3"/>
        <v/>
      </c>
      <c r="R197" s="13" t="str">
        <f t="shared" si="4"/>
        <v/>
      </c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4" t="s">
        <v>311</v>
      </c>
      <c r="B198" s="5" t="s">
        <v>29</v>
      </c>
      <c r="C198" s="5" t="s">
        <v>112</v>
      </c>
      <c r="D198" s="5" t="s">
        <v>170</v>
      </c>
      <c r="E198" s="6"/>
      <c r="F198" s="6"/>
      <c r="G198" s="16"/>
      <c r="H198" s="7"/>
      <c r="I198" s="9"/>
      <c r="J198" s="5"/>
      <c r="K198" s="9"/>
      <c r="L198" s="5"/>
      <c r="M198" s="9"/>
      <c r="N198" s="10"/>
      <c r="O198" s="10" t="str">
        <f t="shared" si="1"/>
        <v/>
      </c>
      <c r="P198" s="11" t="str">
        <f t="shared" si="2"/>
        <v/>
      </c>
      <c r="Q198" s="12" t="str">
        <f t="shared" si="3"/>
        <v/>
      </c>
      <c r="R198" s="13" t="str">
        <f t="shared" si="4"/>
        <v/>
      </c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4" t="s">
        <v>312</v>
      </c>
      <c r="B199" s="5" t="s">
        <v>29</v>
      </c>
      <c r="C199" s="5" t="s">
        <v>112</v>
      </c>
      <c r="D199" s="5" t="s">
        <v>170</v>
      </c>
      <c r="E199" s="6"/>
      <c r="F199" s="6"/>
      <c r="G199" s="16"/>
      <c r="H199" s="7"/>
      <c r="I199" s="9"/>
      <c r="J199" s="5"/>
      <c r="K199" s="9"/>
      <c r="L199" s="5"/>
      <c r="M199" s="9"/>
      <c r="N199" s="10"/>
      <c r="O199" s="10" t="str">
        <f t="shared" si="1"/>
        <v/>
      </c>
      <c r="P199" s="11" t="str">
        <f t="shared" si="2"/>
        <v/>
      </c>
      <c r="Q199" s="12" t="str">
        <f t="shared" si="3"/>
        <v/>
      </c>
      <c r="R199" s="13" t="str">
        <f t="shared" si="4"/>
        <v/>
      </c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4" t="s">
        <v>313</v>
      </c>
      <c r="B200" s="5" t="s">
        <v>29</v>
      </c>
      <c r="C200" s="5" t="s">
        <v>112</v>
      </c>
      <c r="D200" s="5" t="s">
        <v>170</v>
      </c>
      <c r="E200" s="6"/>
      <c r="F200" s="6"/>
      <c r="G200" s="16"/>
      <c r="H200" s="7"/>
      <c r="I200" s="9"/>
      <c r="J200" s="5"/>
      <c r="K200" s="9"/>
      <c r="L200" s="5"/>
      <c r="M200" s="9"/>
      <c r="N200" s="10"/>
      <c r="O200" s="10" t="str">
        <f t="shared" si="1"/>
        <v/>
      </c>
      <c r="P200" s="11" t="str">
        <f t="shared" si="2"/>
        <v/>
      </c>
      <c r="Q200" s="12" t="str">
        <f t="shared" si="3"/>
        <v/>
      </c>
      <c r="R200" s="13" t="str">
        <f t="shared" si="4"/>
        <v/>
      </c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4" t="s">
        <v>314</v>
      </c>
      <c r="B201" s="5" t="s">
        <v>24</v>
      </c>
      <c r="C201" s="5" t="s">
        <v>105</v>
      </c>
      <c r="D201" s="5" t="s">
        <v>170</v>
      </c>
      <c r="E201" s="6">
        <v>3160000.0</v>
      </c>
      <c r="F201" s="6"/>
      <c r="G201" s="16"/>
      <c r="H201" s="7"/>
      <c r="I201" s="9"/>
      <c r="J201" s="5"/>
      <c r="K201" s="9"/>
      <c r="L201" s="5"/>
      <c r="M201" s="9"/>
      <c r="N201" s="10"/>
      <c r="O201" s="10" t="str">
        <f t="shared" si="1"/>
        <v/>
      </c>
      <c r="P201" s="11" t="str">
        <f t="shared" si="2"/>
        <v/>
      </c>
      <c r="Q201" s="12" t="str">
        <f t="shared" si="3"/>
        <v/>
      </c>
      <c r="R201" s="13" t="str">
        <f t="shared" si="4"/>
        <v/>
      </c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4" t="s">
        <v>315</v>
      </c>
      <c r="B202" s="5" t="s">
        <v>24</v>
      </c>
      <c r="C202" s="5" t="s">
        <v>105</v>
      </c>
      <c r="D202" s="5" t="s">
        <v>170</v>
      </c>
      <c r="E202" s="6">
        <v>2070000.0</v>
      </c>
      <c r="F202" s="6"/>
      <c r="G202" s="16"/>
      <c r="H202" s="7"/>
      <c r="I202" s="9"/>
      <c r="J202" s="5"/>
      <c r="K202" s="9"/>
      <c r="L202" s="5"/>
      <c r="M202" s="9"/>
      <c r="N202" s="10"/>
      <c r="O202" s="10" t="str">
        <f t="shared" si="1"/>
        <v/>
      </c>
      <c r="P202" s="11" t="str">
        <f t="shared" si="2"/>
        <v/>
      </c>
      <c r="Q202" s="12" t="str">
        <f t="shared" si="3"/>
        <v/>
      </c>
      <c r="R202" s="13" t="str">
        <f t="shared" si="4"/>
        <v/>
      </c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4" t="s">
        <v>316</v>
      </c>
      <c r="B203" s="5" t="s">
        <v>24</v>
      </c>
      <c r="C203" s="5" t="s">
        <v>105</v>
      </c>
      <c r="D203" s="5" t="s">
        <v>170</v>
      </c>
      <c r="E203" s="6">
        <v>1530000.0</v>
      </c>
      <c r="F203" s="6"/>
      <c r="G203" s="16"/>
      <c r="H203" s="7"/>
      <c r="I203" s="9"/>
      <c r="J203" s="5"/>
      <c r="K203" s="9"/>
      <c r="L203" s="5"/>
      <c r="M203" s="9"/>
      <c r="N203" s="10"/>
      <c r="O203" s="10" t="str">
        <f t="shared" si="1"/>
        <v/>
      </c>
      <c r="P203" s="11" t="str">
        <f t="shared" si="2"/>
        <v/>
      </c>
      <c r="Q203" s="12" t="str">
        <f t="shared" si="3"/>
        <v/>
      </c>
      <c r="R203" s="13" t="str">
        <f t="shared" si="4"/>
        <v/>
      </c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4" t="s">
        <v>317</v>
      </c>
      <c r="B204" s="5" t="s">
        <v>292</v>
      </c>
      <c r="C204" s="5"/>
      <c r="D204" s="5"/>
      <c r="E204" s="6">
        <v>1600000.0</v>
      </c>
      <c r="F204" s="6">
        <v>500000.0</v>
      </c>
      <c r="G204" s="16"/>
      <c r="H204" s="7">
        <v>35000.0</v>
      </c>
      <c r="I204" s="9"/>
      <c r="J204" s="5"/>
      <c r="K204" s="9"/>
      <c r="L204" s="5"/>
      <c r="M204" s="9"/>
      <c r="N204" s="10"/>
      <c r="O204" s="10">
        <f t="shared" si="1"/>
        <v>0.07</v>
      </c>
      <c r="P204" s="11">
        <f t="shared" si="2"/>
        <v>70</v>
      </c>
      <c r="Q204" s="12">
        <f t="shared" si="3"/>
        <v>100</v>
      </c>
      <c r="R204" s="13" t="str">
        <f t="shared" si="4"/>
        <v>Высокий</v>
      </c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4" t="s">
        <v>318</v>
      </c>
      <c r="B205" s="5" t="s">
        <v>24</v>
      </c>
      <c r="C205" s="5"/>
      <c r="D205" s="5"/>
      <c r="E205" s="6">
        <v>207000.0</v>
      </c>
      <c r="F205" s="6">
        <v>25000.0</v>
      </c>
      <c r="G205" s="16"/>
      <c r="H205" s="7">
        <v>10000.0</v>
      </c>
      <c r="I205" s="9"/>
      <c r="J205" s="5"/>
      <c r="K205" s="9"/>
      <c r="L205" s="5"/>
      <c r="M205" s="9"/>
      <c r="N205" s="10"/>
      <c r="O205" s="10">
        <f t="shared" si="1"/>
        <v>0.4</v>
      </c>
      <c r="P205" s="11">
        <f t="shared" si="2"/>
        <v>400</v>
      </c>
      <c r="Q205" s="12">
        <f t="shared" si="3"/>
        <v>75</v>
      </c>
      <c r="R205" s="13" t="str">
        <f t="shared" si="4"/>
        <v>Высокий</v>
      </c>
      <c r="S205" s="3"/>
      <c r="T205" s="3"/>
      <c r="U205" s="3"/>
      <c r="V205" s="3"/>
      <c r="W205" s="3"/>
      <c r="X205" s="3"/>
      <c r="Y205" s="3"/>
      <c r="Z205" s="3"/>
    </row>
    <row r="206" ht="15.75" hidden="1" customHeight="1">
      <c r="A206" s="4" t="s">
        <v>319</v>
      </c>
      <c r="B206" s="5" t="s">
        <v>24</v>
      </c>
      <c r="C206" s="5" t="s">
        <v>105</v>
      </c>
      <c r="D206" s="5" t="s">
        <v>170</v>
      </c>
      <c r="E206" s="6">
        <v>1000000.0</v>
      </c>
      <c r="F206" s="6"/>
      <c r="G206" s="16"/>
      <c r="H206" s="7"/>
      <c r="I206" s="9"/>
      <c r="J206" s="5"/>
      <c r="K206" s="9"/>
      <c r="L206" s="5"/>
      <c r="M206" s="9"/>
      <c r="N206" s="10"/>
      <c r="O206" s="10" t="str">
        <f t="shared" si="1"/>
        <v/>
      </c>
      <c r="P206" s="11" t="str">
        <f t="shared" si="2"/>
        <v/>
      </c>
      <c r="Q206" s="12" t="str">
        <f t="shared" si="3"/>
        <v/>
      </c>
      <c r="R206" s="13" t="str">
        <f t="shared" si="4"/>
        <v/>
      </c>
      <c r="S206" s="3"/>
      <c r="T206" s="3"/>
      <c r="U206" s="3"/>
      <c r="V206" s="3"/>
      <c r="W206" s="3"/>
      <c r="X206" s="3"/>
      <c r="Y206" s="3"/>
      <c r="Z206" s="3"/>
    </row>
    <row r="207" ht="15.75" hidden="1" customHeight="1">
      <c r="A207" s="4" t="s">
        <v>320</v>
      </c>
      <c r="B207" s="5" t="s">
        <v>24</v>
      </c>
      <c r="C207" s="5" t="s">
        <v>105</v>
      </c>
      <c r="D207" s="5" t="s">
        <v>170</v>
      </c>
      <c r="E207" s="6">
        <v>931000.0</v>
      </c>
      <c r="F207" s="6"/>
      <c r="G207" s="16"/>
      <c r="H207" s="7"/>
      <c r="I207" s="9"/>
      <c r="J207" s="5"/>
      <c r="K207" s="9"/>
      <c r="L207" s="5"/>
      <c r="M207" s="9"/>
      <c r="N207" s="10"/>
      <c r="O207" s="10" t="str">
        <f t="shared" si="1"/>
        <v/>
      </c>
      <c r="P207" s="11" t="str">
        <f t="shared" si="2"/>
        <v/>
      </c>
      <c r="Q207" s="12" t="str">
        <f t="shared" si="3"/>
        <v/>
      </c>
      <c r="R207" s="13" t="str">
        <f t="shared" si="4"/>
        <v/>
      </c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4" t="s">
        <v>318</v>
      </c>
      <c r="B208" s="5" t="s">
        <v>244</v>
      </c>
      <c r="C208" s="5"/>
      <c r="D208" s="5"/>
      <c r="E208" s="6">
        <v>24200.0</v>
      </c>
      <c r="F208" s="6">
        <v>5000.0</v>
      </c>
      <c r="G208" s="16"/>
      <c r="H208" s="7">
        <v>5000.0</v>
      </c>
      <c r="I208" s="9"/>
      <c r="J208" s="5"/>
      <c r="K208" s="9"/>
      <c r="L208" s="5"/>
      <c r="M208" s="9"/>
      <c r="N208" s="10"/>
      <c r="O208" s="10">
        <f t="shared" si="1"/>
        <v>1</v>
      </c>
      <c r="P208" s="11">
        <f t="shared" si="2"/>
        <v>1000</v>
      </c>
      <c r="Q208" s="12">
        <f t="shared" si="3"/>
        <v>40</v>
      </c>
      <c r="R208" s="13" t="str">
        <f t="shared" si="4"/>
        <v>Низкий</v>
      </c>
      <c r="S208" s="3"/>
      <c r="T208" s="3"/>
      <c r="U208" s="3"/>
      <c r="V208" s="3"/>
      <c r="W208" s="3"/>
      <c r="X208" s="3"/>
      <c r="Y208" s="3"/>
      <c r="Z208" s="3"/>
    </row>
    <row r="209" ht="15.75" hidden="1" customHeight="1">
      <c r="A209" s="4" t="s">
        <v>174</v>
      </c>
      <c r="B209" s="5" t="s">
        <v>24</v>
      </c>
      <c r="C209" s="5" t="s">
        <v>105</v>
      </c>
      <c r="D209" s="5" t="s">
        <v>170</v>
      </c>
      <c r="E209" s="6">
        <v>826000.0</v>
      </c>
      <c r="F209" s="6"/>
      <c r="G209" s="16"/>
      <c r="H209" s="7"/>
      <c r="I209" s="9"/>
      <c r="J209" s="5"/>
      <c r="K209" s="9"/>
      <c r="L209" s="5"/>
      <c r="M209" s="9"/>
      <c r="N209" s="10"/>
      <c r="O209" s="10" t="str">
        <f t="shared" si="1"/>
        <v/>
      </c>
      <c r="P209" s="11" t="str">
        <f t="shared" si="2"/>
        <v/>
      </c>
      <c r="Q209" s="12" t="str">
        <f t="shared" si="3"/>
        <v/>
      </c>
      <c r="R209" s="13" t="str">
        <f t="shared" si="4"/>
        <v/>
      </c>
      <c r="S209" s="3"/>
      <c r="T209" s="3"/>
      <c r="U209" s="3"/>
      <c r="V209" s="3"/>
      <c r="W209" s="3"/>
      <c r="X209" s="3"/>
      <c r="Y209" s="3"/>
      <c r="Z209" s="3"/>
    </row>
    <row r="210" ht="15.75" hidden="1" customHeight="1">
      <c r="A210" s="4" t="s">
        <v>321</v>
      </c>
      <c r="B210" s="5" t="s">
        <v>24</v>
      </c>
      <c r="C210" s="5" t="s">
        <v>105</v>
      </c>
      <c r="D210" s="5" t="s">
        <v>170</v>
      </c>
      <c r="E210" s="6">
        <v>781000.0</v>
      </c>
      <c r="F210" s="6"/>
      <c r="G210" s="16"/>
      <c r="H210" s="7"/>
      <c r="I210" s="9"/>
      <c r="J210" s="5"/>
      <c r="K210" s="9"/>
      <c r="L210" s="5"/>
      <c r="M210" s="9"/>
      <c r="N210" s="10"/>
      <c r="O210" s="10" t="str">
        <f t="shared" si="1"/>
        <v/>
      </c>
      <c r="P210" s="11" t="str">
        <f t="shared" si="2"/>
        <v/>
      </c>
      <c r="Q210" s="12" t="str">
        <f t="shared" si="3"/>
        <v/>
      </c>
      <c r="R210" s="13" t="str">
        <f t="shared" si="4"/>
        <v/>
      </c>
      <c r="S210" s="3"/>
      <c r="T210" s="3"/>
      <c r="U210" s="3"/>
      <c r="V210" s="3"/>
      <c r="W210" s="3"/>
      <c r="X210" s="3"/>
      <c r="Y210" s="3"/>
      <c r="Z210" s="3"/>
    </row>
    <row r="211" ht="15.75" hidden="1" customHeight="1">
      <c r="A211" s="4" t="s">
        <v>322</v>
      </c>
      <c r="B211" s="5" t="s">
        <v>24</v>
      </c>
      <c r="C211" s="5" t="s">
        <v>105</v>
      </c>
      <c r="D211" s="5" t="s">
        <v>170</v>
      </c>
      <c r="E211" s="6">
        <v>715000.0</v>
      </c>
      <c r="F211" s="6"/>
      <c r="G211" s="16"/>
      <c r="H211" s="7"/>
      <c r="I211" s="9"/>
      <c r="J211" s="5"/>
      <c r="K211" s="9"/>
      <c r="L211" s="5"/>
      <c r="M211" s="9"/>
      <c r="N211" s="10"/>
      <c r="O211" s="10" t="str">
        <f t="shared" si="1"/>
        <v/>
      </c>
      <c r="P211" s="11" t="str">
        <f t="shared" si="2"/>
        <v/>
      </c>
      <c r="Q211" s="12" t="str">
        <f t="shared" si="3"/>
        <v/>
      </c>
      <c r="R211" s="13" t="str">
        <f t="shared" si="4"/>
        <v/>
      </c>
      <c r="S211" s="3"/>
      <c r="T211" s="3"/>
      <c r="U211" s="3"/>
      <c r="V211" s="3"/>
      <c r="W211" s="3"/>
      <c r="X211" s="3"/>
      <c r="Y211" s="3"/>
      <c r="Z211" s="3"/>
    </row>
    <row r="212" ht="15.75" hidden="1" customHeight="1">
      <c r="A212" s="4" t="s">
        <v>323</v>
      </c>
      <c r="B212" s="5" t="s">
        <v>24</v>
      </c>
      <c r="C212" s="5" t="s">
        <v>105</v>
      </c>
      <c r="D212" s="5" t="s">
        <v>170</v>
      </c>
      <c r="E212" s="6">
        <v>711000.0</v>
      </c>
      <c r="F212" s="6"/>
      <c r="G212" s="16"/>
      <c r="H212" s="7"/>
      <c r="I212" s="9"/>
      <c r="J212" s="5"/>
      <c r="K212" s="9"/>
      <c r="L212" s="5"/>
      <c r="M212" s="9"/>
      <c r="N212" s="10"/>
      <c r="O212" s="10" t="str">
        <f t="shared" si="1"/>
        <v/>
      </c>
      <c r="P212" s="11" t="str">
        <f t="shared" si="2"/>
        <v/>
      </c>
      <c r="Q212" s="12" t="str">
        <f t="shared" si="3"/>
        <v/>
      </c>
      <c r="R212" s="13" t="str">
        <f t="shared" si="4"/>
        <v/>
      </c>
      <c r="S212" s="3"/>
      <c r="T212" s="3"/>
      <c r="U212" s="3"/>
      <c r="V212" s="3"/>
      <c r="W212" s="3"/>
      <c r="X212" s="3"/>
      <c r="Y212" s="3"/>
      <c r="Z212" s="3"/>
    </row>
    <row r="213" ht="15.75" hidden="1" customHeight="1">
      <c r="A213" s="4" t="s">
        <v>324</v>
      </c>
      <c r="B213" s="5" t="s">
        <v>24</v>
      </c>
      <c r="C213" s="5" t="s">
        <v>105</v>
      </c>
      <c r="D213" s="5" t="s">
        <v>170</v>
      </c>
      <c r="E213" s="6">
        <v>604000.0</v>
      </c>
      <c r="F213" s="6"/>
      <c r="G213" s="16"/>
      <c r="H213" s="7"/>
      <c r="I213" s="9"/>
      <c r="J213" s="5"/>
      <c r="K213" s="9"/>
      <c r="L213" s="5"/>
      <c r="M213" s="9"/>
      <c r="N213" s="10"/>
      <c r="O213" s="10" t="str">
        <f t="shared" si="1"/>
        <v/>
      </c>
      <c r="P213" s="11" t="str">
        <f t="shared" si="2"/>
        <v/>
      </c>
      <c r="Q213" s="12" t="str">
        <f t="shared" si="3"/>
        <v/>
      </c>
      <c r="R213" s="13" t="str">
        <f t="shared" si="4"/>
        <v/>
      </c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4" t="s">
        <v>325</v>
      </c>
      <c r="B214" s="5" t="s">
        <v>292</v>
      </c>
      <c r="C214" s="5"/>
      <c r="D214" s="5"/>
      <c r="E214" s="6">
        <v>844000.0</v>
      </c>
      <c r="F214" s="6">
        <v>10000.0</v>
      </c>
      <c r="G214" s="16"/>
      <c r="H214" s="7">
        <v>5000.0</v>
      </c>
      <c r="I214" s="9"/>
      <c r="J214" s="5"/>
      <c r="K214" s="9"/>
      <c r="L214" s="5"/>
      <c r="M214" s="9"/>
      <c r="N214" s="10"/>
      <c r="O214" s="10">
        <f t="shared" si="1"/>
        <v>0.5</v>
      </c>
      <c r="P214" s="11">
        <f t="shared" si="2"/>
        <v>500</v>
      </c>
      <c r="Q214" s="12">
        <f t="shared" si="3"/>
        <v>75</v>
      </c>
      <c r="R214" s="13" t="str">
        <f t="shared" si="4"/>
        <v>Высокий</v>
      </c>
      <c r="S214" s="3"/>
      <c r="T214" s="3"/>
      <c r="U214" s="3"/>
      <c r="V214" s="3"/>
      <c r="W214" s="3"/>
      <c r="X214" s="3"/>
      <c r="Y214" s="3"/>
      <c r="Z214" s="3"/>
    </row>
    <row r="215" ht="15.75" hidden="1" customHeight="1">
      <c r="A215" s="4" t="s">
        <v>326</v>
      </c>
      <c r="B215" s="5" t="s">
        <v>24</v>
      </c>
      <c r="C215" s="5" t="s">
        <v>105</v>
      </c>
      <c r="D215" s="5" t="s">
        <v>170</v>
      </c>
      <c r="E215" s="6">
        <v>545000.0</v>
      </c>
      <c r="F215" s="6"/>
      <c r="G215" s="16"/>
      <c r="H215" s="7"/>
      <c r="I215" s="9"/>
      <c r="J215" s="5"/>
      <c r="K215" s="9"/>
      <c r="L215" s="5"/>
      <c r="M215" s="9"/>
      <c r="N215" s="10"/>
      <c r="O215" s="10" t="str">
        <f t="shared" si="1"/>
        <v/>
      </c>
      <c r="P215" s="11" t="str">
        <f t="shared" si="2"/>
        <v/>
      </c>
      <c r="Q215" s="12" t="str">
        <f t="shared" si="3"/>
        <v/>
      </c>
      <c r="R215" s="13" t="str">
        <f t="shared" si="4"/>
        <v/>
      </c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0" t="s">
        <v>327</v>
      </c>
      <c r="B216" s="5" t="s">
        <v>328</v>
      </c>
      <c r="C216" s="5"/>
      <c r="D216" s="5"/>
      <c r="E216" s="6"/>
      <c r="F216" s="6"/>
      <c r="G216" s="16"/>
      <c r="H216" s="43" t="s">
        <v>329</v>
      </c>
      <c r="I216" s="9" t="s">
        <v>330</v>
      </c>
      <c r="J216" s="5"/>
      <c r="K216" s="9"/>
      <c r="L216" s="5"/>
      <c r="M216" s="9"/>
      <c r="N216" s="42" t="s">
        <v>331</v>
      </c>
      <c r="O216" s="10" t="str">
        <f t="shared" si="1"/>
        <v/>
      </c>
      <c r="P216" s="11" t="str">
        <f t="shared" si="2"/>
        <v/>
      </c>
      <c r="Q216" s="12" t="str">
        <f t="shared" si="3"/>
        <v/>
      </c>
      <c r="R216" s="13" t="str">
        <f t="shared" si="4"/>
        <v/>
      </c>
      <c r="S216" s="3"/>
      <c r="T216" s="3"/>
      <c r="U216" s="3"/>
      <c r="V216" s="3"/>
      <c r="W216" s="3"/>
      <c r="X216" s="3"/>
      <c r="Y216" s="3"/>
      <c r="Z216" s="3"/>
    </row>
    <row r="217" ht="15.75" hidden="1" customHeight="1">
      <c r="A217" s="4" t="s">
        <v>332</v>
      </c>
      <c r="B217" s="5" t="s">
        <v>24</v>
      </c>
      <c r="C217" s="5" t="s">
        <v>105</v>
      </c>
      <c r="D217" s="5" t="s">
        <v>170</v>
      </c>
      <c r="E217" s="6">
        <v>475000.0</v>
      </c>
      <c r="F217" s="6"/>
      <c r="G217" s="16"/>
      <c r="H217" s="7"/>
      <c r="I217" s="9"/>
      <c r="J217" s="5"/>
      <c r="K217" s="9"/>
      <c r="L217" s="5"/>
      <c r="M217" s="9"/>
      <c r="N217" s="10"/>
      <c r="O217" s="10" t="str">
        <f t="shared" si="1"/>
        <v/>
      </c>
      <c r="P217" s="11" t="str">
        <f t="shared" si="2"/>
        <v/>
      </c>
      <c r="Q217" s="12" t="str">
        <f t="shared" si="3"/>
        <v/>
      </c>
      <c r="R217" s="13" t="str">
        <f t="shared" si="4"/>
        <v/>
      </c>
      <c r="S217" s="3"/>
      <c r="T217" s="3"/>
      <c r="U217" s="3"/>
      <c r="V217" s="3"/>
      <c r="W217" s="3"/>
      <c r="X217" s="3"/>
      <c r="Y217" s="3"/>
      <c r="Z217" s="3"/>
    </row>
    <row r="218" ht="15.75" hidden="1" customHeight="1">
      <c r="A218" s="4" t="s">
        <v>333</v>
      </c>
      <c r="B218" s="5" t="s">
        <v>29</v>
      </c>
      <c r="C218" s="5" t="s">
        <v>169</v>
      </c>
      <c r="D218" s="5" t="s">
        <v>170</v>
      </c>
      <c r="E218" s="6">
        <v>405000.0</v>
      </c>
      <c r="F218" s="6"/>
      <c r="G218" s="16"/>
      <c r="H218" s="7"/>
      <c r="I218" s="9"/>
      <c r="J218" s="5"/>
      <c r="K218" s="9"/>
      <c r="L218" s="5"/>
      <c r="M218" s="9"/>
      <c r="N218" s="10"/>
      <c r="O218" s="10" t="str">
        <f t="shared" si="1"/>
        <v/>
      </c>
      <c r="P218" s="11" t="str">
        <f t="shared" si="2"/>
        <v/>
      </c>
      <c r="Q218" s="12" t="str">
        <f t="shared" si="3"/>
        <v/>
      </c>
      <c r="R218" s="13" t="str">
        <f t="shared" si="4"/>
        <v/>
      </c>
      <c r="S218" s="3"/>
      <c r="T218" s="3"/>
      <c r="U218" s="3"/>
      <c r="V218" s="3"/>
      <c r="W218" s="3"/>
      <c r="X218" s="3"/>
      <c r="Y218" s="3"/>
      <c r="Z218" s="3"/>
    </row>
    <row r="219" ht="15.75" hidden="1" customHeight="1">
      <c r="A219" s="4" t="s">
        <v>334</v>
      </c>
      <c r="B219" s="5" t="s">
        <v>24</v>
      </c>
      <c r="C219" s="5" t="s">
        <v>105</v>
      </c>
      <c r="D219" s="5" t="s">
        <v>170</v>
      </c>
      <c r="E219" s="6">
        <v>384000.0</v>
      </c>
      <c r="F219" s="6"/>
      <c r="G219" s="16"/>
      <c r="H219" s="7"/>
      <c r="I219" s="9"/>
      <c r="J219" s="5"/>
      <c r="K219" s="9"/>
      <c r="L219" s="5"/>
      <c r="M219" s="9"/>
      <c r="N219" s="10"/>
      <c r="O219" s="10" t="str">
        <f t="shared" si="1"/>
        <v/>
      </c>
      <c r="P219" s="11" t="str">
        <f t="shared" si="2"/>
        <v/>
      </c>
      <c r="Q219" s="12" t="str">
        <f t="shared" si="3"/>
        <v/>
      </c>
      <c r="R219" s="13" t="str">
        <f t="shared" si="4"/>
        <v/>
      </c>
      <c r="S219" s="3"/>
      <c r="T219" s="3"/>
      <c r="U219" s="3"/>
      <c r="V219" s="3"/>
      <c r="W219" s="3"/>
      <c r="X219" s="3"/>
      <c r="Y219" s="3"/>
      <c r="Z219" s="3"/>
    </row>
    <row r="220" ht="15.75" hidden="1" customHeight="1">
      <c r="A220" s="4" t="s">
        <v>335</v>
      </c>
      <c r="B220" s="5" t="s">
        <v>24</v>
      </c>
      <c r="C220" s="5" t="s">
        <v>105</v>
      </c>
      <c r="D220" s="5" t="s">
        <v>170</v>
      </c>
      <c r="E220" s="6">
        <v>366000.0</v>
      </c>
      <c r="F220" s="6"/>
      <c r="G220" s="16"/>
      <c r="H220" s="7"/>
      <c r="I220" s="9"/>
      <c r="J220" s="5"/>
      <c r="K220" s="9"/>
      <c r="L220" s="5"/>
      <c r="M220" s="9"/>
      <c r="N220" s="10"/>
      <c r="O220" s="10" t="str">
        <f t="shared" si="1"/>
        <v/>
      </c>
      <c r="P220" s="11" t="str">
        <f t="shared" si="2"/>
        <v/>
      </c>
      <c r="Q220" s="12" t="str">
        <f t="shared" si="3"/>
        <v/>
      </c>
      <c r="R220" s="13" t="str">
        <f t="shared" si="4"/>
        <v/>
      </c>
      <c r="S220" s="3"/>
      <c r="T220" s="3"/>
      <c r="U220" s="3"/>
      <c r="V220" s="3"/>
      <c r="W220" s="3"/>
      <c r="X220" s="3"/>
      <c r="Y220" s="3"/>
      <c r="Z220" s="3"/>
    </row>
    <row r="221" ht="15.75" hidden="1" customHeight="1">
      <c r="A221" s="4" t="s">
        <v>336</v>
      </c>
      <c r="B221" s="5" t="s">
        <v>24</v>
      </c>
      <c r="C221" s="5" t="s">
        <v>105</v>
      </c>
      <c r="D221" s="5" t="s">
        <v>170</v>
      </c>
      <c r="E221" s="6">
        <v>358000.0</v>
      </c>
      <c r="F221" s="6"/>
      <c r="G221" s="16"/>
      <c r="H221" s="7"/>
      <c r="I221" s="9"/>
      <c r="J221" s="5"/>
      <c r="K221" s="9"/>
      <c r="L221" s="5"/>
      <c r="M221" s="9"/>
      <c r="N221" s="10"/>
      <c r="O221" s="10" t="str">
        <f t="shared" si="1"/>
        <v/>
      </c>
      <c r="P221" s="11" t="str">
        <f t="shared" si="2"/>
        <v/>
      </c>
      <c r="Q221" s="12" t="str">
        <f t="shared" si="3"/>
        <v/>
      </c>
      <c r="R221" s="13" t="str">
        <f t="shared" si="4"/>
        <v/>
      </c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0" t="s">
        <v>337</v>
      </c>
      <c r="B222" s="5" t="s">
        <v>328</v>
      </c>
      <c r="C222" s="5"/>
      <c r="D222" s="5"/>
      <c r="E222" s="6"/>
      <c r="F222" s="6"/>
      <c r="G222" s="16"/>
      <c r="H222" s="7">
        <v>15000.0</v>
      </c>
      <c r="I222" s="9" t="s">
        <v>338</v>
      </c>
      <c r="J222" s="5"/>
      <c r="K222" s="9"/>
      <c r="L222" s="5"/>
      <c r="M222" s="9"/>
      <c r="N222" s="40" t="s">
        <v>339</v>
      </c>
      <c r="O222" s="10" t="str">
        <f t="shared" si="1"/>
        <v/>
      </c>
      <c r="P222" s="11" t="str">
        <f t="shared" si="2"/>
        <v/>
      </c>
      <c r="Q222" s="12" t="str">
        <f t="shared" si="3"/>
        <v/>
      </c>
      <c r="R222" s="13" t="str">
        <f t="shared" si="4"/>
        <v/>
      </c>
      <c r="S222" s="3"/>
      <c r="T222" s="3"/>
      <c r="U222" s="3"/>
      <c r="V222" s="3"/>
      <c r="W222" s="3"/>
      <c r="X222" s="3"/>
      <c r="Y222" s="3"/>
      <c r="Z222" s="3"/>
    </row>
    <row r="223" ht="15.75" hidden="1" customHeight="1">
      <c r="A223" s="4" t="s">
        <v>340</v>
      </c>
      <c r="B223" s="5" t="s">
        <v>24</v>
      </c>
      <c r="C223" s="5" t="s">
        <v>105</v>
      </c>
      <c r="D223" s="5" t="s">
        <v>170</v>
      </c>
      <c r="E223" s="6">
        <v>333000.0</v>
      </c>
      <c r="F223" s="6"/>
      <c r="G223" s="16"/>
      <c r="H223" s="7"/>
      <c r="I223" s="9"/>
      <c r="J223" s="5"/>
      <c r="K223" s="9"/>
      <c r="L223" s="5"/>
      <c r="M223" s="9"/>
      <c r="N223" s="10"/>
      <c r="O223" s="10" t="str">
        <f t="shared" si="1"/>
        <v/>
      </c>
      <c r="P223" s="11" t="str">
        <f t="shared" si="2"/>
        <v/>
      </c>
      <c r="Q223" s="12" t="str">
        <f t="shared" si="3"/>
        <v/>
      </c>
      <c r="R223" s="13" t="str">
        <f t="shared" si="4"/>
        <v/>
      </c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0" t="s">
        <v>341</v>
      </c>
      <c r="B224" s="5" t="s">
        <v>328</v>
      </c>
      <c r="C224" s="5"/>
      <c r="D224" s="5"/>
      <c r="E224" s="6"/>
      <c r="F224" s="6"/>
      <c r="G224" s="16"/>
      <c r="H224" s="7">
        <v>80000.0</v>
      </c>
      <c r="I224" s="44" t="s">
        <v>342</v>
      </c>
      <c r="J224" s="5"/>
      <c r="K224" s="9"/>
      <c r="L224" s="5"/>
      <c r="M224" s="9"/>
      <c r="N224" s="42" t="s">
        <v>343</v>
      </c>
      <c r="O224" s="10" t="str">
        <f t="shared" si="1"/>
        <v/>
      </c>
      <c r="P224" s="11" t="str">
        <f t="shared" si="2"/>
        <v/>
      </c>
      <c r="Q224" s="12" t="str">
        <f t="shared" si="3"/>
        <v/>
      </c>
      <c r="R224" s="13" t="str">
        <f t="shared" si="4"/>
        <v/>
      </c>
      <c r="S224" s="3"/>
      <c r="T224" s="3"/>
      <c r="U224" s="3"/>
      <c r="V224" s="3"/>
      <c r="W224" s="3"/>
      <c r="X224" s="3"/>
      <c r="Y224" s="3"/>
      <c r="Z224" s="3"/>
    </row>
    <row r="225" ht="15.75" hidden="1" customHeight="1">
      <c r="A225" s="4" t="s">
        <v>344</v>
      </c>
      <c r="B225" s="5" t="s">
        <v>24</v>
      </c>
      <c r="C225" s="5" t="s">
        <v>105</v>
      </c>
      <c r="D225" s="5" t="s">
        <v>170</v>
      </c>
      <c r="E225" s="6">
        <v>315000.0</v>
      </c>
      <c r="F225" s="6"/>
      <c r="G225" s="16"/>
      <c r="H225" s="7"/>
      <c r="I225" s="9"/>
      <c r="J225" s="5"/>
      <c r="K225" s="9"/>
      <c r="L225" s="5"/>
      <c r="M225" s="9"/>
      <c r="N225" s="10"/>
      <c r="O225" s="10" t="str">
        <f t="shared" si="1"/>
        <v/>
      </c>
      <c r="P225" s="11" t="str">
        <f t="shared" si="2"/>
        <v/>
      </c>
      <c r="Q225" s="12" t="str">
        <f t="shared" si="3"/>
        <v/>
      </c>
      <c r="R225" s="13" t="str">
        <f t="shared" si="4"/>
        <v/>
      </c>
      <c r="S225" s="3"/>
      <c r="T225" s="3"/>
      <c r="U225" s="3"/>
      <c r="V225" s="3"/>
      <c r="W225" s="3"/>
      <c r="X225" s="3"/>
      <c r="Y225" s="3"/>
      <c r="Z225" s="3"/>
    </row>
    <row r="226" ht="15.75" hidden="1" customHeight="1">
      <c r="A226" s="4" t="s">
        <v>345</v>
      </c>
      <c r="B226" s="5" t="s">
        <v>24</v>
      </c>
      <c r="C226" s="5" t="s">
        <v>105</v>
      </c>
      <c r="D226" s="5" t="s">
        <v>170</v>
      </c>
      <c r="E226" s="6">
        <v>310000.0</v>
      </c>
      <c r="F226" s="6"/>
      <c r="G226" s="16"/>
      <c r="H226" s="7"/>
      <c r="I226" s="9"/>
      <c r="J226" s="5"/>
      <c r="K226" s="9"/>
      <c r="L226" s="5"/>
      <c r="M226" s="9"/>
      <c r="N226" s="10"/>
      <c r="O226" s="10" t="str">
        <f t="shared" si="1"/>
        <v/>
      </c>
      <c r="P226" s="11" t="str">
        <f t="shared" si="2"/>
        <v/>
      </c>
      <c r="Q226" s="12" t="str">
        <f t="shared" si="3"/>
        <v/>
      </c>
      <c r="R226" s="13" t="str">
        <f t="shared" si="4"/>
        <v/>
      </c>
      <c r="S226" s="3"/>
      <c r="T226" s="3"/>
      <c r="U226" s="3"/>
      <c r="V226" s="3"/>
      <c r="W226" s="3"/>
      <c r="X226" s="3"/>
      <c r="Y226" s="3"/>
      <c r="Z226" s="3"/>
    </row>
    <row r="227" ht="15.75" hidden="1" customHeight="1">
      <c r="A227" s="4" t="s">
        <v>346</v>
      </c>
      <c r="B227" s="5" t="s">
        <v>24</v>
      </c>
      <c r="C227" s="5" t="s">
        <v>105</v>
      </c>
      <c r="D227" s="5" t="s">
        <v>170</v>
      </c>
      <c r="E227" s="6">
        <v>302000.0</v>
      </c>
      <c r="F227" s="6"/>
      <c r="G227" s="16"/>
      <c r="H227" s="7"/>
      <c r="I227" s="9"/>
      <c r="J227" s="5"/>
      <c r="K227" s="9"/>
      <c r="L227" s="5"/>
      <c r="M227" s="9"/>
      <c r="N227" s="10"/>
      <c r="O227" s="10" t="str">
        <f t="shared" si="1"/>
        <v/>
      </c>
      <c r="P227" s="11" t="str">
        <f t="shared" si="2"/>
        <v/>
      </c>
      <c r="Q227" s="12" t="str">
        <f t="shared" si="3"/>
        <v/>
      </c>
      <c r="R227" s="13" t="str">
        <f t="shared" si="4"/>
        <v/>
      </c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45" t="s">
        <v>347</v>
      </c>
      <c r="B228" s="5" t="s">
        <v>24</v>
      </c>
      <c r="C228" s="5"/>
      <c r="D228" s="5"/>
      <c r="E228" s="6"/>
      <c r="F228" s="6"/>
      <c r="G228" s="16"/>
      <c r="H228" s="7">
        <v>25000.0</v>
      </c>
      <c r="I228" s="45" t="s">
        <v>348</v>
      </c>
      <c r="J228" s="5"/>
      <c r="K228" s="9"/>
      <c r="L228" s="5"/>
      <c r="M228" s="9"/>
      <c r="N228" s="40" t="s">
        <v>349</v>
      </c>
      <c r="O228" s="10" t="str">
        <f t="shared" si="1"/>
        <v/>
      </c>
      <c r="P228" s="11" t="str">
        <f t="shared" si="2"/>
        <v/>
      </c>
      <c r="Q228" s="12" t="str">
        <f t="shared" si="3"/>
        <v/>
      </c>
      <c r="R228" s="13" t="str">
        <f t="shared" si="4"/>
        <v/>
      </c>
      <c r="S228" s="3"/>
      <c r="T228" s="3"/>
      <c r="U228" s="3"/>
      <c r="V228" s="3"/>
      <c r="W228" s="3"/>
      <c r="X228" s="3"/>
      <c r="Y228" s="3"/>
      <c r="Z228" s="3"/>
    </row>
    <row r="229" ht="15.75" hidden="1" customHeight="1">
      <c r="A229" s="4" t="s">
        <v>350</v>
      </c>
      <c r="B229" s="5" t="s">
        <v>24</v>
      </c>
      <c r="C229" s="5" t="s">
        <v>105</v>
      </c>
      <c r="D229" s="5" t="s">
        <v>170</v>
      </c>
      <c r="E229" s="6">
        <v>287000.0</v>
      </c>
      <c r="F229" s="6"/>
      <c r="G229" s="16"/>
      <c r="H229" s="7"/>
      <c r="I229" s="9"/>
      <c r="J229" s="5"/>
      <c r="K229" s="9"/>
      <c r="L229" s="5"/>
      <c r="M229" s="9"/>
      <c r="N229" s="10"/>
      <c r="O229" s="10" t="str">
        <f t="shared" si="1"/>
        <v/>
      </c>
      <c r="P229" s="11" t="str">
        <f t="shared" si="2"/>
        <v/>
      </c>
      <c r="Q229" s="12" t="str">
        <f t="shared" si="3"/>
        <v/>
      </c>
      <c r="R229" s="13" t="str">
        <f t="shared" si="4"/>
        <v/>
      </c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0" t="s">
        <v>351</v>
      </c>
      <c r="B230" s="5" t="s">
        <v>24</v>
      </c>
      <c r="C230" s="5"/>
      <c r="D230" s="5"/>
      <c r="E230" s="6"/>
      <c r="F230" s="6"/>
      <c r="G230" s="16"/>
      <c r="H230" s="7">
        <v>25000.0</v>
      </c>
      <c r="I230" s="9" t="s">
        <v>352</v>
      </c>
      <c r="J230" s="5"/>
      <c r="K230" s="9"/>
      <c r="L230" s="5"/>
      <c r="M230" s="9"/>
      <c r="N230" s="10"/>
      <c r="O230" s="10" t="str">
        <f t="shared" si="1"/>
        <v/>
      </c>
      <c r="P230" s="11" t="str">
        <f t="shared" si="2"/>
        <v/>
      </c>
      <c r="Q230" s="12" t="str">
        <f t="shared" si="3"/>
        <v/>
      </c>
      <c r="R230" s="13" t="str">
        <f t="shared" si="4"/>
        <v/>
      </c>
      <c r="S230" s="3"/>
      <c r="T230" s="3"/>
      <c r="U230" s="3"/>
      <c r="V230" s="3"/>
      <c r="W230" s="3"/>
      <c r="X230" s="3"/>
      <c r="Y230" s="3"/>
      <c r="Z230" s="3"/>
    </row>
    <row r="231" ht="15.75" hidden="1" customHeight="1">
      <c r="A231" s="4" t="s">
        <v>353</v>
      </c>
      <c r="B231" s="5" t="s">
        <v>24</v>
      </c>
      <c r="C231" s="5" t="s">
        <v>105</v>
      </c>
      <c r="D231" s="5" t="s">
        <v>170</v>
      </c>
      <c r="E231" s="6">
        <v>255000.0</v>
      </c>
      <c r="F231" s="6"/>
      <c r="G231" s="16"/>
      <c r="H231" s="7"/>
      <c r="I231" s="9"/>
      <c r="J231" s="5"/>
      <c r="K231" s="9"/>
      <c r="L231" s="5"/>
      <c r="M231" s="9"/>
      <c r="N231" s="10"/>
      <c r="O231" s="10" t="str">
        <f t="shared" si="1"/>
        <v/>
      </c>
      <c r="P231" s="11" t="str">
        <f t="shared" si="2"/>
        <v/>
      </c>
      <c r="Q231" s="12" t="str">
        <f t="shared" si="3"/>
        <v/>
      </c>
      <c r="R231" s="13" t="str">
        <f t="shared" si="4"/>
        <v/>
      </c>
      <c r="S231" s="3"/>
      <c r="T231" s="3"/>
      <c r="U231" s="3"/>
      <c r="V231" s="3"/>
      <c r="W231" s="3"/>
      <c r="X231" s="3"/>
      <c r="Y231" s="3"/>
      <c r="Z231" s="3"/>
    </row>
    <row r="232" ht="15.75" hidden="1" customHeight="1">
      <c r="A232" s="4" t="s">
        <v>354</v>
      </c>
      <c r="B232" s="5" t="s">
        <v>24</v>
      </c>
      <c r="C232" s="5" t="s">
        <v>105</v>
      </c>
      <c r="D232" s="5" t="s">
        <v>170</v>
      </c>
      <c r="E232" s="6">
        <v>249000.0</v>
      </c>
      <c r="F232" s="6"/>
      <c r="G232" s="16"/>
      <c r="H232" s="7"/>
      <c r="I232" s="9"/>
      <c r="J232" s="5"/>
      <c r="K232" s="9"/>
      <c r="L232" s="5"/>
      <c r="M232" s="9"/>
      <c r="N232" s="10"/>
      <c r="O232" s="10" t="str">
        <f t="shared" si="1"/>
        <v/>
      </c>
      <c r="P232" s="11" t="str">
        <f t="shared" si="2"/>
        <v/>
      </c>
      <c r="Q232" s="12" t="str">
        <f t="shared" si="3"/>
        <v/>
      </c>
      <c r="R232" s="13" t="str">
        <f t="shared" si="4"/>
        <v/>
      </c>
      <c r="S232" s="3"/>
      <c r="T232" s="3"/>
      <c r="U232" s="3"/>
      <c r="V232" s="3"/>
      <c r="W232" s="3"/>
      <c r="X232" s="3"/>
      <c r="Y232" s="3"/>
      <c r="Z232" s="3"/>
    </row>
    <row r="233" ht="15.75" hidden="1" customHeight="1">
      <c r="A233" s="4" t="s">
        <v>355</v>
      </c>
      <c r="B233" s="5" t="s">
        <v>24</v>
      </c>
      <c r="C233" s="5" t="s">
        <v>105</v>
      </c>
      <c r="D233" s="5" t="s">
        <v>170</v>
      </c>
      <c r="E233" s="6">
        <v>236000.0</v>
      </c>
      <c r="F233" s="6"/>
      <c r="G233" s="16"/>
      <c r="H233" s="7"/>
      <c r="I233" s="9"/>
      <c r="J233" s="5"/>
      <c r="K233" s="9"/>
      <c r="L233" s="5"/>
      <c r="M233" s="9"/>
      <c r="N233" s="10"/>
      <c r="O233" s="10" t="str">
        <f t="shared" si="1"/>
        <v/>
      </c>
      <c r="P233" s="11" t="str">
        <f t="shared" si="2"/>
        <v/>
      </c>
      <c r="Q233" s="12" t="str">
        <f t="shared" si="3"/>
        <v/>
      </c>
      <c r="R233" s="13" t="str">
        <f t="shared" si="4"/>
        <v/>
      </c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0" t="s">
        <v>356</v>
      </c>
      <c r="B234" s="5" t="s">
        <v>24</v>
      </c>
      <c r="C234" s="5"/>
      <c r="D234" s="5"/>
      <c r="E234" s="6"/>
      <c r="F234" s="6"/>
      <c r="G234" s="16"/>
      <c r="H234" s="7">
        <v>25000.0</v>
      </c>
      <c r="I234" s="3" t="s">
        <v>357</v>
      </c>
      <c r="J234" s="5"/>
      <c r="K234" s="9"/>
      <c r="L234" s="5"/>
      <c r="M234" s="9"/>
      <c r="N234" s="40" t="s">
        <v>358</v>
      </c>
      <c r="O234" s="10" t="str">
        <f t="shared" si="1"/>
        <v/>
      </c>
      <c r="P234" s="11" t="str">
        <f t="shared" si="2"/>
        <v/>
      </c>
      <c r="Q234" s="12" t="str">
        <f t="shared" si="3"/>
        <v/>
      </c>
      <c r="R234" s="13" t="str">
        <f t="shared" si="4"/>
        <v/>
      </c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0" t="s">
        <v>359</v>
      </c>
      <c r="B235" s="5" t="s">
        <v>328</v>
      </c>
      <c r="C235" s="5"/>
      <c r="D235" s="5"/>
      <c r="E235" s="6"/>
      <c r="F235" s="6"/>
      <c r="G235" s="16"/>
      <c r="H235" s="7">
        <v>5000.0</v>
      </c>
      <c r="I235" s="9" t="s">
        <v>360</v>
      </c>
      <c r="J235" s="5"/>
      <c r="K235" s="9"/>
      <c r="L235" s="5"/>
      <c r="M235" s="9"/>
      <c r="N235" s="10" t="s">
        <v>361</v>
      </c>
      <c r="O235" s="10" t="str">
        <f t="shared" si="1"/>
        <v/>
      </c>
      <c r="P235" s="11" t="str">
        <f t="shared" si="2"/>
        <v/>
      </c>
      <c r="Q235" s="12" t="str">
        <f t="shared" si="3"/>
        <v/>
      </c>
      <c r="R235" s="13" t="str">
        <f t="shared" si="4"/>
        <v/>
      </c>
      <c r="S235" s="3"/>
      <c r="T235" s="3"/>
      <c r="U235" s="3"/>
      <c r="V235" s="3"/>
      <c r="W235" s="3"/>
      <c r="X235" s="3"/>
      <c r="Y235" s="3"/>
      <c r="Z235" s="3"/>
    </row>
    <row r="236" ht="15.75" hidden="1" customHeight="1">
      <c r="A236" s="4" t="s">
        <v>362</v>
      </c>
      <c r="B236" s="5" t="s">
        <v>24</v>
      </c>
      <c r="C236" s="5" t="s">
        <v>105</v>
      </c>
      <c r="D236" s="5" t="s">
        <v>170</v>
      </c>
      <c r="E236" s="6">
        <v>218000.0</v>
      </c>
      <c r="F236" s="6"/>
      <c r="G236" s="16"/>
      <c r="H236" s="7"/>
      <c r="I236" s="9"/>
      <c r="J236" s="5"/>
      <c r="K236" s="9"/>
      <c r="L236" s="5"/>
      <c r="M236" s="9"/>
      <c r="N236" s="10"/>
      <c r="O236" s="10" t="str">
        <f t="shared" si="1"/>
        <v/>
      </c>
      <c r="P236" s="11" t="str">
        <f t="shared" si="2"/>
        <v/>
      </c>
      <c r="Q236" s="12" t="str">
        <f t="shared" si="3"/>
        <v/>
      </c>
      <c r="R236" s="13" t="str">
        <f t="shared" si="4"/>
        <v/>
      </c>
      <c r="S236" s="3"/>
      <c r="T236" s="3"/>
      <c r="U236" s="3"/>
      <c r="V236" s="3"/>
      <c r="W236" s="3"/>
      <c r="X236" s="3"/>
      <c r="Y236" s="3"/>
      <c r="Z236" s="3"/>
    </row>
    <row r="237" ht="15.75" hidden="1" customHeight="1">
      <c r="A237" s="4" t="s">
        <v>363</v>
      </c>
      <c r="B237" s="5" t="s">
        <v>29</v>
      </c>
      <c r="C237" s="5" t="s">
        <v>169</v>
      </c>
      <c r="D237" s="5" t="s">
        <v>170</v>
      </c>
      <c r="E237" s="6">
        <v>214000.0</v>
      </c>
      <c r="F237" s="6"/>
      <c r="G237" s="16"/>
      <c r="H237" s="7"/>
      <c r="I237" s="9"/>
      <c r="J237" s="5"/>
      <c r="K237" s="9"/>
      <c r="L237" s="5"/>
      <c r="M237" s="9"/>
      <c r="N237" s="10"/>
      <c r="O237" s="10" t="str">
        <f t="shared" si="1"/>
        <v/>
      </c>
      <c r="P237" s="11" t="str">
        <f t="shared" si="2"/>
        <v/>
      </c>
      <c r="Q237" s="12" t="str">
        <f t="shared" si="3"/>
        <v/>
      </c>
      <c r="R237" s="13" t="str">
        <f t="shared" si="4"/>
        <v/>
      </c>
      <c r="S237" s="3"/>
      <c r="T237" s="3"/>
      <c r="U237" s="3"/>
      <c r="V237" s="3"/>
      <c r="W237" s="3"/>
      <c r="X237" s="3"/>
      <c r="Y237" s="3"/>
      <c r="Z237" s="3"/>
    </row>
    <row r="238" ht="15.75" hidden="1" customHeight="1">
      <c r="A238" s="4" t="s">
        <v>364</v>
      </c>
      <c r="B238" s="5" t="s">
        <v>24</v>
      </c>
      <c r="C238" s="5" t="s">
        <v>105</v>
      </c>
      <c r="D238" s="5" t="s">
        <v>170</v>
      </c>
      <c r="E238" s="6">
        <v>199000.0</v>
      </c>
      <c r="F238" s="6"/>
      <c r="G238" s="16"/>
      <c r="H238" s="7"/>
      <c r="I238" s="9"/>
      <c r="J238" s="5"/>
      <c r="K238" s="9"/>
      <c r="L238" s="5"/>
      <c r="M238" s="9"/>
      <c r="N238" s="10"/>
      <c r="O238" s="10" t="str">
        <f t="shared" si="1"/>
        <v/>
      </c>
      <c r="P238" s="11" t="str">
        <f t="shared" si="2"/>
        <v/>
      </c>
      <c r="Q238" s="12" t="str">
        <f t="shared" si="3"/>
        <v/>
      </c>
      <c r="R238" s="13" t="str">
        <f t="shared" si="4"/>
        <v/>
      </c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4" t="s">
        <v>365</v>
      </c>
      <c r="B239" s="5" t="s">
        <v>244</v>
      </c>
      <c r="C239" s="5"/>
      <c r="D239" s="5"/>
      <c r="E239" s="6">
        <v>17200.0</v>
      </c>
      <c r="F239" s="6">
        <v>15000.0</v>
      </c>
      <c r="G239" s="16"/>
      <c r="H239" s="7">
        <v>5000.0</v>
      </c>
      <c r="I239" s="9"/>
      <c r="J239" s="5"/>
      <c r="K239" s="9"/>
      <c r="L239" s="5"/>
      <c r="M239" s="9"/>
      <c r="N239" s="10"/>
      <c r="O239" s="10">
        <f t="shared" si="1"/>
        <v>0.33</v>
      </c>
      <c r="P239" s="11">
        <f t="shared" si="2"/>
        <v>333</v>
      </c>
      <c r="Q239" s="12">
        <f t="shared" si="3"/>
        <v>75</v>
      </c>
      <c r="R239" s="13" t="str">
        <f t="shared" si="4"/>
        <v>Высокий</v>
      </c>
      <c r="S239" s="3"/>
      <c r="T239" s="3"/>
      <c r="U239" s="3"/>
      <c r="V239" s="3"/>
      <c r="W239" s="3"/>
      <c r="X239" s="3"/>
      <c r="Y239" s="3"/>
      <c r="Z239" s="3"/>
    </row>
    <row r="240" ht="15.75" hidden="1" customHeight="1">
      <c r="A240" s="4" t="s">
        <v>366</v>
      </c>
      <c r="B240" s="5" t="s">
        <v>24</v>
      </c>
      <c r="C240" s="5" t="s">
        <v>105</v>
      </c>
      <c r="D240" s="5" t="s">
        <v>170</v>
      </c>
      <c r="E240" s="6">
        <v>190000.0</v>
      </c>
      <c r="F240" s="6"/>
      <c r="G240" s="16"/>
      <c r="H240" s="7"/>
      <c r="I240" s="9"/>
      <c r="J240" s="5"/>
      <c r="K240" s="9"/>
      <c r="L240" s="5"/>
      <c r="M240" s="9"/>
      <c r="N240" s="10"/>
      <c r="O240" s="10" t="str">
        <f t="shared" si="1"/>
        <v/>
      </c>
      <c r="P240" s="11" t="str">
        <f t="shared" si="2"/>
        <v/>
      </c>
      <c r="Q240" s="12" t="str">
        <f t="shared" si="3"/>
        <v/>
      </c>
      <c r="R240" s="13" t="str">
        <f t="shared" si="4"/>
        <v/>
      </c>
      <c r="S240" s="3"/>
      <c r="T240" s="3"/>
      <c r="U240" s="3"/>
      <c r="V240" s="3"/>
      <c r="W240" s="3"/>
      <c r="X240" s="3"/>
      <c r="Y240" s="3"/>
      <c r="Z240" s="3"/>
    </row>
    <row r="241" ht="15.75" hidden="1" customHeight="1">
      <c r="A241" s="4" t="s">
        <v>367</v>
      </c>
      <c r="B241" s="5" t="s">
        <v>24</v>
      </c>
      <c r="C241" s="5" t="s">
        <v>105</v>
      </c>
      <c r="D241" s="5" t="s">
        <v>170</v>
      </c>
      <c r="E241" s="6">
        <v>178000.0</v>
      </c>
      <c r="F241" s="6"/>
      <c r="G241" s="16"/>
      <c r="H241" s="7"/>
      <c r="I241" s="9"/>
      <c r="J241" s="5"/>
      <c r="K241" s="9"/>
      <c r="L241" s="5"/>
      <c r="M241" s="9"/>
      <c r="N241" s="10"/>
      <c r="O241" s="10" t="str">
        <f t="shared" si="1"/>
        <v/>
      </c>
      <c r="P241" s="11" t="str">
        <f t="shared" si="2"/>
        <v/>
      </c>
      <c r="Q241" s="12" t="str">
        <f t="shared" si="3"/>
        <v/>
      </c>
      <c r="R241" s="13" t="str">
        <f t="shared" si="4"/>
        <v/>
      </c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41" t="s">
        <v>368</v>
      </c>
      <c r="B242" s="5" t="s">
        <v>297</v>
      </c>
      <c r="C242" s="5"/>
      <c r="D242" s="5"/>
      <c r="E242" s="6">
        <v>7483.0</v>
      </c>
      <c r="F242" s="6">
        <v>5000.0</v>
      </c>
      <c r="G242" s="16"/>
      <c r="H242" s="7">
        <v>1000.0</v>
      </c>
      <c r="I242" s="9" t="s">
        <v>369</v>
      </c>
      <c r="J242" s="5"/>
      <c r="K242" s="9"/>
      <c r="L242" s="5"/>
      <c r="M242" s="9"/>
      <c r="N242" s="40" t="s">
        <v>370</v>
      </c>
      <c r="O242" s="10">
        <f t="shared" si="1"/>
        <v>0.2</v>
      </c>
      <c r="P242" s="11">
        <f t="shared" si="2"/>
        <v>200</v>
      </c>
      <c r="Q242" s="12">
        <f t="shared" si="3"/>
        <v>60</v>
      </c>
      <c r="R242" s="13" t="str">
        <f t="shared" si="4"/>
        <v>Средний</v>
      </c>
      <c r="S242" s="3"/>
      <c r="T242" s="3"/>
      <c r="U242" s="3"/>
      <c r="V242" s="3"/>
      <c r="W242" s="3"/>
      <c r="X242" s="3"/>
      <c r="Y242" s="3"/>
      <c r="Z242" s="3"/>
    </row>
    <row r="243" ht="15.75" hidden="1" customHeight="1">
      <c r="A243" s="4" t="s">
        <v>371</v>
      </c>
      <c r="B243" s="5" t="s">
        <v>24</v>
      </c>
      <c r="C243" s="5" t="s">
        <v>105</v>
      </c>
      <c r="D243" s="5" t="s">
        <v>170</v>
      </c>
      <c r="E243" s="6">
        <v>174000.0</v>
      </c>
      <c r="F243" s="6"/>
      <c r="G243" s="16"/>
      <c r="H243" s="7"/>
      <c r="I243" s="9"/>
      <c r="J243" s="5"/>
      <c r="K243" s="9"/>
      <c r="L243" s="5"/>
      <c r="M243" s="9"/>
      <c r="N243" s="10"/>
      <c r="O243" s="10" t="str">
        <f t="shared" si="1"/>
        <v/>
      </c>
      <c r="P243" s="11" t="str">
        <f t="shared" si="2"/>
        <v/>
      </c>
      <c r="Q243" s="12" t="str">
        <f t="shared" si="3"/>
        <v/>
      </c>
      <c r="R243" s="13" t="str">
        <f t="shared" si="4"/>
        <v/>
      </c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4" t="s">
        <v>365</v>
      </c>
      <c r="B244" s="5" t="s">
        <v>24</v>
      </c>
      <c r="C244" s="5"/>
      <c r="D244" s="5"/>
      <c r="E244" s="6">
        <v>90400.0</v>
      </c>
      <c r="F244" s="6">
        <v>40000.0</v>
      </c>
      <c r="G244" s="16"/>
      <c r="H244" s="7">
        <v>24000.0</v>
      </c>
      <c r="I244" s="9"/>
      <c r="J244" s="5"/>
      <c r="K244" s="9"/>
      <c r="L244" s="5"/>
      <c r="M244" s="9"/>
      <c r="N244" s="10"/>
      <c r="O244" s="10">
        <f t="shared" si="1"/>
        <v>0.6</v>
      </c>
      <c r="P244" s="11">
        <f t="shared" si="2"/>
        <v>600</v>
      </c>
      <c r="Q244" s="12">
        <f t="shared" si="3"/>
        <v>65</v>
      </c>
      <c r="R244" s="13" t="str">
        <f t="shared" si="4"/>
        <v>Средний</v>
      </c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4" t="s">
        <v>351</v>
      </c>
      <c r="B245" s="5" t="s">
        <v>24</v>
      </c>
      <c r="C245" s="5"/>
      <c r="D245" s="5"/>
      <c r="E245" s="6">
        <v>11400.0</v>
      </c>
      <c r="F245" s="6">
        <v>61000.0</v>
      </c>
      <c r="G245" s="16"/>
      <c r="H245" s="7">
        <v>15000.0</v>
      </c>
      <c r="I245" s="9"/>
      <c r="J245" s="5"/>
      <c r="K245" s="9"/>
      <c r="L245" s="5"/>
      <c r="M245" s="9"/>
      <c r="N245" s="10"/>
      <c r="O245" s="10">
        <f t="shared" si="1"/>
        <v>0.25</v>
      </c>
      <c r="P245" s="11">
        <f t="shared" si="2"/>
        <v>246</v>
      </c>
      <c r="Q245" s="12">
        <f t="shared" si="3"/>
        <v>85</v>
      </c>
      <c r="R245" s="13" t="str">
        <f t="shared" si="4"/>
        <v>Высокий</v>
      </c>
      <c r="S245" s="3"/>
      <c r="T245" s="3"/>
      <c r="U245" s="3"/>
      <c r="V245" s="3"/>
      <c r="W245" s="3"/>
      <c r="X245" s="3"/>
      <c r="Y245" s="3"/>
      <c r="Z245" s="3"/>
    </row>
    <row r="246" ht="15.75" hidden="1" customHeight="1">
      <c r="A246" s="4" t="s">
        <v>372</v>
      </c>
      <c r="B246" s="5" t="s">
        <v>29</v>
      </c>
      <c r="C246" s="5" t="s">
        <v>169</v>
      </c>
      <c r="D246" s="5" t="s">
        <v>170</v>
      </c>
      <c r="E246" s="6">
        <v>156000.0</v>
      </c>
      <c r="F246" s="6"/>
      <c r="G246" s="16"/>
      <c r="H246" s="7"/>
      <c r="I246" s="9"/>
      <c r="J246" s="5"/>
      <c r="K246" s="9"/>
      <c r="L246" s="5"/>
      <c r="M246" s="9"/>
      <c r="N246" s="10"/>
      <c r="O246" s="10" t="str">
        <f t="shared" si="1"/>
        <v/>
      </c>
      <c r="P246" s="11" t="str">
        <f t="shared" si="2"/>
        <v/>
      </c>
      <c r="Q246" s="12" t="str">
        <f t="shared" si="3"/>
        <v/>
      </c>
      <c r="R246" s="13" t="str">
        <f t="shared" si="4"/>
        <v/>
      </c>
      <c r="S246" s="3"/>
      <c r="T246" s="3"/>
      <c r="U246" s="3"/>
      <c r="V246" s="3"/>
      <c r="W246" s="3"/>
      <c r="X246" s="3"/>
      <c r="Y246" s="3"/>
      <c r="Z246" s="3"/>
    </row>
    <row r="247" ht="15.75" hidden="1" customHeight="1">
      <c r="A247" s="4" t="s">
        <v>373</v>
      </c>
      <c r="B247" s="5" t="s">
        <v>24</v>
      </c>
      <c r="C247" s="5" t="s">
        <v>105</v>
      </c>
      <c r="D247" s="5" t="s">
        <v>170</v>
      </c>
      <c r="E247" s="6">
        <v>150000.0</v>
      </c>
      <c r="F247" s="6"/>
      <c r="G247" s="16"/>
      <c r="H247" s="7"/>
      <c r="I247" s="9"/>
      <c r="J247" s="5"/>
      <c r="K247" s="9"/>
      <c r="L247" s="5"/>
      <c r="M247" s="9"/>
      <c r="N247" s="10"/>
      <c r="O247" s="10" t="str">
        <f t="shared" si="1"/>
        <v/>
      </c>
      <c r="P247" s="11" t="str">
        <f t="shared" si="2"/>
        <v/>
      </c>
      <c r="Q247" s="12" t="str">
        <f t="shared" si="3"/>
        <v/>
      </c>
      <c r="R247" s="13" t="str">
        <f t="shared" si="4"/>
        <v/>
      </c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4" t="s">
        <v>351</v>
      </c>
      <c r="B248" s="5" t="s">
        <v>244</v>
      </c>
      <c r="C248" s="5"/>
      <c r="D248" s="5"/>
      <c r="E248" s="6">
        <v>7100.0</v>
      </c>
      <c r="F248" s="6">
        <v>18700.0</v>
      </c>
      <c r="G248" s="16"/>
      <c r="H248" s="7">
        <v>5000.0</v>
      </c>
      <c r="I248" s="9"/>
      <c r="J248" s="5"/>
      <c r="K248" s="9"/>
      <c r="L248" s="5"/>
      <c r="M248" s="9"/>
      <c r="N248" s="10"/>
      <c r="O248" s="10">
        <f t="shared" si="1"/>
        <v>0.27</v>
      </c>
      <c r="P248" s="11">
        <f t="shared" si="2"/>
        <v>267</v>
      </c>
      <c r="Q248" s="12">
        <f t="shared" si="3"/>
        <v>75</v>
      </c>
      <c r="R248" s="13" t="str">
        <f t="shared" si="4"/>
        <v>Высокий</v>
      </c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4" t="s">
        <v>351</v>
      </c>
      <c r="B249" s="5" t="s">
        <v>297</v>
      </c>
      <c r="C249" s="5"/>
      <c r="D249" s="5"/>
      <c r="E249" s="6">
        <v>2389.0</v>
      </c>
      <c r="F249" s="6">
        <v>16500.0</v>
      </c>
      <c r="G249" s="16"/>
      <c r="H249" s="7">
        <v>5000.0</v>
      </c>
      <c r="I249" s="9"/>
      <c r="J249" s="5"/>
      <c r="K249" s="9"/>
      <c r="L249" s="5"/>
      <c r="M249" s="9"/>
      <c r="N249" s="10"/>
      <c r="O249" s="10">
        <f t="shared" si="1"/>
        <v>0.3</v>
      </c>
      <c r="P249" s="11">
        <f t="shared" si="2"/>
        <v>303</v>
      </c>
      <c r="Q249" s="12">
        <f t="shared" si="3"/>
        <v>75</v>
      </c>
      <c r="R249" s="13" t="str">
        <f t="shared" si="4"/>
        <v>Высокий</v>
      </c>
      <c r="S249" s="3"/>
      <c r="T249" s="3"/>
      <c r="U249" s="3"/>
      <c r="V249" s="3"/>
      <c r="W249" s="3"/>
      <c r="X249" s="3"/>
      <c r="Y249" s="3"/>
      <c r="Z249" s="3"/>
    </row>
    <row r="250" ht="15.75" hidden="1" customHeight="1">
      <c r="A250" s="4" t="s">
        <v>374</v>
      </c>
      <c r="B250" s="5" t="s">
        <v>24</v>
      </c>
      <c r="C250" s="5" t="s">
        <v>105</v>
      </c>
      <c r="D250" s="5" t="s">
        <v>170</v>
      </c>
      <c r="E250" s="6">
        <v>127000.0</v>
      </c>
      <c r="F250" s="6"/>
      <c r="G250" s="16"/>
      <c r="H250" s="7"/>
      <c r="I250" s="9"/>
      <c r="J250" s="5"/>
      <c r="K250" s="9"/>
      <c r="L250" s="5"/>
      <c r="M250" s="9"/>
      <c r="N250" s="10"/>
      <c r="O250" s="10" t="str">
        <f t="shared" si="1"/>
        <v/>
      </c>
      <c r="P250" s="11" t="str">
        <f t="shared" si="2"/>
        <v/>
      </c>
      <c r="Q250" s="12" t="str">
        <f t="shared" si="3"/>
        <v/>
      </c>
      <c r="R250" s="13" t="str">
        <f t="shared" si="4"/>
        <v/>
      </c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0" t="s">
        <v>375</v>
      </c>
      <c r="B251" s="5" t="s">
        <v>376</v>
      </c>
      <c r="C251" s="5"/>
      <c r="D251" s="5"/>
      <c r="E251" s="6"/>
      <c r="F251" s="6"/>
      <c r="G251" s="16"/>
      <c r="H251" s="43" t="s">
        <v>377</v>
      </c>
      <c r="I251" s="46" t="s">
        <v>378</v>
      </c>
      <c r="J251" s="5"/>
      <c r="K251" s="9"/>
      <c r="L251" s="5"/>
      <c r="M251" s="9"/>
      <c r="N251" s="42" t="s">
        <v>379</v>
      </c>
      <c r="O251" s="10" t="str">
        <f t="shared" si="1"/>
        <v/>
      </c>
      <c r="P251" s="11" t="str">
        <f t="shared" si="2"/>
        <v/>
      </c>
      <c r="Q251" s="12" t="str">
        <f t="shared" si="3"/>
        <v/>
      </c>
      <c r="R251" s="13" t="str">
        <f t="shared" si="4"/>
        <v/>
      </c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0" t="s">
        <v>380</v>
      </c>
      <c r="B252" s="5" t="s">
        <v>24</v>
      </c>
      <c r="C252" s="5"/>
      <c r="D252" s="5"/>
      <c r="E252" s="6"/>
      <c r="F252" s="6"/>
      <c r="G252" s="16"/>
      <c r="H252" s="7">
        <v>150000.0</v>
      </c>
      <c r="I252" s="9" t="s">
        <v>381</v>
      </c>
      <c r="J252" s="5"/>
      <c r="K252" s="9"/>
      <c r="L252" s="5"/>
      <c r="M252" s="9"/>
      <c r="N252" s="10"/>
      <c r="O252" s="10" t="str">
        <f t="shared" si="1"/>
        <v/>
      </c>
      <c r="P252" s="11" t="str">
        <f t="shared" si="2"/>
        <v/>
      </c>
      <c r="Q252" s="12" t="str">
        <f t="shared" si="3"/>
        <v/>
      </c>
      <c r="R252" s="13" t="str">
        <f t="shared" si="4"/>
        <v/>
      </c>
      <c r="S252" s="3"/>
      <c r="T252" s="3"/>
      <c r="U252" s="3"/>
      <c r="V252" s="3"/>
      <c r="W252" s="3"/>
      <c r="X252" s="3"/>
      <c r="Y252" s="3"/>
      <c r="Z252" s="3"/>
    </row>
    <row r="253" ht="15.75" hidden="1" customHeight="1">
      <c r="A253" s="4" t="s">
        <v>382</v>
      </c>
      <c r="B253" s="5" t="s">
        <v>24</v>
      </c>
      <c r="C253" s="5" t="s">
        <v>105</v>
      </c>
      <c r="D253" s="5" t="s">
        <v>170</v>
      </c>
      <c r="E253" s="6">
        <v>122000.0</v>
      </c>
      <c r="F253" s="6"/>
      <c r="G253" s="16"/>
      <c r="H253" s="7"/>
      <c r="I253" s="9"/>
      <c r="J253" s="5"/>
      <c r="K253" s="9"/>
      <c r="L253" s="5"/>
      <c r="M253" s="9"/>
      <c r="N253" s="10"/>
      <c r="O253" s="10" t="str">
        <f t="shared" si="1"/>
        <v/>
      </c>
      <c r="P253" s="11" t="str">
        <f t="shared" si="2"/>
        <v/>
      </c>
      <c r="Q253" s="12" t="str">
        <f t="shared" si="3"/>
        <v/>
      </c>
      <c r="R253" s="13" t="str">
        <f t="shared" si="4"/>
        <v/>
      </c>
      <c r="S253" s="3"/>
      <c r="T253" s="3"/>
      <c r="U253" s="3"/>
      <c r="V253" s="3"/>
      <c r="W253" s="3"/>
      <c r="X253" s="3"/>
      <c r="Y253" s="3"/>
      <c r="Z253" s="3"/>
    </row>
    <row r="254" ht="15.75" hidden="1" customHeight="1">
      <c r="A254" s="4" t="s">
        <v>383</v>
      </c>
      <c r="B254" s="5" t="s">
        <v>24</v>
      </c>
      <c r="C254" s="5" t="s">
        <v>105</v>
      </c>
      <c r="D254" s="5" t="s">
        <v>170</v>
      </c>
      <c r="E254" s="6">
        <v>118000.0</v>
      </c>
      <c r="F254" s="6"/>
      <c r="G254" s="16"/>
      <c r="H254" s="7"/>
      <c r="I254" s="9"/>
      <c r="J254" s="5"/>
      <c r="K254" s="9"/>
      <c r="L254" s="5"/>
      <c r="M254" s="9"/>
      <c r="N254" s="10"/>
      <c r="O254" s="10" t="str">
        <f t="shared" si="1"/>
        <v/>
      </c>
      <c r="P254" s="11" t="str">
        <f t="shared" si="2"/>
        <v/>
      </c>
      <c r="Q254" s="12" t="str">
        <f t="shared" si="3"/>
        <v/>
      </c>
      <c r="R254" s="13" t="str">
        <f t="shared" si="4"/>
        <v/>
      </c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0" t="s">
        <v>384</v>
      </c>
      <c r="B255" s="5" t="s">
        <v>385</v>
      </c>
      <c r="C255" s="5"/>
      <c r="D255" s="5"/>
      <c r="E255" s="6"/>
      <c r="F255" s="6"/>
      <c r="G255" s="16"/>
      <c r="H255" s="7">
        <v>55000.0</v>
      </c>
      <c r="I255" s="44" t="s">
        <v>386</v>
      </c>
      <c r="J255" s="5"/>
      <c r="K255" s="9"/>
      <c r="L255" s="5"/>
      <c r="M255" s="9"/>
      <c r="N255" s="40" t="s">
        <v>387</v>
      </c>
      <c r="O255" s="10" t="str">
        <f t="shared" si="1"/>
        <v/>
      </c>
      <c r="P255" s="11" t="str">
        <f t="shared" si="2"/>
        <v/>
      </c>
      <c r="Q255" s="12" t="str">
        <f t="shared" si="3"/>
        <v/>
      </c>
      <c r="R255" s="13" t="str">
        <f t="shared" si="4"/>
        <v/>
      </c>
      <c r="S255" s="3"/>
      <c r="T255" s="3"/>
      <c r="U255" s="3"/>
      <c r="V255" s="3"/>
      <c r="W255" s="3"/>
      <c r="X255" s="3"/>
      <c r="Y255" s="3"/>
      <c r="Z255" s="3"/>
    </row>
    <row r="256" ht="15.75" hidden="1" customHeight="1">
      <c r="A256" s="4" t="s">
        <v>388</v>
      </c>
      <c r="B256" s="5" t="s">
        <v>24</v>
      </c>
      <c r="C256" s="5" t="s">
        <v>105</v>
      </c>
      <c r="D256" s="5" t="s">
        <v>170</v>
      </c>
      <c r="E256" s="6">
        <v>113000.0</v>
      </c>
      <c r="F256" s="6"/>
      <c r="G256" s="16"/>
      <c r="H256" s="7"/>
      <c r="I256" s="9"/>
      <c r="J256" s="5"/>
      <c r="K256" s="9"/>
      <c r="L256" s="5"/>
      <c r="M256" s="9"/>
      <c r="N256" s="10"/>
      <c r="O256" s="10" t="str">
        <f t="shared" si="1"/>
        <v/>
      </c>
      <c r="P256" s="11" t="str">
        <f t="shared" si="2"/>
        <v/>
      </c>
      <c r="Q256" s="12" t="str">
        <f t="shared" si="3"/>
        <v/>
      </c>
      <c r="R256" s="13" t="str">
        <f t="shared" si="4"/>
        <v/>
      </c>
      <c r="S256" s="3"/>
      <c r="T256" s="3"/>
      <c r="U256" s="3"/>
      <c r="V256" s="3"/>
      <c r="W256" s="3"/>
      <c r="X256" s="3"/>
      <c r="Y256" s="3"/>
      <c r="Z256" s="3"/>
    </row>
    <row r="257" ht="15.75" hidden="1" customHeight="1">
      <c r="A257" s="4" t="s">
        <v>389</v>
      </c>
      <c r="B257" s="5" t="s">
        <v>24</v>
      </c>
      <c r="C257" s="5" t="s">
        <v>105</v>
      </c>
      <c r="D257" s="5" t="s">
        <v>170</v>
      </c>
      <c r="E257" s="6">
        <v>111000.0</v>
      </c>
      <c r="F257" s="6"/>
      <c r="G257" s="16"/>
      <c r="H257" s="7"/>
      <c r="I257" s="9"/>
      <c r="J257" s="5"/>
      <c r="K257" s="9"/>
      <c r="L257" s="5"/>
      <c r="M257" s="9"/>
      <c r="N257" s="10"/>
      <c r="O257" s="10" t="str">
        <f t="shared" si="1"/>
        <v/>
      </c>
      <c r="P257" s="11" t="str">
        <f t="shared" si="2"/>
        <v/>
      </c>
      <c r="Q257" s="12" t="str">
        <f t="shared" si="3"/>
        <v/>
      </c>
      <c r="R257" s="13" t="str">
        <f t="shared" si="4"/>
        <v/>
      </c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0" t="s">
        <v>390</v>
      </c>
      <c r="B258" s="5" t="s">
        <v>376</v>
      </c>
      <c r="C258" s="5"/>
      <c r="D258" s="5"/>
      <c r="E258" s="6"/>
      <c r="F258" s="6"/>
      <c r="G258" s="16"/>
      <c r="H258" s="7">
        <v>30000.0</v>
      </c>
      <c r="I258" s="9" t="s">
        <v>391</v>
      </c>
      <c r="J258" s="5"/>
      <c r="K258" s="9"/>
      <c r="L258" s="5"/>
      <c r="M258" s="9"/>
      <c r="N258" s="10"/>
      <c r="O258" s="10" t="str">
        <f t="shared" si="1"/>
        <v/>
      </c>
      <c r="P258" s="11" t="str">
        <f t="shared" si="2"/>
        <v/>
      </c>
      <c r="Q258" s="12" t="str">
        <f t="shared" si="3"/>
        <v/>
      </c>
      <c r="R258" s="13" t="str">
        <f t="shared" si="4"/>
        <v/>
      </c>
      <c r="S258" s="3"/>
      <c r="T258" s="3"/>
      <c r="U258" s="3"/>
      <c r="V258" s="3"/>
      <c r="W258" s="3"/>
      <c r="X258" s="3"/>
      <c r="Y258" s="3"/>
      <c r="Z258" s="3"/>
    </row>
    <row r="259" ht="15.75" hidden="1" customHeight="1">
      <c r="A259" s="4" t="s">
        <v>392</v>
      </c>
      <c r="B259" s="5" t="s">
        <v>24</v>
      </c>
      <c r="C259" s="5" t="s">
        <v>105</v>
      </c>
      <c r="D259" s="5" t="s">
        <v>170</v>
      </c>
      <c r="E259" s="6">
        <v>108000.0</v>
      </c>
      <c r="F259" s="6"/>
      <c r="G259" s="16"/>
      <c r="H259" s="7"/>
      <c r="I259" s="9"/>
      <c r="J259" s="5"/>
      <c r="K259" s="9"/>
      <c r="L259" s="5"/>
      <c r="M259" s="9"/>
      <c r="N259" s="10"/>
      <c r="O259" s="10" t="str">
        <f t="shared" si="1"/>
        <v/>
      </c>
      <c r="P259" s="11" t="str">
        <f t="shared" si="2"/>
        <v/>
      </c>
      <c r="Q259" s="12" t="str">
        <f t="shared" si="3"/>
        <v/>
      </c>
      <c r="R259" s="13" t="str">
        <f t="shared" si="4"/>
        <v/>
      </c>
      <c r="S259" s="3"/>
      <c r="T259" s="3"/>
      <c r="U259" s="3"/>
      <c r="V259" s="3"/>
      <c r="W259" s="3"/>
      <c r="X259" s="3"/>
      <c r="Y259" s="3"/>
      <c r="Z259" s="3"/>
    </row>
    <row r="260" ht="15.75" hidden="1" customHeight="1">
      <c r="A260" s="4" t="s">
        <v>393</v>
      </c>
      <c r="B260" s="5" t="s">
        <v>24</v>
      </c>
      <c r="C260" s="5" t="s">
        <v>105</v>
      </c>
      <c r="D260" s="5" t="s">
        <v>170</v>
      </c>
      <c r="E260" s="6">
        <v>106000.0</v>
      </c>
      <c r="F260" s="6"/>
      <c r="G260" s="16"/>
      <c r="H260" s="7"/>
      <c r="I260" s="9"/>
      <c r="J260" s="5"/>
      <c r="K260" s="9"/>
      <c r="L260" s="5"/>
      <c r="M260" s="9"/>
      <c r="N260" s="10"/>
      <c r="O260" s="10" t="str">
        <f t="shared" si="1"/>
        <v/>
      </c>
      <c r="P260" s="11" t="str">
        <f t="shared" si="2"/>
        <v/>
      </c>
      <c r="Q260" s="12" t="str">
        <f t="shared" si="3"/>
        <v/>
      </c>
      <c r="R260" s="13" t="str">
        <f t="shared" si="4"/>
        <v/>
      </c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0" t="s">
        <v>394</v>
      </c>
      <c r="B261" s="5" t="s">
        <v>385</v>
      </c>
      <c r="C261" s="5"/>
      <c r="D261" s="5"/>
      <c r="E261" s="6"/>
      <c r="F261" s="6"/>
      <c r="G261" s="16"/>
      <c r="H261" s="7">
        <v>3000.0</v>
      </c>
      <c r="I261" s="44" t="s">
        <v>395</v>
      </c>
      <c r="J261" s="5"/>
      <c r="K261" s="9"/>
      <c r="L261" s="5"/>
      <c r="M261" s="9"/>
      <c r="N261" s="40" t="s">
        <v>396</v>
      </c>
      <c r="O261" s="10" t="str">
        <f t="shared" si="1"/>
        <v/>
      </c>
      <c r="P261" s="11" t="str">
        <f t="shared" si="2"/>
        <v/>
      </c>
      <c r="Q261" s="12" t="str">
        <f t="shared" si="3"/>
        <v/>
      </c>
      <c r="R261" s="13" t="str">
        <f t="shared" si="4"/>
        <v/>
      </c>
      <c r="S261" s="3"/>
      <c r="T261" s="3"/>
      <c r="U261" s="3"/>
      <c r="V261" s="3"/>
      <c r="W261" s="3"/>
      <c r="X261" s="3"/>
      <c r="Y261" s="3"/>
      <c r="Z261" s="3"/>
    </row>
    <row r="262" ht="15.75" hidden="1" customHeight="1">
      <c r="A262" s="4" t="s">
        <v>397</v>
      </c>
      <c r="B262" s="5" t="s">
        <v>29</v>
      </c>
      <c r="C262" s="5" t="s">
        <v>169</v>
      </c>
      <c r="D262" s="5" t="s">
        <v>170</v>
      </c>
      <c r="E262" s="6">
        <v>103000.0</v>
      </c>
      <c r="F262" s="6"/>
      <c r="G262" s="16"/>
      <c r="H262" s="7"/>
      <c r="I262" s="9"/>
      <c r="J262" s="5"/>
      <c r="K262" s="9"/>
      <c r="L262" s="5"/>
      <c r="M262" s="9"/>
      <c r="N262" s="10"/>
      <c r="O262" s="10" t="str">
        <f t="shared" si="1"/>
        <v/>
      </c>
      <c r="P262" s="11" t="str">
        <f t="shared" si="2"/>
        <v/>
      </c>
      <c r="Q262" s="12" t="str">
        <f t="shared" si="3"/>
        <v/>
      </c>
      <c r="R262" s="13" t="str">
        <f t="shared" si="4"/>
        <v/>
      </c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0" t="s">
        <v>398</v>
      </c>
      <c r="B263" s="5" t="s">
        <v>24</v>
      </c>
      <c r="C263" s="5"/>
      <c r="D263" s="5"/>
      <c r="E263" s="6"/>
      <c r="F263" s="6"/>
      <c r="G263" s="16"/>
      <c r="H263" s="7">
        <v>25000.0</v>
      </c>
      <c r="I263" s="9" t="s">
        <v>357</v>
      </c>
      <c r="J263" s="5"/>
      <c r="K263" s="9"/>
      <c r="L263" s="5"/>
      <c r="M263" s="9"/>
      <c r="N263" s="40" t="s">
        <v>399</v>
      </c>
      <c r="O263" s="10" t="str">
        <f t="shared" si="1"/>
        <v/>
      </c>
      <c r="P263" s="11" t="str">
        <f t="shared" si="2"/>
        <v/>
      </c>
      <c r="Q263" s="12" t="str">
        <f t="shared" si="3"/>
        <v/>
      </c>
      <c r="R263" s="13" t="str">
        <f t="shared" si="4"/>
        <v/>
      </c>
      <c r="S263" s="3"/>
      <c r="T263" s="3"/>
      <c r="U263" s="3"/>
      <c r="V263" s="3"/>
      <c r="W263" s="3"/>
      <c r="X263" s="3"/>
      <c r="Y263" s="3"/>
      <c r="Z263" s="3"/>
    </row>
    <row r="264" ht="15.75" hidden="1" customHeight="1">
      <c r="A264" s="4" t="s">
        <v>400</v>
      </c>
      <c r="B264" s="5" t="s">
        <v>24</v>
      </c>
      <c r="C264" s="5" t="s">
        <v>105</v>
      </c>
      <c r="D264" s="5" t="s">
        <v>170</v>
      </c>
      <c r="E264" s="6">
        <v>98100.0</v>
      </c>
      <c r="F264" s="6"/>
      <c r="G264" s="16"/>
      <c r="H264" s="7"/>
      <c r="I264" s="9"/>
      <c r="J264" s="5"/>
      <c r="K264" s="9"/>
      <c r="L264" s="5"/>
      <c r="M264" s="9"/>
      <c r="N264" s="10"/>
      <c r="O264" s="10" t="str">
        <f t="shared" si="1"/>
        <v/>
      </c>
      <c r="P264" s="11" t="str">
        <f t="shared" si="2"/>
        <v/>
      </c>
      <c r="Q264" s="12" t="str">
        <f t="shared" si="3"/>
        <v/>
      </c>
      <c r="R264" s="13" t="str">
        <f t="shared" si="4"/>
        <v/>
      </c>
      <c r="S264" s="3"/>
      <c r="T264" s="3"/>
      <c r="U264" s="3"/>
      <c r="V264" s="3"/>
      <c r="W264" s="3"/>
      <c r="X264" s="3"/>
      <c r="Y264" s="3"/>
      <c r="Z264" s="3"/>
    </row>
    <row r="265" ht="15.75" hidden="1" customHeight="1">
      <c r="A265" s="4" t="s">
        <v>401</v>
      </c>
      <c r="B265" s="5" t="s">
        <v>24</v>
      </c>
      <c r="C265" s="5" t="s">
        <v>105</v>
      </c>
      <c r="D265" s="5" t="s">
        <v>170</v>
      </c>
      <c r="E265" s="6">
        <v>96900.0</v>
      </c>
      <c r="F265" s="6"/>
      <c r="G265" s="16"/>
      <c r="H265" s="7"/>
      <c r="I265" s="9"/>
      <c r="J265" s="5"/>
      <c r="K265" s="9"/>
      <c r="L265" s="5"/>
      <c r="M265" s="9"/>
      <c r="N265" s="10"/>
      <c r="O265" s="10" t="str">
        <f t="shared" si="1"/>
        <v/>
      </c>
      <c r="P265" s="11" t="str">
        <f t="shared" si="2"/>
        <v/>
      </c>
      <c r="Q265" s="12" t="str">
        <f t="shared" si="3"/>
        <v/>
      </c>
      <c r="R265" s="13" t="str">
        <f t="shared" si="4"/>
        <v/>
      </c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0" t="s">
        <v>402</v>
      </c>
      <c r="B266" s="5" t="s">
        <v>376</v>
      </c>
      <c r="C266" s="5"/>
      <c r="D266" s="5"/>
      <c r="E266" s="6"/>
      <c r="F266" s="6"/>
      <c r="G266" s="16"/>
      <c r="H266" s="7" t="s">
        <v>403</v>
      </c>
      <c r="I266" s="9" t="s">
        <v>404</v>
      </c>
      <c r="J266" s="5"/>
      <c r="K266" s="9"/>
      <c r="L266" s="5"/>
      <c r="M266" s="9"/>
      <c r="N266" s="10"/>
      <c r="O266" s="10" t="str">
        <f t="shared" si="1"/>
        <v/>
      </c>
      <c r="P266" s="11" t="str">
        <f t="shared" si="2"/>
        <v/>
      </c>
      <c r="Q266" s="12" t="str">
        <f t="shared" si="3"/>
        <v/>
      </c>
      <c r="R266" s="13" t="str">
        <f t="shared" si="4"/>
        <v/>
      </c>
      <c r="S266" s="3"/>
      <c r="T266" s="3"/>
      <c r="U266" s="3"/>
      <c r="V266" s="3"/>
      <c r="W266" s="3"/>
      <c r="X266" s="3"/>
      <c r="Y266" s="3"/>
      <c r="Z266" s="3"/>
    </row>
    <row r="267" ht="15.75" hidden="1" customHeight="1">
      <c r="A267" s="4" t="s">
        <v>405</v>
      </c>
      <c r="B267" s="5" t="s">
        <v>29</v>
      </c>
      <c r="C267" s="5" t="s">
        <v>169</v>
      </c>
      <c r="D267" s="5" t="s">
        <v>170</v>
      </c>
      <c r="E267" s="6">
        <v>92800.0</v>
      </c>
      <c r="F267" s="6"/>
      <c r="G267" s="16"/>
      <c r="H267" s="7"/>
      <c r="I267" s="9"/>
      <c r="J267" s="5"/>
      <c r="K267" s="9"/>
      <c r="L267" s="5"/>
      <c r="M267" s="9"/>
      <c r="N267" s="10"/>
      <c r="O267" s="10" t="str">
        <f t="shared" si="1"/>
        <v/>
      </c>
      <c r="P267" s="11" t="str">
        <f t="shared" si="2"/>
        <v/>
      </c>
      <c r="Q267" s="12" t="str">
        <f t="shared" si="3"/>
        <v/>
      </c>
      <c r="R267" s="13" t="str">
        <f t="shared" si="4"/>
        <v/>
      </c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0" t="s">
        <v>406</v>
      </c>
      <c r="B268" s="5" t="s">
        <v>24</v>
      </c>
      <c r="C268" s="5"/>
      <c r="D268" s="5"/>
      <c r="E268" s="6"/>
      <c r="F268" s="6"/>
      <c r="G268" s="16"/>
      <c r="H268" s="7">
        <v>7000.0</v>
      </c>
      <c r="I268" s="9" t="s">
        <v>407</v>
      </c>
      <c r="J268" s="5"/>
      <c r="K268" s="9"/>
      <c r="L268" s="5"/>
      <c r="M268" s="9"/>
      <c r="N268" s="10"/>
      <c r="O268" s="10" t="str">
        <f t="shared" si="1"/>
        <v/>
      </c>
      <c r="P268" s="11" t="str">
        <f t="shared" si="2"/>
        <v/>
      </c>
      <c r="Q268" s="12" t="str">
        <f t="shared" si="3"/>
        <v/>
      </c>
      <c r="R268" s="13" t="str">
        <f t="shared" si="4"/>
        <v/>
      </c>
      <c r="S268" s="3"/>
      <c r="T268" s="3"/>
      <c r="U268" s="3"/>
      <c r="V268" s="3"/>
      <c r="W268" s="3"/>
      <c r="X268" s="3"/>
      <c r="Y268" s="3"/>
      <c r="Z268" s="3"/>
    </row>
    <row r="269" ht="15.75" hidden="1" customHeight="1">
      <c r="A269" s="4" t="s">
        <v>408</v>
      </c>
      <c r="B269" s="5" t="s">
        <v>24</v>
      </c>
      <c r="C269" s="5" t="s">
        <v>105</v>
      </c>
      <c r="D269" s="5" t="s">
        <v>170</v>
      </c>
      <c r="E269" s="6">
        <v>89000.0</v>
      </c>
      <c r="F269" s="6"/>
      <c r="G269" s="16"/>
      <c r="H269" s="7"/>
      <c r="I269" s="9"/>
      <c r="J269" s="5"/>
      <c r="K269" s="9"/>
      <c r="L269" s="5"/>
      <c r="M269" s="9"/>
      <c r="N269" s="10"/>
      <c r="O269" s="10" t="str">
        <f t="shared" si="1"/>
        <v/>
      </c>
      <c r="P269" s="11" t="str">
        <f t="shared" si="2"/>
        <v/>
      </c>
      <c r="Q269" s="12" t="str">
        <f t="shared" si="3"/>
        <v/>
      </c>
      <c r="R269" s="13" t="str">
        <f t="shared" si="4"/>
        <v/>
      </c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0" t="s">
        <v>409</v>
      </c>
      <c r="B270" s="5" t="s">
        <v>410</v>
      </c>
      <c r="C270" s="5"/>
      <c r="D270" s="5"/>
      <c r="E270" s="6"/>
      <c r="F270" s="6"/>
      <c r="G270" s="16"/>
      <c r="H270" s="7">
        <v>30000.0</v>
      </c>
      <c r="I270" s="9" t="s">
        <v>411</v>
      </c>
      <c r="J270" s="5"/>
      <c r="K270" s="9"/>
      <c r="L270" s="5"/>
      <c r="M270" s="9"/>
      <c r="N270" s="10"/>
      <c r="O270" s="10" t="str">
        <f t="shared" si="1"/>
        <v/>
      </c>
      <c r="P270" s="11" t="str">
        <f t="shared" si="2"/>
        <v/>
      </c>
      <c r="Q270" s="12" t="str">
        <f t="shared" si="3"/>
        <v/>
      </c>
      <c r="R270" s="13" t="str">
        <f t="shared" si="4"/>
        <v/>
      </c>
      <c r="S270" s="3"/>
      <c r="T270" s="3"/>
      <c r="U270" s="3"/>
      <c r="V270" s="3"/>
      <c r="W270" s="3"/>
      <c r="X270" s="3"/>
      <c r="Y270" s="3"/>
      <c r="Z270" s="3"/>
    </row>
    <row r="271" ht="15.75" hidden="1" customHeight="1">
      <c r="A271" s="4" t="s">
        <v>412</v>
      </c>
      <c r="B271" s="5" t="s">
        <v>24</v>
      </c>
      <c r="C271" s="5" t="s">
        <v>105</v>
      </c>
      <c r="D271" s="5" t="s">
        <v>170</v>
      </c>
      <c r="E271" s="6">
        <v>87000.0</v>
      </c>
      <c r="F271" s="6"/>
      <c r="G271" s="16"/>
      <c r="H271" s="7"/>
      <c r="I271" s="9"/>
      <c r="J271" s="5"/>
      <c r="K271" s="9"/>
      <c r="L271" s="5"/>
      <c r="M271" s="9"/>
      <c r="N271" s="10"/>
      <c r="O271" s="10" t="str">
        <f t="shared" si="1"/>
        <v/>
      </c>
      <c r="P271" s="11" t="str">
        <f t="shared" si="2"/>
        <v/>
      </c>
      <c r="Q271" s="12" t="str">
        <f t="shared" si="3"/>
        <v/>
      </c>
      <c r="R271" s="13" t="str">
        <f t="shared" si="4"/>
        <v/>
      </c>
      <c r="S271" s="3"/>
      <c r="T271" s="3"/>
      <c r="U271" s="3"/>
      <c r="V271" s="3"/>
      <c r="W271" s="3"/>
      <c r="X271" s="3"/>
      <c r="Y271" s="3"/>
      <c r="Z271" s="3"/>
    </row>
    <row r="272" ht="15.75" hidden="1" customHeight="1">
      <c r="A272" s="4" t="s">
        <v>413</v>
      </c>
      <c r="B272" s="5" t="s">
        <v>24</v>
      </c>
      <c r="C272" s="5" t="s">
        <v>105</v>
      </c>
      <c r="D272" s="5" t="s">
        <v>170</v>
      </c>
      <c r="E272" s="6">
        <v>85000.0</v>
      </c>
      <c r="F272" s="6"/>
      <c r="G272" s="16"/>
      <c r="H272" s="7"/>
      <c r="I272" s="9"/>
      <c r="J272" s="5"/>
      <c r="K272" s="9"/>
      <c r="L272" s="5"/>
      <c r="M272" s="9"/>
      <c r="N272" s="10"/>
      <c r="O272" s="10" t="str">
        <f t="shared" si="1"/>
        <v/>
      </c>
      <c r="P272" s="11" t="str">
        <f t="shared" si="2"/>
        <v/>
      </c>
      <c r="Q272" s="12" t="str">
        <f t="shared" si="3"/>
        <v/>
      </c>
      <c r="R272" s="13" t="str">
        <f t="shared" si="4"/>
        <v/>
      </c>
      <c r="S272" s="3"/>
      <c r="T272" s="3"/>
      <c r="U272" s="3"/>
      <c r="V272" s="3"/>
      <c r="W272" s="3"/>
      <c r="X272" s="3"/>
      <c r="Y272" s="3"/>
      <c r="Z272" s="3"/>
    </row>
    <row r="273" ht="15.75" hidden="1" customHeight="1">
      <c r="A273" s="4" t="s">
        <v>414</v>
      </c>
      <c r="B273" s="5" t="s">
        <v>24</v>
      </c>
      <c r="C273" s="5" t="s">
        <v>105</v>
      </c>
      <c r="D273" s="5" t="s">
        <v>170</v>
      </c>
      <c r="E273" s="6">
        <v>75000.0</v>
      </c>
      <c r="F273" s="6"/>
      <c r="G273" s="16"/>
      <c r="H273" s="7"/>
      <c r="I273" s="9"/>
      <c r="J273" s="5"/>
      <c r="K273" s="9"/>
      <c r="L273" s="5"/>
      <c r="M273" s="9"/>
      <c r="N273" s="10"/>
      <c r="O273" s="10" t="str">
        <f t="shared" si="1"/>
        <v/>
      </c>
      <c r="P273" s="11" t="str">
        <f t="shared" si="2"/>
        <v/>
      </c>
      <c r="Q273" s="12" t="str">
        <f t="shared" si="3"/>
        <v/>
      </c>
      <c r="R273" s="13" t="str">
        <f t="shared" si="4"/>
        <v/>
      </c>
      <c r="S273" s="3"/>
      <c r="T273" s="3"/>
      <c r="U273" s="3"/>
      <c r="V273" s="3"/>
      <c r="W273" s="3"/>
      <c r="X273" s="3"/>
      <c r="Y273" s="3"/>
      <c r="Z273" s="3"/>
    </row>
    <row r="274" ht="15.75" hidden="1" customHeight="1">
      <c r="A274" s="4" t="s">
        <v>415</v>
      </c>
      <c r="B274" s="5" t="s">
        <v>24</v>
      </c>
      <c r="C274" s="5" t="s">
        <v>105</v>
      </c>
      <c r="D274" s="5" t="s">
        <v>170</v>
      </c>
      <c r="E274" s="6">
        <v>73400.0</v>
      </c>
      <c r="F274" s="6"/>
      <c r="G274" s="16"/>
      <c r="H274" s="7"/>
      <c r="I274" s="9"/>
      <c r="J274" s="5"/>
      <c r="K274" s="9"/>
      <c r="L274" s="5"/>
      <c r="M274" s="9"/>
      <c r="N274" s="10"/>
      <c r="O274" s="10" t="str">
        <f t="shared" si="1"/>
        <v/>
      </c>
      <c r="P274" s="11" t="str">
        <f t="shared" si="2"/>
        <v/>
      </c>
      <c r="Q274" s="12" t="str">
        <f t="shared" si="3"/>
        <v/>
      </c>
      <c r="R274" s="13" t="str">
        <f t="shared" si="4"/>
        <v/>
      </c>
      <c r="S274" s="3"/>
      <c r="T274" s="3"/>
      <c r="U274" s="3"/>
      <c r="V274" s="3"/>
      <c r="W274" s="3"/>
      <c r="X274" s="3"/>
      <c r="Y274" s="3"/>
      <c r="Z274" s="3"/>
    </row>
    <row r="275" ht="15.75" hidden="1" customHeight="1">
      <c r="A275" s="4" t="s">
        <v>416</v>
      </c>
      <c r="B275" s="5" t="s">
        <v>24</v>
      </c>
      <c r="C275" s="5" t="s">
        <v>105</v>
      </c>
      <c r="D275" s="5" t="s">
        <v>170</v>
      </c>
      <c r="E275" s="6">
        <v>73200.0</v>
      </c>
      <c r="F275" s="6"/>
      <c r="G275" s="16"/>
      <c r="H275" s="7"/>
      <c r="I275" s="9"/>
      <c r="J275" s="5"/>
      <c r="K275" s="9"/>
      <c r="L275" s="5"/>
      <c r="M275" s="9"/>
      <c r="N275" s="10"/>
      <c r="O275" s="10" t="str">
        <f t="shared" si="1"/>
        <v/>
      </c>
      <c r="P275" s="11" t="str">
        <f t="shared" si="2"/>
        <v/>
      </c>
      <c r="Q275" s="12" t="str">
        <f t="shared" si="3"/>
        <v/>
      </c>
      <c r="R275" s="13" t="str">
        <f t="shared" si="4"/>
        <v/>
      </c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0" t="s">
        <v>417</v>
      </c>
      <c r="B276" s="5" t="s">
        <v>24</v>
      </c>
      <c r="C276" s="5"/>
      <c r="D276" s="5"/>
      <c r="E276" s="6">
        <v>246000.0</v>
      </c>
      <c r="F276" s="6">
        <v>30000.0</v>
      </c>
      <c r="G276" s="5">
        <v>15000.0</v>
      </c>
      <c r="H276" s="7"/>
      <c r="I276" s="9"/>
      <c r="J276" s="5"/>
      <c r="K276" s="9"/>
      <c r="L276" s="5"/>
      <c r="M276" s="9"/>
      <c r="N276" s="10"/>
      <c r="O276" s="10" t="str">
        <f t="shared" si="1"/>
        <v/>
      </c>
      <c r="P276" s="11" t="str">
        <f t="shared" si="2"/>
        <v/>
      </c>
      <c r="Q276" s="12" t="str">
        <f t="shared" si="3"/>
        <v/>
      </c>
      <c r="R276" s="13" t="str">
        <f t="shared" si="4"/>
        <v/>
      </c>
      <c r="S276" s="3"/>
      <c r="T276" s="3"/>
      <c r="U276" s="3"/>
      <c r="V276" s="3"/>
      <c r="W276" s="3"/>
      <c r="X276" s="3"/>
      <c r="Y276" s="3"/>
      <c r="Z276" s="3"/>
    </row>
    <row r="277" ht="15.75" hidden="1" customHeight="1">
      <c r="A277" s="4" t="s">
        <v>418</v>
      </c>
      <c r="B277" s="5" t="s">
        <v>24</v>
      </c>
      <c r="C277" s="5" t="s">
        <v>105</v>
      </c>
      <c r="D277" s="5" t="s">
        <v>170</v>
      </c>
      <c r="E277" s="6">
        <v>72400.0</v>
      </c>
      <c r="F277" s="6"/>
      <c r="G277" s="16"/>
      <c r="H277" s="7"/>
      <c r="I277" s="9"/>
      <c r="J277" s="5"/>
      <c r="K277" s="9"/>
      <c r="L277" s="5"/>
      <c r="M277" s="9"/>
      <c r="N277" s="10"/>
      <c r="O277" s="10" t="str">
        <f t="shared" si="1"/>
        <v/>
      </c>
      <c r="P277" s="11" t="str">
        <f t="shared" si="2"/>
        <v/>
      </c>
      <c r="Q277" s="12" t="str">
        <f t="shared" si="3"/>
        <v/>
      </c>
      <c r="R277" s="13" t="str">
        <f t="shared" si="4"/>
        <v/>
      </c>
      <c r="S277" s="3"/>
      <c r="T277" s="3"/>
      <c r="U277" s="3"/>
      <c r="V277" s="3"/>
      <c r="W277" s="3"/>
      <c r="X277" s="3"/>
      <c r="Y277" s="3"/>
      <c r="Z277" s="3"/>
    </row>
    <row r="278" ht="15.75" hidden="1" customHeight="1">
      <c r="A278" s="4" t="s">
        <v>419</v>
      </c>
      <c r="B278" s="5" t="s">
        <v>24</v>
      </c>
      <c r="C278" s="5" t="s">
        <v>105</v>
      </c>
      <c r="D278" s="5" t="s">
        <v>170</v>
      </c>
      <c r="E278" s="6">
        <v>70500.0</v>
      </c>
      <c r="F278" s="6"/>
      <c r="G278" s="16"/>
      <c r="H278" s="7"/>
      <c r="I278" s="9"/>
      <c r="J278" s="5"/>
      <c r="K278" s="9"/>
      <c r="L278" s="5"/>
      <c r="M278" s="9"/>
      <c r="N278" s="10"/>
      <c r="O278" s="10" t="str">
        <f t="shared" si="1"/>
        <v/>
      </c>
      <c r="P278" s="11" t="str">
        <f t="shared" si="2"/>
        <v/>
      </c>
      <c r="Q278" s="12" t="str">
        <f t="shared" si="3"/>
        <v/>
      </c>
      <c r="R278" s="13" t="str">
        <f t="shared" si="4"/>
        <v/>
      </c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4" t="s">
        <v>417</v>
      </c>
      <c r="B279" s="5" t="s">
        <v>297</v>
      </c>
      <c r="C279" s="5"/>
      <c r="D279" s="5"/>
      <c r="E279" s="6">
        <v>17036.0</v>
      </c>
      <c r="F279" s="6">
        <v>5000.0</v>
      </c>
      <c r="G279" s="5">
        <v>5000.0</v>
      </c>
      <c r="H279" s="7"/>
      <c r="I279" s="9"/>
      <c r="J279" s="5"/>
      <c r="K279" s="9"/>
      <c r="L279" s="5"/>
      <c r="M279" s="9"/>
      <c r="N279" s="10"/>
      <c r="O279" s="10" t="str">
        <f t="shared" si="1"/>
        <v/>
      </c>
      <c r="P279" s="11" t="str">
        <f t="shared" si="2"/>
        <v/>
      </c>
      <c r="Q279" s="12" t="str">
        <f t="shared" si="3"/>
        <v/>
      </c>
      <c r="R279" s="13" t="str">
        <f t="shared" si="4"/>
        <v/>
      </c>
      <c r="S279" s="3"/>
      <c r="T279" s="3"/>
      <c r="U279" s="3"/>
      <c r="V279" s="3"/>
      <c r="W279" s="3"/>
      <c r="X279" s="3"/>
      <c r="Y279" s="3"/>
      <c r="Z279" s="3"/>
    </row>
    <row r="280" ht="15.75" hidden="1" customHeight="1">
      <c r="A280" s="4" t="s">
        <v>420</v>
      </c>
      <c r="B280" s="5" t="s">
        <v>24</v>
      </c>
      <c r="C280" s="5" t="s">
        <v>105</v>
      </c>
      <c r="D280" s="5" t="s">
        <v>170</v>
      </c>
      <c r="E280" s="6">
        <v>67400.0</v>
      </c>
      <c r="F280" s="6"/>
      <c r="G280" s="16"/>
      <c r="H280" s="7"/>
      <c r="I280" s="9"/>
      <c r="J280" s="5"/>
      <c r="K280" s="9"/>
      <c r="L280" s="5"/>
      <c r="M280" s="9"/>
      <c r="N280" s="10"/>
      <c r="O280" s="10" t="str">
        <f t="shared" si="1"/>
        <v/>
      </c>
      <c r="P280" s="11" t="str">
        <f t="shared" si="2"/>
        <v/>
      </c>
      <c r="Q280" s="12" t="str">
        <f t="shared" si="3"/>
        <v/>
      </c>
      <c r="R280" s="13" t="str">
        <f t="shared" si="4"/>
        <v/>
      </c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4" t="s">
        <v>417</v>
      </c>
      <c r="B281" s="5" t="s">
        <v>244</v>
      </c>
      <c r="C281" s="5"/>
      <c r="D281" s="5"/>
      <c r="E281" s="6">
        <v>21300.0</v>
      </c>
      <c r="F281" s="6">
        <v>15000.0</v>
      </c>
      <c r="G281" s="5">
        <v>10000.0</v>
      </c>
      <c r="H281" s="7"/>
      <c r="I281" s="9"/>
      <c r="J281" s="5"/>
      <c r="K281" s="9"/>
      <c r="L281" s="5"/>
      <c r="M281" s="9"/>
      <c r="N281" s="10"/>
      <c r="O281" s="10" t="str">
        <f t="shared" si="1"/>
        <v/>
      </c>
      <c r="P281" s="11" t="str">
        <f t="shared" si="2"/>
        <v/>
      </c>
      <c r="Q281" s="12" t="str">
        <f t="shared" si="3"/>
        <v/>
      </c>
      <c r="R281" s="13" t="str">
        <f t="shared" si="4"/>
        <v/>
      </c>
      <c r="S281" s="3"/>
      <c r="T281" s="3"/>
      <c r="U281" s="3"/>
      <c r="V281" s="3"/>
      <c r="W281" s="3"/>
      <c r="X281" s="3"/>
      <c r="Y281" s="3"/>
      <c r="Z281" s="3"/>
    </row>
    <row r="282" ht="15.75" hidden="1" customHeight="1">
      <c r="A282" s="4" t="s">
        <v>421</v>
      </c>
      <c r="B282" s="5" t="s">
        <v>29</v>
      </c>
      <c r="C282" s="5" t="s">
        <v>169</v>
      </c>
      <c r="D282" s="5" t="s">
        <v>170</v>
      </c>
      <c r="E282" s="6">
        <v>67100.0</v>
      </c>
      <c r="F282" s="6"/>
      <c r="G282" s="16"/>
      <c r="H282" s="7"/>
      <c r="I282" s="9"/>
      <c r="J282" s="5"/>
      <c r="K282" s="9"/>
      <c r="L282" s="5"/>
      <c r="M282" s="9"/>
      <c r="N282" s="10"/>
      <c r="O282" s="10" t="str">
        <f t="shared" si="1"/>
        <v/>
      </c>
      <c r="P282" s="11" t="str">
        <f t="shared" si="2"/>
        <v/>
      </c>
      <c r="Q282" s="12" t="str">
        <f t="shared" si="3"/>
        <v/>
      </c>
      <c r="R282" s="13" t="str">
        <f t="shared" si="4"/>
        <v/>
      </c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0" t="s">
        <v>422</v>
      </c>
      <c r="B283" s="5" t="s">
        <v>423</v>
      </c>
      <c r="C283" s="5"/>
      <c r="D283" s="5"/>
      <c r="E283" s="6"/>
      <c r="F283" s="6"/>
      <c r="G283" s="16"/>
      <c r="H283" s="7" t="s">
        <v>424</v>
      </c>
      <c r="I283" s="9" t="s">
        <v>425</v>
      </c>
      <c r="J283" s="5"/>
      <c r="K283" s="9"/>
      <c r="L283" s="5"/>
      <c r="M283" s="9"/>
      <c r="N283" s="10"/>
      <c r="O283" s="10" t="str">
        <f t="shared" si="1"/>
        <v/>
      </c>
      <c r="P283" s="11" t="str">
        <f t="shared" si="2"/>
        <v/>
      </c>
      <c r="Q283" s="12" t="str">
        <f t="shared" si="3"/>
        <v/>
      </c>
      <c r="R283" s="13" t="str">
        <f t="shared" si="4"/>
        <v/>
      </c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47" t="s">
        <v>426</v>
      </c>
      <c r="B284" s="5" t="s">
        <v>29</v>
      </c>
      <c r="C284" s="5"/>
      <c r="D284" s="5"/>
      <c r="E284" s="6"/>
      <c r="F284" s="6"/>
      <c r="G284" s="16"/>
      <c r="H284" s="7" t="s">
        <v>427</v>
      </c>
      <c r="I284" s="9" t="s">
        <v>428</v>
      </c>
      <c r="J284" s="5"/>
      <c r="K284" s="9"/>
      <c r="L284" s="5"/>
      <c r="M284" s="9" t="s">
        <v>429</v>
      </c>
      <c r="N284" s="10"/>
      <c r="O284" s="10" t="str">
        <f t="shared" si="1"/>
        <v/>
      </c>
      <c r="P284" s="11" t="str">
        <f t="shared" si="2"/>
        <v/>
      </c>
      <c r="Q284" s="12" t="str">
        <f t="shared" si="3"/>
        <v/>
      </c>
      <c r="R284" s="13" t="str">
        <f t="shared" si="4"/>
        <v/>
      </c>
      <c r="S284" s="3"/>
      <c r="T284" s="3"/>
      <c r="U284" s="3"/>
      <c r="V284" s="3"/>
      <c r="W284" s="3"/>
      <c r="X284" s="3"/>
      <c r="Y284" s="3"/>
      <c r="Z284" s="3"/>
    </row>
    <row r="285" ht="15.75" hidden="1" customHeight="1">
      <c r="A285" s="4" t="s">
        <v>430</v>
      </c>
      <c r="B285" s="5" t="s">
        <v>24</v>
      </c>
      <c r="C285" s="5" t="s">
        <v>105</v>
      </c>
      <c r="D285" s="5" t="s">
        <v>170</v>
      </c>
      <c r="E285" s="6">
        <v>62800.0</v>
      </c>
      <c r="F285" s="6"/>
      <c r="G285" s="16"/>
      <c r="H285" s="7"/>
      <c r="I285" s="9"/>
      <c r="J285" s="5"/>
      <c r="K285" s="9"/>
      <c r="L285" s="5"/>
      <c r="M285" s="9"/>
      <c r="N285" s="10"/>
      <c r="O285" s="10" t="str">
        <f t="shared" si="1"/>
        <v/>
      </c>
      <c r="P285" s="11" t="str">
        <f t="shared" si="2"/>
        <v/>
      </c>
      <c r="Q285" s="12" t="str">
        <f t="shared" si="3"/>
        <v/>
      </c>
      <c r="R285" s="13" t="str">
        <f t="shared" si="4"/>
        <v/>
      </c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47" t="s">
        <v>431</v>
      </c>
      <c r="B286" s="5" t="s">
        <v>29</v>
      </c>
      <c r="C286" s="5"/>
      <c r="D286" s="5"/>
      <c r="E286" s="6"/>
      <c r="F286" s="6"/>
      <c r="G286" s="16"/>
      <c r="H286" s="7"/>
      <c r="I286" s="48" t="s">
        <v>432</v>
      </c>
      <c r="J286" s="5"/>
      <c r="K286" s="9"/>
      <c r="L286" s="5"/>
      <c r="M286" s="9" t="s">
        <v>433</v>
      </c>
      <c r="N286" s="10"/>
      <c r="O286" s="10" t="str">
        <f t="shared" si="1"/>
        <v/>
      </c>
      <c r="P286" s="11" t="str">
        <f t="shared" si="2"/>
        <v/>
      </c>
      <c r="Q286" s="12" t="str">
        <f t="shared" si="3"/>
        <v/>
      </c>
      <c r="R286" s="13" t="str">
        <f t="shared" si="4"/>
        <v/>
      </c>
      <c r="S286" s="3"/>
      <c r="T286" s="3"/>
      <c r="U286" s="3"/>
      <c r="V286" s="3"/>
      <c r="W286" s="3"/>
      <c r="X286" s="3"/>
      <c r="Y286" s="3"/>
      <c r="Z286" s="3"/>
    </row>
    <row r="287" ht="15.75" hidden="1" customHeight="1">
      <c r="A287" s="4" t="s">
        <v>434</v>
      </c>
      <c r="B287" s="5" t="s">
        <v>24</v>
      </c>
      <c r="C287" s="5" t="s">
        <v>105</v>
      </c>
      <c r="D287" s="5" t="s">
        <v>170</v>
      </c>
      <c r="E287" s="6">
        <v>62000.0</v>
      </c>
      <c r="F287" s="6"/>
      <c r="G287" s="16"/>
      <c r="H287" s="7"/>
      <c r="I287" s="9"/>
      <c r="J287" s="5"/>
      <c r="K287" s="9"/>
      <c r="L287" s="5"/>
      <c r="M287" s="9"/>
      <c r="N287" s="10"/>
      <c r="O287" s="10" t="str">
        <f t="shared" si="1"/>
        <v/>
      </c>
      <c r="P287" s="11" t="str">
        <f t="shared" si="2"/>
        <v/>
      </c>
      <c r="Q287" s="12" t="str">
        <f t="shared" si="3"/>
        <v/>
      </c>
      <c r="R287" s="13" t="str">
        <f t="shared" si="4"/>
        <v/>
      </c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0" t="s">
        <v>435</v>
      </c>
      <c r="B288" s="5" t="s">
        <v>29</v>
      </c>
      <c r="C288" s="5"/>
      <c r="D288" s="5"/>
      <c r="E288" s="6"/>
      <c r="F288" s="6"/>
      <c r="G288" s="16"/>
      <c r="H288" s="7">
        <v>35000.0</v>
      </c>
      <c r="I288" s="48" t="s">
        <v>436</v>
      </c>
      <c r="J288" s="5"/>
      <c r="K288" s="9"/>
      <c r="L288" s="5"/>
      <c r="M288" s="9" t="s">
        <v>437</v>
      </c>
      <c r="N288" s="10"/>
      <c r="O288" s="10" t="str">
        <f t="shared" si="1"/>
        <v/>
      </c>
      <c r="P288" s="11" t="str">
        <f t="shared" si="2"/>
        <v/>
      </c>
      <c r="Q288" s="12" t="str">
        <f t="shared" si="3"/>
        <v/>
      </c>
      <c r="R288" s="13" t="str">
        <f t="shared" si="4"/>
        <v/>
      </c>
      <c r="S288" s="3"/>
      <c r="T288" s="3"/>
      <c r="U288" s="3"/>
      <c r="V288" s="3"/>
      <c r="W288" s="3"/>
      <c r="X288" s="3"/>
      <c r="Y288" s="3"/>
      <c r="Z288" s="3"/>
    </row>
    <row r="289" ht="15.75" hidden="1" customHeight="1">
      <c r="A289" s="4" t="s">
        <v>438</v>
      </c>
      <c r="B289" s="5" t="s">
        <v>24</v>
      </c>
      <c r="C289" s="5" t="s">
        <v>105</v>
      </c>
      <c r="D289" s="5" t="s">
        <v>170</v>
      </c>
      <c r="E289" s="6">
        <v>60300.0</v>
      </c>
      <c r="F289" s="6"/>
      <c r="G289" s="16"/>
      <c r="H289" s="7"/>
      <c r="I289" s="9"/>
      <c r="J289" s="5"/>
      <c r="K289" s="9"/>
      <c r="L289" s="5"/>
      <c r="M289" s="9"/>
      <c r="N289" s="10"/>
      <c r="O289" s="10" t="str">
        <f t="shared" si="1"/>
        <v/>
      </c>
      <c r="P289" s="11" t="str">
        <f t="shared" si="2"/>
        <v/>
      </c>
      <c r="Q289" s="12" t="str">
        <f t="shared" si="3"/>
        <v/>
      </c>
      <c r="R289" s="13" t="str">
        <f t="shared" si="4"/>
        <v/>
      </c>
      <c r="S289" s="3"/>
      <c r="T289" s="3"/>
      <c r="U289" s="3"/>
      <c r="V289" s="3"/>
      <c r="W289" s="3"/>
      <c r="X289" s="3"/>
      <c r="Y289" s="3"/>
      <c r="Z289" s="3"/>
    </row>
    <row r="290" ht="15.75" hidden="1" customHeight="1">
      <c r="A290" s="4" t="s">
        <v>439</v>
      </c>
      <c r="B290" s="5" t="s">
        <v>24</v>
      </c>
      <c r="C290" s="5" t="s">
        <v>105</v>
      </c>
      <c r="D290" s="5" t="s">
        <v>170</v>
      </c>
      <c r="E290" s="6">
        <v>59000.0</v>
      </c>
      <c r="F290" s="6"/>
      <c r="G290" s="16"/>
      <c r="H290" s="7"/>
      <c r="I290" s="9"/>
      <c r="J290" s="5"/>
      <c r="K290" s="9"/>
      <c r="L290" s="5"/>
      <c r="M290" s="9"/>
      <c r="N290" s="10"/>
      <c r="O290" s="10" t="str">
        <f t="shared" si="1"/>
        <v/>
      </c>
      <c r="P290" s="11" t="str">
        <f t="shared" si="2"/>
        <v/>
      </c>
      <c r="Q290" s="12" t="str">
        <f t="shared" si="3"/>
        <v/>
      </c>
      <c r="R290" s="13" t="str">
        <f t="shared" si="4"/>
        <v/>
      </c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49" t="s">
        <v>440</v>
      </c>
      <c r="B291" s="5" t="s">
        <v>29</v>
      </c>
      <c r="C291" s="5"/>
      <c r="D291" s="5"/>
      <c r="E291" s="6"/>
      <c r="F291" s="6"/>
      <c r="G291" s="16"/>
      <c r="H291" s="7" t="s">
        <v>441</v>
      </c>
      <c r="I291" s="9" t="s">
        <v>442</v>
      </c>
      <c r="J291" s="5"/>
      <c r="K291" s="9"/>
      <c r="L291" s="5"/>
      <c r="M291" s="9" t="s">
        <v>443</v>
      </c>
      <c r="N291" s="10"/>
      <c r="O291" s="10" t="str">
        <f t="shared" si="1"/>
        <v/>
      </c>
      <c r="P291" s="11" t="str">
        <f t="shared" si="2"/>
        <v/>
      </c>
      <c r="Q291" s="12" t="str">
        <f t="shared" si="3"/>
        <v/>
      </c>
      <c r="R291" s="13" t="str">
        <f t="shared" si="4"/>
        <v/>
      </c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0" t="s">
        <v>444</v>
      </c>
      <c r="B292" s="5"/>
      <c r="C292" s="5"/>
      <c r="D292" s="5"/>
      <c r="E292" s="6"/>
      <c r="F292" s="6"/>
      <c r="G292" s="16"/>
      <c r="H292" s="7" t="s">
        <v>445</v>
      </c>
      <c r="I292" s="9" t="s">
        <v>446</v>
      </c>
      <c r="J292" s="5"/>
      <c r="K292" s="9"/>
      <c r="L292" s="5"/>
      <c r="M292" s="9" t="s">
        <v>447</v>
      </c>
      <c r="N292" s="10"/>
      <c r="O292" s="10" t="str">
        <f t="shared" si="1"/>
        <v/>
      </c>
      <c r="P292" s="11" t="str">
        <f t="shared" si="2"/>
        <v/>
      </c>
      <c r="Q292" s="12" t="str">
        <f t="shared" si="3"/>
        <v/>
      </c>
      <c r="R292" s="13" t="str">
        <f t="shared" si="4"/>
        <v/>
      </c>
      <c r="S292" s="3"/>
      <c r="T292" s="3"/>
      <c r="U292" s="3"/>
      <c r="V292" s="3"/>
      <c r="W292" s="3"/>
      <c r="X292" s="3"/>
      <c r="Y292" s="3"/>
      <c r="Z292" s="3"/>
    </row>
    <row r="293" ht="15.75" hidden="1" customHeight="1">
      <c r="A293" s="4" t="s">
        <v>448</v>
      </c>
      <c r="B293" s="5" t="s">
        <v>24</v>
      </c>
      <c r="C293" s="5" t="s">
        <v>105</v>
      </c>
      <c r="D293" s="5" t="s">
        <v>170</v>
      </c>
      <c r="E293" s="6">
        <v>54700.0</v>
      </c>
      <c r="F293" s="6"/>
      <c r="G293" s="16"/>
      <c r="H293" s="7"/>
      <c r="I293" s="9"/>
      <c r="J293" s="5"/>
      <c r="K293" s="9"/>
      <c r="L293" s="5"/>
      <c r="M293" s="9"/>
      <c r="N293" s="10"/>
      <c r="O293" s="10" t="str">
        <f t="shared" si="1"/>
        <v/>
      </c>
      <c r="P293" s="11" t="str">
        <f t="shared" si="2"/>
        <v/>
      </c>
      <c r="Q293" s="12" t="str">
        <f t="shared" si="3"/>
        <v/>
      </c>
      <c r="R293" s="13" t="str">
        <f t="shared" si="4"/>
        <v/>
      </c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0" t="s">
        <v>449</v>
      </c>
      <c r="B294" s="5" t="s">
        <v>24</v>
      </c>
      <c r="C294" s="5"/>
      <c r="D294" s="5"/>
      <c r="E294" s="6">
        <v>122000.0</v>
      </c>
      <c r="F294" s="6">
        <v>100000.0</v>
      </c>
      <c r="G294" s="16"/>
      <c r="H294" s="7">
        <v>50000.0</v>
      </c>
      <c r="I294" s="9"/>
      <c r="J294" s="5"/>
      <c r="K294" s="9"/>
      <c r="L294" s="5"/>
      <c r="M294" s="9"/>
      <c r="N294" s="10"/>
      <c r="O294" s="10">
        <f t="shared" si="1"/>
        <v>0.5</v>
      </c>
      <c r="P294" s="11">
        <f t="shared" si="2"/>
        <v>500</v>
      </c>
      <c r="Q294" s="12">
        <f t="shared" si="3"/>
        <v>100</v>
      </c>
      <c r="R294" s="13" t="str">
        <f t="shared" si="4"/>
        <v>Высокий</v>
      </c>
      <c r="S294" s="3"/>
      <c r="T294" s="3"/>
      <c r="U294" s="3"/>
      <c r="V294" s="3"/>
      <c r="W294" s="3"/>
      <c r="X294" s="3"/>
      <c r="Y294" s="3"/>
      <c r="Z294" s="3"/>
    </row>
    <row r="295" ht="15.75" hidden="1" customHeight="1">
      <c r="A295" s="4" t="s">
        <v>450</v>
      </c>
      <c r="B295" s="5" t="s">
        <v>24</v>
      </c>
      <c r="C295" s="5" t="s">
        <v>105</v>
      </c>
      <c r="D295" s="5" t="s">
        <v>170</v>
      </c>
      <c r="E295" s="6">
        <v>51600.0</v>
      </c>
      <c r="F295" s="6"/>
      <c r="G295" s="16"/>
      <c r="H295" s="7"/>
      <c r="I295" s="9"/>
      <c r="J295" s="5"/>
      <c r="K295" s="9"/>
      <c r="L295" s="5"/>
      <c r="M295" s="9"/>
      <c r="N295" s="10"/>
      <c r="O295" s="10" t="str">
        <f t="shared" si="1"/>
        <v/>
      </c>
      <c r="P295" s="11" t="str">
        <f t="shared" si="2"/>
        <v/>
      </c>
      <c r="Q295" s="12" t="str">
        <f t="shared" si="3"/>
        <v/>
      </c>
      <c r="R295" s="13" t="str">
        <f t="shared" si="4"/>
        <v/>
      </c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4" t="s">
        <v>384</v>
      </c>
      <c r="B296" s="5" t="s">
        <v>24</v>
      </c>
      <c r="C296" s="5"/>
      <c r="D296" s="5"/>
      <c r="E296" s="6">
        <v>272000.0</v>
      </c>
      <c r="F296" s="6">
        <v>80000.0</v>
      </c>
      <c r="G296" s="16"/>
      <c r="H296" s="7">
        <v>40000.0</v>
      </c>
      <c r="I296" s="9" t="s">
        <v>451</v>
      </c>
      <c r="J296" s="5"/>
      <c r="K296" s="9"/>
      <c r="L296" s="5"/>
      <c r="M296" s="9"/>
      <c r="N296" s="10"/>
      <c r="O296" s="10">
        <f t="shared" si="1"/>
        <v>0.5</v>
      </c>
      <c r="P296" s="11">
        <f t="shared" si="2"/>
        <v>500</v>
      </c>
      <c r="Q296" s="12">
        <f t="shared" si="3"/>
        <v>85</v>
      </c>
      <c r="R296" s="13" t="str">
        <f t="shared" si="4"/>
        <v>Высокий</v>
      </c>
      <c r="S296" s="3"/>
      <c r="T296" s="3"/>
      <c r="U296" s="3"/>
      <c r="V296" s="3"/>
      <c r="W296" s="3"/>
      <c r="X296" s="3"/>
      <c r="Y296" s="3"/>
      <c r="Z296" s="3"/>
    </row>
    <row r="297" ht="15.75" hidden="1" customHeight="1">
      <c r="A297" s="4" t="s">
        <v>452</v>
      </c>
      <c r="B297" s="5" t="s">
        <v>24</v>
      </c>
      <c r="C297" s="5" t="s">
        <v>105</v>
      </c>
      <c r="D297" s="5" t="s">
        <v>170</v>
      </c>
      <c r="E297" s="6">
        <v>50900.0</v>
      </c>
      <c r="F297" s="6"/>
      <c r="G297" s="16"/>
      <c r="H297" s="7"/>
      <c r="I297" s="9"/>
      <c r="J297" s="5"/>
      <c r="K297" s="9"/>
      <c r="L297" s="5"/>
      <c r="M297" s="9"/>
      <c r="N297" s="10"/>
      <c r="O297" s="10" t="str">
        <f t="shared" si="1"/>
        <v/>
      </c>
      <c r="P297" s="11" t="str">
        <f t="shared" si="2"/>
        <v/>
      </c>
      <c r="Q297" s="12" t="str">
        <f t="shared" si="3"/>
        <v/>
      </c>
      <c r="R297" s="13" t="str">
        <f t="shared" si="4"/>
        <v/>
      </c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4" t="s">
        <v>453</v>
      </c>
      <c r="B298" s="5" t="s">
        <v>244</v>
      </c>
      <c r="C298" s="5"/>
      <c r="D298" s="5"/>
      <c r="E298" s="6">
        <v>12900.0</v>
      </c>
      <c r="F298" s="6">
        <v>10000.0</v>
      </c>
      <c r="G298" s="16"/>
      <c r="H298" s="7">
        <v>10000.0</v>
      </c>
      <c r="I298" s="9"/>
      <c r="J298" s="5"/>
      <c r="K298" s="9"/>
      <c r="L298" s="5"/>
      <c r="M298" s="9"/>
      <c r="N298" s="10"/>
      <c r="O298" s="10">
        <f t="shared" si="1"/>
        <v>1</v>
      </c>
      <c r="P298" s="11">
        <f t="shared" si="2"/>
        <v>1000</v>
      </c>
      <c r="Q298" s="12">
        <f t="shared" si="3"/>
        <v>55</v>
      </c>
      <c r="R298" s="13" t="str">
        <f t="shared" si="4"/>
        <v>Средний</v>
      </c>
      <c r="S298" s="3"/>
      <c r="T298" s="3"/>
      <c r="U298" s="3"/>
      <c r="V298" s="3"/>
      <c r="W298" s="3"/>
      <c r="X298" s="3"/>
      <c r="Y298" s="3"/>
      <c r="Z298" s="3"/>
    </row>
    <row r="299" ht="15.75" hidden="1" customHeight="1">
      <c r="A299" s="4" t="s">
        <v>454</v>
      </c>
      <c r="B299" s="5" t="s">
        <v>24</v>
      </c>
      <c r="C299" s="5" t="s">
        <v>105</v>
      </c>
      <c r="D299" s="5" t="s">
        <v>170</v>
      </c>
      <c r="E299" s="6">
        <v>49700.0</v>
      </c>
      <c r="F299" s="6"/>
      <c r="G299" s="16"/>
      <c r="H299" s="7"/>
      <c r="I299" s="9"/>
      <c r="J299" s="5"/>
      <c r="K299" s="9"/>
      <c r="L299" s="5"/>
      <c r="M299" s="9"/>
      <c r="N299" s="10"/>
      <c r="O299" s="10" t="str">
        <f t="shared" si="1"/>
        <v/>
      </c>
      <c r="P299" s="11" t="str">
        <f t="shared" si="2"/>
        <v/>
      </c>
      <c r="Q299" s="12" t="str">
        <f t="shared" si="3"/>
        <v/>
      </c>
      <c r="R299" s="13" t="str">
        <f t="shared" si="4"/>
        <v/>
      </c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50" t="s">
        <v>455</v>
      </c>
      <c r="B300" s="5" t="s">
        <v>29</v>
      </c>
      <c r="C300" s="5"/>
      <c r="D300" s="5"/>
      <c r="E300" s="6"/>
      <c r="F300" s="6"/>
      <c r="G300" s="16"/>
      <c r="H300" s="51">
        <v>37500.0</v>
      </c>
      <c r="I300" s="48" t="s">
        <v>456</v>
      </c>
      <c r="J300" s="5"/>
      <c r="K300" s="9"/>
      <c r="L300" s="5"/>
      <c r="M300" s="9"/>
      <c r="N300" s="10"/>
      <c r="O300" s="10" t="str">
        <f t="shared" si="1"/>
        <v/>
      </c>
      <c r="P300" s="11" t="str">
        <f t="shared" si="2"/>
        <v/>
      </c>
      <c r="Q300" s="12" t="str">
        <f t="shared" si="3"/>
        <v/>
      </c>
      <c r="R300" s="13" t="str">
        <f t="shared" si="4"/>
        <v/>
      </c>
      <c r="S300" s="3"/>
      <c r="T300" s="3"/>
      <c r="U300" s="3"/>
      <c r="V300" s="3"/>
      <c r="W300" s="3"/>
      <c r="X300" s="3"/>
      <c r="Y300" s="3"/>
      <c r="Z300" s="3"/>
    </row>
    <row r="301" ht="15.75" hidden="1" customHeight="1">
      <c r="A301" s="4" t="s">
        <v>457</v>
      </c>
      <c r="B301" s="5" t="s">
        <v>24</v>
      </c>
      <c r="C301" s="5" t="s">
        <v>105</v>
      </c>
      <c r="D301" s="5" t="s">
        <v>170</v>
      </c>
      <c r="E301" s="6">
        <v>47900.0</v>
      </c>
      <c r="F301" s="6"/>
      <c r="G301" s="16"/>
      <c r="H301" s="7"/>
      <c r="I301" s="9"/>
      <c r="J301" s="5"/>
      <c r="K301" s="9"/>
      <c r="L301" s="5"/>
      <c r="M301" s="9"/>
      <c r="N301" s="10"/>
      <c r="O301" s="10" t="str">
        <f t="shared" si="1"/>
        <v/>
      </c>
      <c r="P301" s="11" t="str">
        <f t="shared" si="2"/>
        <v/>
      </c>
      <c r="Q301" s="12" t="str">
        <f t="shared" si="3"/>
        <v/>
      </c>
      <c r="R301" s="13" t="str">
        <f t="shared" si="4"/>
        <v/>
      </c>
      <c r="S301" s="3"/>
      <c r="T301" s="3"/>
      <c r="U301" s="3"/>
      <c r="V301" s="3"/>
      <c r="W301" s="3"/>
      <c r="X301" s="3"/>
      <c r="Y301" s="3"/>
      <c r="Z301" s="3"/>
    </row>
    <row r="302" ht="15.75" hidden="1" customHeight="1">
      <c r="A302" s="4" t="s">
        <v>458</v>
      </c>
      <c r="B302" s="5" t="s">
        <v>24</v>
      </c>
      <c r="C302" s="5" t="s">
        <v>105</v>
      </c>
      <c r="D302" s="5" t="s">
        <v>170</v>
      </c>
      <c r="E302" s="6">
        <v>46700.0</v>
      </c>
      <c r="F302" s="6"/>
      <c r="G302" s="16"/>
      <c r="H302" s="7"/>
      <c r="I302" s="9"/>
      <c r="J302" s="5"/>
      <c r="K302" s="9"/>
      <c r="L302" s="5"/>
      <c r="M302" s="9"/>
      <c r="N302" s="10"/>
      <c r="O302" s="10" t="str">
        <f t="shared" si="1"/>
        <v/>
      </c>
      <c r="P302" s="11" t="str">
        <f t="shared" si="2"/>
        <v/>
      </c>
      <c r="Q302" s="12" t="str">
        <f t="shared" si="3"/>
        <v/>
      </c>
      <c r="R302" s="13" t="str">
        <f t="shared" si="4"/>
        <v/>
      </c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50" t="s">
        <v>459</v>
      </c>
      <c r="B303" s="5"/>
      <c r="C303" s="5"/>
      <c r="D303" s="5"/>
      <c r="E303" s="6"/>
      <c r="F303" s="6"/>
      <c r="G303" s="16"/>
      <c r="H303" s="51" t="s">
        <v>460</v>
      </c>
      <c r="I303" s="48" t="s">
        <v>461</v>
      </c>
      <c r="J303" s="5"/>
      <c r="K303" s="9"/>
      <c r="L303" s="5"/>
      <c r="M303" s="9"/>
      <c r="N303" s="10"/>
      <c r="O303" s="10" t="str">
        <f t="shared" si="1"/>
        <v/>
      </c>
      <c r="P303" s="11" t="str">
        <f t="shared" si="2"/>
        <v/>
      </c>
      <c r="Q303" s="12" t="str">
        <f t="shared" si="3"/>
        <v/>
      </c>
      <c r="R303" s="13" t="str">
        <f t="shared" si="4"/>
        <v/>
      </c>
      <c r="S303" s="3"/>
      <c r="T303" s="3"/>
      <c r="U303" s="3"/>
      <c r="V303" s="3"/>
      <c r="W303" s="3"/>
      <c r="X303" s="3"/>
      <c r="Y303" s="3"/>
      <c r="Z303" s="3"/>
    </row>
    <row r="304" ht="15.75" hidden="1" customHeight="1">
      <c r="A304" s="4" t="s">
        <v>462</v>
      </c>
      <c r="B304" s="5" t="s">
        <v>24</v>
      </c>
      <c r="C304" s="5" t="s">
        <v>105</v>
      </c>
      <c r="D304" s="5" t="s">
        <v>170</v>
      </c>
      <c r="E304" s="6">
        <v>44700.0</v>
      </c>
      <c r="F304" s="6"/>
      <c r="G304" s="16"/>
      <c r="H304" s="7"/>
      <c r="I304" s="9"/>
      <c r="J304" s="5"/>
      <c r="K304" s="9"/>
      <c r="L304" s="5"/>
      <c r="M304" s="9"/>
      <c r="N304" s="10"/>
      <c r="O304" s="10" t="str">
        <f t="shared" si="1"/>
        <v/>
      </c>
      <c r="P304" s="11" t="str">
        <f t="shared" si="2"/>
        <v/>
      </c>
      <c r="Q304" s="12" t="str">
        <f t="shared" si="3"/>
        <v/>
      </c>
      <c r="R304" s="13" t="str">
        <f t="shared" si="4"/>
        <v/>
      </c>
      <c r="S304" s="3"/>
      <c r="T304" s="3"/>
      <c r="U304" s="3"/>
      <c r="V304" s="3"/>
      <c r="W304" s="3"/>
      <c r="X304" s="3"/>
      <c r="Y304" s="3"/>
      <c r="Z304" s="3"/>
    </row>
    <row r="305" ht="15.75" hidden="1" customHeight="1">
      <c r="A305" s="4" t="s">
        <v>463</v>
      </c>
      <c r="B305" s="5" t="s">
        <v>29</v>
      </c>
      <c r="C305" s="5" t="s">
        <v>169</v>
      </c>
      <c r="D305" s="5" t="s">
        <v>170</v>
      </c>
      <c r="E305" s="6">
        <v>43800.0</v>
      </c>
      <c r="F305" s="6"/>
      <c r="G305" s="16"/>
      <c r="H305" s="7"/>
      <c r="I305" s="9"/>
      <c r="J305" s="5"/>
      <c r="K305" s="9"/>
      <c r="L305" s="5"/>
      <c r="M305" s="9"/>
      <c r="N305" s="10"/>
      <c r="O305" s="10" t="str">
        <f t="shared" si="1"/>
        <v/>
      </c>
      <c r="P305" s="11" t="str">
        <f t="shared" si="2"/>
        <v/>
      </c>
      <c r="Q305" s="12" t="str">
        <f t="shared" si="3"/>
        <v/>
      </c>
      <c r="R305" s="13" t="str">
        <f t="shared" si="4"/>
        <v/>
      </c>
      <c r="S305" s="3"/>
      <c r="T305" s="3"/>
      <c r="U305" s="3"/>
      <c r="V305" s="3"/>
      <c r="W305" s="3"/>
      <c r="X305" s="3"/>
      <c r="Y305" s="3"/>
      <c r="Z305" s="3"/>
    </row>
    <row r="306" ht="15.75" hidden="1" customHeight="1">
      <c r="A306" s="4" t="s">
        <v>464</v>
      </c>
      <c r="B306" s="5" t="s">
        <v>24</v>
      </c>
      <c r="C306" s="5" t="s">
        <v>105</v>
      </c>
      <c r="D306" s="5" t="s">
        <v>170</v>
      </c>
      <c r="E306" s="6">
        <v>43800.0</v>
      </c>
      <c r="F306" s="6"/>
      <c r="G306" s="16"/>
      <c r="H306" s="7"/>
      <c r="I306" s="9"/>
      <c r="J306" s="5"/>
      <c r="K306" s="9"/>
      <c r="L306" s="5"/>
      <c r="M306" s="9"/>
      <c r="N306" s="10"/>
      <c r="O306" s="10" t="str">
        <f t="shared" si="1"/>
        <v/>
      </c>
      <c r="P306" s="11" t="str">
        <f t="shared" si="2"/>
        <v/>
      </c>
      <c r="Q306" s="12" t="str">
        <f t="shared" si="3"/>
        <v/>
      </c>
      <c r="R306" s="13" t="str">
        <f t="shared" si="4"/>
        <v/>
      </c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0" t="s">
        <v>465</v>
      </c>
      <c r="B307" s="5" t="s">
        <v>24</v>
      </c>
      <c r="C307" s="5"/>
      <c r="D307" s="5"/>
      <c r="E307" s="6"/>
      <c r="F307" s="6"/>
      <c r="G307" s="16"/>
      <c r="H307" s="7">
        <v>20000.0</v>
      </c>
      <c r="I307" s="48" t="s">
        <v>466</v>
      </c>
      <c r="J307" s="5"/>
      <c r="K307" s="9"/>
      <c r="L307" s="5"/>
      <c r="M307" s="9"/>
      <c r="N307" s="10"/>
      <c r="O307" s="10" t="str">
        <f t="shared" si="1"/>
        <v/>
      </c>
      <c r="P307" s="11" t="str">
        <f t="shared" si="2"/>
        <v/>
      </c>
      <c r="Q307" s="12" t="str">
        <f t="shared" si="3"/>
        <v/>
      </c>
      <c r="R307" s="13" t="str">
        <f t="shared" si="4"/>
        <v/>
      </c>
      <c r="S307" s="3"/>
      <c r="T307" s="3"/>
      <c r="U307" s="3"/>
      <c r="V307" s="3"/>
      <c r="W307" s="3"/>
      <c r="X307" s="3"/>
      <c r="Y307" s="3"/>
      <c r="Z307" s="3"/>
    </row>
    <row r="308" ht="15.75" hidden="1" customHeight="1">
      <c r="A308" s="4" t="s">
        <v>467</v>
      </c>
      <c r="B308" s="5" t="s">
        <v>24</v>
      </c>
      <c r="C308" s="5" t="s">
        <v>105</v>
      </c>
      <c r="D308" s="5" t="s">
        <v>170</v>
      </c>
      <c r="E308" s="6">
        <v>42800.0</v>
      </c>
      <c r="F308" s="6"/>
      <c r="G308" s="16"/>
      <c r="H308" s="7"/>
      <c r="I308" s="9"/>
      <c r="J308" s="5"/>
      <c r="K308" s="9"/>
      <c r="L308" s="5"/>
      <c r="M308" s="9"/>
      <c r="N308" s="10"/>
      <c r="O308" s="10" t="str">
        <f t="shared" si="1"/>
        <v/>
      </c>
      <c r="P308" s="11" t="str">
        <f t="shared" si="2"/>
        <v/>
      </c>
      <c r="Q308" s="12" t="str">
        <f t="shared" si="3"/>
        <v/>
      </c>
      <c r="R308" s="13" t="str">
        <f t="shared" si="4"/>
        <v/>
      </c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50" t="s">
        <v>468</v>
      </c>
      <c r="B309" s="5" t="s">
        <v>29</v>
      </c>
      <c r="C309" s="5"/>
      <c r="D309" s="5"/>
      <c r="E309" s="6"/>
      <c r="F309" s="6"/>
      <c r="G309" s="16"/>
      <c r="H309" s="7"/>
      <c r="I309" s="48" t="s">
        <v>469</v>
      </c>
      <c r="J309" s="5"/>
      <c r="K309" s="9"/>
      <c r="L309" s="5"/>
      <c r="M309" s="9"/>
      <c r="N309" s="10"/>
      <c r="O309" s="10" t="str">
        <f t="shared" si="1"/>
        <v/>
      </c>
      <c r="P309" s="11" t="str">
        <f t="shared" si="2"/>
        <v/>
      </c>
      <c r="Q309" s="12" t="str">
        <f t="shared" si="3"/>
        <v/>
      </c>
      <c r="R309" s="13" t="str">
        <f t="shared" si="4"/>
        <v/>
      </c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50" t="s">
        <v>470</v>
      </c>
      <c r="B310" s="5" t="s">
        <v>29</v>
      </c>
      <c r="C310" s="5"/>
      <c r="D310" s="5"/>
      <c r="E310" s="6"/>
      <c r="F310" s="6"/>
      <c r="G310" s="16"/>
      <c r="H310" s="7">
        <v>11000.0</v>
      </c>
      <c r="I310" s="48" t="s">
        <v>471</v>
      </c>
      <c r="J310" s="5"/>
      <c r="K310" s="9"/>
      <c r="L310" s="5"/>
      <c r="M310" s="9"/>
      <c r="N310" s="10"/>
      <c r="O310" s="10" t="str">
        <f t="shared" si="1"/>
        <v/>
      </c>
      <c r="P310" s="11" t="str">
        <f t="shared" si="2"/>
        <v/>
      </c>
      <c r="Q310" s="12" t="str">
        <f t="shared" si="3"/>
        <v/>
      </c>
      <c r="R310" s="13" t="str">
        <f t="shared" si="4"/>
        <v/>
      </c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0" t="s">
        <v>472</v>
      </c>
      <c r="B311" s="5" t="s">
        <v>244</v>
      </c>
      <c r="C311" s="5"/>
      <c r="D311" s="5"/>
      <c r="E311" s="6">
        <v>257000.0</v>
      </c>
      <c r="F311" s="6">
        <v>60000.0</v>
      </c>
      <c r="G311" s="16"/>
      <c r="H311" s="7">
        <v>30000.0</v>
      </c>
      <c r="I311" s="9"/>
      <c r="J311" s="5"/>
      <c r="K311" s="9"/>
      <c r="L311" s="5"/>
      <c r="M311" s="9"/>
      <c r="N311" s="10"/>
      <c r="O311" s="10">
        <f t="shared" si="1"/>
        <v>0.5</v>
      </c>
      <c r="P311" s="11">
        <f t="shared" si="2"/>
        <v>500</v>
      </c>
      <c r="Q311" s="12">
        <f t="shared" si="3"/>
        <v>85</v>
      </c>
      <c r="R311" s="13" t="str">
        <f t="shared" si="4"/>
        <v>Высокий</v>
      </c>
      <c r="S311" s="3"/>
      <c r="T311" s="3"/>
      <c r="U311" s="3"/>
      <c r="V311" s="3"/>
      <c r="W311" s="3"/>
      <c r="X311" s="3"/>
      <c r="Y311" s="3"/>
      <c r="Z311" s="3"/>
    </row>
    <row r="312" ht="15.75" hidden="1" customHeight="1">
      <c r="A312" s="4" t="s">
        <v>473</v>
      </c>
      <c r="B312" s="5" t="s">
        <v>24</v>
      </c>
      <c r="C312" s="5" t="s">
        <v>105</v>
      </c>
      <c r="D312" s="5" t="s">
        <v>170</v>
      </c>
      <c r="E312" s="6">
        <v>37500.0</v>
      </c>
      <c r="F312" s="6"/>
      <c r="G312" s="16"/>
      <c r="H312" s="7"/>
      <c r="I312" s="9"/>
      <c r="J312" s="5"/>
      <c r="K312" s="9"/>
      <c r="L312" s="5"/>
      <c r="M312" s="9"/>
      <c r="N312" s="10"/>
      <c r="O312" s="10" t="str">
        <f t="shared" si="1"/>
        <v/>
      </c>
      <c r="P312" s="11" t="str">
        <f t="shared" si="2"/>
        <v/>
      </c>
      <c r="Q312" s="12" t="str">
        <f t="shared" si="3"/>
        <v/>
      </c>
      <c r="R312" s="13" t="str">
        <f t="shared" si="4"/>
        <v/>
      </c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0" t="s">
        <v>474</v>
      </c>
      <c r="B313" s="5"/>
      <c r="C313" s="5"/>
      <c r="D313" s="5"/>
      <c r="E313" s="6">
        <v>498.0</v>
      </c>
      <c r="F313" s="6">
        <v>500.0</v>
      </c>
      <c r="G313" s="16"/>
      <c r="H313" s="7">
        <v>0.0</v>
      </c>
      <c r="I313" s="9"/>
      <c r="J313" s="5"/>
      <c r="K313" s="9"/>
      <c r="L313" s="5"/>
      <c r="M313" s="9"/>
      <c r="N313" s="10"/>
      <c r="O313" s="10">
        <f t="shared" si="1"/>
        <v>0</v>
      </c>
      <c r="P313" s="11">
        <f t="shared" si="2"/>
        <v>0</v>
      </c>
      <c r="Q313" s="12">
        <f t="shared" si="3"/>
        <v>60</v>
      </c>
      <c r="R313" s="13" t="str">
        <f t="shared" si="4"/>
        <v>Средний</v>
      </c>
      <c r="S313" s="3"/>
      <c r="T313" s="3"/>
      <c r="U313" s="3"/>
      <c r="V313" s="3"/>
      <c r="W313" s="3"/>
      <c r="X313" s="3"/>
      <c r="Y313" s="3"/>
      <c r="Z313" s="3"/>
    </row>
    <row r="314" ht="15.75" hidden="1" customHeight="1">
      <c r="A314" s="4" t="s">
        <v>475</v>
      </c>
      <c r="B314" s="5" t="s">
        <v>24</v>
      </c>
      <c r="C314" s="5" t="s">
        <v>105</v>
      </c>
      <c r="D314" s="5" t="s">
        <v>170</v>
      </c>
      <c r="E314" s="6">
        <v>36600.0</v>
      </c>
      <c r="F314" s="6"/>
      <c r="G314" s="16"/>
      <c r="H314" s="7"/>
      <c r="I314" s="9"/>
      <c r="J314" s="5"/>
      <c r="K314" s="9"/>
      <c r="L314" s="5"/>
      <c r="M314" s="9"/>
      <c r="N314" s="10"/>
      <c r="O314" s="10" t="str">
        <f t="shared" si="1"/>
        <v/>
      </c>
      <c r="P314" s="11" t="str">
        <f t="shared" si="2"/>
        <v/>
      </c>
      <c r="Q314" s="12" t="str">
        <f t="shared" si="3"/>
        <v/>
      </c>
      <c r="R314" s="13" t="str">
        <f t="shared" si="4"/>
        <v/>
      </c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0" t="s">
        <v>476</v>
      </c>
      <c r="B315" s="5"/>
      <c r="C315" s="5"/>
      <c r="D315" s="5"/>
      <c r="E315" s="6">
        <v>118.0</v>
      </c>
      <c r="F315" s="6">
        <v>500.0</v>
      </c>
      <c r="G315" s="16"/>
      <c r="H315" s="7">
        <v>0.0</v>
      </c>
      <c r="I315" s="9"/>
      <c r="J315" s="5"/>
      <c r="K315" s="9"/>
      <c r="L315" s="5"/>
      <c r="M315" s="9"/>
      <c r="N315" s="10"/>
      <c r="O315" s="10">
        <f t="shared" si="1"/>
        <v>0</v>
      </c>
      <c r="P315" s="11">
        <f t="shared" si="2"/>
        <v>0</v>
      </c>
      <c r="Q315" s="12">
        <f t="shared" si="3"/>
        <v>60</v>
      </c>
      <c r="R315" s="13" t="str">
        <f t="shared" si="4"/>
        <v>Средний</v>
      </c>
      <c r="S315" s="3"/>
      <c r="T315" s="3"/>
      <c r="U315" s="3"/>
      <c r="V315" s="3"/>
      <c r="W315" s="3"/>
      <c r="X315" s="3"/>
      <c r="Y315" s="3"/>
      <c r="Z315" s="3"/>
    </row>
    <row r="316" ht="15.75" hidden="1" customHeight="1">
      <c r="A316" s="4" t="s">
        <v>477</v>
      </c>
      <c r="B316" s="5" t="s">
        <v>24</v>
      </c>
      <c r="C316" s="5" t="s">
        <v>105</v>
      </c>
      <c r="D316" s="5" t="s">
        <v>170</v>
      </c>
      <c r="E316" s="6">
        <v>34700.0</v>
      </c>
      <c r="F316" s="6"/>
      <c r="G316" s="16"/>
      <c r="H316" s="7"/>
      <c r="I316" s="9"/>
      <c r="J316" s="5"/>
      <c r="K316" s="9"/>
      <c r="L316" s="5"/>
      <c r="M316" s="9"/>
      <c r="N316" s="10"/>
      <c r="O316" s="10" t="str">
        <f t="shared" si="1"/>
        <v/>
      </c>
      <c r="P316" s="11" t="str">
        <f t="shared" si="2"/>
        <v/>
      </c>
      <c r="Q316" s="12" t="str">
        <f t="shared" si="3"/>
        <v/>
      </c>
      <c r="R316" s="13" t="str">
        <f t="shared" si="4"/>
        <v/>
      </c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15"/>
      <c r="B317" s="5"/>
      <c r="C317" s="5"/>
      <c r="D317" s="5"/>
      <c r="E317" s="6"/>
      <c r="F317" s="6"/>
      <c r="G317" s="16"/>
      <c r="H317" s="7"/>
      <c r="I317" s="9"/>
      <c r="J317" s="5"/>
      <c r="K317" s="9"/>
      <c r="L317" s="5"/>
      <c r="M317" s="9"/>
      <c r="N317" s="10"/>
      <c r="O317" s="10" t="str">
        <f t="shared" si="1"/>
        <v/>
      </c>
      <c r="P317" s="11" t="str">
        <f t="shared" si="2"/>
        <v/>
      </c>
      <c r="Q317" s="12" t="str">
        <f t="shared" si="3"/>
        <v/>
      </c>
      <c r="R317" s="13" t="str">
        <f t="shared" si="4"/>
        <v/>
      </c>
      <c r="S317" s="3"/>
      <c r="T317" s="3"/>
      <c r="U317" s="3"/>
      <c r="V317" s="3"/>
      <c r="W317" s="3"/>
      <c r="X317" s="3"/>
      <c r="Y317" s="3"/>
      <c r="Z317" s="3"/>
    </row>
    <row r="318" ht="15.75" hidden="1" customHeight="1">
      <c r="A318" s="4" t="s">
        <v>478</v>
      </c>
      <c r="B318" s="5" t="s">
        <v>29</v>
      </c>
      <c r="C318" s="5" t="s">
        <v>169</v>
      </c>
      <c r="D318" s="5" t="s">
        <v>170</v>
      </c>
      <c r="E318" s="6">
        <v>33300.0</v>
      </c>
      <c r="F318" s="6"/>
      <c r="G318" s="16"/>
      <c r="H318" s="7"/>
      <c r="I318" s="9"/>
      <c r="J318" s="5"/>
      <c r="K318" s="9"/>
      <c r="L318" s="5"/>
      <c r="M318" s="9"/>
      <c r="N318" s="10"/>
      <c r="O318" s="10" t="str">
        <f t="shared" si="1"/>
        <v/>
      </c>
      <c r="P318" s="11" t="str">
        <f t="shared" si="2"/>
        <v/>
      </c>
      <c r="Q318" s="12" t="str">
        <f t="shared" si="3"/>
        <v/>
      </c>
      <c r="R318" s="13" t="str">
        <f t="shared" si="4"/>
        <v/>
      </c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0" t="s">
        <v>479</v>
      </c>
      <c r="B319" s="5" t="s">
        <v>29</v>
      </c>
      <c r="C319" s="5"/>
      <c r="D319" s="5"/>
      <c r="E319" s="6">
        <v>481659.0</v>
      </c>
      <c r="F319" s="6">
        <v>50000.0</v>
      </c>
      <c r="G319" s="16"/>
      <c r="H319" s="7">
        <v>17000.0</v>
      </c>
      <c r="I319" s="9"/>
      <c r="J319" s="5"/>
      <c r="K319" s="9"/>
      <c r="L319" s="5"/>
      <c r="M319" s="9"/>
      <c r="N319" s="10"/>
      <c r="O319" s="10">
        <f t="shared" si="1"/>
        <v>0.34</v>
      </c>
      <c r="P319" s="11">
        <f t="shared" si="2"/>
        <v>340</v>
      </c>
      <c r="Q319" s="12">
        <f t="shared" si="3"/>
        <v>85</v>
      </c>
      <c r="R319" s="13" t="str">
        <f t="shared" si="4"/>
        <v>Высокий</v>
      </c>
      <c r="S319" s="3"/>
      <c r="T319" s="3"/>
      <c r="U319" s="3"/>
      <c r="V319" s="3"/>
      <c r="W319" s="3"/>
      <c r="X319" s="3"/>
      <c r="Y319" s="3"/>
      <c r="Z319" s="3"/>
    </row>
    <row r="320" ht="15.75" hidden="1" customHeight="1">
      <c r="A320" s="4" t="s">
        <v>480</v>
      </c>
      <c r="B320" s="5" t="s">
        <v>24</v>
      </c>
      <c r="C320" s="5" t="s">
        <v>105</v>
      </c>
      <c r="D320" s="5" t="s">
        <v>170</v>
      </c>
      <c r="E320" s="6">
        <v>32200.0</v>
      </c>
      <c r="F320" s="6"/>
      <c r="G320" s="16"/>
      <c r="H320" s="7"/>
      <c r="I320" s="9"/>
      <c r="J320" s="5"/>
      <c r="K320" s="9"/>
      <c r="L320" s="5"/>
      <c r="M320" s="9"/>
      <c r="N320" s="10"/>
      <c r="O320" s="10" t="str">
        <f t="shared" si="1"/>
        <v/>
      </c>
      <c r="P320" s="11" t="str">
        <f t="shared" si="2"/>
        <v/>
      </c>
      <c r="Q320" s="12" t="str">
        <f t="shared" si="3"/>
        <v/>
      </c>
      <c r="R320" s="13" t="str">
        <f t="shared" si="4"/>
        <v/>
      </c>
      <c r="S320" s="3"/>
      <c r="T320" s="3"/>
      <c r="U320" s="3"/>
      <c r="V320" s="3"/>
      <c r="W320" s="3"/>
      <c r="X320" s="3"/>
      <c r="Y320" s="3"/>
      <c r="Z320" s="3"/>
    </row>
    <row r="321" ht="15.75" hidden="1" customHeight="1">
      <c r="A321" s="4" t="s">
        <v>481</v>
      </c>
      <c r="B321" s="5" t="s">
        <v>24</v>
      </c>
      <c r="C321" s="5" t="s">
        <v>105</v>
      </c>
      <c r="D321" s="5" t="s">
        <v>170</v>
      </c>
      <c r="E321" s="6">
        <v>31700.0</v>
      </c>
      <c r="F321" s="6"/>
      <c r="G321" s="16"/>
      <c r="H321" s="7"/>
      <c r="I321" s="9"/>
      <c r="J321" s="5"/>
      <c r="K321" s="9"/>
      <c r="L321" s="5"/>
      <c r="M321" s="9"/>
      <c r="N321" s="10"/>
      <c r="O321" s="10" t="str">
        <f t="shared" si="1"/>
        <v/>
      </c>
      <c r="P321" s="11" t="str">
        <f t="shared" si="2"/>
        <v/>
      </c>
      <c r="Q321" s="12" t="str">
        <f t="shared" si="3"/>
        <v/>
      </c>
      <c r="R321" s="13" t="str">
        <f t="shared" si="4"/>
        <v/>
      </c>
      <c r="S321" s="3"/>
      <c r="T321" s="3"/>
      <c r="U321" s="3"/>
      <c r="V321" s="3"/>
      <c r="W321" s="3"/>
      <c r="X321" s="3"/>
      <c r="Y321" s="3"/>
      <c r="Z321" s="3"/>
    </row>
    <row r="322" ht="15.75" hidden="1" customHeight="1">
      <c r="A322" s="4" t="s">
        <v>482</v>
      </c>
      <c r="B322" s="5" t="s">
        <v>24</v>
      </c>
      <c r="C322" s="5" t="s">
        <v>105</v>
      </c>
      <c r="D322" s="5" t="s">
        <v>170</v>
      </c>
      <c r="E322" s="6">
        <v>31500.0</v>
      </c>
      <c r="F322" s="6"/>
      <c r="G322" s="16"/>
      <c r="H322" s="7"/>
      <c r="I322" s="9"/>
      <c r="J322" s="5"/>
      <c r="K322" s="9"/>
      <c r="L322" s="5"/>
      <c r="M322" s="9"/>
      <c r="N322" s="10"/>
      <c r="O322" s="10" t="str">
        <f t="shared" si="1"/>
        <v/>
      </c>
      <c r="P322" s="11" t="str">
        <f t="shared" si="2"/>
        <v/>
      </c>
      <c r="Q322" s="12" t="str">
        <f t="shared" si="3"/>
        <v/>
      </c>
      <c r="R322" s="13" t="str">
        <f t="shared" si="4"/>
        <v/>
      </c>
      <c r="S322" s="3"/>
      <c r="T322" s="3"/>
      <c r="U322" s="3"/>
      <c r="V322" s="3"/>
      <c r="W322" s="3"/>
      <c r="X322" s="3"/>
      <c r="Y322" s="3"/>
      <c r="Z322" s="3"/>
    </row>
    <row r="323" ht="15.75" hidden="1" customHeight="1">
      <c r="A323" s="4" t="s">
        <v>483</v>
      </c>
      <c r="B323" s="5" t="s">
        <v>24</v>
      </c>
      <c r="C323" s="5" t="s">
        <v>105</v>
      </c>
      <c r="D323" s="5" t="s">
        <v>170</v>
      </c>
      <c r="E323" s="6">
        <v>31000.0</v>
      </c>
      <c r="F323" s="6"/>
      <c r="G323" s="16"/>
      <c r="H323" s="7"/>
      <c r="I323" s="9"/>
      <c r="J323" s="5"/>
      <c r="K323" s="9"/>
      <c r="L323" s="5"/>
      <c r="M323" s="9"/>
      <c r="N323" s="10"/>
      <c r="O323" s="10" t="str">
        <f t="shared" si="1"/>
        <v/>
      </c>
      <c r="P323" s="11" t="str">
        <f t="shared" si="2"/>
        <v/>
      </c>
      <c r="Q323" s="12" t="str">
        <f t="shared" si="3"/>
        <v/>
      </c>
      <c r="R323" s="13" t="str">
        <f t="shared" si="4"/>
        <v/>
      </c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0" t="s">
        <v>479</v>
      </c>
      <c r="B324" s="5" t="s">
        <v>37</v>
      </c>
      <c r="C324" s="5"/>
      <c r="D324" s="5"/>
      <c r="E324" s="6">
        <v>100780.0</v>
      </c>
      <c r="F324" s="6">
        <v>40000.0</v>
      </c>
      <c r="G324" s="16"/>
      <c r="H324" s="7">
        <v>14000.0</v>
      </c>
      <c r="I324" s="9"/>
      <c r="J324" s="5"/>
      <c r="K324" s="9"/>
      <c r="L324" s="5"/>
      <c r="M324" s="9"/>
      <c r="N324" s="10"/>
      <c r="O324" s="10">
        <f t="shared" si="1"/>
        <v>0.35</v>
      </c>
      <c r="P324" s="11">
        <f t="shared" si="2"/>
        <v>350</v>
      </c>
      <c r="Q324" s="12">
        <f t="shared" si="3"/>
        <v>85</v>
      </c>
      <c r="R324" s="13" t="str">
        <f t="shared" si="4"/>
        <v>Высокий</v>
      </c>
      <c r="S324" s="3"/>
      <c r="T324" s="3"/>
      <c r="U324" s="3"/>
      <c r="V324" s="3"/>
      <c r="W324" s="3"/>
      <c r="X324" s="3"/>
      <c r="Y324" s="3"/>
      <c r="Z324" s="3"/>
    </row>
    <row r="325" ht="15.75" hidden="1" customHeight="1">
      <c r="A325" s="4" t="s">
        <v>484</v>
      </c>
      <c r="B325" s="5" t="s">
        <v>24</v>
      </c>
      <c r="C325" s="5" t="s">
        <v>105</v>
      </c>
      <c r="D325" s="5" t="s">
        <v>170</v>
      </c>
      <c r="E325" s="6">
        <v>30200.0</v>
      </c>
      <c r="F325" s="6"/>
      <c r="G325" s="16"/>
      <c r="H325" s="7"/>
      <c r="I325" s="9"/>
      <c r="J325" s="5"/>
      <c r="K325" s="9"/>
      <c r="L325" s="5"/>
      <c r="M325" s="9"/>
      <c r="N325" s="10"/>
      <c r="O325" s="10" t="str">
        <f t="shared" si="1"/>
        <v/>
      </c>
      <c r="P325" s="11" t="str">
        <f t="shared" si="2"/>
        <v/>
      </c>
      <c r="Q325" s="12" t="str">
        <f t="shared" si="3"/>
        <v/>
      </c>
      <c r="R325" s="13" t="str">
        <f t="shared" si="4"/>
        <v/>
      </c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4" t="s">
        <v>485</v>
      </c>
      <c r="B326" s="5" t="s">
        <v>29</v>
      </c>
      <c r="C326" s="5"/>
      <c r="D326" s="5"/>
      <c r="E326" s="6">
        <v>203900.0</v>
      </c>
      <c r="F326" s="6">
        <v>46000.0</v>
      </c>
      <c r="G326" s="16"/>
      <c r="H326" s="7">
        <v>20000.0</v>
      </c>
      <c r="I326" s="9"/>
      <c r="J326" s="5"/>
      <c r="K326" s="9"/>
      <c r="L326" s="5"/>
      <c r="M326" s="9"/>
      <c r="N326" s="10"/>
      <c r="O326" s="10">
        <f t="shared" si="1"/>
        <v>0.43</v>
      </c>
      <c r="P326" s="11">
        <f t="shared" si="2"/>
        <v>435</v>
      </c>
      <c r="Q326" s="12">
        <f t="shared" si="3"/>
        <v>85</v>
      </c>
      <c r="R326" s="13" t="str">
        <f t="shared" si="4"/>
        <v>Высокий</v>
      </c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15"/>
      <c r="B327" s="5"/>
      <c r="C327" s="5"/>
      <c r="D327" s="5"/>
      <c r="E327" s="6"/>
      <c r="F327" s="6"/>
      <c r="G327" s="16"/>
      <c r="H327" s="7"/>
      <c r="I327" s="9"/>
      <c r="J327" s="5"/>
      <c r="K327" s="9"/>
      <c r="L327" s="5"/>
      <c r="M327" s="9"/>
      <c r="N327" s="10"/>
      <c r="O327" s="10" t="str">
        <f t="shared" si="1"/>
        <v/>
      </c>
      <c r="P327" s="11" t="str">
        <f t="shared" si="2"/>
        <v/>
      </c>
      <c r="Q327" s="12" t="str">
        <f t="shared" si="3"/>
        <v/>
      </c>
      <c r="R327" s="13" t="str">
        <f t="shared" si="4"/>
        <v/>
      </c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15"/>
      <c r="B328" s="5"/>
      <c r="C328" s="5"/>
      <c r="D328" s="5"/>
      <c r="E328" s="6"/>
      <c r="F328" s="6"/>
      <c r="G328" s="16"/>
      <c r="H328" s="7"/>
      <c r="I328" s="9"/>
      <c r="J328" s="5"/>
      <c r="K328" s="9"/>
      <c r="L328" s="5"/>
      <c r="M328" s="9"/>
      <c r="N328" s="10"/>
      <c r="O328" s="10" t="str">
        <f t="shared" si="1"/>
        <v/>
      </c>
      <c r="P328" s="11" t="str">
        <f t="shared" si="2"/>
        <v/>
      </c>
      <c r="Q328" s="12" t="str">
        <f t="shared" si="3"/>
        <v/>
      </c>
      <c r="R328" s="13" t="str">
        <f t="shared" si="4"/>
        <v/>
      </c>
      <c r="S328" s="3"/>
      <c r="T328" s="3"/>
      <c r="U328" s="3"/>
      <c r="V328" s="3"/>
      <c r="W328" s="3"/>
      <c r="X328" s="3"/>
      <c r="Y328" s="3"/>
      <c r="Z328" s="3"/>
    </row>
    <row r="329" ht="15.75" hidden="1" customHeight="1">
      <c r="A329" s="4" t="s">
        <v>486</v>
      </c>
      <c r="B329" s="5" t="s">
        <v>24</v>
      </c>
      <c r="C329" s="5" t="s">
        <v>105</v>
      </c>
      <c r="D329" s="5" t="s">
        <v>170</v>
      </c>
      <c r="E329" s="6">
        <v>29400.0</v>
      </c>
      <c r="F329" s="6"/>
      <c r="G329" s="16"/>
      <c r="H329" s="7"/>
      <c r="I329" s="9"/>
      <c r="J329" s="5"/>
      <c r="K329" s="9"/>
      <c r="L329" s="5"/>
      <c r="M329" s="9"/>
      <c r="N329" s="10"/>
      <c r="O329" s="10" t="str">
        <f t="shared" si="1"/>
        <v/>
      </c>
      <c r="P329" s="11" t="str">
        <f t="shared" si="2"/>
        <v/>
      </c>
      <c r="Q329" s="12" t="str">
        <f t="shared" si="3"/>
        <v/>
      </c>
      <c r="R329" s="13" t="str">
        <f t="shared" si="4"/>
        <v/>
      </c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15"/>
      <c r="B330" s="5"/>
      <c r="C330" s="5"/>
      <c r="D330" s="5"/>
      <c r="E330" s="6"/>
      <c r="F330" s="6"/>
      <c r="G330" s="16"/>
      <c r="H330" s="7"/>
      <c r="I330" s="9"/>
      <c r="J330" s="5"/>
      <c r="K330" s="9"/>
      <c r="L330" s="5"/>
      <c r="M330" s="9"/>
      <c r="N330" s="10"/>
      <c r="O330" s="10" t="str">
        <f t="shared" si="1"/>
        <v/>
      </c>
      <c r="P330" s="11" t="str">
        <f t="shared" si="2"/>
        <v/>
      </c>
      <c r="Q330" s="12" t="str">
        <f t="shared" si="3"/>
        <v/>
      </c>
      <c r="R330" s="13" t="str">
        <f t="shared" si="4"/>
        <v/>
      </c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15"/>
      <c r="B331" s="5"/>
      <c r="C331" s="5"/>
      <c r="D331" s="5"/>
      <c r="E331" s="6"/>
      <c r="F331" s="6"/>
      <c r="G331" s="16"/>
      <c r="H331" s="7"/>
      <c r="I331" s="9"/>
      <c r="J331" s="5"/>
      <c r="K331" s="9"/>
      <c r="L331" s="5"/>
      <c r="M331" s="9"/>
      <c r="N331" s="10"/>
      <c r="O331" s="10" t="str">
        <f t="shared" si="1"/>
        <v/>
      </c>
      <c r="P331" s="11" t="str">
        <f t="shared" si="2"/>
        <v/>
      </c>
      <c r="Q331" s="12" t="str">
        <f t="shared" si="3"/>
        <v/>
      </c>
      <c r="R331" s="13" t="str">
        <f t="shared" si="4"/>
        <v/>
      </c>
      <c r="S331" s="3"/>
      <c r="T331" s="3"/>
      <c r="U331" s="3"/>
      <c r="V331" s="3"/>
      <c r="W331" s="3"/>
      <c r="X331" s="3"/>
      <c r="Y331" s="3"/>
      <c r="Z331" s="3"/>
    </row>
    <row r="332" ht="15.75" hidden="1" customHeight="1">
      <c r="A332" s="4" t="s">
        <v>487</v>
      </c>
      <c r="B332" s="5" t="s">
        <v>24</v>
      </c>
      <c r="C332" s="5" t="s">
        <v>105</v>
      </c>
      <c r="D332" s="5" t="s">
        <v>170</v>
      </c>
      <c r="E332" s="6">
        <v>28700.0</v>
      </c>
      <c r="F332" s="6"/>
      <c r="G332" s="16"/>
      <c r="H332" s="7"/>
      <c r="I332" s="9"/>
      <c r="J332" s="5"/>
      <c r="K332" s="9"/>
      <c r="L332" s="5"/>
      <c r="M332" s="9"/>
      <c r="N332" s="10"/>
      <c r="O332" s="10" t="str">
        <f t="shared" si="1"/>
        <v/>
      </c>
      <c r="P332" s="11" t="str">
        <f t="shared" si="2"/>
        <v/>
      </c>
      <c r="Q332" s="12" t="str">
        <f t="shared" si="3"/>
        <v/>
      </c>
      <c r="R332" s="13" t="str">
        <f t="shared" si="4"/>
        <v/>
      </c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15"/>
      <c r="B333" s="5"/>
      <c r="C333" s="5"/>
      <c r="D333" s="5"/>
      <c r="E333" s="6"/>
      <c r="F333" s="6"/>
      <c r="G333" s="16"/>
      <c r="H333" s="7"/>
      <c r="I333" s="9"/>
      <c r="J333" s="5"/>
      <c r="K333" s="9"/>
      <c r="L333" s="5"/>
      <c r="M333" s="9"/>
      <c r="N333" s="10"/>
      <c r="O333" s="10" t="str">
        <f t="shared" si="1"/>
        <v/>
      </c>
      <c r="P333" s="11" t="str">
        <f t="shared" si="2"/>
        <v/>
      </c>
      <c r="Q333" s="12" t="str">
        <f t="shared" si="3"/>
        <v/>
      </c>
      <c r="R333" s="13" t="str">
        <f t="shared" si="4"/>
        <v/>
      </c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15"/>
      <c r="B334" s="5"/>
      <c r="C334" s="5"/>
      <c r="D334" s="5"/>
      <c r="E334" s="6"/>
      <c r="F334" s="6"/>
      <c r="G334" s="16"/>
      <c r="H334" s="7"/>
      <c r="I334" s="9"/>
      <c r="J334" s="5"/>
      <c r="K334" s="9"/>
      <c r="L334" s="5"/>
      <c r="M334" s="9"/>
      <c r="N334" s="10"/>
      <c r="O334" s="10" t="str">
        <f t="shared" si="1"/>
        <v/>
      </c>
      <c r="P334" s="11" t="str">
        <f t="shared" si="2"/>
        <v/>
      </c>
      <c r="Q334" s="12" t="str">
        <f t="shared" si="3"/>
        <v/>
      </c>
      <c r="R334" s="13" t="str">
        <f t="shared" si="4"/>
        <v/>
      </c>
      <c r="S334" s="3"/>
      <c r="T334" s="3"/>
      <c r="U334" s="3"/>
      <c r="V334" s="3"/>
      <c r="W334" s="3"/>
      <c r="X334" s="3"/>
      <c r="Y334" s="3"/>
      <c r="Z334" s="3"/>
    </row>
    <row r="335" ht="15.75" hidden="1" customHeight="1">
      <c r="A335" s="4" t="s">
        <v>488</v>
      </c>
      <c r="B335" s="5" t="s">
        <v>24</v>
      </c>
      <c r="C335" s="5" t="s">
        <v>105</v>
      </c>
      <c r="D335" s="5" t="s">
        <v>170</v>
      </c>
      <c r="E335" s="6">
        <v>27500.0</v>
      </c>
      <c r="F335" s="6"/>
      <c r="G335" s="16"/>
      <c r="H335" s="7"/>
      <c r="I335" s="9"/>
      <c r="J335" s="5"/>
      <c r="K335" s="9"/>
      <c r="L335" s="5"/>
      <c r="M335" s="9"/>
      <c r="N335" s="10"/>
      <c r="O335" s="10" t="str">
        <f t="shared" si="1"/>
        <v/>
      </c>
      <c r="P335" s="11" t="str">
        <f t="shared" si="2"/>
        <v/>
      </c>
      <c r="Q335" s="12" t="str">
        <f t="shared" si="3"/>
        <v/>
      </c>
      <c r="R335" s="13" t="str">
        <f t="shared" si="4"/>
        <v/>
      </c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15"/>
      <c r="B336" s="5"/>
      <c r="C336" s="5"/>
      <c r="D336" s="5"/>
      <c r="E336" s="6"/>
      <c r="F336" s="6"/>
      <c r="G336" s="16"/>
      <c r="H336" s="7"/>
      <c r="I336" s="9"/>
      <c r="J336" s="5"/>
      <c r="K336" s="9"/>
      <c r="L336" s="5"/>
      <c r="M336" s="9"/>
      <c r="N336" s="10"/>
      <c r="O336" s="10" t="str">
        <f t="shared" si="1"/>
        <v/>
      </c>
      <c r="P336" s="11" t="str">
        <f t="shared" si="2"/>
        <v/>
      </c>
      <c r="Q336" s="12" t="str">
        <f t="shared" si="3"/>
        <v/>
      </c>
      <c r="R336" s="13" t="str">
        <f t="shared" si="4"/>
        <v/>
      </c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15"/>
      <c r="B337" s="5"/>
      <c r="C337" s="5"/>
      <c r="D337" s="5"/>
      <c r="E337" s="6"/>
      <c r="F337" s="6"/>
      <c r="G337" s="16"/>
      <c r="H337" s="7"/>
      <c r="I337" s="9"/>
      <c r="J337" s="5"/>
      <c r="K337" s="9"/>
      <c r="L337" s="5"/>
      <c r="M337" s="9"/>
      <c r="N337" s="10"/>
      <c r="O337" s="10" t="str">
        <f t="shared" si="1"/>
        <v/>
      </c>
      <c r="P337" s="11" t="str">
        <f t="shared" si="2"/>
        <v/>
      </c>
      <c r="Q337" s="12" t="str">
        <f t="shared" si="3"/>
        <v/>
      </c>
      <c r="R337" s="13" t="str">
        <f t="shared" si="4"/>
        <v/>
      </c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15"/>
      <c r="B338" s="5"/>
      <c r="C338" s="5"/>
      <c r="D338" s="5"/>
      <c r="E338" s="6"/>
      <c r="F338" s="6"/>
      <c r="G338" s="16"/>
      <c r="H338" s="7"/>
      <c r="I338" s="9"/>
      <c r="J338" s="5"/>
      <c r="K338" s="9"/>
      <c r="L338" s="5"/>
      <c r="M338" s="9"/>
      <c r="N338" s="10"/>
      <c r="O338" s="10" t="str">
        <f t="shared" si="1"/>
        <v/>
      </c>
      <c r="P338" s="11" t="str">
        <f t="shared" si="2"/>
        <v/>
      </c>
      <c r="Q338" s="12" t="str">
        <f t="shared" si="3"/>
        <v/>
      </c>
      <c r="R338" s="13" t="str">
        <f t="shared" si="4"/>
        <v/>
      </c>
      <c r="S338" s="3"/>
      <c r="T338" s="3"/>
      <c r="U338" s="3"/>
      <c r="V338" s="3"/>
      <c r="W338" s="3"/>
      <c r="X338" s="3"/>
      <c r="Y338" s="3"/>
      <c r="Z338" s="3"/>
    </row>
    <row r="339" ht="15.75" hidden="1" customHeight="1">
      <c r="A339" s="4" t="s">
        <v>489</v>
      </c>
      <c r="B339" s="5" t="s">
        <v>24</v>
      </c>
      <c r="C339" s="5" t="s">
        <v>105</v>
      </c>
      <c r="D339" s="5" t="s">
        <v>170</v>
      </c>
      <c r="E339" s="6">
        <v>26500.0</v>
      </c>
      <c r="F339" s="6"/>
      <c r="G339" s="16"/>
      <c r="H339" s="7"/>
      <c r="I339" s="9"/>
      <c r="J339" s="5"/>
      <c r="K339" s="9"/>
      <c r="L339" s="5"/>
      <c r="M339" s="9"/>
      <c r="N339" s="10"/>
      <c r="O339" s="10" t="str">
        <f t="shared" si="1"/>
        <v/>
      </c>
      <c r="P339" s="11" t="str">
        <f t="shared" si="2"/>
        <v/>
      </c>
      <c r="Q339" s="12" t="str">
        <f t="shared" si="3"/>
        <v/>
      </c>
      <c r="R339" s="13" t="str">
        <f t="shared" si="4"/>
        <v/>
      </c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15"/>
      <c r="B340" s="5"/>
      <c r="C340" s="5"/>
      <c r="D340" s="5"/>
      <c r="E340" s="6"/>
      <c r="F340" s="6"/>
      <c r="G340" s="16"/>
      <c r="H340" s="7"/>
      <c r="I340" s="9"/>
      <c r="J340" s="5"/>
      <c r="K340" s="9"/>
      <c r="L340" s="5"/>
      <c r="M340" s="9"/>
      <c r="N340" s="10"/>
      <c r="O340" s="10" t="str">
        <f t="shared" si="1"/>
        <v/>
      </c>
      <c r="P340" s="11" t="str">
        <f t="shared" si="2"/>
        <v/>
      </c>
      <c r="Q340" s="12" t="str">
        <f t="shared" si="3"/>
        <v/>
      </c>
      <c r="R340" s="13" t="str">
        <f t="shared" si="4"/>
        <v/>
      </c>
      <c r="S340" s="3"/>
      <c r="T340" s="3"/>
      <c r="U340" s="3"/>
      <c r="V340" s="3"/>
      <c r="W340" s="3"/>
      <c r="X340" s="3"/>
      <c r="Y340" s="3"/>
      <c r="Z340" s="3"/>
    </row>
    <row r="341" ht="15.75" hidden="1" customHeight="1">
      <c r="A341" s="4" t="s">
        <v>490</v>
      </c>
      <c r="B341" s="5" t="s">
        <v>24</v>
      </c>
      <c r="C341" s="5" t="s">
        <v>105</v>
      </c>
      <c r="D341" s="5" t="s">
        <v>170</v>
      </c>
      <c r="E341" s="6">
        <v>26200.0</v>
      </c>
      <c r="F341" s="6"/>
      <c r="G341" s="16"/>
      <c r="H341" s="7"/>
      <c r="I341" s="9"/>
      <c r="J341" s="5"/>
      <c r="K341" s="9"/>
      <c r="L341" s="5"/>
      <c r="M341" s="9"/>
      <c r="N341" s="10"/>
      <c r="O341" s="10" t="str">
        <f t="shared" si="1"/>
        <v/>
      </c>
      <c r="P341" s="11" t="str">
        <f t="shared" si="2"/>
        <v/>
      </c>
      <c r="Q341" s="12" t="str">
        <f t="shared" si="3"/>
        <v/>
      </c>
      <c r="R341" s="13" t="str">
        <f t="shared" si="4"/>
        <v/>
      </c>
      <c r="S341" s="3"/>
      <c r="T341" s="3"/>
      <c r="U341" s="3"/>
      <c r="V341" s="3"/>
      <c r="W341" s="3"/>
      <c r="X341" s="3"/>
      <c r="Y341" s="3"/>
      <c r="Z341" s="3"/>
    </row>
    <row r="342" ht="15.75" hidden="1" customHeight="1">
      <c r="A342" s="4" t="s">
        <v>491</v>
      </c>
      <c r="B342" s="5" t="s">
        <v>29</v>
      </c>
      <c r="C342" s="5" t="s">
        <v>169</v>
      </c>
      <c r="D342" s="5" t="s">
        <v>170</v>
      </c>
      <c r="E342" s="6">
        <v>25800.0</v>
      </c>
      <c r="F342" s="6"/>
      <c r="G342" s="16"/>
      <c r="H342" s="7"/>
      <c r="I342" s="9"/>
      <c r="J342" s="5"/>
      <c r="K342" s="9"/>
      <c r="L342" s="5"/>
      <c r="M342" s="9"/>
      <c r="N342" s="10"/>
      <c r="O342" s="10" t="str">
        <f t="shared" si="1"/>
        <v/>
      </c>
      <c r="P342" s="11" t="str">
        <f t="shared" si="2"/>
        <v/>
      </c>
      <c r="Q342" s="12" t="str">
        <f t="shared" si="3"/>
        <v/>
      </c>
      <c r="R342" s="13" t="str">
        <f t="shared" si="4"/>
        <v/>
      </c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15"/>
      <c r="B343" s="5"/>
      <c r="C343" s="5"/>
      <c r="D343" s="5"/>
      <c r="E343" s="6"/>
      <c r="F343" s="6"/>
      <c r="G343" s="16"/>
      <c r="H343" s="7"/>
      <c r="I343" s="9"/>
      <c r="J343" s="5"/>
      <c r="K343" s="9"/>
      <c r="L343" s="5"/>
      <c r="M343" s="9"/>
      <c r="N343" s="10"/>
      <c r="O343" s="10" t="str">
        <f t="shared" si="1"/>
        <v/>
      </c>
      <c r="P343" s="11" t="str">
        <f t="shared" si="2"/>
        <v/>
      </c>
      <c r="Q343" s="12" t="str">
        <f t="shared" si="3"/>
        <v/>
      </c>
      <c r="R343" s="13" t="str">
        <f t="shared" si="4"/>
        <v/>
      </c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15"/>
      <c r="B344" s="5"/>
      <c r="C344" s="5"/>
      <c r="D344" s="5"/>
      <c r="E344" s="6"/>
      <c r="F344" s="6"/>
      <c r="G344" s="16"/>
      <c r="H344" s="7"/>
      <c r="I344" s="9"/>
      <c r="J344" s="5"/>
      <c r="K344" s="9"/>
      <c r="L344" s="5"/>
      <c r="M344" s="9"/>
      <c r="N344" s="10"/>
      <c r="O344" s="10" t="str">
        <f t="shared" si="1"/>
        <v/>
      </c>
      <c r="P344" s="11" t="str">
        <f t="shared" si="2"/>
        <v/>
      </c>
      <c r="Q344" s="12" t="str">
        <f t="shared" si="3"/>
        <v/>
      </c>
      <c r="R344" s="13" t="str">
        <f t="shared" si="4"/>
        <v/>
      </c>
      <c r="S344" s="3"/>
      <c r="T344" s="3"/>
      <c r="U344" s="3"/>
      <c r="V344" s="3"/>
      <c r="W344" s="3"/>
      <c r="X344" s="3"/>
      <c r="Y344" s="3"/>
      <c r="Z344" s="3"/>
    </row>
    <row r="345" ht="15.75" hidden="1" customHeight="1">
      <c r="A345" s="4" t="s">
        <v>492</v>
      </c>
      <c r="B345" s="5" t="s">
        <v>24</v>
      </c>
      <c r="C345" s="5" t="s">
        <v>105</v>
      </c>
      <c r="D345" s="5" t="s">
        <v>170</v>
      </c>
      <c r="E345" s="6">
        <v>25300.0</v>
      </c>
      <c r="F345" s="6"/>
      <c r="G345" s="16"/>
      <c r="H345" s="7"/>
      <c r="I345" s="9"/>
      <c r="J345" s="5"/>
      <c r="K345" s="9"/>
      <c r="L345" s="5"/>
      <c r="M345" s="9"/>
      <c r="N345" s="10"/>
      <c r="O345" s="10" t="str">
        <f t="shared" si="1"/>
        <v/>
      </c>
      <c r="P345" s="11" t="str">
        <f t="shared" si="2"/>
        <v/>
      </c>
      <c r="Q345" s="12" t="str">
        <f t="shared" si="3"/>
        <v/>
      </c>
      <c r="R345" s="13" t="str">
        <f t="shared" si="4"/>
        <v/>
      </c>
      <c r="S345" s="3"/>
      <c r="T345" s="3"/>
      <c r="U345" s="3"/>
      <c r="V345" s="3"/>
      <c r="W345" s="3"/>
      <c r="X345" s="3"/>
      <c r="Y345" s="3"/>
      <c r="Z345" s="3"/>
    </row>
    <row r="346" ht="15.75" hidden="1" customHeight="1">
      <c r="A346" s="4" t="s">
        <v>493</v>
      </c>
      <c r="B346" s="5" t="s">
        <v>24</v>
      </c>
      <c r="C346" s="5" t="s">
        <v>105</v>
      </c>
      <c r="D346" s="5" t="s">
        <v>170</v>
      </c>
      <c r="E346" s="6">
        <v>24600.0</v>
      </c>
      <c r="F346" s="6"/>
      <c r="G346" s="16"/>
      <c r="H346" s="7"/>
      <c r="I346" s="9"/>
      <c r="J346" s="5"/>
      <c r="K346" s="9"/>
      <c r="L346" s="5"/>
      <c r="M346" s="9"/>
      <c r="N346" s="10"/>
      <c r="O346" s="10" t="str">
        <f t="shared" si="1"/>
        <v/>
      </c>
      <c r="P346" s="11" t="str">
        <f t="shared" si="2"/>
        <v/>
      </c>
      <c r="Q346" s="12" t="str">
        <f t="shared" si="3"/>
        <v/>
      </c>
      <c r="R346" s="13" t="str">
        <f t="shared" si="4"/>
        <v/>
      </c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15"/>
      <c r="B347" s="5"/>
      <c r="C347" s="5"/>
      <c r="D347" s="5"/>
      <c r="E347" s="6"/>
      <c r="F347" s="6"/>
      <c r="G347" s="16"/>
      <c r="H347" s="7"/>
      <c r="I347" s="9"/>
      <c r="J347" s="5"/>
      <c r="K347" s="9"/>
      <c r="L347" s="5"/>
      <c r="M347" s="9"/>
      <c r="N347" s="10"/>
      <c r="O347" s="10" t="str">
        <f t="shared" si="1"/>
        <v/>
      </c>
      <c r="P347" s="11" t="str">
        <f t="shared" si="2"/>
        <v/>
      </c>
      <c r="Q347" s="12" t="str">
        <f t="shared" si="3"/>
        <v/>
      </c>
      <c r="R347" s="13" t="str">
        <f t="shared" si="4"/>
        <v/>
      </c>
      <c r="S347" s="3"/>
      <c r="T347" s="3"/>
      <c r="U347" s="3"/>
      <c r="V347" s="3"/>
      <c r="W347" s="3"/>
      <c r="X347" s="3"/>
      <c r="Y347" s="3"/>
      <c r="Z347" s="3"/>
    </row>
    <row r="348" ht="15.75" hidden="1" customHeight="1">
      <c r="A348" s="4" t="s">
        <v>494</v>
      </c>
      <c r="B348" s="5" t="s">
        <v>24</v>
      </c>
      <c r="C348" s="5" t="s">
        <v>105</v>
      </c>
      <c r="D348" s="5" t="s">
        <v>170</v>
      </c>
      <c r="E348" s="6">
        <v>23400.0</v>
      </c>
      <c r="F348" s="6"/>
      <c r="G348" s="16"/>
      <c r="H348" s="7"/>
      <c r="I348" s="9"/>
      <c r="J348" s="5"/>
      <c r="K348" s="9"/>
      <c r="L348" s="5"/>
      <c r="M348" s="9"/>
      <c r="N348" s="10"/>
      <c r="O348" s="10" t="str">
        <f t="shared" si="1"/>
        <v/>
      </c>
      <c r="P348" s="11" t="str">
        <f t="shared" si="2"/>
        <v/>
      </c>
      <c r="Q348" s="12" t="str">
        <f t="shared" si="3"/>
        <v/>
      </c>
      <c r="R348" s="13" t="str">
        <f t="shared" si="4"/>
        <v/>
      </c>
      <c r="S348" s="3"/>
      <c r="T348" s="3"/>
      <c r="U348" s="3"/>
      <c r="V348" s="3"/>
      <c r="W348" s="3"/>
      <c r="X348" s="3"/>
      <c r="Y348" s="3"/>
      <c r="Z348" s="3"/>
    </row>
    <row r="349" ht="15.75" hidden="1" customHeight="1">
      <c r="A349" s="4" t="s">
        <v>495</v>
      </c>
      <c r="B349" s="5" t="s">
        <v>24</v>
      </c>
      <c r="C349" s="5" t="s">
        <v>105</v>
      </c>
      <c r="D349" s="5" t="s">
        <v>170</v>
      </c>
      <c r="E349" s="6">
        <v>23000.0</v>
      </c>
      <c r="F349" s="6"/>
      <c r="G349" s="16"/>
      <c r="H349" s="7"/>
      <c r="I349" s="9"/>
      <c r="J349" s="5"/>
      <c r="K349" s="9"/>
      <c r="L349" s="5"/>
      <c r="M349" s="9"/>
      <c r="N349" s="10"/>
      <c r="O349" s="10" t="str">
        <f t="shared" si="1"/>
        <v/>
      </c>
      <c r="P349" s="11" t="str">
        <f t="shared" si="2"/>
        <v/>
      </c>
      <c r="Q349" s="12" t="str">
        <f t="shared" si="3"/>
        <v/>
      </c>
      <c r="R349" s="13" t="str">
        <f t="shared" si="4"/>
        <v/>
      </c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15"/>
      <c r="B350" s="5"/>
      <c r="C350" s="5"/>
      <c r="D350" s="5"/>
      <c r="E350" s="6"/>
      <c r="F350" s="6"/>
      <c r="G350" s="16"/>
      <c r="H350" s="7"/>
      <c r="I350" s="9"/>
      <c r="J350" s="5"/>
      <c r="K350" s="9"/>
      <c r="L350" s="5"/>
      <c r="M350" s="9"/>
      <c r="N350" s="10"/>
      <c r="O350" s="10" t="str">
        <f t="shared" si="1"/>
        <v/>
      </c>
      <c r="P350" s="11" t="str">
        <f t="shared" si="2"/>
        <v/>
      </c>
      <c r="Q350" s="12" t="str">
        <f t="shared" si="3"/>
        <v/>
      </c>
      <c r="R350" s="13" t="str">
        <f t="shared" si="4"/>
        <v/>
      </c>
      <c r="S350" s="3"/>
      <c r="T350" s="3"/>
      <c r="U350" s="3"/>
      <c r="V350" s="3"/>
      <c r="W350" s="3"/>
      <c r="X350" s="3"/>
      <c r="Y350" s="3"/>
      <c r="Z350" s="3"/>
    </row>
    <row r="351" ht="15.75" hidden="1" customHeight="1">
      <c r="A351" s="4" t="s">
        <v>496</v>
      </c>
      <c r="B351" s="5" t="s">
        <v>24</v>
      </c>
      <c r="C351" s="5" t="s">
        <v>105</v>
      </c>
      <c r="D351" s="5" t="s">
        <v>170</v>
      </c>
      <c r="E351" s="6">
        <v>22700.0</v>
      </c>
      <c r="F351" s="6"/>
      <c r="G351" s="16"/>
      <c r="H351" s="7"/>
      <c r="I351" s="9"/>
      <c r="J351" s="5"/>
      <c r="K351" s="9"/>
      <c r="L351" s="5"/>
      <c r="M351" s="9"/>
      <c r="N351" s="10"/>
      <c r="O351" s="10" t="str">
        <f t="shared" si="1"/>
        <v/>
      </c>
      <c r="P351" s="11" t="str">
        <f t="shared" si="2"/>
        <v/>
      </c>
      <c r="Q351" s="12" t="str">
        <f t="shared" si="3"/>
        <v/>
      </c>
      <c r="R351" s="13" t="str">
        <f t="shared" si="4"/>
        <v/>
      </c>
      <c r="S351" s="3"/>
      <c r="T351" s="3"/>
      <c r="U351" s="3"/>
      <c r="V351" s="3"/>
      <c r="W351" s="3"/>
      <c r="X351" s="3"/>
      <c r="Y351" s="3"/>
      <c r="Z351" s="3"/>
    </row>
    <row r="352" ht="15.75" hidden="1" customHeight="1">
      <c r="A352" s="4" t="s">
        <v>497</v>
      </c>
      <c r="B352" s="5" t="s">
        <v>24</v>
      </c>
      <c r="C352" s="5" t="s">
        <v>105</v>
      </c>
      <c r="D352" s="5" t="s">
        <v>170</v>
      </c>
      <c r="E352" s="6">
        <v>22500.0</v>
      </c>
      <c r="F352" s="6"/>
      <c r="G352" s="16"/>
      <c r="H352" s="7"/>
      <c r="I352" s="9"/>
      <c r="J352" s="5"/>
      <c r="K352" s="9"/>
      <c r="L352" s="5"/>
      <c r="M352" s="9"/>
      <c r="N352" s="10"/>
      <c r="O352" s="10" t="str">
        <f t="shared" si="1"/>
        <v/>
      </c>
      <c r="P352" s="11" t="str">
        <f t="shared" si="2"/>
        <v/>
      </c>
      <c r="Q352" s="12" t="str">
        <f t="shared" si="3"/>
        <v/>
      </c>
      <c r="R352" s="13" t="str">
        <f t="shared" si="4"/>
        <v/>
      </c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15"/>
      <c r="B353" s="5"/>
      <c r="C353" s="5"/>
      <c r="D353" s="5"/>
      <c r="E353" s="6"/>
      <c r="F353" s="6"/>
      <c r="G353" s="16"/>
      <c r="H353" s="7"/>
      <c r="I353" s="9"/>
      <c r="J353" s="5"/>
      <c r="K353" s="9"/>
      <c r="L353" s="5"/>
      <c r="M353" s="9"/>
      <c r="N353" s="10"/>
      <c r="O353" s="10" t="str">
        <f t="shared" si="1"/>
        <v/>
      </c>
      <c r="P353" s="11" t="str">
        <f t="shared" si="2"/>
        <v/>
      </c>
      <c r="Q353" s="12" t="str">
        <f t="shared" si="3"/>
        <v/>
      </c>
      <c r="R353" s="13" t="str">
        <f t="shared" si="4"/>
        <v/>
      </c>
      <c r="S353" s="3"/>
      <c r="T353" s="3"/>
      <c r="U353" s="3"/>
      <c r="V353" s="3"/>
      <c r="W353" s="3"/>
      <c r="X353" s="3"/>
      <c r="Y353" s="3"/>
      <c r="Z353" s="3"/>
    </row>
    <row r="354" ht="15.75" hidden="1" customHeight="1">
      <c r="A354" s="4" t="s">
        <v>498</v>
      </c>
      <c r="B354" s="5" t="s">
        <v>24</v>
      </c>
      <c r="C354" s="5" t="s">
        <v>105</v>
      </c>
      <c r="D354" s="5" t="s">
        <v>170</v>
      </c>
      <c r="E354" s="6">
        <v>21700.0</v>
      </c>
      <c r="F354" s="6"/>
      <c r="G354" s="16"/>
      <c r="H354" s="7"/>
      <c r="I354" s="9"/>
      <c r="J354" s="5"/>
      <c r="K354" s="9"/>
      <c r="L354" s="5"/>
      <c r="M354" s="9"/>
      <c r="N354" s="10"/>
      <c r="O354" s="10" t="str">
        <f t="shared" si="1"/>
        <v/>
      </c>
      <c r="P354" s="11" t="str">
        <f t="shared" si="2"/>
        <v/>
      </c>
      <c r="Q354" s="12" t="str">
        <f t="shared" si="3"/>
        <v/>
      </c>
      <c r="R354" s="13" t="str">
        <f t="shared" si="4"/>
        <v/>
      </c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15"/>
      <c r="B355" s="5"/>
      <c r="C355" s="5"/>
      <c r="D355" s="5"/>
      <c r="E355" s="6"/>
      <c r="F355" s="6"/>
      <c r="G355" s="16"/>
      <c r="H355" s="7"/>
      <c r="I355" s="9"/>
      <c r="J355" s="5"/>
      <c r="K355" s="9"/>
      <c r="L355" s="5"/>
      <c r="M355" s="9"/>
      <c r="N355" s="10"/>
      <c r="O355" s="10" t="str">
        <f t="shared" si="1"/>
        <v/>
      </c>
      <c r="P355" s="11" t="str">
        <f t="shared" si="2"/>
        <v/>
      </c>
      <c r="Q355" s="12" t="str">
        <f t="shared" si="3"/>
        <v/>
      </c>
      <c r="R355" s="13" t="str">
        <f t="shared" si="4"/>
        <v/>
      </c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15"/>
      <c r="B356" s="5"/>
      <c r="C356" s="5"/>
      <c r="D356" s="5"/>
      <c r="E356" s="6"/>
      <c r="F356" s="6"/>
      <c r="G356" s="16"/>
      <c r="H356" s="7"/>
      <c r="I356" s="9"/>
      <c r="J356" s="5"/>
      <c r="K356" s="9"/>
      <c r="L356" s="5"/>
      <c r="M356" s="9"/>
      <c r="N356" s="10"/>
      <c r="O356" s="10" t="str">
        <f t="shared" si="1"/>
        <v/>
      </c>
      <c r="P356" s="11" t="str">
        <f t="shared" si="2"/>
        <v/>
      </c>
      <c r="Q356" s="12" t="str">
        <f t="shared" si="3"/>
        <v/>
      </c>
      <c r="R356" s="13" t="str">
        <f t="shared" si="4"/>
        <v/>
      </c>
      <c r="S356" s="3"/>
      <c r="T356" s="3"/>
      <c r="U356" s="3"/>
      <c r="V356" s="3"/>
      <c r="W356" s="3"/>
      <c r="X356" s="3"/>
      <c r="Y356" s="3"/>
      <c r="Z356" s="3"/>
    </row>
    <row r="357" ht="15.75" hidden="1" customHeight="1">
      <c r="A357" s="4" t="s">
        <v>499</v>
      </c>
      <c r="B357" s="5" t="s">
        <v>24</v>
      </c>
      <c r="C357" s="5" t="s">
        <v>105</v>
      </c>
      <c r="D357" s="5" t="s">
        <v>170</v>
      </c>
      <c r="E357" s="6">
        <v>20800.0</v>
      </c>
      <c r="F357" s="6"/>
      <c r="G357" s="16"/>
      <c r="H357" s="7"/>
      <c r="I357" s="9"/>
      <c r="J357" s="5"/>
      <c r="K357" s="9"/>
      <c r="L357" s="5"/>
      <c r="M357" s="9"/>
      <c r="N357" s="10"/>
      <c r="O357" s="10" t="str">
        <f t="shared" si="1"/>
        <v/>
      </c>
      <c r="P357" s="11" t="str">
        <f t="shared" si="2"/>
        <v/>
      </c>
      <c r="Q357" s="12" t="str">
        <f t="shared" si="3"/>
        <v/>
      </c>
      <c r="R357" s="13" t="str">
        <f t="shared" si="4"/>
        <v/>
      </c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15"/>
      <c r="B358" s="5"/>
      <c r="C358" s="5"/>
      <c r="D358" s="5"/>
      <c r="E358" s="6"/>
      <c r="F358" s="6"/>
      <c r="G358" s="16"/>
      <c r="H358" s="7"/>
      <c r="I358" s="9"/>
      <c r="J358" s="5"/>
      <c r="K358" s="9"/>
      <c r="L358" s="5"/>
      <c r="M358" s="9"/>
      <c r="N358" s="10"/>
      <c r="O358" s="10" t="str">
        <f t="shared" si="1"/>
        <v/>
      </c>
      <c r="P358" s="11" t="str">
        <f t="shared" si="2"/>
        <v/>
      </c>
      <c r="Q358" s="12" t="str">
        <f t="shared" si="3"/>
        <v/>
      </c>
      <c r="R358" s="13" t="str">
        <f t="shared" si="4"/>
        <v/>
      </c>
      <c r="S358" s="3"/>
      <c r="T358" s="3"/>
      <c r="U358" s="3"/>
      <c r="V358" s="3"/>
      <c r="W358" s="3"/>
      <c r="X358" s="3"/>
      <c r="Y358" s="3"/>
      <c r="Z358" s="3"/>
    </row>
    <row r="359" ht="15.75" hidden="1" customHeight="1">
      <c r="A359" s="4" t="s">
        <v>500</v>
      </c>
      <c r="B359" s="5" t="s">
        <v>24</v>
      </c>
      <c r="C359" s="5" t="s">
        <v>105</v>
      </c>
      <c r="D359" s="5" t="s">
        <v>170</v>
      </c>
      <c r="E359" s="6">
        <v>20300.0</v>
      </c>
      <c r="F359" s="6"/>
      <c r="G359" s="16"/>
      <c r="H359" s="7"/>
      <c r="I359" s="9"/>
      <c r="J359" s="5"/>
      <c r="K359" s="9"/>
      <c r="L359" s="5"/>
      <c r="M359" s="9"/>
      <c r="N359" s="10"/>
      <c r="O359" s="10" t="str">
        <f t="shared" si="1"/>
        <v/>
      </c>
      <c r="P359" s="11" t="str">
        <f t="shared" si="2"/>
        <v/>
      </c>
      <c r="Q359" s="12" t="str">
        <f t="shared" si="3"/>
        <v/>
      </c>
      <c r="R359" s="13" t="str">
        <f t="shared" si="4"/>
        <v/>
      </c>
      <c r="S359" s="3"/>
      <c r="T359" s="3"/>
      <c r="U359" s="3"/>
      <c r="V359" s="3"/>
      <c r="W359" s="3"/>
      <c r="X359" s="3"/>
      <c r="Y359" s="3"/>
      <c r="Z359" s="3"/>
    </row>
    <row r="360" ht="15.75" hidden="1" customHeight="1">
      <c r="A360" s="4" t="s">
        <v>501</v>
      </c>
      <c r="B360" s="5" t="s">
        <v>24</v>
      </c>
      <c r="C360" s="5" t="s">
        <v>105</v>
      </c>
      <c r="D360" s="5" t="s">
        <v>170</v>
      </c>
      <c r="E360" s="6">
        <v>19600.0</v>
      </c>
      <c r="F360" s="6"/>
      <c r="G360" s="16"/>
      <c r="H360" s="7"/>
      <c r="I360" s="9"/>
      <c r="J360" s="5"/>
      <c r="K360" s="9"/>
      <c r="L360" s="5"/>
      <c r="M360" s="9"/>
      <c r="N360" s="10"/>
      <c r="O360" s="10" t="str">
        <f t="shared" si="1"/>
        <v/>
      </c>
      <c r="P360" s="11" t="str">
        <f t="shared" si="2"/>
        <v/>
      </c>
      <c r="Q360" s="12" t="str">
        <f t="shared" si="3"/>
        <v/>
      </c>
      <c r="R360" s="13" t="str">
        <f t="shared" si="4"/>
        <v/>
      </c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15"/>
      <c r="B361" s="5"/>
      <c r="C361" s="5"/>
      <c r="D361" s="5"/>
      <c r="E361" s="6"/>
      <c r="F361" s="6"/>
      <c r="G361" s="16"/>
      <c r="H361" s="7"/>
      <c r="I361" s="9"/>
      <c r="J361" s="5"/>
      <c r="K361" s="9"/>
      <c r="L361" s="5"/>
      <c r="M361" s="9"/>
      <c r="N361" s="10"/>
      <c r="O361" s="10" t="str">
        <f t="shared" si="1"/>
        <v/>
      </c>
      <c r="P361" s="11" t="str">
        <f t="shared" si="2"/>
        <v/>
      </c>
      <c r="Q361" s="12" t="str">
        <f t="shared" si="3"/>
        <v/>
      </c>
      <c r="R361" s="13" t="str">
        <f t="shared" si="4"/>
        <v/>
      </c>
      <c r="S361" s="3"/>
      <c r="T361" s="3"/>
      <c r="U361" s="3"/>
      <c r="V361" s="3"/>
      <c r="W361" s="3"/>
      <c r="X361" s="3"/>
      <c r="Y361" s="3"/>
      <c r="Z361" s="3"/>
    </row>
    <row r="362" ht="15.75" hidden="1" customHeight="1">
      <c r="A362" s="4" t="s">
        <v>502</v>
      </c>
      <c r="B362" s="5" t="s">
        <v>24</v>
      </c>
      <c r="C362" s="5" t="s">
        <v>105</v>
      </c>
      <c r="D362" s="5" t="s">
        <v>170</v>
      </c>
      <c r="E362" s="6">
        <v>19400.0</v>
      </c>
      <c r="F362" s="6"/>
      <c r="G362" s="16"/>
      <c r="H362" s="7"/>
      <c r="I362" s="9"/>
      <c r="J362" s="5"/>
      <c r="K362" s="9"/>
      <c r="L362" s="5"/>
      <c r="M362" s="9"/>
      <c r="N362" s="10"/>
      <c r="O362" s="10" t="str">
        <f t="shared" si="1"/>
        <v/>
      </c>
      <c r="P362" s="11" t="str">
        <f t="shared" si="2"/>
        <v/>
      </c>
      <c r="Q362" s="12" t="str">
        <f t="shared" si="3"/>
        <v/>
      </c>
      <c r="R362" s="13" t="str">
        <f t="shared" si="4"/>
        <v/>
      </c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15"/>
      <c r="B363" s="5"/>
      <c r="C363" s="5"/>
      <c r="D363" s="5"/>
      <c r="E363" s="6"/>
      <c r="F363" s="6"/>
      <c r="G363" s="16"/>
      <c r="H363" s="7"/>
      <c r="I363" s="9"/>
      <c r="J363" s="5"/>
      <c r="K363" s="9"/>
      <c r="L363" s="5"/>
      <c r="M363" s="9"/>
      <c r="N363" s="10"/>
      <c r="O363" s="10" t="str">
        <f t="shared" si="1"/>
        <v/>
      </c>
      <c r="P363" s="11" t="str">
        <f t="shared" si="2"/>
        <v/>
      </c>
      <c r="Q363" s="12" t="str">
        <f t="shared" si="3"/>
        <v/>
      </c>
      <c r="R363" s="13" t="str">
        <f t="shared" si="4"/>
        <v/>
      </c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15"/>
      <c r="B364" s="5"/>
      <c r="C364" s="5"/>
      <c r="D364" s="5"/>
      <c r="E364" s="6"/>
      <c r="F364" s="6"/>
      <c r="G364" s="16"/>
      <c r="H364" s="7"/>
      <c r="I364" s="9"/>
      <c r="J364" s="5"/>
      <c r="K364" s="9"/>
      <c r="L364" s="5"/>
      <c r="M364" s="9"/>
      <c r="N364" s="10"/>
      <c r="O364" s="10" t="str">
        <f t="shared" si="1"/>
        <v/>
      </c>
      <c r="P364" s="11" t="str">
        <f t="shared" si="2"/>
        <v/>
      </c>
      <c r="Q364" s="12" t="str">
        <f t="shared" si="3"/>
        <v/>
      </c>
      <c r="R364" s="13" t="str">
        <f t="shared" si="4"/>
        <v/>
      </c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15"/>
      <c r="B365" s="5"/>
      <c r="C365" s="5"/>
      <c r="D365" s="5"/>
      <c r="E365" s="6"/>
      <c r="F365" s="6"/>
      <c r="G365" s="16"/>
      <c r="H365" s="7"/>
      <c r="I365" s="9"/>
      <c r="J365" s="5"/>
      <c r="K365" s="9"/>
      <c r="L365" s="5"/>
      <c r="M365" s="9"/>
      <c r="N365" s="10"/>
      <c r="O365" s="10" t="str">
        <f t="shared" si="1"/>
        <v/>
      </c>
      <c r="P365" s="11" t="str">
        <f t="shared" si="2"/>
        <v/>
      </c>
      <c r="Q365" s="12" t="str">
        <f t="shared" si="3"/>
        <v/>
      </c>
      <c r="R365" s="13" t="str">
        <f t="shared" si="4"/>
        <v/>
      </c>
      <c r="S365" s="3"/>
      <c r="T365" s="3"/>
      <c r="U365" s="3"/>
      <c r="V365" s="3"/>
      <c r="W365" s="3"/>
      <c r="X365" s="3"/>
      <c r="Y365" s="3"/>
      <c r="Z365" s="3"/>
    </row>
    <row r="366" ht="15.75" hidden="1" customHeight="1">
      <c r="A366" s="4" t="s">
        <v>503</v>
      </c>
      <c r="B366" s="5" t="s">
        <v>24</v>
      </c>
      <c r="C366" s="5" t="s">
        <v>105</v>
      </c>
      <c r="D366" s="5" t="s">
        <v>170</v>
      </c>
      <c r="E366" s="6">
        <v>18700.0</v>
      </c>
      <c r="F366" s="6"/>
      <c r="G366" s="16"/>
      <c r="H366" s="7"/>
      <c r="I366" s="9"/>
      <c r="J366" s="5"/>
      <c r="K366" s="9"/>
      <c r="L366" s="5"/>
      <c r="M366" s="9"/>
      <c r="N366" s="10"/>
      <c r="O366" s="10" t="str">
        <f t="shared" si="1"/>
        <v/>
      </c>
      <c r="P366" s="11" t="str">
        <f t="shared" si="2"/>
        <v/>
      </c>
      <c r="Q366" s="12" t="str">
        <f t="shared" si="3"/>
        <v/>
      </c>
      <c r="R366" s="13" t="str">
        <f t="shared" si="4"/>
        <v/>
      </c>
      <c r="S366" s="3"/>
      <c r="T366" s="3"/>
      <c r="U366" s="3"/>
      <c r="V366" s="3"/>
      <c r="W366" s="3"/>
      <c r="X366" s="3"/>
      <c r="Y366" s="3"/>
      <c r="Z366" s="3"/>
    </row>
    <row r="367" ht="15.75" hidden="1" customHeight="1">
      <c r="A367" s="4" t="s">
        <v>504</v>
      </c>
      <c r="B367" s="5" t="s">
        <v>24</v>
      </c>
      <c r="C367" s="5" t="s">
        <v>105</v>
      </c>
      <c r="D367" s="5" t="s">
        <v>170</v>
      </c>
      <c r="E367" s="6">
        <v>18500.0</v>
      </c>
      <c r="F367" s="6"/>
      <c r="G367" s="16"/>
      <c r="H367" s="7"/>
      <c r="I367" s="9"/>
      <c r="J367" s="5"/>
      <c r="K367" s="9"/>
      <c r="L367" s="5"/>
      <c r="M367" s="9"/>
      <c r="N367" s="10"/>
      <c r="O367" s="10" t="str">
        <f t="shared" si="1"/>
        <v/>
      </c>
      <c r="P367" s="11" t="str">
        <f t="shared" si="2"/>
        <v/>
      </c>
      <c r="Q367" s="12" t="str">
        <f t="shared" si="3"/>
        <v/>
      </c>
      <c r="R367" s="13" t="str">
        <f t="shared" si="4"/>
        <v/>
      </c>
      <c r="S367" s="3"/>
      <c r="T367" s="3"/>
      <c r="U367" s="3"/>
      <c r="V367" s="3"/>
      <c r="W367" s="3"/>
      <c r="X367" s="3"/>
      <c r="Y367" s="3"/>
      <c r="Z367" s="3"/>
    </row>
    <row r="368" ht="15.75" hidden="1" customHeight="1">
      <c r="A368" s="4" t="s">
        <v>505</v>
      </c>
      <c r="B368" s="5" t="s">
        <v>29</v>
      </c>
      <c r="C368" s="5" t="s">
        <v>169</v>
      </c>
      <c r="D368" s="5" t="s">
        <v>170</v>
      </c>
      <c r="E368" s="6">
        <v>18400.0</v>
      </c>
      <c r="F368" s="6"/>
      <c r="G368" s="16"/>
      <c r="H368" s="7"/>
      <c r="I368" s="9"/>
      <c r="J368" s="5"/>
      <c r="K368" s="9"/>
      <c r="L368" s="5"/>
      <c r="M368" s="9"/>
      <c r="N368" s="10"/>
      <c r="O368" s="10" t="str">
        <f t="shared" si="1"/>
        <v/>
      </c>
      <c r="P368" s="11" t="str">
        <f t="shared" si="2"/>
        <v/>
      </c>
      <c r="Q368" s="12" t="str">
        <f t="shared" si="3"/>
        <v/>
      </c>
      <c r="R368" s="13" t="str">
        <f t="shared" si="4"/>
        <v/>
      </c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15"/>
      <c r="B369" s="5"/>
      <c r="C369" s="5"/>
      <c r="D369" s="5"/>
      <c r="E369" s="6"/>
      <c r="F369" s="6"/>
      <c r="G369" s="16"/>
      <c r="H369" s="7"/>
      <c r="I369" s="9"/>
      <c r="J369" s="5"/>
      <c r="K369" s="9"/>
      <c r="L369" s="5"/>
      <c r="M369" s="9"/>
      <c r="N369" s="10"/>
      <c r="O369" s="10" t="str">
        <f t="shared" si="1"/>
        <v/>
      </c>
      <c r="P369" s="11" t="str">
        <f t="shared" si="2"/>
        <v/>
      </c>
      <c r="Q369" s="12" t="str">
        <f t="shared" si="3"/>
        <v/>
      </c>
      <c r="R369" s="13" t="str">
        <f t="shared" si="4"/>
        <v/>
      </c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15"/>
      <c r="B370" s="5"/>
      <c r="C370" s="5"/>
      <c r="D370" s="5"/>
      <c r="E370" s="6"/>
      <c r="F370" s="6"/>
      <c r="G370" s="16"/>
      <c r="H370" s="7"/>
      <c r="I370" s="9"/>
      <c r="J370" s="5"/>
      <c r="K370" s="9"/>
      <c r="L370" s="5"/>
      <c r="M370" s="9"/>
      <c r="N370" s="10"/>
      <c r="O370" s="10" t="str">
        <f t="shared" si="1"/>
        <v/>
      </c>
      <c r="P370" s="11" t="str">
        <f t="shared" si="2"/>
        <v/>
      </c>
      <c r="Q370" s="12" t="str">
        <f t="shared" si="3"/>
        <v/>
      </c>
      <c r="R370" s="13" t="str">
        <f t="shared" si="4"/>
        <v/>
      </c>
      <c r="S370" s="3"/>
      <c r="T370" s="3"/>
      <c r="U370" s="3"/>
      <c r="V370" s="3"/>
      <c r="W370" s="3"/>
      <c r="X370" s="3"/>
      <c r="Y370" s="3"/>
      <c r="Z370" s="3"/>
    </row>
    <row r="371" ht="15.75" hidden="1" customHeight="1">
      <c r="A371" s="4" t="s">
        <v>506</v>
      </c>
      <c r="B371" s="5" t="s">
        <v>24</v>
      </c>
      <c r="C371" s="5" t="s">
        <v>105</v>
      </c>
      <c r="D371" s="5" t="s">
        <v>170</v>
      </c>
      <c r="E371" s="6">
        <v>17700.0</v>
      </c>
      <c r="F371" s="6"/>
      <c r="G371" s="16"/>
      <c r="H371" s="7"/>
      <c r="I371" s="9"/>
      <c r="J371" s="5"/>
      <c r="K371" s="9"/>
      <c r="L371" s="5"/>
      <c r="M371" s="9"/>
      <c r="N371" s="10"/>
      <c r="O371" s="10" t="str">
        <f t="shared" si="1"/>
        <v/>
      </c>
      <c r="P371" s="11" t="str">
        <f t="shared" si="2"/>
        <v/>
      </c>
      <c r="Q371" s="12" t="str">
        <f t="shared" si="3"/>
        <v/>
      </c>
      <c r="R371" s="13" t="str">
        <f t="shared" si="4"/>
        <v/>
      </c>
      <c r="S371" s="3"/>
      <c r="T371" s="3"/>
      <c r="U371" s="3"/>
      <c r="V371" s="3"/>
      <c r="W371" s="3"/>
      <c r="X371" s="3"/>
      <c r="Y371" s="3"/>
      <c r="Z371" s="3"/>
    </row>
    <row r="372" ht="15.75" hidden="1" customHeight="1">
      <c r="A372" s="4" t="s">
        <v>507</v>
      </c>
      <c r="B372" s="5" t="s">
        <v>24</v>
      </c>
      <c r="C372" s="5" t="s">
        <v>105</v>
      </c>
      <c r="D372" s="5" t="s">
        <v>170</v>
      </c>
      <c r="E372" s="6">
        <v>16700.0</v>
      </c>
      <c r="F372" s="6"/>
      <c r="G372" s="16"/>
      <c r="H372" s="7"/>
      <c r="I372" s="9"/>
      <c r="J372" s="5"/>
      <c r="K372" s="9"/>
      <c r="L372" s="5"/>
      <c r="M372" s="9"/>
      <c r="N372" s="10"/>
      <c r="O372" s="10" t="str">
        <f t="shared" si="1"/>
        <v/>
      </c>
      <c r="P372" s="11" t="str">
        <f t="shared" si="2"/>
        <v/>
      </c>
      <c r="Q372" s="12" t="str">
        <f t="shared" si="3"/>
        <v/>
      </c>
      <c r="R372" s="13" t="str">
        <f t="shared" si="4"/>
        <v/>
      </c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15"/>
      <c r="B373" s="5"/>
      <c r="C373" s="5"/>
      <c r="D373" s="5"/>
      <c r="E373" s="6"/>
      <c r="F373" s="6"/>
      <c r="G373" s="16"/>
      <c r="H373" s="7"/>
      <c r="I373" s="9"/>
      <c r="J373" s="5"/>
      <c r="K373" s="9"/>
      <c r="L373" s="5"/>
      <c r="M373" s="9"/>
      <c r="N373" s="10"/>
      <c r="O373" s="10" t="str">
        <f t="shared" si="1"/>
        <v/>
      </c>
      <c r="P373" s="11" t="str">
        <f t="shared" si="2"/>
        <v/>
      </c>
      <c r="Q373" s="12" t="str">
        <f t="shared" si="3"/>
        <v/>
      </c>
      <c r="R373" s="13" t="str">
        <f t="shared" si="4"/>
        <v/>
      </c>
      <c r="S373" s="3"/>
      <c r="T373" s="3"/>
      <c r="U373" s="3"/>
      <c r="V373" s="3"/>
      <c r="W373" s="3"/>
      <c r="X373" s="3"/>
      <c r="Y373" s="3"/>
      <c r="Z373" s="3"/>
    </row>
    <row r="374" ht="15.75" hidden="1" customHeight="1">
      <c r="A374" s="4" t="s">
        <v>508</v>
      </c>
      <c r="B374" s="5" t="s">
        <v>24</v>
      </c>
      <c r="C374" s="5" t="s">
        <v>105</v>
      </c>
      <c r="D374" s="5" t="s">
        <v>170</v>
      </c>
      <c r="E374" s="6">
        <v>16500.0</v>
      </c>
      <c r="F374" s="6"/>
      <c r="G374" s="16"/>
      <c r="H374" s="7"/>
      <c r="I374" s="9"/>
      <c r="J374" s="5"/>
      <c r="K374" s="9"/>
      <c r="L374" s="5"/>
      <c r="M374" s="9"/>
      <c r="N374" s="10"/>
      <c r="O374" s="10" t="str">
        <f t="shared" si="1"/>
        <v/>
      </c>
      <c r="P374" s="11" t="str">
        <f t="shared" si="2"/>
        <v/>
      </c>
      <c r="Q374" s="12" t="str">
        <f t="shared" si="3"/>
        <v/>
      </c>
      <c r="R374" s="13" t="str">
        <f t="shared" si="4"/>
        <v/>
      </c>
      <c r="S374" s="3"/>
      <c r="T374" s="3"/>
      <c r="U374" s="3"/>
      <c r="V374" s="3"/>
      <c r="W374" s="3"/>
      <c r="X374" s="3"/>
      <c r="Y374" s="3"/>
      <c r="Z374" s="3"/>
    </row>
    <row r="375" ht="15.75" hidden="1" customHeight="1">
      <c r="A375" s="4" t="s">
        <v>509</v>
      </c>
      <c r="B375" s="5" t="s">
        <v>24</v>
      </c>
      <c r="C375" s="5" t="s">
        <v>105</v>
      </c>
      <c r="D375" s="5" t="s">
        <v>170</v>
      </c>
      <c r="E375" s="6">
        <v>16300.0</v>
      </c>
      <c r="F375" s="6"/>
      <c r="G375" s="16"/>
      <c r="H375" s="7"/>
      <c r="I375" s="9"/>
      <c r="J375" s="5"/>
      <c r="K375" s="9"/>
      <c r="L375" s="5"/>
      <c r="M375" s="9"/>
      <c r="N375" s="10"/>
      <c r="O375" s="10" t="str">
        <f t="shared" si="1"/>
        <v/>
      </c>
      <c r="P375" s="11" t="str">
        <f t="shared" si="2"/>
        <v/>
      </c>
      <c r="Q375" s="12" t="str">
        <f t="shared" si="3"/>
        <v/>
      </c>
      <c r="R375" s="13" t="str">
        <f t="shared" si="4"/>
        <v/>
      </c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15"/>
      <c r="B376" s="5"/>
      <c r="C376" s="5"/>
      <c r="D376" s="5"/>
      <c r="E376" s="6"/>
      <c r="F376" s="6"/>
      <c r="G376" s="16"/>
      <c r="H376" s="7"/>
      <c r="I376" s="9"/>
      <c r="J376" s="5"/>
      <c r="K376" s="9"/>
      <c r="L376" s="5"/>
      <c r="M376" s="9"/>
      <c r="N376" s="10"/>
      <c r="O376" s="10" t="str">
        <f t="shared" si="1"/>
        <v/>
      </c>
      <c r="P376" s="11" t="str">
        <f t="shared" si="2"/>
        <v/>
      </c>
      <c r="Q376" s="12" t="str">
        <f t="shared" si="3"/>
        <v/>
      </c>
      <c r="R376" s="13" t="str">
        <f t="shared" si="4"/>
        <v/>
      </c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15"/>
      <c r="B377" s="5"/>
      <c r="C377" s="5"/>
      <c r="D377" s="5"/>
      <c r="E377" s="6"/>
      <c r="F377" s="6"/>
      <c r="G377" s="16"/>
      <c r="H377" s="7"/>
      <c r="I377" s="9"/>
      <c r="J377" s="5"/>
      <c r="K377" s="9"/>
      <c r="L377" s="5"/>
      <c r="M377" s="9"/>
      <c r="N377" s="10"/>
      <c r="O377" s="10" t="str">
        <f t="shared" si="1"/>
        <v/>
      </c>
      <c r="P377" s="11" t="str">
        <f t="shared" si="2"/>
        <v/>
      </c>
      <c r="Q377" s="12" t="str">
        <f t="shared" si="3"/>
        <v/>
      </c>
      <c r="R377" s="13" t="str">
        <f t="shared" si="4"/>
        <v/>
      </c>
      <c r="S377" s="3"/>
      <c r="T377" s="3"/>
      <c r="U377" s="3"/>
      <c r="V377" s="3"/>
      <c r="W377" s="3"/>
      <c r="X377" s="3"/>
      <c r="Y377" s="3"/>
      <c r="Z377" s="3"/>
    </row>
    <row r="378" ht="15.75" hidden="1" customHeight="1">
      <c r="A378" s="4" t="s">
        <v>510</v>
      </c>
      <c r="B378" s="5" t="s">
        <v>24</v>
      </c>
      <c r="C378" s="5" t="s">
        <v>105</v>
      </c>
      <c r="D378" s="5" t="s">
        <v>170</v>
      </c>
      <c r="E378" s="6">
        <v>15800.0</v>
      </c>
      <c r="F378" s="6"/>
      <c r="G378" s="16"/>
      <c r="H378" s="7"/>
      <c r="I378" s="9"/>
      <c r="J378" s="5"/>
      <c r="K378" s="9"/>
      <c r="L378" s="5"/>
      <c r="M378" s="9"/>
      <c r="N378" s="10"/>
      <c r="O378" s="10" t="str">
        <f t="shared" si="1"/>
        <v/>
      </c>
      <c r="P378" s="11" t="str">
        <f t="shared" si="2"/>
        <v/>
      </c>
      <c r="Q378" s="12" t="str">
        <f t="shared" si="3"/>
        <v/>
      </c>
      <c r="R378" s="13" t="str">
        <f t="shared" si="4"/>
        <v/>
      </c>
      <c r="S378" s="3"/>
      <c r="T378" s="3"/>
      <c r="U378" s="3"/>
      <c r="V378" s="3"/>
      <c r="W378" s="3"/>
      <c r="X378" s="3"/>
      <c r="Y378" s="3"/>
      <c r="Z378" s="3"/>
    </row>
    <row r="379" ht="15.75" hidden="1" customHeight="1">
      <c r="A379" s="4" t="s">
        <v>511</v>
      </c>
      <c r="B379" s="5" t="s">
        <v>24</v>
      </c>
      <c r="C379" s="5" t="s">
        <v>105</v>
      </c>
      <c r="D379" s="5" t="s">
        <v>170</v>
      </c>
      <c r="E379" s="6">
        <v>15600.0</v>
      </c>
      <c r="F379" s="6"/>
      <c r="G379" s="16"/>
      <c r="H379" s="7"/>
      <c r="I379" s="9"/>
      <c r="J379" s="5"/>
      <c r="K379" s="9"/>
      <c r="L379" s="5"/>
      <c r="M379" s="9"/>
      <c r="N379" s="10"/>
      <c r="O379" s="10" t="str">
        <f t="shared" si="1"/>
        <v/>
      </c>
      <c r="P379" s="11" t="str">
        <f t="shared" si="2"/>
        <v/>
      </c>
      <c r="Q379" s="12" t="str">
        <f t="shared" si="3"/>
        <v/>
      </c>
      <c r="R379" s="13" t="str">
        <f t="shared" si="4"/>
        <v/>
      </c>
      <c r="S379" s="3"/>
      <c r="T379" s="3"/>
      <c r="U379" s="3"/>
      <c r="V379" s="3"/>
      <c r="W379" s="3"/>
      <c r="X379" s="3"/>
      <c r="Y379" s="3"/>
      <c r="Z379" s="3"/>
    </row>
    <row r="380" ht="15.75" hidden="1" customHeight="1">
      <c r="A380" s="4" t="s">
        <v>512</v>
      </c>
      <c r="B380" s="5" t="s">
        <v>24</v>
      </c>
      <c r="C380" s="5" t="s">
        <v>105</v>
      </c>
      <c r="D380" s="5" t="s">
        <v>170</v>
      </c>
      <c r="E380" s="6">
        <v>15500.0</v>
      </c>
      <c r="F380" s="6"/>
      <c r="G380" s="16"/>
      <c r="H380" s="7"/>
      <c r="I380" s="9"/>
      <c r="J380" s="5"/>
      <c r="K380" s="9"/>
      <c r="L380" s="5"/>
      <c r="M380" s="9"/>
      <c r="N380" s="10"/>
      <c r="O380" s="10" t="str">
        <f t="shared" si="1"/>
        <v/>
      </c>
      <c r="P380" s="11" t="str">
        <f t="shared" si="2"/>
        <v/>
      </c>
      <c r="Q380" s="12" t="str">
        <f t="shared" si="3"/>
        <v/>
      </c>
      <c r="R380" s="13" t="str">
        <f t="shared" si="4"/>
        <v/>
      </c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15"/>
      <c r="B381" s="5"/>
      <c r="C381" s="5"/>
      <c r="D381" s="5"/>
      <c r="E381" s="6"/>
      <c r="F381" s="6"/>
      <c r="G381" s="16"/>
      <c r="H381" s="7"/>
      <c r="I381" s="9"/>
      <c r="J381" s="5"/>
      <c r="K381" s="9"/>
      <c r="L381" s="5"/>
      <c r="M381" s="9"/>
      <c r="N381" s="10"/>
      <c r="O381" s="10" t="str">
        <f t="shared" si="1"/>
        <v/>
      </c>
      <c r="P381" s="11" t="str">
        <f t="shared" si="2"/>
        <v/>
      </c>
      <c r="Q381" s="12" t="str">
        <f t="shared" si="3"/>
        <v/>
      </c>
      <c r="R381" s="13" t="str">
        <f t="shared" si="4"/>
        <v/>
      </c>
      <c r="S381" s="3"/>
      <c r="T381" s="3"/>
      <c r="U381" s="3"/>
      <c r="V381" s="3"/>
      <c r="W381" s="3"/>
      <c r="X381" s="3"/>
      <c r="Y381" s="3"/>
      <c r="Z381" s="3"/>
    </row>
    <row r="382" ht="15.75" hidden="1" customHeight="1">
      <c r="A382" s="4" t="s">
        <v>513</v>
      </c>
      <c r="B382" s="5" t="s">
        <v>24</v>
      </c>
      <c r="C382" s="5" t="s">
        <v>105</v>
      </c>
      <c r="D382" s="5" t="s">
        <v>170</v>
      </c>
      <c r="E382" s="6">
        <v>15100.0</v>
      </c>
      <c r="F382" s="6"/>
      <c r="G382" s="16"/>
      <c r="H382" s="7"/>
      <c r="I382" s="9"/>
      <c r="J382" s="5"/>
      <c r="K382" s="9"/>
      <c r="L382" s="5"/>
      <c r="M382" s="9"/>
      <c r="N382" s="10"/>
      <c r="O382" s="10" t="str">
        <f t="shared" si="1"/>
        <v/>
      </c>
      <c r="P382" s="11" t="str">
        <f t="shared" si="2"/>
        <v/>
      </c>
      <c r="Q382" s="12" t="str">
        <f t="shared" si="3"/>
        <v/>
      </c>
      <c r="R382" s="13" t="str">
        <f t="shared" si="4"/>
        <v/>
      </c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15"/>
      <c r="B383" s="5"/>
      <c r="C383" s="5"/>
      <c r="D383" s="5"/>
      <c r="E383" s="6"/>
      <c r="F383" s="6"/>
      <c r="G383" s="16"/>
      <c r="H383" s="7"/>
      <c r="I383" s="9"/>
      <c r="J383" s="5"/>
      <c r="K383" s="9"/>
      <c r="L383" s="5"/>
      <c r="M383" s="9"/>
      <c r="N383" s="10"/>
      <c r="O383" s="10" t="str">
        <f t="shared" si="1"/>
        <v/>
      </c>
      <c r="P383" s="11" t="str">
        <f t="shared" si="2"/>
        <v/>
      </c>
      <c r="Q383" s="12" t="str">
        <f t="shared" si="3"/>
        <v/>
      </c>
      <c r="R383" s="13" t="str">
        <f t="shared" si="4"/>
        <v/>
      </c>
      <c r="S383" s="3"/>
      <c r="T383" s="3"/>
      <c r="U383" s="3"/>
      <c r="V383" s="3"/>
      <c r="W383" s="3"/>
      <c r="X383" s="3"/>
      <c r="Y383" s="3"/>
      <c r="Z383" s="3"/>
    </row>
    <row r="384" ht="15.75" hidden="1" customHeight="1">
      <c r="A384" s="4" t="s">
        <v>514</v>
      </c>
      <c r="B384" s="5" t="s">
        <v>29</v>
      </c>
      <c r="C384" s="5" t="s">
        <v>169</v>
      </c>
      <c r="D384" s="5" t="s">
        <v>170</v>
      </c>
      <c r="E384" s="6">
        <v>14800.0</v>
      </c>
      <c r="F384" s="6"/>
      <c r="G384" s="16"/>
      <c r="H384" s="7"/>
      <c r="I384" s="9"/>
      <c r="J384" s="5"/>
      <c r="K384" s="9"/>
      <c r="L384" s="5"/>
      <c r="M384" s="9"/>
      <c r="N384" s="10"/>
      <c r="O384" s="10" t="str">
        <f t="shared" si="1"/>
        <v/>
      </c>
      <c r="P384" s="11" t="str">
        <f t="shared" si="2"/>
        <v/>
      </c>
      <c r="Q384" s="12" t="str">
        <f t="shared" si="3"/>
        <v/>
      </c>
      <c r="R384" s="13" t="str">
        <f t="shared" si="4"/>
        <v/>
      </c>
      <c r="S384" s="3"/>
      <c r="T384" s="3"/>
      <c r="U384" s="3"/>
      <c r="V384" s="3"/>
      <c r="W384" s="3"/>
      <c r="X384" s="3"/>
      <c r="Y384" s="3"/>
      <c r="Z384" s="3"/>
    </row>
    <row r="385" ht="15.75" hidden="1" customHeight="1">
      <c r="A385" s="4" t="s">
        <v>515</v>
      </c>
      <c r="B385" s="5" t="s">
        <v>24</v>
      </c>
      <c r="C385" s="5" t="s">
        <v>105</v>
      </c>
      <c r="D385" s="5" t="s">
        <v>170</v>
      </c>
      <c r="E385" s="6">
        <v>14400.0</v>
      </c>
      <c r="F385" s="6"/>
      <c r="G385" s="16"/>
      <c r="H385" s="7"/>
      <c r="I385" s="9"/>
      <c r="J385" s="5"/>
      <c r="K385" s="9"/>
      <c r="L385" s="5"/>
      <c r="M385" s="9"/>
      <c r="N385" s="10"/>
      <c r="O385" s="10" t="str">
        <f t="shared" si="1"/>
        <v/>
      </c>
      <c r="P385" s="11" t="str">
        <f t="shared" si="2"/>
        <v/>
      </c>
      <c r="Q385" s="12" t="str">
        <f t="shared" si="3"/>
        <v/>
      </c>
      <c r="R385" s="13" t="str">
        <f t="shared" si="4"/>
        <v/>
      </c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15"/>
      <c r="B386" s="5"/>
      <c r="C386" s="5"/>
      <c r="D386" s="5"/>
      <c r="E386" s="6"/>
      <c r="F386" s="6"/>
      <c r="G386" s="16"/>
      <c r="H386" s="7"/>
      <c r="I386" s="9"/>
      <c r="J386" s="5"/>
      <c r="K386" s="9"/>
      <c r="L386" s="5"/>
      <c r="M386" s="9"/>
      <c r="N386" s="10"/>
      <c r="O386" s="10" t="str">
        <f t="shared" si="1"/>
        <v/>
      </c>
      <c r="P386" s="11" t="str">
        <f t="shared" si="2"/>
        <v/>
      </c>
      <c r="Q386" s="12" t="str">
        <f t="shared" si="3"/>
        <v/>
      </c>
      <c r="R386" s="13" t="str">
        <f t="shared" si="4"/>
        <v/>
      </c>
      <c r="S386" s="3"/>
      <c r="T386" s="3"/>
      <c r="U386" s="3"/>
      <c r="V386" s="3"/>
      <c r="W386" s="3"/>
      <c r="X386" s="3"/>
      <c r="Y386" s="3"/>
      <c r="Z386" s="3"/>
    </row>
    <row r="387" ht="15.75" hidden="1" customHeight="1">
      <c r="A387" s="4" t="s">
        <v>516</v>
      </c>
      <c r="B387" s="5" t="s">
        <v>24</v>
      </c>
      <c r="C387" s="5" t="s">
        <v>105</v>
      </c>
      <c r="D387" s="5" t="s">
        <v>170</v>
      </c>
      <c r="E387" s="6">
        <v>14300.0</v>
      </c>
      <c r="F387" s="6"/>
      <c r="G387" s="16"/>
      <c r="H387" s="7"/>
      <c r="I387" s="9"/>
      <c r="J387" s="5"/>
      <c r="K387" s="9"/>
      <c r="L387" s="5"/>
      <c r="M387" s="9"/>
      <c r="N387" s="10"/>
      <c r="O387" s="10" t="str">
        <f t="shared" si="1"/>
        <v/>
      </c>
      <c r="P387" s="11" t="str">
        <f t="shared" si="2"/>
        <v/>
      </c>
      <c r="Q387" s="12" t="str">
        <f t="shared" si="3"/>
        <v/>
      </c>
      <c r="R387" s="13" t="str">
        <f t="shared" si="4"/>
        <v/>
      </c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15"/>
      <c r="B388" s="5"/>
      <c r="C388" s="5"/>
      <c r="D388" s="5"/>
      <c r="E388" s="6"/>
      <c r="F388" s="6"/>
      <c r="G388" s="16"/>
      <c r="H388" s="7"/>
      <c r="I388" s="9"/>
      <c r="J388" s="5"/>
      <c r="K388" s="9"/>
      <c r="L388" s="5"/>
      <c r="M388" s="9"/>
      <c r="N388" s="10"/>
      <c r="O388" s="10" t="str">
        <f t="shared" si="1"/>
        <v/>
      </c>
      <c r="P388" s="11" t="str">
        <f t="shared" si="2"/>
        <v/>
      </c>
      <c r="Q388" s="12" t="str">
        <f t="shared" si="3"/>
        <v/>
      </c>
      <c r="R388" s="13" t="str">
        <f t="shared" si="4"/>
        <v/>
      </c>
      <c r="S388" s="3"/>
      <c r="T388" s="3"/>
      <c r="U388" s="3"/>
      <c r="V388" s="3"/>
      <c r="W388" s="3"/>
      <c r="X388" s="3"/>
      <c r="Y388" s="3"/>
      <c r="Z388" s="3"/>
    </row>
    <row r="389" ht="15.75" hidden="1" customHeight="1">
      <c r="A389" s="4" t="s">
        <v>517</v>
      </c>
      <c r="B389" s="5" t="s">
        <v>24</v>
      </c>
      <c r="C389" s="5" t="s">
        <v>105</v>
      </c>
      <c r="D389" s="5" t="s">
        <v>170</v>
      </c>
      <c r="E389" s="6">
        <v>13800.0</v>
      </c>
      <c r="F389" s="6"/>
      <c r="G389" s="16"/>
      <c r="H389" s="7"/>
      <c r="I389" s="9"/>
      <c r="J389" s="5"/>
      <c r="K389" s="9"/>
      <c r="L389" s="5"/>
      <c r="M389" s="9"/>
      <c r="N389" s="10"/>
      <c r="O389" s="10" t="str">
        <f t="shared" si="1"/>
        <v/>
      </c>
      <c r="P389" s="11" t="str">
        <f t="shared" si="2"/>
        <v/>
      </c>
      <c r="Q389" s="12" t="str">
        <f t="shared" si="3"/>
        <v/>
      </c>
      <c r="R389" s="13" t="str">
        <f t="shared" si="4"/>
        <v/>
      </c>
      <c r="S389" s="3"/>
      <c r="T389" s="3"/>
      <c r="U389" s="3"/>
      <c r="V389" s="3"/>
      <c r="W389" s="3"/>
      <c r="X389" s="3"/>
      <c r="Y389" s="3"/>
      <c r="Z389" s="3"/>
    </row>
    <row r="390" ht="15.75" hidden="1" customHeight="1">
      <c r="A390" s="4" t="s">
        <v>518</v>
      </c>
      <c r="B390" s="5" t="s">
        <v>24</v>
      </c>
      <c r="C390" s="5" t="s">
        <v>105</v>
      </c>
      <c r="D390" s="5" t="s">
        <v>170</v>
      </c>
      <c r="E390" s="6">
        <v>13700.0</v>
      </c>
      <c r="F390" s="6"/>
      <c r="G390" s="16"/>
      <c r="H390" s="7"/>
      <c r="I390" s="9"/>
      <c r="J390" s="5"/>
      <c r="K390" s="9"/>
      <c r="L390" s="5"/>
      <c r="M390" s="9"/>
      <c r="N390" s="10"/>
      <c r="O390" s="10" t="str">
        <f t="shared" si="1"/>
        <v/>
      </c>
      <c r="P390" s="11" t="str">
        <f t="shared" si="2"/>
        <v/>
      </c>
      <c r="Q390" s="12" t="str">
        <f t="shared" si="3"/>
        <v/>
      </c>
      <c r="R390" s="13" t="str">
        <f t="shared" si="4"/>
        <v/>
      </c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15"/>
      <c r="B391" s="5"/>
      <c r="C391" s="5"/>
      <c r="D391" s="5"/>
      <c r="E391" s="6"/>
      <c r="F391" s="6"/>
      <c r="G391" s="16"/>
      <c r="H391" s="7"/>
      <c r="I391" s="9"/>
      <c r="J391" s="5"/>
      <c r="K391" s="9"/>
      <c r="L391" s="5"/>
      <c r="M391" s="9"/>
      <c r="N391" s="10"/>
      <c r="O391" s="10" t="str">
        <f t="shared" si="1"/>
        <v/>
      </c>
      <c r="P391" s="11" t="str">
        <f t="shared" si="2"/>
        <v/>
      </c>
      <c r="Q391" s="12" t="str">
        <f t="shared" si="3"/>
        <v/>
      </c>
      <c r="R391" s="13" t="str">
        <f t="shared" si="4"/>
        <v/>
      </c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15"/>
      <c r="B392" s="5"/>
      <c r="C392" s="5"/>
      <c r="D392" s="5"/>
      <c r="E392" s="6"/>
      <c r="F392" s="6"/>
      <c r="G392" s="16"/>
      <c r="H392" s="7"/>
      <c r="I392" s="9"/>
      <c r="J392" s="5"/>
      <c r="K392" s="9"/>
      <c r="L392" s="5"/>
      <c r="M392" s="9"/>
      <c r="N392" s="10"/>
      <c r="O392" s="10" t="str">
        <f t="shared" si="1"/>
        <v/>
      </c>
      <c r="P392" s="11" t="str">
        <f t="shared" si="2"/>
        <v/>
      </c>
      <c r="Q392" s="12" t="str">
        <f t="shared" si="3"/>
        <v/>
      </c>
      <c r="R392" s="13" t="str">
        <f t="shared" si="4"/>
        <v/>
      </c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15"/>
      <c r="B393" s="5"/>
      <c r="C393" s="5"/>
      <c r="D393" s="5"/>
      <c r="E393" s="6"/>
      <c r="F393" s="6"/>
      <c r="G393" s="16"/>
      <c r="H393" s="7"/>
      <c r="I393" s="9"/>
      <c r="J393" s="5"/>
      <c r="K393" s="9"/>
      <c r="L393" s="5"/>
      <c r="M393" s="9"/>
      <c r="N393" s="10"/>
      <c r="O393" s="10" t="str">
        <f t="shared" si="1"/>
        <v/>
      </c>
      <c r="P393" s="11" t="str">
        <f t="shared" si="2"/>
        <v/>
      </c>
      <c r="Q393" s="12" t="str">
        <f t="shared" si="3"/>
        <v/>
      </c>
      <c r="R393" s="13" t="str">
        <f t="shared" si="4"/>
        <v/>
      </c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15"/>
      <c r="B394" s="5"/>
      <c r="C394" s="5"/>
      <c r="D394" s="5"/>
      <c r="E394" s="6"/>
      <c r="F394" s="6"/>
      <c r="G394" s="16"/>
      <c r="H394" s="7"/>
      <c r="I394" s="9"/>
      <c r="J394" s="5"/>
      <c r="K394" s="9"/>
      <c r="L394" s="5"/>
      <c r="M394" s="9"/>
      <c r="N394" s="10"/>
      <c r="O394" s="10" t="str">
        <f t="shared" si="1"/>
        <v/>
      </c>
      <c r="P394" s="11" t="str">
        <f t="shared" si="2"/>
        <v/>
      </c>
      <c r="Q394" s="12" t="str">
        <f t="shared" si="3"/>
        <v/>
      </c>
      <c r="R394" s="13" t="str">
        <f t="shared" si="4"/>
        <v/>
      </c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15"/>
      <c r="B395" s="5"/>
      <c r="C395" s="5"/>
      <c r="D395" s="5"/>
      <c r="E395" s="6"/>
      <c r="F395" s="6"/>
      <c r="G395" s="16"/>
      <c r="H395" s="7"/>
      <c r="I395" s="9"/>
      <c r="J395" s="5"/>
      <c r="K395" s="9"/>
      <c r="L395" s="5"/>
      <c r="M395" s="9"/>
      <c r="N395" s="10"/>
      <c r="O395" s="10" t="str">
        <f t="shared" si="1"/>
        <v/>
      </c>
      <c r="P395" s="11" t="str">
        <f t="shared" si="2"/>
        <v/>
      </c>
      <c r="Q395" s="12" t="str">
        <f t="shared" si="3"/>
        <v/>
      </c>
      <c r="R395" s="13" t="str">
        <f t="shared" si="4"/>
        <v/>
      </c>
      <c r="S395" s="3"/>
      <c r="T395" s="3"/>
      <c r="U395" s="3"/>
      <c r="V395" s="3"/>
      <c r="W395" s="3"/>
      <c r="X395" s="3"/>
      <c r="Y395" s="3"/>
      <c r="Z395" s="3"/>
    </row>
    <row r="396" ht="15.75" hidden="1" customHeight="1">
      <c r="A396" s="4" t="s">
        <v>519</v>
      </c>
      <c r="B396" s="5" t="s">
        <v>24</v>
      </c>
      <c r="C396" s="5" t="s">
        <v>105</v>
      </c>
      <c r="D396" s="5" t="s">
        <v>170</v>
      </c>
      <c r="E396" s="6">
        <v>12500.0</v>
      </c>
      <c r="F396" s="6"/>
      <c r="G396" s="16"/>
      <c r="H396" s="7"/>
      <c r="I396" s="9"/>
      <c r="J396" s="5"/>
      <c r="K396" s="9"/>
      <c r="L396" s="5"/>
      <c r="M396" s="9"/>
      <c r="N396" s="10"/>
      <c r="O396" s="10" t="str">
        <f t="shared" si="1"/>
        <v/>
      </c>
      <c r="P396" s="11" t="str">
        <f t="shared" si="2"/>
        <v/>
      </c>
      <c r="Q396" s="12" t="str">
        <f t="shared" si="3"/>
        <v/>
      </c>
      <c r="R396" s="13" t="str">
        <f t="shared" si="4"/>
        <v/>
      </c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15"/>
      <c r="B397" s="5"/>
      <c r="C397" s="5"/>
      <c r="D397" s="5"/>
      <c r="E397" s="6"/>
      <c r="F397" s="6"/>
      <c r="G397" s="16"/>
      <c r="H397" s="7"/>
      <c r="I397" s="9"/>
      <c r="J397" s="5"/>
      <c r="K397" s="9"/>
      <c r="L397" s="5"/>
      <c r="M397" s="9"/>
      <c r="N397" s="10"/>
      <c r="O397" s="10" t="str">
        <f t="shared" si="1"/>
        <v/>
      </c>
      <c r="P397" s="11" t="str">
        <f t="shared" si="2"/>
        <v/>
      </c>
      <c r="Q397" s="12" t="str">
        <f t="shared" si="3"/>
        <v/>
      </c>
      <c r="R397" s="13" t="str">
        <f t="shared" si="4"/>
        <v/>
      </c>
      <c r="S397" s="3"/>
      <c r="T397" s="3"/>
      <c r="U397" s="3"/>
      <c r="V397" s="3"/>
      <c r="W397" s="3"/>
      <c r="X397" s="3"/>
      <c r="Y397" s="3"/>
      <c r="Z397" s="3"/>
    </row>
    <row r="398" ht="15.75" hidden="1" customHeight="1">
      <c r="A398" s="4" t="s">
        <v>520</v>
      </c>
      <c r="B398" s="5" t="s">
        <v>24</v>
      </c>
      <c r="C398" s="5" t="s">
        <v>105</v>
      </c>
      <c r="D398" s="5" t="s">
        <v>170</v>
      </c>
      <c r="E398" s="6">
        <v>12300.0</v>
      </c>
      <c r="F398" s="6"/>
      <c r="G398" s="16"/>
      <c r="H398" s="7"/>
      <c r="I398" s="9"/>
      <c r="J398" s="5"/>
      <c r="K398" s="9"/>
      <c r="L398" s="5"/>
      <c r="M398" s="9"/>
      <c r="N398" s="10"/>
      <c r="O398" s="10" t="str">
        <f t="shared" si="1"/>
        <v/>
      </c>
      <c r="P398" s="11" t="str">
        <f t="shared" si="2"/>
        <v/>
      </c>
      <c r="Q398" s="12" t="str">
        <f t="shared" si="3"/>
        <v/>
      </c>
      <c r="R398" s="13" t="str">
        <f t="shared" si="4"/>
        <v/>
      </c>
      <c r="S398" s="3"/>
      <c r="T398" s="3"/>
      <c r="U398" s="3"/>
      <c r="V398" s="3"/>
      <c r="W398" s="3"/>
      <c r="X398" s="3"/>
      <c r="Y398" s="3"/>
      <c r="Z398" s="3"/>
    </row>
    <row r="399" ht="15.75" hidden="1" customHeight="1">
      <c r="A399" s="4" t="s">
        <v>521</v>
      </c>
      <c r="B399" s="5" t="s">
        <v>24</v>
      </c>
      <c r="C399" s="5" t="s">
        <v>105</v>
      </c>
      <c r="D399" s="5" t="s">
        <v>170</v>
      </c>
      <c r="E399" s="6">
        <v>12300.0</v>
      </c>
      <c r="F399" s="6"/>
      <c r="G399" s="16"/>
      <c r="H399" s="7"/>
      <c r="I399" s="9"/>
      <c r="J399" s="5"/>
      <c r="K399" s="9"/>
      <c r="L399" s="5"/>
      <c r="M399" s="9"/>
      <c r="N399" s="10"/>
      <c r="O399" s="10" t="str">
        <f t="shared" si="1"/>
        <v/>
      </c>
      <c r="P399" s="11" t="str">
        <f t="shared" si="2"/>
        <v/>
      </c>
      <c r="Q399" s="12" t="str">
        <f t="shared" si="3"/>
        <v/>
      </c>
      <c r="R399" s="13" t="str">
        <f t="shared" si="4"/>
        <v/>
      </c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15"/>
      <c r="B400" s="5"/>
      <c r="C400" s="5"/>
      <c r="D400" s="5"/>
      <c r="E400" s="6"/>
      <c r="F400" s="6"/>
      <c r="G400" s="16"/>
      <c r="H400" s="7"/>
      <c r="I400" s="9"/>
      <c r="J400" s="5"/>
      <c r="K400" s="9"/>
      <c r="L400" s="5"/>
      <c r="M400" s="9"/>
      <c r="N400" s="10"/>
      <c r="O400" s="10" t="str">
        <f t="shared" si="1"/>
        <v/>
      </c>
      <c r="P400" s="11" t="str">
        <f t="shared" si="2"/>
        <v/>
      </c>
      <c r="Q400" s="12" t="str">
        <f t="shared" si="3"/>
        <v/>
      </c>
      <c r="R400" s="13" t="str">
        <f t="shared" si="4"/>
        <v/>
      </c>
      <c r="S400" s="3"/>
      <c r="T400" s="3"/>
      <c r="U400" s="3"/>
      <c r="V400" s="3"/>
      <c r="W400" s="3"/>
      <c r="X400" s="3"/>
      <c r="Y400" s="3"/>
      <c r="Z400" s="3"/>
    </row>
    <row r="401" ht="15.75" hidden="1" customHeight="1">
      <c r="A401" s="4" t="s">
        <v>522</v>
      </c>
      <c r="B401" s="5" t="s">
        <v>29</v>
      </c>
      <c r="C401" s="5" t="s">
        <v>169</v>
      </c>
      <c r="D401" s="5" t="s">
        <v>170</v>
      </c>
      <c r="E401" s="6">
        <v>12000.0</v>
      </c>
      <c r="F401" s="6"/>
      <c r="G401" s="16"/>
      <c r="H401" s="7"/>
      <c r="I401" s="9"/>
      <c r="J401" s="5"/>
      <c r="K401" s="9"/>
      <c r="L401" s="5"/>
      <c r="M401" s="9"/>
      <c r="N401" s="10"/>
      <c r="O401" s="10" t="str">
        <f t="shared" si="1"/>
        <v/>
      </c>
      <c r="P401" s="11" t="str">
        <f t="shared" si="2"/>
        <v/>
      </c>
      <c r="Q401" s="12" t="str">
        <f t="shared" si="3"/>
        <v/>
      </c>
      <c r="R401" s="13" t="str">
        <f t="shared" si="4"/>
        <v/>
      </c>
      <c r="S401" s="3"/>
      <c r="T401" s="3"/>
      <c r="U401" s="3"/>
      <c r="V401" s="3"/>
      <c r="W401" s="3"/>
      <c r="X401" s="3"/>
      <c r="Y401" s="3"/>
      <c r="Z401" s="3"/>
    </row>
    <row r="402" ht="15.75" hidden="1" customHeight="1">
      <c r="A402" s="4" t="s">
        <v>523</v>
      </c>
      <c r="B402" s="5" t="s">
        <v>24</v>
      </c>
      <c r="C402" s="5" t="s">
        <v>105</v>
      </c>
      <c r="D402" s="5" t="s">
        <v>170</v>
      </c>
      <c r="E402" s="6">
        <v>12000.0</v>
      </c>
      <c r="F402" s="6"/>
      <c r="G402" s="16"/>
      <c r="H402" s="7"/>
      <c r="I402" s="9"/>
      <c r="J402" s="5"/>
      <c r="K402" s="9"/>
      <c r="L402" s="5"/>
      <c r="M402" s="9"/>
      <c r="N402" s="10"/>
      <c r="O402" s="10" t="str">
        <f t="shared" si="1"/>
        <v/>
      </c>
      <c r="P402" s="11" t="str">
        <f t="shared" si="2"/>
        <v/>
      </c>
      <c r="Q402" s="12" t="str">
        <f t="shared" si="3"/>
        <v/>
      </c>
      <c r="R402" s="13" t="str">
        <f t="shared" si="4"/>
        <v/>
      </c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15"/>
      <c r="B403" s="5"/>
      <c r="C403" s="5"/>
      <c r="D403" s="5"/>
      <c r="E403" s="6"/>
      <c r="F403" s="6"/>
      <c r="G403" s="16"/>
      <c r="H403" s="7"/>
      <c r="I403" s="9"/>
      <c r="J403" s="5"/>
      <c r="K403" s="9"/>
      <c r="L403" s="5"/>
      <c r="M403" s="9"/>
      <c r="N403" s="10"/>
      <c r="O403" s="10" t="str">
        <f t="shared" si="1"/>
        <v/>
      </c>
      <c r="P403" s="11" t="str">
        <f t="shared" si="2"/>
        <v/>
      </c>
      <c r="Q403" s="12" t="str">
        <f t="shared" si="3"/>
        <v/>
      </c>
      <c r="R403" s="13" t="str">
        <f t="shared" si="4"/>
        <v/>
      </c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15"/>
      <c r="B404" s="5"/>
      <c r="C404" s="5"/>
      <c r="D404" s="5"/>
      <c r="E404" s="6"/>
      <c r="F404" s="6"/>
      <c r="G404" s="16"/>
      <c r="H404" s="7"/>
      <c r="I404" s="9"/>
      <c r="J404" s="5"/>
      <c r="K404" s="9"/>
      <c r="L404" s="5"/>
      <c r="M404" s="9"/>
      <c r="N404" s="10"/>
      <c r="O404" s="10" t="str">
        <f t="shared" si="1"/>
        <v/>
      </c>
      <c r="P404" s="11" t="str">
        <f t="shared" si="2"/>
        <v/>
      </c>
      <c r="Q404" s="12" t="str">
        <f t="shared" si="3"/>
        <v/>
      </c>
      <c r="R404" s="13" t="str">
        <f t="shared" si="4"/>
        <v/>
      </c>
      <c r="S404" s="3"/>
      <c r="T404" s="3"/>
      <c r="U404" s="3"/>
      <c r="V404" s="3"/>
      <c r="W404" s="3"/>
      <c r="X404" s="3"/>
      <c r="Y404" s="3"/>
      <c r="Z404" s="3"/>
    </row>
    <row r="405" ht="15.75" hidden="1" customHeight="1">
      <c r="A405" s="4" t="s">
        <v>524</v>
      </c>
      <c r="B405" s="5" t="s">
        <v>24</v>
      </c>
      <c r="C405" s="5" t="s">
        <v>105</v>
      </c>
      <c r="D405" s="5" t="s">
        <v>170</v>
      </c>
      <c r="E405" s="6">
        <v>11500.0</v>
      </c>
      <c r="F405" s="6"/>
      <c r="G405" s="16"/>
      <c r="H405" s="7"/>
      <c r="I405" s="9"/>
      <c r="J405" s="5"/>
      <c r="K405" s="9"/>
      <c r="L405" s="5"/>
      <c r="M405" s="9"/>
      <c r="N405" s="10"/>
      <c r="O405" s="10" t="str">
        <f t="shared" si="1"/>
        <v/>
      </c>
      <c r="P405" s="11" t="str">
        <f t="shared" si="2"/>
        <v/>
      </c>
      <c r="Q405" s="12" t="str">
        <f t="shared" si="3"/>
        <v/>
      </c>
      <c r="R405" s="13" t="str">
        <f t="shared" si="4"/>
        <v/>
      </c>
      <c r="S405" s="3"/>
      <c r="T405" s="3"/>
      <c r="U405" s="3"/>
      <c r="V405" s="3"/>
      <c r="W405" s="3"/>
      <c r="X405" s="3"/>
      <c r="Y405" s="3"/>
      <c r="Z405" s="3"/>
    </row>
    <row r="406" ht="15.75" hidden="1" customHeight="1">
      <c r="A406" s="4" t="s">
        <v>525</v>
      </c>
      <c r="B406" s="5" t="s">
        <v>24</v>
      </c>
      <c r="C406" s="5" t="s">
        <v>105</v>
      </c>
      <c r="D406" s="5" t="s">
        <v>170</v>
      </c>
      <c r="E406" s="6">
        <v>11300.0</v>
      </c>
      <c r="F406" s="6"/>
      <c r="G406" s="16"/>
      <c r="H406" s="7"/>
      <c r="I406" s="9"/>
      <c r="J406" s="5"/>
      <c r="K406" s="9"/>
      <c r="L406" s="5"/>
      <c r="M406" s="9"/>
      <c r="N406" s="10"/>
      <c r="O406" s="10" t="str">
        <f t="shared" si="1"/>
        <v/>
      </c>
      <c r="P406" s="11" t="str">
        <f t="shared" si="2"/>
        <v/>
      </c>
      <c r="Q406" s="12" t="str">
        <f t="shared" si="3"/>
        <v/>
      </c>
      <c r="R406" s="13" t="str">
        <f t="shared" si="4"/>
        <v/>
      </c>
      <c r="S406" s="3"/>
      <c r="T406" s="3"/>
      <c r="U406" s="3"/>
      <c r="V406" s="3"/>
      <c r="W406" s="3"/>
      <c r="X406" s="3"/>
      <c r="Y406" s="3"/>
      <c r="Z406" s="3"/>
    </row>
    <row r="407" ht="15.75" hidden="1" customHeight="1">
      <c r="A407" s="4" t="s">
        <v>526</v>
      </c>
      <c r="B407" s="5" t="s">
        <v>24</v>
      </c>
      <c r="C407" s="5" t="s">
        <v>105</v>
      </c>
      <c r="D407" s="5" t="s">
        <v>170</v>
      </c>
      <c r="E407" s="6">
        <v>11000.0</v>
      </c>
      <c r="F407" s="3"/>
      <c r="G407" s="3"/>
      <c r="H407" s="3"/>
      <c r="I407" s="3"/>
      <c r="J407" s="3"/>
      <c r="K407" s="3"/>
      <c r="L407" s="3"/>
      <c r="M407" s="3"/>
      <c r="N407" s="3"/>
      <c r="O407" s="3" t="str">
        <f t="shared" si="1"/>
        <v/>
      </c>
      <c r="P407" s="3" t="str">
        <f t="shared" si="2"/>
        <v/>
      </c>
      <c r="Q407" s="3" t="str">
        <f t="shared" si="3"/>
        <v/>
      </c>
      <c r="R407" s="3" t="str">
        <f t="shared" si="4"/>
        <v/>
      </c>
      <c r="S407" s="3"/>
      <c r="T407" s="3"/>
      <c r="U407" s="3"/>
      <c r="V407" s="3"/>
      <c r="W407" s="3"/>
      <c r="X407" s="3"/>
      <c r="Y407" s="3"/>
      <c r="Z407" s="3"/>
    </row>
    <row r="408" ht="15.75" hidden="1" customHeight="1">
      <c r="A408" s="4" t="s">
        <v>527</v>
      </c>
      <c r="B408" s="5" t="s">
        <v>24</v>
      </c>
      <c r="C408" s="5" t="s">
        <v>105</v>
      </c>
      <c r="D408" s="5" t="s">
        <v>170</v>
      </c>
      <c r="E408" s="6">
        <v>10600.0</v>
      </c>
      <c r="F408" s="3"/>
      <c r="G408" s="3"/>
      <c r="H408" s="3"/>
      <c r="I408" s="3"/>
      <c r="J408" s="3"/>
      <c r="K408" s="3"/>
      <c r="L408" s="3"/>
      <c r="M408" s="3"/>
      <c r="N408" s="3"/>
      <c r="O408" s="3" t="str">
        <f t="shared" si="1"/>
        <v/>
      </c>
      <c r="P408" s="3" t="str">
        <f t="shared" si="2"/>
        <v/>
      </c>
      <c r="Q408" s="3" t="str">
        <f t="shared" si="3"/>
        <v/>
      </c>
      <c r="R408" s="3" t="str">
        <f t="shared" si="4"/>
        <v/>
      </c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15"/>
      <c r="B409" s="5"/>
      <c r="C409" s="5"/>
      <c r="D409" s="5"/>
      <c r="E409" s="6"/>
      <c r="F409" s="3"/>
      <c r="G409" s="3"/>
      <c r="H409" s="3"/>
      <c r="I409" s="3"/>
      <c r="J409" s="3"/>
      <c r="K409" s="3"/>
      <c r="L409" s="3"/>
      <c r="M409" s="3"/>
      <c r="N409" s="3"/>
      <c r="O409" s="3" t="str">
        <f t="shared" si="1"/>
        <v/>
      </c>
      <c r="P409" s="3" t="str">
        <f t="shared" si="2"/>
        <v/>
      </c>
      <c r="Q409" s="3" t="str">
        <f t="shared" si="3"/>
        <v/>
      </c>
      <c r="R409" s="3" t="str">
        <f t="shared" si="4"/>
        <v/>
      </c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15"/>
      <c r="B410" s="5"/>
      <c r="C410" s="5"/>
      <c r="D410" s="5"/>
      <c r="E410" s="6"/>
      <c r="F410" s="3"/>
      <c r="G410" s="3"/>
      <c r="H410" s="3"/>
      <c r="I410" s="3"/>
      <c r="J410" s="3"/>
      <c r="K410" s="3"/>
      <c r="L410" s="3"/>
      <c r="M410" s="3"/>
      <c r="N410" s="3"/>
      <c r="O410" s="3" t="str">
        <f t="shared" si="1"/>
        <v/>
      </c>
      <c r="P410" s="3" t="str">
        <f t="shared" si="2"/>
        <v/>
      </c>
      <c r="Q410" s="3" t="str">
        <f t="shared" si="3"/>
        <v/>
      </c>
      <c r="R410" s="3" t="str">
        <f t="shared" si="4"/>
        <v/>
      </c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15"/>
      <c r="B411" s="5"/>
      <c r="C411" s="5"/>
      <c r="D411" s="5"/>
      <c r="E411" s="6"/>
      <c r="F411" s="3"/>
      <c r="G411" s="3"/>
      <c r="H411" s="3"/>
      <c r="I411" s="3"/>
      <c r="J411" s="3"/>
      <c r="K411" s="3"/>
      <c r="L411" s="3"/>
      <c r="M411" s="3"/>
      <c r="N411" s="3"/>
      <c r="O411" s="3" t="str">
        <f t="shared" si="1"/>
        <v/>
      </c>
      <c r="P411" s="3" t="str">
        <f t="shared" si="2"/>
        <v/>
      </c>
      <c r="Q411" s="3" t="str">
        <f t="shared" si="3"/>
        <v/>
      </c>
      <c r="R411" s="3" t="str">
        <f t="shared" si="4"/>
        <v/>
      </c>
      <c r="S411" s="3"/>
      <c r="T411" s="3"/>
      <c r="U411" s="3"/>
      <c r="V411" s="3"/>
      <c r="W411" s="3"/>
      <c r="X411" s="3"/>
      <c r="Y411" s="3"/>
      <c r="Z411" s="3"/>
    </row>
    <row r="412" ht="15.75" hidden="1" customHeight="1">
      <c r="A412" s="4" t="s">
        <v>528</v>
      </c>
      <c r="B412" s="5" t="s">
        <v>24</v>
      </c>
      <c r="C412" s="5" t="s">
        <v>105</v>
      </c>
      <c r="D412" s="5" t="s">
        <v>170</v>
      </c>
      <c r="E412" s="6">
        <v>10300.0</v>
      </c>
      <c r="F412" s="3"/>
      <c r="G412" s="3"/>
      <c r="H412" s="3"/>
      <c r="I412" s="3"/>
      <c r="J412" s="3"/>
      <c r="K412" s="3"/>
      <c r="L412" s="3"/>
      <c r="M412" s="3"/>
      <c r="N412" s="3"/>
      <c r="O412" s="3" t="str">
        <f t="shared" si="1"/>
        <v/>
      </c>
      <c r="P412" s="3" t="str">
        <f t="shared" si="2"/>
        <v/>
      </c>
      <c r="Q412" s="3" t="str">
        <f t="shared" si="3"/>
        <v/>
      </c>
      <c r="R412" s="3" t="str">
        <f t="shared" si="4"/>
        <v/>
      </c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15"/>
      <c r="B413" s="5"/>
      <c r="C413" s="5"/>
      <c r="D413" s="5"/>
      <c r="E413" s="6"/>
      <c r="F413" s="3"/>
      <c r="G413" s="3"/>
      <c r="H413" s="3"/>
      <c r="I413" s="3"/>
      <c r="J413" s="3"/>
      <c r="K413" s="3"/>
      <c r="L413" s="3"/>
      <c r="M413" s="3"/>
      <c r="N413" s="3"/>
      <c r="O413" s="3" t="str">
        <f t="shared" si="1"/>
        <v/>
      </c>
      <c r="P413" s="3" t="str">
        <f t="shared" si="2"/>
        <v/>
      </c>
      <c r="Q413" s="3" t="str">
        <f t="shared" si="3"/>
        <v/>
      </c>
      <c r="R413" s="3" t="str">
        <f t="shared" si="4"/>
        <v/>
      </c>
      <c r="S413" s="3"/>
      <c r="T413" s="3"/>
      <c r="U413" s="3"/>
      <c r="V413" s="3"/>
      <c r="W413" s="3"/>
      <c r="X413" s="3"/>
      <c r="Y413" s="3"/>
      <c r="Z413" s="3"/>
    </row>
    <row r="414" ht="15.75" hidden="1" customHeight="1">
      <c r="A414" s="4" t="s">
        <v>529</v>
      </c>
      <c r="B414" s="5" t="s">
        <v>24</v>
      </c>
      <c r="C414" s="5" t="s">
        <v>105</v>
      </c>
      <c r="D414" s="5" t="s">
        <v>170</v>
      </c>
      <c r="E414" s="6">
        <v>10000.0</v>
      </c>
      <c r="F414" s="3"/>
      <c r="G414" s="3"/>
      <c r="H414" s="3"/>
      <c r="I414" s="3"/>
      <c r="J414" s="3"/>
      <c r="K414" s="3"/>
      <c r="L414" s="3"/>
      <c r="M414" s="3"/>
      <c r="N414" s="3"/>
      <c r="O414" s="3" t="str">
        <f t="shared" si="1"/>
        <v/>
      </c>
      <c r="P414" s="3" t="str">
        <f t="shared" si="2"/>
        <v/>
      </c>
      <c r="Q414" s="3" t="str">
        <f t="shared" si="3"/>
        <v/>
      </c>
      <c r="R414" s="3" t="str">
        <f t="shared" si="4"/>
        <v/>
      </c>
      <c r="S414" s="3"/>
      <c r="T414" s="3"/>
      <c r="U414" s="3"/>
      <c r="V414" s="3"/>
      <c r="W414" s="3"/>
      <c r="X414" s="3"/>
      <c r="Y414" s="3"/>
      <c r="Z414" s="3"/>
    </row>
    <row r="415" ht="15.75" hidden="1" customHeight="1">
      <c r="A415" s="4" t="s">
        <v>530</v>
      </c>
      <c r="B415" s="5" t="s">
        <v>24</v>
      </c>
      <c r="C415" s="5" t="s">
        <v>105</v>
      </c>
      <c r="D415" s="5" t="s">
        <v>170</v>
      </c>
      <c r="E415" s="6">
        <v>9820.0</v>
      </c>
      <c r="F415" s="3"/>
      <c r="G415" s="3"/>
      <c r="H415" s="3"/>
      <c r="I415" s="3"/>
      <c r="J415" s="3"/>
      <c r="K415" s="3"/>
      <c r="L415" s="3"/>
      <c r="M415" s="3"/>
      <c r="N415" s="3"/>
      <c r="O415" s="3" t="str">
        <f t="shared" si="1"/>
        <v/>
      </c>
      <c r="P415" s="3" t="str">
        <f t="shared" si="2"/>
        <v/>
      </c>
      <c r="Q415" s="3" t="str">
        <f t="shared" si="3"/>
        <v/>
      </c>
      <c r="R415" s="3" t="str">
        <f t="shared" si="4"/>
        <v/>
      </c>
      <c r="S415" s="3"/>
      <c r="T415" s="3"/>
      <c r="U415" s="3"/>
      <c r="V415" s="3"/>
      <c r="W415" s="3"/>
      <c r="X415" s="3"/>
      <c r="Y415" s="3"/>
      <c r="Z415" s="3"/>
    </row>
    <row r="416" ht="15.75" hidden="1" customHeight="1">
      <c r="A416" s="4" t="s">
        <v>531</v>
      </c>
      <c r="B416" s="5" t="s">
        <v>24</v>
      </c>
      <c r="C416" s="5" t="s">
        <v>105</v>
      </c>
      <c r="D416" s="5" t="s">
        <v>170</v>
      </c>
      <c r="E416" s="6">
        <v>9610.0</v>
      </c>
      <c r="F416" s="3"/>
      <c r="G416" s="3"/>
      <c r="H416" s="3"/>
      <c r="I416" s="3"/>
      <c r="J416" s="3"/>
      <c r="K416" s="3"/>
      <c r="L416" s="3"/>
      <c r="M416" s="3"/>
      <c r="N416" s="3"/>
      <c r="O416" s="3" t="str">
        <f t="shared" si="1"/>
        <v/>
      </c>
      <c r="P416" s="3" t="str">
        <f t="shared" si="2"/>
        <v/>
      </c>
      <c r="Q416" s="3" t="str">
        <f t="shared" si="3"/>
        <v/>
      </c>
      <c r="R416" s="3" t="str">
        <f t="shared" si="4"/>
        <v/>
      </c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15"/>
      <c r="B417" s="5"/>
      <c r="C417" s="5"/>
      <c r="D417" s="5"/>
      <c r="E417" s="6"/>
      <c r="F417" s="3"/>
      <c r="G417" s="3"/>
      <c r="H417" s="3"/>
      <c r="I417" s="3"/>
      <c r="J417" s="3"/>
      <c r="K417" s="3"/>
      <c r="L417" s="3"/>
      <c r="M417" s="3"/>
      <c r="N417" s="3"/>
      <c r="O417" s="3" t="str">
        <f t="shared" si="1"/>
        <v/>
      </c>
      <c r="P417" s="3" t="str">
        <f t="shared" si="2"/>
        <v/>
      </c>
      <c r="Q417" s="3" t="str">
        <f t="shared" si="3"/>
        <v/>
      </c>
      <c r="R417" s="3" t="str">
        <f t="shared" si="4"/>
        <v/>
      </c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15"/>
      <c r="B418" s="5"/>
      <c r="C418" s="5"/>
      <c r="D418" s="5"/>
      <c r="E418" s="6"/>
      <c r="F418" s="3"/>
      <c r="G418" s="3"/>
      <c r="H418" s="3"/>
      <c r="I418" s="3"/>
      <c r="J418" s="3"/>
      <c r="K418" s="3"/>
      <c r="L418" s="3"/>
      <c r="M418" s="3"/>
      <c r="N418" s="3"/>
      <c r="O418" s="3" t="str">
        <f t="shared" si="1"/>
        <v/>
      </c>
      <c r="P418" s="3" t="str">
        <f t="shared" si="2"/>
        <v/>
      </c>
      <c r="Q418" s="3" t="str">
        <f t="shared" si="3"/>
        <v/>
      </c>
      <c r="R418" s="3" t="str">
        <f t="shared" si="4"/>
        <v/>
      </c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15"/>
      <c r="B419" s="5"/>
      <c r="C419" s="5"/>
      <c r="D419" s="5"/>
      <c r="E419" s="6"/>
      <c r="F419" s="3"/>
      <c r="G419" s="3"/>
      <c r="H419" s="3"/>
      <c r="I419" s="3"/>
      <c r="J419" s="3"/>
      <c r="K419" s="3"/>
      <c r="L419" s="3"/>
      <c r="M419" s="3"/>
      <c r="N419" s="3"/>
      <c r="O419" s="3" t="str">
        <f t="shared" si="1"/>
        <v/>
      </c>
      <c r="P419" s="3" t="str">
        <f t="shared" si="2"/>
        <v/>
      </c>
      <c r="Q419" s="3" t="str">
        <f t="shared" si="3"/>
        <v/>
      </c>
      <c r="R419" s="3" t="str">
        <f t="shared" si="4"/>
        <v/>
      </c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15"/>
      <c r="B420" s="5"/>
      <c r="C420" s="5"/>
      <c r="D420" s="5"/>
      <c r="E420" s="6"/>
      <c r="F420" s="3"/>
      <c r="G420" s="3"/>
      <c r="H420" s="3"/>
      <c r="I420" s="3"/>
      <c r="J420" s="3"/>
      <c r="K420" s="3"/>
      <c r="L420" s="3"/>
      <c r="M420" s="3"/>
      <c r="N420" s="3"/>
      <c r="O420" s="3" t="str">
        <f t="shared" si="1"/>
        <v/>
      </c>
      <c r="P420" s="3" t="str">
        <f t="shared" si="2"/>
        <v/>
      </c>
      <c r="Q420" s="3" t="str">
        <f t="shared" si="3"/>
        <v/>
      </c>
      <c r="R420" s="3" t="str">
        <f t="shared" si="4"/>
        <v/>
      </c>
      <c r="S420" s="3"/>
      <c r="T420" s="3"/>
      <c r="U420" s="3"/>
      <c r="V420" s="3"/>
      <c r="W420" s="3"/>
      <c r="X420" s="3"/>
      <c r="Y420" s="3"/>
      <c r="Z420" s="3"/>
    </row>
    <row r="421" ht="15.75" hidden="1" customHeight="1">
      <c r="A421" s="4" t="s">
        <v>532</v>
      </c>
      <c r="B421" s="5" t="s">
        <v>24</v>
      </c>
      <c r="C421" s="5" t="s">
        <v>105</v>
      </c>
      <c r="D421" s="5" t="s">
        <v>170</v>
      </c>
      <c r="E421" s="6">
        <v>8910.0</v>
      </c>
      <c r="F421" s="3"/>
      <c r="G421" s="3"/>
      <c r="H421" s="3"/>
      <c r="I421" s="3"/>
      <c r="J421" s="3"/>
      <c r="K421" s="3"/>
      <c r="L421" s="3"/>
      <c r="M421" s="3"/>
      <c r="N421" s="3"/>
      <c r="O421" s="3" t="str">
        <f t="shared" si="1"/>
        <v/>
      </c>
      <c r="P421" s="3" t="str">
        <f t="shared" si="2"/>
        <v/>
      </c>
      <c r="Q421" s="3" t="str">
        <f t="shared" si="3"/>
        <v/>
      </c>
      <c r="R421" s="3" t="str">
        <f t="shared" si="4"/>
        <v/>
      </c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15"/>
      <c r="B422" s="5"/>
      <c r="C422" s="5"/>
      <c r="D422" s="5"/>
      <c r="E422" s="6"/>
      <c r="F422" s="3"/>
      <c r="G422" s="3"/>
      <c r="H422" s="3"/>
      <c r="I422" s="3"/>
      <c r="J422" s="3"/>
      <c r="K422" s="3"/>
      <c r="L422" s="3"/>
      <c r="M422" s="3"/>
      <c r="N422" s="3"/>
      <c r="O422" s="3" t="str">
        <f t="shared" si="1"/>
        <v/>
      </c>
      <c r="P422" s="3" t="str">
        <f t="shared" si="2"/>
        <v/>
      </c>
      <c r="Q422" s="3" t="str">
        <f t="shared" si="3"/>
        <v/>
      </c>
      <c r="R422" s="3" t="str">
        <f t="shared" si="4"/>
        <v/>
      </c>
      <c r="S422" s="3"/>
      <c r="T422" s="3"/>
      <c r="U422" s="3"/>
      <c r="V422" s="3"/>
      <c r="W422" s="3"/>
      <c r="X422" s="3"/>
      <c r="Y422" s="3"/>
      <c r="Z422" s="3"/>
    </row>
    <row r="423" ht="15.75" hidden="1" customHeight="1">
      <c r="A423" s="4" t="s">
        <v>533</v>
      </c>
      <c r="B423" s="5" t="s">
        <v>29</v>
      </c>
      <c r="C423" s="5" t="s">
        <v>169</v>
      </c>
      <c r="D423" s="5" t="s">
        <v>170</v>
      </c>
      <c r="E423" s="6">
        <v>8800.0</v>
      </c>
      <c r="F423" s="3"/>
      <c r="G423" s="3"/>
      <c r="H423" s="3"/>
      <c r="I423" s="3"/>
      <c r="J423" s="3"/>
      <c r="K423" s="3"/>
      <c r="L423" s="3"/>
      <c r="M423" s="3"/>
      <c r="N423" s="3"/>
      <c r="O423" s="3" t="str">
        <f t="shared" si="1"/>
        <v/>
      </c>
      <c r="P423" s="3" t="str">
        <f t="shared" si="2"/>
        <v/>
      </c>
      <c r="Q423" s="3" t="str">
        <f t="shared" si="3"/>
        <v/>
      </c>
      <c r="R423" s="3" t="str">
        <f t="shared" si="4"/>
        <v/>
      </c>
      <c r="S423" s="3"/>
      <c r="T423" s="3"/>
      <c r="U423" s="3"/>
      <c r="V423" s="3"/>
      <c r="W423" s="3"/>
      <c r="X423" s="3"/>
      <c r="Y423" s="3"/>
      <c r="Z423" s="3"/>
    </row>
    <row r="424" ht="15.75" hidden="1" customHeight="1">
      <c r="A424" s="4" t="s">
        <v>534</v>
      </c>
      <c r="B424" s="5" t="s">
        <v>24</v>
      </c>
      <c r="C424" s="5" t="s">
        <v>105</v>
      </c>
      <c r="D424" s="5" t="s">
        <v>170</v>
      </c>
      <c r="E424" s="6">
        <v>8610.0</v>
      </c>
      <c r="F424" s="3"/>
      <c r="G424" s="3"/>
      <c r="H424" s="3"/>
      <c r="I424" s="3"/>
      <c r="J424" s="3"/>
      <c r="K424" s="3"/>
      <c r="L424" s="3"/>
      <c r="M424" s="3"/>
      <c r="N424" s="3"/>
      <c r="O424" s="3" t="str">
        <f t="shared" si="1"/>
        <v/>
      </c>
      <c r="P424" s="3" t="str">
        <f t="shared" si="2"/>
        <v/>
      </c>
      <c r="Q424" s="3" t="str">
        <f t="shared" si="3"/>
        <v/>
      </c>
      <c r="R424" s="3" t="str">
        <f t="shared" si="4"/>
        <v/>
      </c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15"/>
      <c r="B425" s="5"/>
      <c r="C425" s="5"/>
      <c r="D425" s="5"/>
      <c r="E425" s="6"/>
      <c r="F425" s="3"/>
      <c r="G425" s="3"/>
      <c r="H425" s="3"/>
      <c r="I425" s="3"/>
      <c r="J425" s="3"/>
      <c r="K425" s="3"/>
      <c r="L425" s="3"/>
      <c r="M425" s="3"/>
      <c r="N425" s="3"/>
      <c r="O425" s="3" t="str">
        <f t="shared" si="1"/>
        <v/>
      </c>
      <c r="P425" s="3" t="str">
        <f t="shared" si="2"/>
        <v/>
      </c>
      <c r="Q425" s="3" t="str">
        <f t="shared" si="3"/>
        <v/>
      </c>
      <c r="R425" s="3" t="str">
        <f t="shared" si="4"/>
        <v/>
      </c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15"/>
      <c r="B426" s="5"/>
      <c r="C426" s="5"/>
      <c r="D426" s="5"/>
      <c r="E426" s="6"/>
      <c r="F426" s="3"/>
      <c r="G426" s="3"/>
      <c r="H426" s="3"/>
      <c r="I426" s="3"/>
      <c r="J426" s="3"/>
      <c r="K426" s="3"/>
      <c r="L426" s="3"/>
      <c r="M426" s="3"/>
      <c r="N426" s="3"/>
      <c r="O426" s="3" t="str">
        <f t="shared" si="1"/>
        <v/>
      </c>
      <c r="P426" s="3" t="str">
        <f t="shared" si="2"/>
        <v/>
      </c>
      <c r="Q426" s="3" t="str">
        <f t="shared" si="3"/>
        <v/>
      </c>
      <c r="R426" s="3" t="str">
        <f t="shared" si="4"/>
        <v/>
      </c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15"/>
      <c r="B427" s="5"/>
      <c r="C427" s="5"/>
      <c r="D427" s="5"/>
      <c r="E427" s="6"/>
      <c r="F427" s="3"/>
      <c r="G427" s="3"/>
      <c r="H427" s="3"/>
      <c r="I427" s="3"/>
      <c r="J427" s="3"/>
      <c r="K427" s="3"/>
      <c r="L427" s="3"/>
      <c r="M427" s="3"/>
      <c r="N427" s="3"/>
      <c r="O427" s="3" t="str">
        <f t="shared" si="1"/>
        <v/>
      </c>
      <c r="P427" s="3" t="str">
        <f t="shared" si="2"/>
        <v/>
      </c>
      <c r="Q427" s="3" t="str">
        <f t="shared" si="3"/>
        <v/>
      </c>
      <c r="R427" s="3" t="str">
        <f t="shared" si="4"/>
        <v/>
      </c>
      <c r="S427" s="3"/>
      <c r="T427" s="3"/>
      <c r="U427" s="3"/>
      <c r="V427" s="3"/>
      <c r="W427" s="3"/>
      <c r="X427" s="3"/>
      <c r="Y427" s="3"/>
      <c r="Z427" s="3"/>
    </row>
    <row r="428" ht="15.75" hidden="1" customHeight="1">
      <c r="A428" s="4" t="s">
        <v>535</v>
      </c>
      <c r="B428" s="5" t="s">
        <v>24</v>
      </c>
      <c r="C428" s="5" t="s">
        <v>105</v>
      </c>
      <c r="D428" s="5" t="s">
        <v>170</v>
      </c>
      <c r="E428" s="6">
        <v>8250.0</v>
      </c>
      <c r="F428" s="3"/>
      <c r="G428" s="3"/>
      <c r="H428" s="3"/>
      <c r="I428" s="3"/>
      <c r="J428" s="3"/>
      <c r="K428" s="3"/>
      <c r="L428" s="3"/>
      <c r="M428" s="3"/>
      <c r="N428" s="3"/>
      <c r="O428" s="3" t="str">
        <f t="shared" si="1"/>
        <v/>
      </c>
      <c r="P428" s="3" t="str">
        <f t="shared" si="2"/>
        <v/>
      </c>
      <c r="Q428" s="3" t="str">
        <f t="shared" si="3"/>
        <v/>
      </c>
      <c r="R428" s="3" t="str">
        <f t="shared" si="4"/>
        <v/>
      </c>
      <c r="S428" s="3"/>
      <c r="T428" s="3"/>
      <c r="U428" s="3"/>
      <c r="V428" s="3"/>
      <c r="W428" s="3"/>
      <c r="X428" s="3"/>
      <c r="Y428" s="3"/>
      <c r="Z428" s="3"/>
    </row>
    <row r="429" ht="15.75" hidden="1" customHeight="1">
      <c r="A429" s="4" t="s">
        <v>536</v>
      </c>
      <c r="B429" s="5" t="s">
        <v>24</v>
      </c>
      <c r="C429" s="5" t="s">
        <v>105</v>
      </c>
      <c r="D429" s="5" t="s">
        <v>170</v>
      </c>
      <c r="E429" s="6">
        <v>8030.0</v>
      </c>
      <c r="F429" s="3"/>
      <c r="G429" s="3"/>
      <c r="H429" s="3"/>
      <c r="I429" s="3"/>
      <c r="J429" s="3"/>
      <c r="K429" s="3"/>
      <c r="L429" s="3"/>
      <c r="M429" s="3"/>
      <c r="N429" s="3"/>
      <c r="O429" s="3" t="str">
        <f t="shared" si="1"/>
        <v/>
      </c>
      <c r="P429" s="3" t="str">
        <f t="shared" si="2"/>
        <v/>
      </c>
      <c r="Q429" s="3" t="str">
        <f t="shared" si="3"/>
        <v/>
      </c>
      <c r="R429" s="3" t="str">
        <f t="shared" si="4"/>
        <v/>
      </c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15"/>
      <c r="B430" s="5"/>
      <c r="C430" s="5"/>
      <c r="D430" s="5"/>
      <c r="E430" s="6"/>
      <c r="F430" s="3"/>
      <c r="G430" s="3"/>
      <c r="H430" s="3"/>
      <c r="I430" s="3"/>
      <c r="J430" s="3"/>
      <c r="K430" s="3"/>
      <c r="L430" s="3"/>
      <c r="M430" s="3"/>
      <c r="N430" s="3"/>
      <c r="O430" s="3" t="str">
        <f t="shared" si="1"/>
        <v/>
      </c>
      <c r="P430" s="3" t="str">
        <f t="shared" si="2"/>
        <v/>
      </c>
      <c r="Q430" s="3" t="str">
        <f t="shared" si="3"/>
        <v/>
      </c>
      <c r="R430" s="3" t="str">
        <f t="shared" si="4"/>
        <v/>
      </c>
      <c r="S430" s="3"/>
      <c r="T430" s="3"/>
      <c r="U430" s="3"/>
      <c r="V430" s="3"/>
      <c r="W430" s="3"/>
      <c r="X430" s="3"/>
      <c r="Y430" s="3"/>
      <c r="Z430" s="3"/>
    </row>
    <row r="431" ht="15.75" hidden="1" customHeight="1">
      <c r="A431" s="4" t="s">
        <v>537</v>
      </c>
      <c r="B431" s="5" t="s">
        <v>24</v>
      </c>
      <c r="C431" s="5" t="s">
        <v>105</v>
      </c>
      <c r="D431" s="5" t="s">
        <v>170</v>
      </c>
      <c r="E431" s="6">
        <v>7950.0</v>
      </c>
      <c r="F431" s="3"/>
      <c r="G431" s="3"/>
      <c r="H431" s="3"/>
      <c r="I431" s="3"/>
      <c r="J431" s="3"/>
      <c r="K431" s="3"/>
      <c r="L431" s="3"/>
      <c r="M431" s="3"/>
      <c r="N431" s="3"/>
      <c r="O431" s="3" t="str">
        <f t="shared" si="1"/>
        <v/>
      </c>
      <c r="P431" s="3" t="str">
        <f t="shared" si="2"/>
        <v/>
      </c>
      <c r="Q431" s="3" t="str">
        <f t="shared" si="3"/>
        <v/>
      </c>
      <c r="R431" s="3" t="str">
        <f t="shared" si="4"/>
        <v/>
      </c>
      <c r="S431" s="3"/>
      <c r="T431" s="3"/>
      <c r="U431" s="3"/>
      <c r="V431" s="3"/>
      <c r="W431" s="3"/>
      <c r="X431" s="3"/>
      <c r="Y431" s="3"/>
      <c r="Z431" s="3"/>
    </row>
    <row r="432" ht="15.75" hidden="1" customHeight="1">
      <c r="A432" s="4" t="s">
        <v>538</v>
      </c>
      <c r="B432" s="5" t="s">
        <v>24</v>
      </c>
      <c r="C432" s="5" t="s">
        <v>105</v>
      </c>
      <c r="D432" s="5" t="s">
        <v>170</v>
      </c>
      <c r="E432" s="6">
        <v>7880.0</v>
      </c>
      <c r="F432" s="3"/>
      <c r="G432" s="3"/>
      <c r="H432" s="3"/>
      <c r="I432" s="3"/>
      <c r="J432" s="3"/>
      <c r="K432" s="3"/>
      <c r="L432" s="3"/>
      <c r="M432" s="3"/>
      <c r="N432" s="3"/>
      <c r="O432" s="3" t="str">
        <f t="shared" si="1"/>
        <v/>
      </c>
      <c r="P432" s="3" t="str">
        <f t="shared" si="2"/>
        <v/>
      </c>
      <c r="Q432" s="3" t="str">
        <f t="shared" si="3"/>
        <v/>
      </c>
      <c r="R432" s="3" t="str">
        <f t="shared" si="4"/>
        <v/>
      </c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15"/>
      <c r="B433" s="5"/>
      <c r="C433" s="5"/>
      <c r="D433" s="5"/>
      <c r="E433" s="6"/>
      <c r="F433" s="3"/>
      <c r="G433" s="3"/>
      <c r="H433" s="3"/>
      <c r="I433" s="3"/>
      <c r="J433" s="3"/>
      <c r="K433" s="3"/>
      <c r="L433" s="3"/>
      <c r="M433" s="3"/>
      <c r="N433" s="3"/>
      <c r="O433" s="3" t="str">
        <f t="shared" si="1"/>
        <v/>
      </c>
      <c r="P433" s="3" t="str">
        <f t="shared" si="2"/>
        <v/>
      </c>
      <c r="Q433" s="3" t="str">
        <f t="shared" si="3"/>
        <v/>
      </c>
      <c r="R433" s="3" t="str">
        <f t="shared" si="4"/>
        <v/>
      </c>
      <c r="S433" s="3"/>
      <c r="T433" s="3"/>
      <c r="U433" s="3"/>
      <c r="V433" s="3"/>
      <c r="W433" s="3"/>
      <c r="X433" s="3"/>
      <c r="Y433" s="3"/>
      <c r="Z433" s="3"/>
    </row>
    <row r="434" ht="15.75" hidden="1" customHeight="1">
      <c r="A434" s="4" t="s">
        <v>539</v>
      </c>
      <c r="B434" s="5" t="s">
        <v>24</v>
      </c>
      <c r="C434" s="5" t="s">
        <v>105</v>
      </c>
      <c r="D434" s="5" t="s">
        <v>170</v>
      </c>
      <c r="E434" s="6">
        <v>7710.0</v>
      </c>
      <c r="F434" s="3"/>
      <c r="G434" s="3"/>
      <c r="H434" s="3"/>
      <c r="I434" s="3"/>
      <c r="J434" s="3"/>
      <c r="K434" s="3"/>
      <c r="L434" s="3"/>
      <c r="M434" s="3"/>
      <c r="N434" s="3"/>
      <c r="O434" s="3" t="str">
        <f t="shared" si="1"/>
        <v/>
      </c>
      <c r="P434" s="3" t="str">
        <f t="shared" si="2"/>
        <v/>
      </c>
      <c r="Q434" s="3" t="str">
        <f t="shared" si="3"/>
        <v/>
      </c>
      <c r="R434" s="3" t="str">
        <f t="shared" si="4"/>
        <v/>
      </c>
      <c r="S434" s="3"/>
      <c r="T434" s="3"/>
      <c r="U434" s="3"/>
      <c r="V434" s="3"/>
      <c r="W434" s="3"/>
      <c r="X434" s="3"/>
      <c r="Y434" s="3"/>
      <c r="Z434" s="3"/>
    </row>
    <row r="435" ht="15.75" hidden="1" customHeight="1">
      <c r="A435" s="4" t="s">
        <v>540</v>
      </c>
      <c r="B435" s="5" t="s">
        <v>24</v>
      </c>
      <c r="C435" s="5" t="s">
        <v>105</v>
      </c>
      <c r="D435" s="5" t="s">
        <v>170</v>
      </c>
      <c r="E435" s="6">
        <v>7520.0</v>
      </c>
      <c r="F435" s="3"/>
      <c r="G435" s="3"/>
      <c r="H435" s="3"/>
      <c r="I435" s="3"/>
      <c r="J435" s="3"/>
      <c r="K435" s="3"/>
      <c r="L435" s="3"/>
      <c r="M435" s="3"/>
      <c r="N435" s="3"/>
      <c r="O435" s="3" t="str">
        <f t="shared" si="1"/>
        <v/>
      </c>
      <c r="P435" s="3" t="str">
        <f t="shared" si="2"/>
        <v/>
      </c>
      <c r="Q435" s="3" t="str">
        <f t="shared" si="3"/>
        <v/>
      </c>
      <c r="R435" s="3" t="str">
        <f t="shared" si="4"/>
        <v/>
      </c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15"/>
      <c r="B436" s="5"/>
      <c r="C436" s="5"/>
      <c r="D436" s="5"/>
      <c r="E436" s="6"/>
      <c r="F436" s="3"/>
      <c r="G436" s="3"/>
      <c r="H436" s="3"/>
      <c r="I436" s="3"/>
      <c r="J436" s="3"/>
      <c r="K436" s="3"/>
      <c r="L436" s="3"/>
      <c r="M436" s="3"/>
      <c r="N436" s="3"/>
      <c r="O436" s="3" t="str">
        <f t="shared" si="1"/>
        <v/>
      </c>
      <c r="P436" s="3" t="str">
        <f t="shared" si="2"/>
        <v/>
      </c>
      <c r="Q436" s="3" t="str">
        <f t="shared" si="3"/>
        <v/>
      </c>
      <c r="R436" s="3" t="str">
        <f t="shared" si="4"/>
        <v/>
      </c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15"/>
      <c r="B437" s="5"/>
      <c r="C437" s="5"/>
      <c r="D437" s="5"/>
      <c r="E437" s="6"/>
      <c r="F437" s="3"/>
      <c r="G437" s="3"/>
      <c r="H437" s="3"/>
      <c r="I437" s="3"/>
      <c r="J437" s="3"/>
      <c r="K437" s="3"/>
      <c r="L437" s="3"/>
      <c r="M437" s="3"/>
      <c r="N437" s="3"/>
      <c r="O437" s="3" t="str">
        <f t="shared" si="1"/>
        <v/>
      </c>
      <c r="P437" s="3" t="str">
        <f t="shared" si="2"/>
        <v/>
      </c>
      <c r="Q437" s="3" t="str">
        <f t="shared" si="3"/>
        <v/>
      </c>
      <c r="R437" s="3" t="str">
        <f t="shared" si="4"/>
        <v/>
      </c>
      <c r="S437" s="3"/>
      <c r="T437" s="3"/>
      <c r="U437" s="3"/>
      <c r="V437" s="3"/>
      <c r="W437" s="3"/>
      <c r="X437" s="3"/>
      <c r="Y437" s="3"/>
      <c r="Z437" s="3"/>
    </row>
    <row r="438" ht="15.75" hidden="1" customHeight="1">
      <c r="A438" s="4" t="s">
        <v>541</v>
      </c>
      <c r="B438" s="5" t="s">
        <v>24</v>
      </c>
      <c r="C438" s="5" t="s">
        <v>105</v>
      </c>
      <c r="D438" s="5" t="s">
        <v>170</v>
      </c>
      <c r="E438" s="6">
        <v>7290.0</v>
      </c>
      <c r="F438" s="3"/>
      <c r="G438" s="3"/>
      <c r="H438" s="3"/>
      <c r="I438" s="3"/>
      <c r="J438" s="3"/>
      <c r="K438" s="3"/>
      <c r="L438" s="3"/>
      <c r="M438" s="3"/>
      <c r="N438" s="3"/>
      <c r="O438" s="3" t="str">
        <f t="shared" si="1"/>
        <v/>
      </c>
      <c r="P438" s="3" t="str">
        <f t="shared" si="2"/>
        <v/>
      </c>
      <c r="Q438" s="3" t="str">
        <f t="shared" si="3"/>
        <v/>
      </c>
      <c r="R438" s="3" t="str">
        <f t="shared" si="4"/>
        <v/>
      </c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15"/>
      <c r="B439" s="5"/>
      <c r="C439" s="5"/>
      <c r="D439" s="5"/>
      <c r="E439" s="6"/>
      <c r="F439" s="3"/>
      <c r="G439" s="3"/>
      <c r="H439" s="3"/>
      <c r="I439" s="3"/>
      <c r="J439" s="3"/>
      <c r="K439" s="3"/>
      <c r="L439" s="3"/>
      <c r="M439" s="3"/>
      <c r="N439" s="3"/>
      <c r="O439" s="3" t="str">
        <f t="shared" si="1"/>
        <v/>
      </c>
      <c r="P439" s="3" t="str">
        <f t="shared" si="2"/>
        <v/>
      </c>
      <c r="Q439" s="3" t="str">
        <f t="shared" si="3"/>
        <v/>
      </c>
      <c r="R439" s="3" t="str">
        <f t="shared" si="4"/>
        <v/>
      </c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15"/>
      <c r="B440" s="5"/>
      <c r="C440" s="5"/>
      <c r="D440" s="5"/>
      <c r="E440" s="6"/>
      <c r="F440" s="3"/>
      <c r="G440" s="3"/>
      <c r="H440" s="3"/>
      <c r="I440" s="3"/>
      <c r="J440" s="3"/>
      <c r="K440" s="3"/>
      <c r="L440" s="3"/>
      <c r="M440" s="3"/>
      <c r="N440" s="3"/>
      <c r="O440" s="3" t="str">
        <f t="shared" si="1"/>
        <v/>
      </c>
      <c r="P440" s="3" t="str">
        <f t="shared" si="2"/>
        <v/>
      </c>
      <c r="Q440" s="3" t="str">
        <f t="shared" si="3"/>
        <v/>
      </c>
      <c r="R440" s="3" t="str">
        <f t="shared" si="4"/>
        <v/>
      </c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15"/>
      <c r="B441" s="5"/>
      <c r="C441" s="5"/>
      <c r="D441" s="5"/>
      <c r="E441" s="6"/>
      <c r="F441" s="3"/>
      <c r="G441" s="3"/>
      <c r="H441" s="3"/>
      <c r="I441" s="3"/>
      <c r="J441" s="3"/>
      <c r="K441" s="3"/>
      <c r="L441" s="3"/>
      <c r="M441" s="3"/>
      <c r="N441" s="3"/>
      <c r="O441" s="3" t="str">
        <f t="shared" si="1"/>
        <v/>
      </c>
      <c r="P441" s="3" t="str">
        <f t="shared" si="2"/>
        <v/>
      </c>
      <c r="Q441" s="3" t="str">
        <f t="shared" si="3"/>
        <v/>
      </c>
      <c r="R441" s="3" t="str">
        <f t="shared" si="4"/>
        <v/>
      </c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15"/>
      <c r="B442" s="5"/>
      <c r="C442" s="5"/>
      <c r="D442" s="5"/>
      <c r="E442" s="6"/>
      <c r="F442" s="3"/>
      <c r="G442" s="3"/>
      <c r="H442" s="3"/>
      <c r="I442" s="3"/>
      <c r="J442" s="3"/>
      <c r="K442" s="3"/>
      <c r="L442" s="3"/>
      <c r="M442" s="3"/>
      <c r="N442" s="3"/>
      <c r="O442" s="3" t="str">
        <f t="shared" si="1"/>
        <v/>
      </c>
      <c r="P442" s="3" t="str">
        <f t="shared" si="2"/>
        <v/>
      </c>
      <c r="Q442" s="3" t="str">
        <f t="shared" si="3"/>
        <v/>
      </c>
      <c r="R442" s="3" t="str">
        <f t="shared" si="4"/>
        <v/>
      </c>
      <c r="S442" s="3"/>
      <c r="T442" s="3"/>
      <c r="U442" s="3"/>
      <c r="V442" s="3"/>
      <c r="W442" s="3"/>
      <c r="X442" s="3"/>
      <c r="Y442" s="3"/>
      <c r="Z442" s="3"/>
    </row>
    <row r="443" ht="15.75" hidden="1" customHeight="1">
      <c r="A443" s="4" t="s">
        <v>542</v>
      </c>
      <c r="B443" s="5" t="s">
        <v>29</v>
      </c>
      <c r="C443" s="5" t="s">
        <v>169</v>
      </c>
      <c r="D443" s="5" t="s">
        <v>170</v>
      </c>
      <c r="E443" s="6">
        <v>6700.0</v>
      </c>
      <c r="F443" s="3"/>
      <c r="G443" s="3"/>
      <c r="H443" s="3"/>
      <c r="I443" s="3"/>
      <c r="J443" s="3"/>
      <c r="K443" s="3"/>
      <c r="L443" s="3"/>
      <c r="M443" s="3"/>
      <c r="N443" s="3"/>
      <c r="O443" s="3" t="str">
        <f t="shared" si="1"/>
        <v/>
      </c>
      <c r="P443" s="3" t="str">
        <f t="shared" si="2"/>
        <v/>
      </c>
      <c r="Q443" s="3" t="str">
        <f t="shared" si="3"/>
        <v/>
      </c>
      <c r="R443" s="3" t="str">
        <f t="shared" si="4"/>
        <v/>
      </c>
      <c r="S443" s="3"/>
      <c r="T443" s="3"/>
      <c r="U443" s="3"/>
      <c r="V443" s="3"/>
      <c r="W443" s="3"/>
      <c r="X443" s="3"/>
      <c r="Y443" s="3"/>
      <c r="Z443" s="3"/>
    </row>
    <row r="444" ht="15.75" hidden="1" customHeight="1">
      <c r="A444" s="4" t="s">
        <v>543</v>
      </c>
      <c r="B444" s="5" t="s">
        <v>24</v>
      </c>
      <c r="C444" s="5" t="s">
        <v>105</v>
      </c>
      <c r="D444" s="5" t="s">
        <v>170</v>
      </c>
      <c r="E444" s="6">
        <v>6630.0</v>
      </c>
      <c r="F444" s="3"/>
      <c r="G444" s="3"/>
      <c r="H444" s="3"/>
      <c r="I444" s="3"/>
      <c r="J444" s="3"/>
      <c r="K444" s="3"/>
      <c r="L444" s="3"/>
      <c r="M444" s="3"/>
      <c r="N444" s="3"/>
      <c r="O444" s="3" t="str">
        <f t="shared" si="1"/>
        <v/>
      </c>
      <c r="P444" s="3" t="str">
        <f t="shared" si="2"/>
        <v/>
      </c>
      <c r="Q444" s="3" t="str">
        <f t="shared" si="3"/>
        <v/>
      </c>
      <c r="R444" s="3" t="str">
        <f t="shared" si="4"/>
        <v/>
      </c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15"/>
      <c r="B445" s="5"/>
      <c r="C445" s="5"/>
      <c r="D445" s="5"/>
      <c r="E445" s="6"/>
      <c r="F445" s="3"/>
      <c r="G445" s="3"/>
      <c r="H445" s="3"/>
      <c r="I445" s="3"/>
      <c r="J445" s="3"/>
      <c r="K445" s="3"/>
      <c r="L445" s="3"/>
      <c r="M445" s="3"/>
      <c r="N445" s="3"/>
      <c r="O445" s="3" t="str">
        <f t="shared" si="1"/>
        <v/>
      </c>
      <c r="P445" s="3" t="str">
        <f t="shared" si="2"/>
        <v/>
      </c>
      <c r="Q445" s="3" t="str">
        <f t="shared" si="3"/>
        <v/>
      </c>
      <c r="R445" s="3" t="str">
        <f t="shared" si="4"/>
        <v/>
      </c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15"/>
      <c r="B446" s="5"/>
      <c r="C446" s="5"/>
      <c r="D446" s="5"/>
      <c r="E446" s="6"/>
      <c r="F446" s="3"/>
      <c r="G446" s="3"/>
      <c r="H446" s="3"/>
      <c r="I446" s="3"/>
      <c r="J446" s="3"/>
      <c r="K446" s="3"/>
      <c r="L446" s="3"/>
      <c r="M446" s="3"/>
      <c r="N446" s="3"/>
      <c r="O446" s="3" t="str">
        <f t="shared" si="1"/>
        <v/>
      </c>
      <c r="P446" s="3" t="str">
        <f t="shared" si="2"/>
        <v/>
      </c>
      <c r="Q446" s="3" t="str">
        <f t="shared" si="3"/>
        <v/>
      </c>
      <c r="R446" s="3" t="str">
        <f t="shared" si="4"/>
        <v/>
      </c>
      <c r="S446" s="3"/>
      <c r="T446" s="3"/>
      <c r="U446" s="3"/>
      <c r="V446" s="3"/>
      <c r="W446" s="3"/>
      <c r="X446" s="3"/>
      <c r="Y446" s="3"/>
      <c r="Z446" s="3"/>
    </row>
    <row r="447" ht="15.75" hidden="1" customHeight="1">
      <c r="A447" s="4" t="s">
        <v>544</v>
      </c>
      <c r="B447" s="5" t="s">
        <v>24</v>
      </c>
      <c r="C447" s="5" t="s">
        <v>105</v>
      </c>
      <c r="D447" s="5" t="s">
        <v>170</v>
      </c>
      <c r="E447" s="6">
        <v>6490.0</v>
      </c>
      <c r="F447" s="3"/>
      <c r="G447" s="3"/>
      <c r="H447" s="3"/>
      <c r="I447" s="3"/>
      <c r="J447" s="3"/>
      <c r="K447" s="3"/>
      <c r="L447" s="3"/>
      <c r="M447" s="3"/>
      <c r="N447" s="3"/>
      <c r="O447" s="3" t="str">
        <f t="shared" si="1"/>
        <v/>
      </c>
      <c r="P447" s="3" t="str">
        <f t="shared" si="2"/>
        <v/>
      </c>
      <c r="Q447" s="3" t="str">
        <f t="shared" si="3"/>
        <v/>
      </c>
      <c r="R447" s="3" t="str">
        <f t="shared" si="4"/>
        <v/>
      </c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52"/>
      <c r="B448" s="5"/>
      <c r="C448" s="5"/>
      <c r="D448" s="5"/>
      <c r="E448" s="6"/>
      <c r="F448" s="3"/>
      <c r="G448" s="3"/>
      <c r="H448" s="3"/>
      <c r="I448" s="3"/>
      <c r="J448" s="3"/>
      <c r="K448" s="3"/>
      <c r="L448" s="3"/>
      <c r="M448" s="3"/>
      <c r="N448" s="3"/>
      <c r="O448" s="3" t="str">
        <f t="shared" si="1"/>
        <v/>
      </c>
      <c r="P448" s="3" t="str">
        <f t="shared" si="2"/>
        <v/>
      </c>
      <c r="Q448" s="3" t="str">
        <f t="shared" si="3"/>
        <v/>
      </c>
      <c r="R448" s="3" t="str">
        <f t="shared" si="4"/>
        <v/>
      </c>
      <c r="S448" s="3"/>
      <c r="T448" s="3"/>
      <c r="U448" s="3"/>
      <c r="V448" s="3"/>
      <c r="W448" s="3"/>
      <c r="X448" s="3"/>
      <c r="Y448" s="3"/>
      <c r="Z448" s="3"/>
    </row>
    <row r="449" ht="15.75" hidden="1" customHeight="1">
      <c r="A449" s="4" t="s">
        <v>545</v>
      </c>
      <c r="B449" s="5" t="s">
        <v>24</v>
      </c>
      <c r="C449" s="5" t="s">
        <v>105</v>
      </c>
      <c r="D449" s="5" t="s">
        <v>170</v>
      </c>
      <c r="E449" s="6">
        <v>6320.0</v>
      </c>
      <c r="F449" s="3"/>
      <c r="G449" s="3"/>
      <c r="H449" s="3"/>
      <c r="I449" s="3"/>
      <c r="J449" s="3"/>
      <c r="K449" s="3"/>
      <c r="L449" s="3"/>
      <c r="M449" s="3"/>
      <c r="N449" s="3"/>
      <c r="O449" s="3" t="str">
        <f t="shared" si="1"/>
        <v/>
      </c>
      <c r="P449" s="3" t="str">
        <f t="shared" si="2"/>
        <v/>
      </c>
      <c r="Q449" s="3" t="str">
        <f t="shared" si="3"/>
        <v/>
      </c>
      <c r="R449" s="3" t="str">
        <f t="shared" si="4"/>
        <v/>
      </c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15"/>
      <c r="B450" s="5"/>
      <c r="C450" s="5"/>
      <c r="D450" s="5"/>
      <c r="E450" s="6"/>
      <c r="F450" s="3"/>
      <c r="G450" s="3"/>
      <c r="H450" s="3"/>
      <c r="I450" s="3"/>
      <c r="J450" s="3"/>
      <c r="K450" s="3"/>
      <c r="L450" s="3"/>
      <c r="M450" s="3"/>
      <c r="N450" s="3"/>
      <c r="O450" s="3" t="str">
        <f t="shared" si="1"/>
        <v/>
      </c>
      <c r="P450" s="3" t="str">
        <f t="shared" si="2"/>
        <v/>
      </c>
      <c r="Q450" s="3" t="str">
        <f t="shared" si="3"/>
        <v/>
      </c>
      <c r="R450" s="3" t="str">
        <f t="shared" si="4"/>
        <v/>
      </c>
      <c r="S450" s="3"/>
      <c r="T450" s="3"/>
      <c r="U450" s="3"/>
      <c r="V450" s="3"/>
      <c r="W450" s="3"/>
      <c r="X450" s="3"/>
      <c r="Y450" s="3"/>
      <c r="Z450" s="3"/>
    </row>
    <row r="451" ht="15.75" hidden="1" customHeight="1">
      <c r="A451" s="4" t="s">
        <v>546</v>
      </c>
      <c r="B451" s="5" t="s">
        <v>29</v>
      </c>
      <c r="C451" s="5" t="s">
        <v>169</v>
      </c>
      <c r="D451" s="5" t="s">
        <v>170</v>
      </c>
      <c r="E451" s="6">
        <v>6200.0</v>
      </c>
      <c r="F451" s="3"/>
      <c r="G451" s="3"/>
      <c r="H451" s="3"/>
      <c r="I451" s="3"/>
      <c r="J451" s="3"/>
      <c r="K451" s="3"/>
      <c r="L451" s="3"/>
      <c r="M451" s="3"/>
      <c r="N451" s="3"/>
      <c r="O451" s="3" t="str">
        <f t="shared" si="1"/>
        <v/>
      </c>
      <c r="P451" s="3" t="str">
        <f t="shared" si="2"/>
        <v/>
      </c>
      <c r="Q451" s="3" t="str">
        <f t="shared" si="3"/>
        <v/>
      </c>
      <c r="R451" s="3" t="str">
        <f t="shared" si="4"/>
        <v/>
      </c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15"/>
      <c r="B452" s="5"/>
      <c r="C452" s="5"/>
      <c r="D452" s="5"/>
      <c r="E452" s="6"/>
      <c r="F452" s="3"/>
      <c r="G452" s="3"/>
      <c r="H452" s="3"/>
      <c r="I452" s="3"/>
      <c r="J452" s="3"/>
      <c r="K452" s="3"/>
      <c r="L452" s="3"/>
      <c r="M452" s="3"/>
      <c r="N452" s="3"/>
      <c r="O452" s="3" t="str">
        <f t="shared" si="1"/>
        <v/>
      </c>
      <c r="P452" s="3" t="str">
        <f t="shared" si="2"/>
        <v/>
      </c>
      <c r="Q452" s="3" t="str">
        <f t="shared" si="3"/>
        <v/>
      </c>
      <c r="R452" s="3" t="str">
        <f t="shared" si="4"/>
        <v/>
      </c>
      <c r="S452" s="3"/>
      <c r="T452" s="3"/>
      <c r="U452" s="3"/>
      <c r="V452" s="3"/>
      <c r="W452" s="3"/>
      <c r="X452" s="3"/>
      <c r="Y452" s="3"/>
      <c r="Z452" s="3"/>
    </row>
    <row r="453" ht="15.75" hidden="1" customHeight="1">
      <c r="A453" s="4" t="s">
        <v>547</v>
      </c>
      <c r="B453" s="5" t="s">
        <v>29</v>
      </c>
      <c r="C453" s="5" t="s">
        <v>169</v>
      </c>
      <c r="D453" s="5" t="s">
        <v>170</v>
      </c>
      <c r="E453" s="6">
        <v>6000.0</v>
      </c>
      <c r="F453" s="3"/>
      <c r="G453" s="3"/>
      <c r="H453" s="3"/>
      <c r="I453" s="3"/>
      <c r="J453" s="3"/>
      <c r="K453" s="3"/>
      <c r="L453" s="3"/>
      <c r="M453" s="3"/>
      <c r="N453" s="3"/>
      <c r="O453" s="3" t="str">
        <f t="shared" si="1"/>
        <v/>
      </c>
      <c r="P453" s="3" t="str">
        <f t="shared" si="2"/>
        <v/>
      </c>
      <c r="Q453" s="3" t="str">
        <f t="shared" si="3"/>
        <v/>
      </c>
      <c r="R453" s="3" t="str">
        <f t="shared" si="4"/>
        <v/>
      </c>
      <c r="S453" s="3"/>
      <c r="T453" s="3"/>
      <c r="U453" s="3"/>
      <c r="V453" s="3"/>
      <c r="W453" s="3"/>
      <c r="X453" s="3"/>
      <c r="Y453" s="3"/>
      <c r="Z453" s="3"/>
    </row>
    <row r="454" ht="15.75" hidden="1" customHeight="1">
      <c r="A454" s="4" t="s">
        <v>548</v>
      </c>
      <c r="B454" s="5" t="s">
        <v>24</v>
      </c>
      <c r="C454" s="5" t="s">
        <v>105</v>
      </c>
      <c r="D454" s="5" t="s">
        <v>170</v>
      </c>
      <c r="E454" s="6">
        <v>5910.0</v>
      </c>
      <c r="F454" s="3"/>
      <c r="G454" s="3"/>
      <c r="H454" s="3"/>
      <c r="I454" s="3"/>
      <c r="J454" s="3"/>
      <c r="K454" s="3"/>
      <c r="L454" s="3"/>
      <c r="M454" s="3"/>
      <c r="N454" s="3"/>
      <c r="O454" s="3" t="str">
        <f t="shared" si="1"/>
        <v/>
      </c>
      <c r="P454" s="3" t="str">
        <f t="shared" si="2"/>
        <v/>
      </c>
      <c r="Q454" s="3" t="str">
        <f t="shared" si="3"/>
        <v/>
      </c>
      <c r="R454" s="3" t="str">
        <f t="shared" si="4"/>
        <v/>
      </c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15"/>
      <c r="B455" s="5"/>
      <c r="C455" s="5"/>
      <c r="D455" s="5"/>
      <c r="E455" s="6"/>
      <c r="F455" s="3"/>
      <c r="G455" s="3"/>
      <c r="H455" s="3"/>
      <c r="I455" s="3"/>
      <c r="J455" s="3"/>
      <c r="K455" s="3"/>
      <c r="L455" s="3"/>
      <c r="M455" s="3"/>
      <c r="N455" s="3"/>
      <c r="O455" s="3" t="str">
        <f t="shared" si="1"/>
        <v/>
      </c>
      <c r="P455" s="3" t="str">
        <f t="shared" si="2"/>
        <v/>
      </c>
      <c r="Q455" s="3" t="str">
        <f t="shared" si="3"/>
        <v/>
      </c>
      <c r="R455" s="3" t="str">
        <f t="shared" si="4"/>
        <v/>
      </c>
      <c r="S455" s="3"/>
      <c r="T455" s="3"/>
      <c r="U455" s="3"/>
      <c r="V455" s="3"/>
      <c r="W455" s="3"/>
      <c r="X455" s="3"/>
      <c r="Y455" s="3"/>
      <c r="Z455" s="3"/>
    </row>
    <row r="456" ht="15.75" hidden="1" customHeight="1">
      <c r="A456" s="4" t="s">
        <v>549</v>
      </c>
      <c r="B456" s="5" t="s">
        <v>24</v>
      </c>
      <c r="C456" s="5" t="s">
        <v>105</v>
      </c>
      <c r="D456" s="5" t="s">
        <v>170</v>
      </c>
      <c r="E456" s="6">
        <v>5790.0</v>
      </c>
      <c r="F456" s="3"/>
      <c r="G456" s="3"/>
      <c r="H456" s="3"/>
      <c r="I456" s="3"/>
      <c r="J456" s="3"/>
      <c r="K456" s="3"/>
      <c r="L456" s="3"/>
      <c r="M456" s="3"/>
      <c r="N456" s="3"/>
      <c r="O456" s="3" t="str">
        <f t="shared" si="1"/>
        <v/>
      </c>
      <c r="P456" s="3" t="str">
        <f t="shared" si="2"/>
        <v/>
      </c>
      <c r="Q456" s="3" t="str">
        <f t="shared" si="3"/>
        <v/>
      </c>
      <c r="R456" s="3" t="str">
        <f t="shared" si="4"/>
        <v/>
      </c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15"/>
      <c r="B457" s="5"/>
      <c r="C457" s="5"/>
      <c r="D457" s="5"/>
      <c r="E457" s="6"/>
      <c r="F457" s="3"/>
      <c r="G457" s="3"/>
      <c r="H457" s="3"/>
      <c r="I457" s="3"/>
      <c r="J457" s="3"/>
      <c r="K457" s="3"/>
      <c r="L457" s="3"/>
      <c r="M457" s="3"/>
      <c r="N457" s="3"/>
      <c r="O457" s="3" t="str">
        <f t="shared" si="1"/>
        <v/>
      </c>
      <c r="P457" s="3" t="str">
        <f t="shared" si="2"/>
        <v/>
      </c>
      <c r="Q457" s="3" t="str">
        <f t="shared" si="3"/>
        <v/>
      </c>
      <c r="R457" s="3" t="str">
        <f t="shared" si="4"/>
        <v/>
      </c>
      <c r="S457" s="3"/>
      <c r="T457" s="3"/>
      <c r="U457" s="3"/>
      <c r="V457" s="3"/>
      <c r="W457" s="3"/>
      <c r="X457" s="3"/>
      <c r="Y457" s="3"/>
      <c r="Z457" s="3"/>
    </row>
    <row r="458" ht="15.75" hidden="1" customHeight="1">
      <c r="A458" s="4" t="s">
        <v>550</v>
      </c>
      <c r="B458" s="5" t="s">
        <v>29</v>
      </c>
      <c r="C458" s="5" t="s">
        <v>169</v>
      </c>
      <c r="D458" s="5" t="s">
        <v>170</v>
      </c>
      <c r="E458" s="6">
        <v>5700.0</v>
      </c>
      <c r="F458" s="3"/>
      <c r="G458" s="3"/>
      <c r="H458" s="3"/>
      <c r="I458" s="3"/>
      <c r="J458" s="3"/>
      <c r="K458" s="3"/>
      <c r="L458" s="3"/>
      <c r="M458" s="3"/>
      <c r="N458" s="3"/>
      <c r="O458" s="3" t="str">
        <f t="shared" si="1"/>
        <v/>
      </c>
      <c r="P458" s="3" t="str">
        <f t="shared" si="2"/>
        <v/>
      </c>
      <c r="Q458" s="3" t="str">
        <f t="shared" si="3"/>
        <v/>
      </c>
      <c r="R458" s="3" t="str">
        <f t="shared" si="4"/>
        <v/>
      </c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15"/>
      <c r="B459" s="5"/>
      <c r="C459" s="5"/>
      <c r="D459" s="5"/>
      <c r="E459" s="6"/>
      <c r="F459" s="3"/>
      <c r="G459" s="3"/>
      <c r="H459" s="3"/>
      <c r="I459" s="3"/>
      <c r="J459" s="3"/>
      <c r="K459" s="3"/>
      <c r="L459" s="3"/>
      <c r="M459" s="3"/>
      <c r="N459" s="3"/>
      <c r="O459" s="3" t="str">
        <f t="shared" si="1"/>
        <v/>
      </c>
      <c r="P459" s="3" t="str">
        <f t="shared" si="2"/>
        <v/>
      </c>
      <c r="Q459" s="3" t="str">
        <f t="shared" si="3"/>
        <v/>
      </c>
      <c r="R459" s="3" t="str">
        <f t="shared" si="4"/>
        <v/>
      </c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15"/>
      <c r="B460" s="5"/>
      <c r="C460" s="5"/>
      <c r="D460" s="5"/>
      <c r="E460" s="6"/>
      <c r="F460" s="3"/>
      <c r="G460" s="3"/>
      <c r="H460" s="3"/>
      <c r="I460" s="3"/>
      <c r="J460" s="3"/>
      <c r="K460" s="3"/>
      <c r="L460" s="3"/>
      <c r="M460" s="3"/>
      <c r="N460" s="3"/>
      <c r="O460" s="3" t="str">
        <f t="shared" si="1"/>
        <v/>
      </c>
      <c r="P460" s="3" t="str">
        <f t="shared" si="2"/>
        <v/>
      </c>
      <c r="Q460" s="3" t="str">
        <f t="shared" si="3"/>
        <v/>
      </c>
      <c r="R460" s="3" t="str">
        <f t="shared" si="4"/>
        <v/>
      </c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15"/>
      <c r="B461" s="5"/>
      <c r="C461" s="5"/>
      <c r="D461" s="5"/>
      <c r="E461" s="6"/>
      <c r="F461" s="3"/>
      <c r="G461" s="3"/>
      <c r="H461" s="3"/>
      <c r="I461" s="3"/>
      <c r="J461" s="3"/>
      <c r="K461" s="3"/>
      <c r="L461" s="3"/>
      <c r="M461" s="3"/>
      <c r="N461" s="3"/>
      <c r="O461" s="3" t="str">
        <f t="shared" si="1"/>
        <v/>
      </c>
      <c r="P461" s="3" t="str">
        <f t="shared" si="2"/>
        <v/>
      </c>
      <c r="Q461" s="3" t="str">
        <f t="shared" si="3"/>
        <v/>
      </c>
      <c r="R461" s="3" t="str">
        <f t="shared" si="4"/>
        <v/>
      </c>
      <c r="S461" s="3"/>
      <c r="T461" s="3"/>
      <c r="U461" s="3"/>
      <c r="V461" s="3"/>
      <c r="W461" s="3"/>
      <c r="X461" s="3"/>
      <c r="Y461" s="3"/>
      <c r="Z461" s="3"/>
    </row>
    <row r="462" ht="15.75" hidden="1" customHeight="1">
      <c r="A462" s="4" t="s">
        <v>551</v>
      </c>
      <c r="B462" s="5" t="s">
        <v>29</v>
      </c>
      <c r="C462" s="5" t="s">
        <v>169</v>
      </c>
      <c r="D462" s="5" t="s">
        <v>170</v>
      </c>
      <c r="E462" s="6">
        <v>5300.0</v>
      </c>
      <c r="F462" s="3"/>
      <c r="G462" s="3"/>
      <c r="H462" s="3"/>
      <c r="I462" s="3"/>
      <c r="J462" s="3"/>
      <c r="K462" s="3"/>
      <c r="L462" s="3"/>
      <c r="M462" s="3"/>
      <c r="N462" s="3"/>
      <c r="O462" s="3" t="str">
        <f t="shared" si="1"/>
        <v/>
      </c>
      <c r="P462" s="3" t="str">
        <f t="shared" si="2"/>
        <v/>
      </c>
      <c r="Q462" s="3" t="str">
        <f t="shared" si="3"/>
        <v/>
      </c>
      <c r="R462" s="3" t="str">
        <f t="shared" si="4"/>
        <v/>
      </c>
      <c r="S462" s="3"/>
      <c r="T462" s="3"/>
      <c r="U462" s="3"/>
      <c r="V462" s="3"/>
      <c r="W462" s="3"/>
      <c r="X462" s="3"/>
      <c r="Y462" s="3"/>
      <c r="Z462" s="3"/>
    </row>
    <row r="463" ht="15.75" hidden="1" customHeight="1">
      <c r="A463" s="4" t="s">
        <v>552</v>
      </c>
      <c r="B463" s="5" t="s">
        <v>24</v>
      </c>
      <c r="C463" s="5" t="s">
        <v>105</v>
      </c>
      <c r="D463" s="5" t="s">
        <v>170</v>
      </c>
      <c r="E463" s="6">
        <v>5300.0</v>
      </c>
      <c r="F463" s="3"/>
      <c r="G463" s="3"/>
      <c r="H463" s="3"/>
      <c r="I463" s="3"/>
      <c r="J463" s="3"/>
      <c r="K463" s="3"/>
      <c r="L463" s="3"/>
      <c r="M463" s="3"/>
      <c r="N463" s="3"/>
      <c r="O463" s="3" t="str">
        <f t="shared" si="1"/>
        <v/>
      </c>
      <c r="P463" s="3" t="str">
        <f t="shared" si="2"/>
        <v/>
      </c>
      <c r="Q463" s="3" t="str">
        <f t="shared" si="3"/>
        <v/>
      </c>
      <c r="R463" s="3" t="str">
        <f t="shared" si="4"/>
        <v/>
      </c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15"/>
      <c r="B464" s="5"/>
      <c r="C464" s="5"/>
      <c r="D464" s="5"/>
      <c r="E464" s="6"/>
      <c r="F464" s="3"/>
      <c r="G464" s="3"/>
      <c r="H464" s="3"/>
      <c r="I464" s="3"/>
      <c r="J464" s="3"/>
      <c r="K464" s="3"/>
      <c r="L464" s="3"/>
      <c r="M464" s="3"/>
      <c r="N464" s="3"/>
      <c r="O464" s="3" t="str">
        <f t="shared" si="1"/>
        <v/>
      </c>
      <c r="P464" s="3" t="str">
        <f t="shared" si="2"/>
        <v/>
      </c>
      <c r="Q464" s="3" t="str">
        <f t="shared" si="3"/>
        <v/>
      </c>
      <c r="R464" s="3" t="str">
        <f t="shared" si="4"/>
        <v/>
      </c>
      <c r="S464" s="3"/>
      <c r="T464" s="3"/>
      <c r="U464" s="3"/>
      <c r="V464" s="3"/>
      <c r="W464" s="3"/>
      <c r="X464" s="3"/>
      <c r="Y464" s="3"/>
      <c r="Z464" s="3"/>
    </row>
    <row r="465" ht="15.75" hidden="1" customHeight="1">
      <c r="A465" s="4" t="s">
        <v>553</v>
      </c>
      <c r="B465" s="5" t="s">
        <v>24</v>
      </c>
      <c r="C465" s="5" t="s">
        <v>105</v>
      </c>
      <c r="D465" s="5" t="s">
        <v>170</v>
      </c>
      <c r="E465" s="6">
        <v>5180.0</v>
      </c>
      <c r="F465" s="3"/>
      <c r="G465" s="3"/>
      <c r="H465" s="3"/>
      <c r="I465" s="3"/>
      <c r="J465" s="3"/>
      <c r="K465" s="3"/>
      <c r="L465" s="3"/>
      <c r="M465" s="3"/>
      <c r="N465" s="3"/>
      <c r="O465" s="3" t="str">
        <f t="shared" si="1"/>
        <v/>
      </c>
      <c r="P465" s="3" t="str">
        <f t="shared" si="2"/>
        <v/>
      </c>
      <c r="Q465" s="3" t="str">
        <f t="shared" si="3"/>
        <v/>
      </c>
      <c r="R465" s="3" t="str">
        <f t="shared" si="4"/>
        <v/>
      </c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15"/>
      <c r="B466" s="5"/>
      <c r="C466" s="5"/>
      <c r="D466" s="5"/>
      <c r="E466" s="6"/>
      <c r="F466" s="3"/>
      <c r="G466" s="3"/>
      <c r="H466" s="3"/>
      <c r="I466" s="3"/>
      <c r="J466" s="3"/>
      <c r="K466" s="3"/>
      <c r="L466" s="3"/>
      <c r="M466" s="3"/>
      <c r="N466" s="3"/>
      <c r="O466" s="3" t="str">
        <f t="shared" si="1"/>
        <v/>
      </c>
      <c r="P466" s="3" t="str">
        <f t="shared" si="2"/>
        <v/>
      </c>
      <c r="Q466" s="3" t="str">
        <f t="shared" si="3"/>
        <v/>
      </c>
      <c r="R466" s="3" t="str">
        <f t="shared" si="4"/>
        <v/>
      </c>
      <c r="S466" s="3"/>
      <c r="T466" s="3"/>
      <c r="U466" s="3"/>
      <c r="V466" s="3"/>
      <c r="W466" s="3"/>
      <c r="X466" s="3"/>
      <c r="Y466" s="3"/>
      <c r="Z466" s="3"/>
    </row>
    <row r="467" ht="15.75" hidden="1" customHeight="1">
      <c r="A467" s="4" t="s">
        <v>554</v>
      </c>
      <c r="B467" s="5" t="s">
        <v>24</v>
      </c>
      <c r="C467" s="5" t="s">
        <v>105</v>
      </c>
      <c r="D467" s="5" t="s">
        <v>170</v>
      </c>
      <c r="E467" s="6">
        <v>5080.0</v>
      </c>
      <c r="F467" s="3"/>
      <c r="G467" s="3"/>
      <c r="H467" s="3"/>
      <c r="I467" s="3"/>
      <c r="J467" s="3"/>
      <c r="K467" s="3"/>
      <c r="L467" s="3"/>
      <c r="M467" s="3"/>
      <c r="N467" s="3"/>
      <c r="O467" s="3" t="str">
        <f t="shared" si="1"/>
        <v/>
      </c>
      <c r="P467" s="3" t="str">
        <f t="shared" si="2"/>
        <v/>
      </c>
      <c r="Q467" s="3" t="str">
        <f t="shared" si="3"/>
        <v/>
      </c>
      <c r="R467" s="3" t="str">
        <f t="shared" si="4"/>
        <v/>
      </c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15"/>
      <c r="B468" s="5"/>
      <c r="C468" s="5"/>
      <c r="D468" s="5"/>
      <c r="E468" s="6"/>
      <c r="F468" s="3"/>
      <c r="G468" s="3"/>
      <c r="H468" s="3"/>
      <c r="I468" s="3"/>
      <c r="J468" s="3"/>
      <c r="K468" s="3"/>
      <c r="L468" s="3"/>
      <c r="M468" s="3"/>
      <c r="N468" s="3"/>
      <c r="O468" s="3" t="str">
        <f t="shared" si="1"/>
        <v/>
      </c>
      <c r="P468" s="3" t="str">
        <f t="shared" si="2"/>
        <v/>
      </c>
      <c r="Q468" s="3" t="str">
        <f t="shared" si="3"/>
        <v/>
      </c>
      <c r="R468" s="3" t="str">
        <f t="shared" si="4"/>
        <v/>
      </c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15"/>
      <c r="B469" s="5"/>
      <c r="C469" s="5"/>
      <c r="D469" s="5"/>
      <c r="E469" s="6"/>
      <c r="F469" s="3"/>
      <c r="G469" s="3"/>
      <c r="H469" s="3"/>
      <c r="I469" s="3"/>
      <c r="J469" s="3"/>
      <c r="K469" s="3"/>
      <c r="L469" s="3"/>
      <c r="M469" s="3"/>
      <c r="N469" s="3"/>
      <c r="O469" s="3" t="str">
        <f t="shared" si="1"/>
        <v/>
      </c>
      <c r="P469" s="3" t="str">
        <f t="shared" si="2"/>
        <v/>
      </c>
      <c r="Q469" s="3" t="str">
        <f t="shared" si="3"/>
        <v/>
      </c>
      <c r="R469" s="3" t="str">
        <f t="shared" si="4"/>
        <v/>
      </c>
      <c r="S469" s="3"/>
      <c r="T469" s="3"/>
      <c r="U469" s="3"/>
      <c r="V469" s="3"/>
      <c r="W469" s="3"/>
      <c r="X469" s="3"/>
      <c r="Y469" s="3"/>
      <c r="Z469" s="3"/>
    </row>
    <row r="470" ht="15.75" hidden="1" customHeight="1">
      <c r="A470" s="4" t="s">
        <v>555</v>
      </c>
      <c r="B470" s="5" t="s">
        <v>24</v>
      </c>
      <c r="C470" s="5" t="s">
        <v>105</v>
      </c>
      <c r="D470" s="5" t="s">
        <v>170</v>
      </c>
      <c r="E470" s="6">
        <v>4880.0</v>
      </c>
      <c r="F470" s="3"/>
      <c r="G470" s="3"/>
      <c r="H470" s="3"/>
      <c r="I470" s="3"/>
      <c r="J470" s="3"/>
      <c r="K470" s="3"/>
      <c r="L470" s="3"/>
      <c r="M470" s="3"/>
      <c r="N470" s="3"/>
      <c r="O470" s="3" t="str">
        <f t="shared" si="1"/>
        <v/>
      </c>
      <c r="P470" s="3" t="str">
        <f t="shared" si="2"/>
        <v/>
      </c>
      <c r="Q470" s="3" t="str">
        <f t="shared" si="3"/>
        <v/>
      </c>
      <c r="R470" s="3" t="str">
        <f t="shared" si="4"/>
        <v/>
      </c>
      <c r="S470" s="3"/>
      <c r="T470" s="3"/>
      <c r="U470" s="3"/>
      <c r="V470" s="3"/>
      <c r="W470" s="3"/>
      <c r="X470" s="3"/>
      <c r="Y470" s="3"/>
      <c r="Z470" s="3"/>
    </row>
    <row r="471" ht="15.75" hidden="1" customHeight="1">
      <c r="A471" s="4" t="s">
        <v>556</v>
      </c>
      <c r="B471" s="5" t="s">
        <v>24</v>
      </c>
      <c r="C471" s="5" t="s">
        <v>105</v>
      </c>
      <c r="D471" s="5" t="s">
        <v>170</v>
      </c>
      <c r="E471" s="6">
        <v>4730.0</v>
      </c>
      <c r="F471" s="3"/>
      <c r="G471" s="3"/>
      <c r="H471" s="3"/>
      <c r="I471" s="3"/>
      <c r="J471" s="3"/>
      <c r="K471" s="3"/>
      <c r="L471" s="3"/>
      <c r="M471" s="3"/>
      <c r="N471" s="3"/>
      <c r="O471" s="3" t="str">
        <f t="shared" si="1"/>
        <v/>
      </c>
      <c r="P471" s="3" t="str">
        <f t="shared" si="2"/>
        <v/>
      </c>
      <c r="Q471" s="3" t="str">
        <f t="shared" si="3"/>
        <v/>
      </c>
      <c r="R471" s="3" t="str">
        <f t="shared" si="4"/>
        <v/>
      </c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15"/>
      <c r="B472" s="5"/>
      <c r="C472" s="5"/>
      <c r="D472" s="5"/>
      <c r="E472" s="6"/>
      <c r="F472" s="3"/>
      <c r="G472" s="3"/>
      <c r="H472" s="3"/>
      <c r="I472" s="3"/>
      <c r="J472" s="3"/>
      <c r="K472" s="3"/>
      <c r="L472" s="3"/>
      <c r="M472" s="3"/>
      <c r="N472" s="3"/>
      <c r="O472" s="3" t="str">
        <f t="shared" si="1"/>
        <v/>
      </c>
      <c r="P472" s="3" t="str">
        <f t="shared" si="2"/>
        <v/>
      </c>
      <c r="Q472" s="3" t="str">
        <f t="shared" si="3"/>
        <v/>
      </c>
      <c r="R472" s="3" t="str">
        <f t="shared" si="4"/>
        <v/>
      </c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15"/>
      <c r="B473" s="5"/>
      <c r="C473" s="5"/>
      <c r="D473" s="5"/>
      <c r="E473" s="6"/>
      <c r="F473" s="3"/>
      <c r="G473" s="3"/>
      <c r="H473" s="3"/>
      <c r="I473" s="3"/>
      <c r="J473" s="3"/>
      <c r="K473" s="3"/>
      <c r="L473" s="3"/>
      <c r="M473" s="3"/>
      <c r="N473" s="3"/>
      <c r="O473" s="3" t="str">
        <f t="shared" si="1"/>
        <v/>
      </c>
      <c r="P473" s="3" t="str">
        <f t="shared" si="2"/>
        <v/>
      </c>
      <c r="Q473" s="3" t="str">
        <f t="shared" si="3"/>
        <v/>
      </c>
      <c r="R473" s="3" t="str">
        <f t="shared" si="4"/>
        <v/>
      </c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15"/>
      <c r="B474" s="5"/>
      <c r="C474" s="5"/>
      <c r="D474" s="5"/>
      <c r="E474" s="6"/>
      <c r="F474" s="3"/>
      <c r="G474" s="3"/>
      <c r="H474" s="3"/>
      <c r="I474" s="3"/>
      <c r="J474" s="3"/>
      <c r="K474" s="3"/>
      <c r="L474" s="3"/>
      <c r="M474" s="3"/>
      <c r="N474" s="3"/>
      <c r="O474" s="3" t="str">
        <f t="shared" si="1"/>
        <v/>
      </c>
      <c r="P474" s="3" t="str">
        <f t="shared" si="2"/>
        <v/>
      </c>
      <c r="Q474" s="3" t="str">
        <f t="shared" si="3"/>
        <v/>
      </c>
      <c r="R474" s="3" t="str">
        <f t="shared" si="4"/>
        <v/>
      </c>
      <c r="S474" s="3"/>
      <c r="T474" s="3"/>
      <c r="U474" s="3"/>
      <c r="V474" s="3"/>
      <c r="W474" s="3"/>
      <c r="X474" s="3"/>
      <c r="Y474" s="3"/>
      <c r="Z474" s="3"/>
    </row>
    <row r="475" ht="15.75" hidden="1" customHeight="1">
      <c r="A475" s="4" t="s">
        <v>557</v>
      </c>
      <c r="B475" s="5" t="s">
        <v>24</v>
      </c>
      <c r="C475" s="5" t="s">
        <v>105</v>
      </c>
      <c r="D475" s="5" t="s">
        <v>170</v>
      </c>
      <c r="E475" s="6">
        <v>4510.0</v>
      </c>
      <c r="F475" s="3"/>
      <c r="G475" s="3"/>
      <c r="H475" s="3"/>
      <c r="I475" s="3"/>
      <c r="J475" s="3"/>
      <c r="K475" s="3"/>
      <c r="L475" s="3"/>
      <c r="M475" s="3"/>
      <c r="N475" s="3"/>
      <c r="O475" s="3" t="str">
        <f t="shared" si="1"/>
        <v/>
      </c>
      <c r="P475" s="3" t="str">
        <f t="shared" si="2"/>
        <v/>
      </c>
      <c r="Q475" s="3" t="str">
        <f t="shared" si="3"/>
        <v/>
      </c>
      <c r="R475" s="3" t="str">
        <f t="shared" si="4"/>
        <v/>
      </c>
      <c r="S475" s="3"/>
      <c r="T475" s="3"/>
      <c r="U475" s="3"/>
      <c r="V475" s="3"/>
      <c r="W475" s="3"/>
      <c r="X475" s="3"/>
      <c r="Y475" s="3"/>
      <c r="Z475" s="3"/>
    </row>
    <row r="476" ht="15.75" hidden="1" customHeight="1">
      <c r="A476" s="4" t="s">
        <v>558</v>
      </c>
      <c r="B476" s="5" t="s">
        <v>24</v>
      </c>
      <c r="C476" s="5" t="s">
        <v>105</v>
      </c>
      <c r="D476" s="5" t="s">
        <v>170</v>
      </c>
      <c r="E476" s="6">
        <v>4500.0</v>
      </c>
      <c r="F476" s="3"/>
      <c r="G476" s="3"/>
      <c r="H476" s="3"/>
      <c r="I476" s="3"/>
      <c r="J476" s="3"/>
      <c r="K476" s="3"/>
      <c r="L476" s="3"/>
      <c r="M476" s="3"/>
      <c r="N476" s="3"/>
      <c r="O476" s="3" t="str">
        <f t="shared" si="1"/>
        <v/>
      </c>
      <c r="P476" s="3" t="str">
        <f t="shared" si="2"/>
        <v/>
      </c>
      <c r="Q476" s="3" t="str">
        <f t="shared" si="3"/>
        <v/>
      </c>
      <c r="R476" s="3" t="str">
        <f t="shared" si="4"/>
        <v/>
      </c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15"/>
      <c r="B477" s="5"/>
      <c r="C477" s="5"/>
      <c r="D477" s="5"/>
      <c r="E477" s="6"/>
      <c r="F477" s="3"/>
      <c r="G477" s="3"/>
      <c r="H477" s="3"/>
      <c r="I477" s="3"/>
      <c r="J477" s="3"/>
      <c r="K477" s="3"/>
      <c r="L477" s="3"/>
      <c r="M477" s="3"/>
      <c r="N477" s="3"/>
      <c r="O477" s="3" t="str">
        <f t="shared" si="1"/>
        <v/>
      </c>
      <c r="P477" s="3" t="str">
        <f t="shared" si="2"/>
        <v/>
      </c>
      <c r="Q477" s="3" t="str">
        <f t="shared" si="3"/>
        <v/>
      </c>
      <c r="R477" s="3" t="str">
        <f t="shared" si="4"/>
        <v/>
      </c>
      <c r="S477" s="3"/>
      <c r="T477" s="3"/>
      <c r="U477" s="3"/>
      <c r="V477" s="3"/>
      <c r="W477" s="3"/>
      <c r="X477" s="3"/>
      <c r="Y477" s="3"/>
      <c r="Z477" s="3"/>
    </row>
    <row r="478" ht="15.75" hidden="1" customHeight="1">
      <c r="A478" s="4" t="s">
        <v>559</v>
      </c>
      <c r="B478" s="5" t="s">
        <v>29</v>
      </c>
      <c r="C478" s="5" t="s">
        <v>169</v>
      </c>
      <c r="D478" s="5" t="s">
        <v>170</v>
      </c>
      <c r="E478" s="6">
        <v>4400.0</v>
      </c>
      <c r="F478" s="3"/>
      <c r="G478" s="3"/>
      <c r="H478" s="3"/>
      <c r="I478" s="3"/>
      <c r="J478" s="3"/>
      <c r="K478" s="3"/>
      <c r="L478" s="3"/>
      <c r="M478" s="3"/>
      <c r="N478" s="3"/>
      <c r="O478" s="3" t="str">
        <f t="shared" si="1"/>
        <v/>
      </c>
      <c r="P478" s="3" t="str">
        <f t="shared" si="2"/>
        <v/>
      </c>
      <c r="Q478" s="3" t="str">
        <f t="shared" si="3"/>
        <v/>
      </c>
      <c r="R478" s="3" t="str">
        <f t="shared" si="4"/>
        <v/>
      </c>
      <c r="S478" s="3"/>
      <c r="T478" s="3"/>
      <c r="U478" s="3"/>
      <c r="V478" s="3"/>
      <c r="W478" s="3"/>
      <c r="X478" s="3"/>
      <c r="Y478" s="3"/>
      <c r="Z478" s="3"/>
    </row>
    <row r="479" ht="15.75" hidden="1" customHeight="1">
      <c r="A479" s="4" t="s">
        <v>560</v>
      </c>
      <c r="B479" s="5" t="s">
        <v>24</v>
      </c>
      <c r="C479" s="5" t="s">
        <v>105</v>
      </c>
      <c r="D479" s="5" t="s">
        <v>170</v>
      </c>
      <c r="E479" s="6">
        <v>4340.0</v>
      </c>
      <c r="F479" s="3"/>
      <c r="G479" s="3"/>
      <c r="H479" s="3"/>
      <c r="I479" s="3"/>
      <c r="J479" s="3"/>
      <c r="K479" s="3"/>
      <c r="L479" s="3"/>
      <c r="M479" s="3"/>
      <c r="N479" s="3"/>
      <c r="O479" s="3" t="str">
        <f t="shared" si="1"/>
        <v/>
      </c>
      <c r="P479" s="3" t="str">
        <f t="shared" si="2"/>
        <v/>
      </c>
      <c r="Q479" s="3" t="str">
        <f t="shared" si="3"/>
        <v/>
      </c>
      <c r="R479" s="3" t="str">
        <f t="shared" si="4"/>
        <v/>
      </c>
      <c r="S479" s="3"/>
      <c r="T479" s="3"/>
      <c r="U479" s="3"/>
      <c r="V479" s="3"/>
      <c r="W479" s="3"/>
      <c r="X479" s="3"/>
      <c r="Y479" s="3"/>
      <c r="Z479" s="3"/>
    </row>
    <row r="480" ht="15.75" hidden="1" customHeight="1">
      <c r="A480" s="4" t="s">
        <v>561</v>
      </c>
      <c r="B480" s="5" t="s">
        <v>24</v>
      </c>
      <c r="C480" s="5" t="s">
        <v>105</v>
      </c>
      <c r="D480" s="5" t="s">
        <v>170</v>
      </c>
      <c r="E480" s="6">
        <v>4310.0</v>
      </c>
      <c r="F480" s="3"/>
      <c r="G480" s="3"/>
      <c r="H480" s="3"/>
      <c r="I480" s="3"/>
      <c r="J480" s="3"/>
      <c r="K480" s="3"/>
      <c r="L480" s="3"/>
      <c r="M480" s="3"/>
      <c r="N480" s="3"/>
      <c r="O480" s="3" t="str">
        <f t="shared" si="1"/>
        <v/>
      </c>
      <c r="P480" s="3" t="str">
        <f t="shared" si="2"/>
        <v/>
      </c>
      <c r="Q480" s="3" t="str">
        <f t="shared" si="3"/>
        <v/>
      </c>
      <c r="R480" s="3" t="str">
        <f t="shared" si="4"/>
        <v/>
      </c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15"/>
      <c r="B481" s="5"/>
      <c r="C481" s="5"/>
      <c r="D481" s="5"/>
      <c r="E481" s="6"/>
      <c r="F481" s="3"/>
      <c r="G481" s="3"/>
      <c r="H481" s="3"/>
      <c r="I481" s="3"/>
      <c r="J481" s="3"/>
      <c r="K481" s="3"/>
      <c r="L481" s="3"/>
      <c r="M481" s="3"/>
      <c r="N481" s="3"/>
      <c r="O481" s="3" t="str">
        <f t="shared" si="1"/>
        <v/>
      </c>
      <c r="P481" s="3" t="str">
        <f t="shared" si="2"/>
        <v/>
      </c>
      <c r="Q481" s="3" t="str">
        <f t="shared" si="3"/>
        <v/>
      </c>
      <c r="R481" s="3" t="str">
        <f t="shared" si="4"/>
        <v/>
      </c>
      <c r="S481" s="3"/>
      <c r="T481" s="3"/>
      <c r="U481" s="3"/>
      <c r="V481" s="3"/>
      <c r="W481" s="3"/>
      <c r="X481" s="3"/>
      <c r="Y481" s="3"/>
      <c r="Z481" s="3"/>
    </row>
    <row r="482" ht="15.75" hidden="1" customHeight="1">
      <c r="A482" s="4" t="s">
        <v>562</v>
      </c>
      <c r="B482" s="5" t="s">
        <v>24</v>
      </c>
      <c r="C482" s="5" t="s">
        <v>105</v>
      </c>
      <c r="D482" s="5" t="s">
        <v>170</v>
      </c>
      <c r="E482" s="6">
        <v>4050.0</v>
      </c>
      <c r="F482" s="3"/>
      <c r="G482" s="3"/>
      <c r="H482" s="3"/>
      <c r="I482" s="3"/>
      <c r="J482" s="3"/>
      <c r="K482" s="3"/>
      <c r="L482" s="3"/>
      <c r="M482" s="3"/>
      <c r="N482" s="3"/>
      <c r="O482" s="3" t="str">
        <f t="shared" si="1"/>
        <v/>
      </c>
      <c r="P482" s="3" t="str">
        <f t="shared" si="2"/>
        <v/>
      </c>
      <c r="Q482" s="3" t="str">
        <f t="shared" si="3"/>
        <v/>
      </c>
      <c r="R482" s="3" t="str">
        <f t="shared" si="4"/>
        <v/>
      </c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15"/>
      <c r="B483" s="5"/>
      <c r="C483" s="5"/>
      <c r="D483" s="5"/>
      <c r="E483" s="6"/>
      <c r="F483" s="3"/>
      <c r="G483" s="3"/>
      <c r="H483" s="3"/>
      <c r="I483" s="3"/>
      <c r="J483" s="3"/>
      <c r="K483" s="3"/>
      <c r="L483" s="3"/>
      <c r="M483" s="3"/>
      <c r="N483" s="3"/>
      <c r="O483" s="3" t="str">
        <f t="shared" si="1"/>
        <v/>
      </c>
      <c r="P483" s="3" t="str">
        <f t="shared" si="2"/>
        <v/>
      </c>
      <c r="Q483" s="3" t="str">
        <f t="shared" si="3"/>
        <v/>
      </c>
      <c r="R483" s="3" t="str">
        <f t="shared" si="4"/>
        <v/>
      </c>
      <c r="S483" s="3"/>
      <c r="T483" s="3"/>
      <c r="U483" s="3"/>
      <c r="V483" s="3"/>
      <c r="W483" s="3"/>
      <c r="X483" s="3"/>
      <c r="Y483" s="3"/>
      <c r="Z483" s="3"/>
    </row>
    <row r="484" ht="15.75" hidden="1" customHeight="1">
      <c r="A484" s="4" t="s">
        <v>563</v>
      </c>
      <c r="B484" s="5" t="s">
        <v>29</v>
      </c>
      <c r="C484" s="5" t="s">
        <v>169</v>
      </c>
      <c r="D484" s="5" t="s">
        <v>170</v>
      </c>
      <c r="E484" s="6">
        <v>4000.0</v>
      </c>
      <c r="F484" s="3"/>
      <c r="G484" s="3"/>
      <c r="H484" s="3"/>
      <c r="I484" s="3"/>
      <c r="J484" s="3"/>
      <c r="K484" s="3"/>
      <c r="L484" s="3"/>
      <c r="M484" s="3"/>
      <c r="N484" s="3"/>
      <c r="O484" s="3" t="str">
        <f t="shared" si="1"/>
        <v/>
      </c>
      <c r="P484" s="3" t="str">
        <f t="shared" si="2"/>
        <v/>
      </c>
      <c r="Q484" s="3" t="str">
        <f t="shared" si="3"/>
        <v/>
      </c>
      <c r="R484" s="3" t="str">
        <f t="shared" si="4"/>
        <v/>
      </c>
      <c r="S484" s="3"/>
      <c r="T484" s="3"/>
      <c r="U484" s="3"/>
      <c r="V484" s="3"/>
      <c r="W484" s="3"/>
      <c r="X484" s="3"/>
      <c r="Y484" s="3"/>
      <c r="Z484" s="3"/>
    </row>
    <row r="485" ht="15.75" hidden="1" customHeight="1">
      <c r="A485" s="4" t="s">
        <v>564</v>
      </c>
      <c r="B485" s="5" t="s">
        <v>24</v>
      </c>
      <c r="C485" s="5" t="s">
        <v>105</v>
      </c>
      <c r="D485" s="5" t="s">
        <v>170</v>
      </c>
      <c r="E485" s="6">
        <v>4000.0</v>
      </c>
      <c r="F485" s="3"/>
      <c r="G485" s="3"/>
      <c r="H485" s="3"/>
      <c r="I485" s="3"/>
      <c r="J485" s="3"/>
      <c r="K485" s="3"/>
      <c r="L485" s="3"/>
      <c r="M485" s="3"/>
      <c r="N485" s="3"/>
      <c r="O485" s="3" t="str">
        <f t="shared" si="1"/>
        <v/>
      </c>
      <c r="P485" s="3" t="str">
        <f t="shared" si="2"/>
        <v/>
      </c>
      <c r="Q485" s="3" t="str">
        <f t="shared" si="3"/>
        <v/>
      </c>
      <c r="R485" s="3" t="str">
        <f t="shared" si="4"/>
        <v/>
      </c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15"/>
      <c r="B486" s="5"/>
      <c r="C486" s="5"/>
      <c r="D486" s="5"/>
      <c r="E486" s="6"/>
      <c r="F486" s="3"/>
      <c r="G486" s="3"/>
      <c r="H486" s="3"/>
      <c r="I486" s="3"/>
      <c r="J486" s="3"/>
      <c r="K486" s="3"/>
      <c r="L486" s="3"/>
      <c r="M486" s="3"/>
      <c r="N486" s="3"/>
      <c r="O486" s="3" t="str">
        <f t="shared" si="1"/>
        <v/>
      </c>
      <c r="P486" s="3" t="str">
        <f t="shared" si="2"/>
        <v/>
      </c>
      <c r="Q486" s="3" t="str">
        <f t="shared" si="3"/>
        <v/>
      </c>
      <c r="R486" s="3" t="str">
        <f t="shared" si="4"/>
        <v/>
      </c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15"/>
      <c r="B487" s="5"/>
      <c r="C487" s="5"/>
      <c r="D487" s="5"/>
      <c r="E487" s="6"/>
      <c r="F487" s="3"/>
      <c r="G487" s="3"/>
      <c r="H487" s="3"/>
      <c r="I487" s="3"/>
      <c r="J487" s="3"/>
      <c r="K487" s="3"/>
      <c r="L487" s="3"/>
      <c r="M487" s="3"/>
      <c r="N487" s="3"/>
      <c r="O487" s="3" t="str">
        <f t="shared" si="1"/>
        <v/>
      </c>
      <c r="P487" s="3" t="str">
        <f t="shared" si="2"/>
        <v/>
      </c>
      <c r="Q487" s="3" t="str">
        <f t="shared" si="3"/>
        <v/>
      </c>
      <c r="R487" s="3" t="str">
        <f t="shared" si="4"/>
        <v/>
      </c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15"/>
      <c r="B488" s="5"/>
      <c r="C488" s="5"/>
      <c r="D488" s="5"/>
      <c r="E488" s="6"/>
      <c r="F488" s="3"/>
      <c r="G488" s="3"/>
      <c r="H488" s="3"/>
      <c r="I488" s="3"/>
      <c r="J488" s="3"/>
      <c r="K488" s="3"/>
      <c r="L488" s="3"/>
      <c r="M488" s="3"/>
      <c r="N488" s="3"/>
      <c r="O488" s="3" t="str">
        <f t="shared" si="1"/>
        <v/>
      </c>
      <c r="P488" s="3" t="str">
        <f t="shared" si="2"/>
        <v/>
      </c>
      <c r="Q488" s="3" t="str">
        <f t="shared" si="3"/>
        <v/>
      </c>
      <c r="R488" s="3" t="str">
        <f t="shared" si="4"/>
        <v/>
      </c>
      <c r="S488" s="3"/>
      <c r="T488" s="3"/>
      <c r="U488" s="3"/>
      <c r="V488" s="3"/>
      <c r="W488" s="3"/>
      <c r="X488" s="3"/>
      <c r="Y488" s="3"/>
      <c r="Z488" s="3"/>
    </row>
    <row r="489" ht="15.75" hidden="1" customHeight="1">
      <c r="A489" s="4" t="s">
        <v>565</v>
      </c>
      <c r="B489" s="5" t="s">
        <v>29</v>
      </c>
      <c r="C489" s="5" t="s">
        <v>169</v>
      </c>
      <c r="D489" s="5" t="s">
        <v>170</v>
      </c>
      <c r="E489" s="6">
        <v>3700.0</v>
      </c>
      <c r="F489" s="3"/>
      <c r="G489" s="3"/>
      <c r="H489" s="3"/>
      <c r="I489" s="3"/>
      <c r="J489" s="3"/>
      <c r="K489" s="3"/>
      <c r="L489" s="3"/>
      <c r="M489" s="3"/>
      <c r="N489" s="3"/>
      <c r="O489" s="3" t="str">
        <f t="shared" si="1"/>
        <v/>
      </c>
      <c r="P489" s="3" t="str">
        <f t="shared" si="2"/>
        <v/>
      </c>
      <c r="Q489" s="3" t="str">
        <f t="shared" si="3"/>
        <v/>
      </c>
      <c r="R489" s="3" t="str">
        <f t="shared" si="4"/>
        <v/>
      </c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15"/>
      <c r="B490" s="5"/>
      <c r="C490" s="5"/>
      <c r="D490" s="5"/>
      <c r="E490" s="6"/>
      <c r="F490" s="3"/>
      <c r="G490" s="3"/>
      <c r="H490" s="3"/>
      <c r="I490" s="3"/>
      <c r="J490" s="3"/>
      <c r="K490" s="3"/>
      <c r="L490" s="3"/>
      <c r="M490" s="3"/>
      <c r="N490" s="3"/>
      <c r="O490" s="3" t="str">
        <f t="shared" si="1"/>
        <v/>
      </c>
      <c r="P490" s="3" t="str">
        <f t="shared" si="2"/>
        <v/>
      </c>
      <c r="Q490" s="3" t="str">
        <f t="shared" si="3"/>
        <v/>
      </c>
      <c r="R490" s="3" t="str">
        <f t="shared" si="4"/>
        <v/>
      </c>
      <c r="S490" s="3"/>
      <c r="T490" s="3"/>
      <c r="U490" s="3"/>
      <c r="V490" s="3"/>
      <c r="W490" s="3"/>
      <c r="X490" s="3"/>
      <c r="Y490" s="3"/>
      <c r="Z490" s="3"/>
    </row>
    <row r="491" ht="15.75" hidden="1" customHeight="1">
      <c r="A491" s="4" t="s">
        <v>566</v>
      </c>
      <c r="B491" s="5" t="s">
        <v>24</v>
      </c>
      <c r="C491" s="5" t="s">
        <v>105</v>
      </c>
      <c r="D491" s="5" t="s">
        <v>170</v>
      </c>
      <c r="E491" s="6">
        <v>3690.0</v>
      </c>
      <c r="F491" s="3"/>
      <c r="G491" s="3"/>
      <c r="H491" s="3"/>
      <c r="I491" s="3"/>
      <c r="J491" s="3"/>
      <c r="K491" s="3"/>
      <c r="L491" s="3"/>
      <c r="M491" s="3"/>
      <c r="N491" s="3"/>
      <c r="O491" s="3" t="str">
        <f t="shared" si="1"/>
        <v/>
      </c>
      <c r="P491" s="3" t="str">
        <f t="shared" si="2"/>
        <v/>
      </c>
      <c r="Q491" s="3" t="str">
        <f t="shared" si="3"/>
        <v/>
      </c>
      <c r="R491" s="3" t="str">
        <f t="shared" si="4"/>
        <v/>
      </c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15"/>
      <c r="B492" s="5"/>
      <c r="C492" s="5"/>
      <c r="D492" s="5"/>
      <c r="E492" s="6"/>
      <c r="F492" s="3"/>
      <c r="G492" s="3"/>
      <c r="H492" s="3"/>
      <c r="I492" s="3"/>
      <c r="J492" s="3"/>
      <c r="K492" s="3"/>
      <c r="L492" s="3"/>
      <c r="M492" s="3"/>
      <c r="N492" s="3"/>
      <c r="O492" s="3" t="str">
        <f t="shared" si="1"/>
        <v/>
      </c>
      <c r="P492" s="3" t="str">
        <f t="shared" si="2"/>
        <v/>
      </c>
      <c r="Q492" s="3" t="str">
        <f t="shared" si="3"/>
        <v/>
      </c>
      <c r="R492" s="3" t="str">
        <f t="shared" si="4"/>
        <v/>
      </c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15"/>
      <c r="B493" s="5"/>
      <c r="C493" s="5"/>
      <c r="D493" s="5"/>
      <c r="E493" s="6"/>
      <c r="F493" s="3"/>
      <c r="G493" s="3"/>
      <c r="H493" s="3"/>
      <c r="I493" s="3"/>
      <c r="J493" s="3"/>
      <c r="K493" s="3"/>
      <c r="L493" s="3"/>
      <c r="M493" s="3"/>
      <c r="N493" s="3"/>
      <c r="O493" s="3" t="str">
        <f t="shared" si="1"/>
        <v/>
      </c>
      <c r="P493" s="3" t="str">
        <f t="shared" si="2"/>
        <v/>
      </c>
      <c r="Q493" s="3" t="str">
        <f t="shared" si="3"/>
        <v/>
      </c>
      <c r="R493" s="3" t="str">
        <f t="shared" si="4"/>
        <v/>
      </c>
      <c r="S493" s="3"/>
      <c r="T493" s="3"/>
      <c r="U493" s="3"/>
      <c r="V493" s="3"/>
      <c r="W493" s="3"/>
      <c r="X493" s="3"/>
      <c r="Y493" s="3"/>
      <c r="Z493" s="3"/>
    </row>
    <row r="494" ht="15.75" hidden="1" customHeight="1">
      <c r="A494" s="4" t="s">
        <v>567</v>
      </c>
      <c r="B494" s="5" t="s">
        <v>24</v>
      </c>
      <c r="C494" s="5" t="s">
        <v>105</v>
      </c>
      <c r="D494" s="5" t="s">
        <v>170</v>
      </c>
      <c r="E494" s="6">
        <v>3570.0</v>
      </c>
      <c r="F494" s="3"/>
      <c r="G494" s="3"/>
      <c r="H494" s="3"/>
      <c r="I494" s="3"/>
      <c r="J494" s="3"/>
      <c r="K494" s="3"/>
      <c r="L494" s="3"/>
      <c r="M494" s="3"/>
      <c r="N494" s="3"/>
      <c r="O494" s="3" t="str">
        <f t="shared" si="1"/>
        <v/>
      </c>
      <c r="P494" s="3" t="str">
        <f t="shared" si="2"/>
        <v/>
      </c>
      <c r="Q494" s="3" t="str">
        <f t="shared" si="3"/>
        <v/>
      </c>
      <c r="R494" s="3" t="str">
        <f t="shared" si="4"/>
        <v/>
      </c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15"/>
      <c r="B495" s="5"/>
      <c r="C495" s="5"/>
      <c r="D495" s="5"/>
      <c r="E495" s="6"/>
      <c r="F495" s="3"/>
      <c r="G495" s="3"/>
      <c r="H495" s="3"/>
      <c r="I495" s="3"/>
      <c r="J495" s="3"/>
      <c r="K495" s="3"/>
      <c r="L495" s="3"/>
      <c r="M495" s="3"/>
      <c r="N495" s="3"/>
      <c r="O495" s="3" t="str">
        <f t="shared" si="1"/>
        <v/>
      </c>
      <c r="P495" s="3" t="str">
        <f t="shared" si="2"/>
        <v/>
      </c>
      <c r="Q495" s="3" t="str">
        <f t="shared" si="3"/>
        <v/>
      </c>
      <c r="R495" s="3" t="str">
        <f t="shared" si="4"/>
        <v/>
      </c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15"/>
      <c r="B496" s="5"/>
      <c r="C496" s="5"/>
      <c r="D496" s="5"/>
      <c r="E496" s="6"/>
      <c r="F496" s="3"/>
      <c r="G496" s="3"/>
      <c r="H496" s="3"/>
      <c r="I496" s="3"/>
      <c r="J496" s="3"/>
      <c r="K496" s="3"/>
      <c r="L496" s="3"/>
      <c r="M496" s="3"/>
      <c r="N496" s="3"/>
      <c r="O496" s="3" t="str">
        <f t="shared" si="1"/>
        <v/>
      </c>
      <c r="P496" s="3" t="str">
        <f t="shared" si="2"/>
        <v/>
      </c>
      <c r="Q496" s="3" t="str">
        <f t="shared" si="3"/>
        <v/>
      </c>
      <c r="R496" s="3" t="str">
        <f t="shared" si="4"/>
        <v/>
      </c>
      <c r="S496" s="3"/>
      <c r="T496" s="3"/>
      <c r="U496" s="3"/>
      <c r="V496" s="3"/>
      <c r="W496" s="3"/>
      <c r="X496" s="3"/>
      <c r="Y496" s="3"/>
      <c r="Z496" s="3"/>
    </row>
    <row r="497" ht="15.75" hidden="1" customHeight="1">
      <c r="A497" s="4" t="s">
        <v>568</v>
      </c>
      <c r="B497" s="5" t="s">
        <v>24</v>
      </c>
      <c r="C497" s="5" t="s">
        <v>105</v>
      </c>
      <c r="D497" s="5" t="s">
        <v>170</v>
      </c>
      <c r="E497" s="6">
        <v>3530.0</v>
      </c>
      <c r="F497" s="3"/>
      <c r="G497" s="3"/>
      <c r="H497" s="3"/>
      <c r="I497" s="3"/>
      <c r="J497" s="3"/>
      <c r="K497" s="3"/>
      <c r="L497" s="3"/>
      <c r="M497" s="3"/>
      <c r="N497" s="3"/>
      <c r="O497" s="3" t="str">
        <f t="shared" si="1"/>
        <v/>
      </c>
      <c r="P497" s="3" t="str">
        <f t="shared" si="2"/>
        <v/>
      </c>
      <c r="Q497" s="3" t="str">
        <f t="shared" si="3"/>
        <v/>
      </c>
      <c r="R497" s="3" t="str">
        <f t="shared" si="4"/>
        <v/>
      </c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15"/>
      <c r="B498" s="5"/>
      <c r="C498" s="5"/>
      <c r="D498" s="5"/>
      <c r="E498" s="6"/>
      <c r="F498" s="3"/>
      <c r="G498" s="3"/>
      <c r="H498" s="3"/>
      <c r="I498" s="3"/>
      <c r="J498" s="3"/>
      <c r="K498" s="3"/>
      <c r="L498" s="3"/>
      <c r="M498" s="3"/>
      <c r="N498" s="3"/>
      <c r="O498" s="3" t="str">
        <f t="shared" si="1"/>
        <v/>
      </c>
      <c r="P498" s="3" t="str">
        <f t="shared" si="2"/>
        <v/>
      </c>
      <c r="Q498" s="3" t="str">
        <f t="shared" si="3"/>
        <v/>
      </c>
      <c r="R498" s="3" t="str">
        <f t="shared" si="4"/>
        <v/>
      </c>
      <c r="S498" s="3"/>
      <c r="T498" s="3"/>
      <c r="U498" s="3"/>
      <c r="V498" s="3"/>
      <c r="W498" s="3"/>
      <c r="X498" s="3"/>
      <c r="Y498" s="3"/>
      <c r="Z498" s="3"/>
    </row>
    <row r="499" ht="15.75" hidden="1" customHeight="1">
      <c r="A499" s="4" t="s">
        <v>569</v>
      </c>
      <c r="B499" s="5" t="s">
        <v>29</v>
      </c>
      <c r="C499" s="5" t="s">
        <v>169</v>
      </c>
      <c r="D499" s="5" t="s">
        <v>170</v>
      </c>
      <c r="E499" s="6">
        <v>3500.0</v>
      </c>
      <c r="F499" s="3"/>
      <c r="G499" s="3"/>
      <c r="H499" s="3"/>
      <c r="I499" s="3"/>
      <c r="J499" s="3"/>
      <c r="K499" s="3"/>
      <c r="L499" s="3"/>
      <c r="M499" s="3"/>
      <c r="N499" s="3"/>
      <c r="O499" s="3" t="str">
        <f t="shared" si="1"/>
        <v/>
      </c>
      <c r="P499" s="3" t="str">
        <f t="shared" si="2"/>
        <v/>
      </c>
      <c r="Q499" s="3" t="str">
        <f t="shared" si="3"/>
        <v/>
      </c>
      <c r="R499" s="3" t="str">
        <f t="shared" si="4"/>
        <v/>
      </c>
      <c r="S499" s="3"/>
      <c r="T499" s="3"/>
      <c r="U499" s="3"/>
      <c r="V499" s="3"/>
      <c r="W499" s="3"/>
      <c r="X499" s="3"/>
      <c r="Y499" s="3"/>
      <c r="Z499" s="3"/>
    </row>
    <row r="500" ht="15.75" hidden="1" customHeight="1">
      <c r="A500" s="4" t="s">
        <v>570</v>
      </c>
      <c r="B500" s="5" t="s">
        <v>24</v>
      </c>
      <c r="C500" s="5" t="s">
        <v>105</v>
      </c>
      <c r="D500" s="5" t="s">
        <v>170</v>
      </c>
      <c r="E500" s="6">
        <v>3470.0</v>
      </c>
      <c r="F500" s="3"/>
      <c r="G500" s="3"/>
      <c r="H500" s="3"/>
      <c r="I500" s="3"/>
      <c r="J500" s="3"/>
      <c r="K500" s="3"/>
      <c r="L500" s="3"/>
      <c r="M500" s="3"/>
      <c r="N500" s="3"/>
      <c r="O500" s="3" t="str">
        <f t="shared" si="1"/>
        <v/>
      </c>
      <c r="P500" s="3" t="str">
        <f t="shared" si="2"/>
        <v/>
      </c>
      <c r="Q500" s="3" t="str">
        <f t="shared" si="3"/>
        <v/>
      </c>
      <c r="R500" s="3" t="str">
        <f t="shared" si="4"/>
        <v/>
      </c>
      <c r="S500" s="3"/>
      <c r="T500" s="3"/>
      <c r="U500" s="3"/>
      <c r="V500" s="3"/>
      <c r="W500" s="3"/>
      <c r="X500" s="3"/>
      <c r="Y500" s="3"/>
      <c r="Z500" s="3"/>
    </row>
    <row r="501" ht="15.75" hidden="1" customHeight="1">
      <c r="A501" s="4" t="s">
        <v>571</v>
      </c>
      <c r="B501" s="5" t="s">
        <v>24</v>
      </c>
      <c r="C501" s="5" t="s">
        <v>105</v>
      </c>
      <c r="D501" s="5" t="s">
        <v>170</v>
      </c>
      <c r="E501" s="6">
        <v>3420.0</v>
      </c>
      <c r="F501" s="3"/>
      <c r="G501" s="3"/>
      <c r="H501" s="3"/>
      <c r="I501" s="3"/>
      <c r="J501" s="3"/>
      <c r="K501" s="3"/>
      <c r="L501" s="3"/>
      <c r="M501" s="3"/>
      <c r="N501" s="3"/>
      <c r="O501" s="3" t="str">
        <f t="shared" si="1"/>
        <v/>
      </c>
      <c r="P501" s="3" t="str">
        <f t="shared" si="2"/>
        <v/>
      </c>
      <c r="Q501" s="3" t="str">
        <f t="shared" si="3"/>
        <v/>
      </c>
      <c r="R501" s="3" t="str">
        <f t="shared" si="4"/>
        <v/>
      </c>
      <c r="S501" s="3"/>
      <c r="T501" s="3"/>
      <c r="U501" s="3"/>
      <c r="V501" s="3"/>
      <c r="W501" s="3"/>
      <c r="X501" s="3"/>
      <c r="Y501" s="3"/>
      <c r="Z501" s="3"/>
    </row>
    <row r="502" ht="15.75" hidden="1" customHeight="1">
      <c r="A502" s="4" t="s">
        <v>572</v>
      </c>
      <c r="B502" s="5" t="s">
        <v>24</v>
      </c>
      <c r="C502" s="5" t="s">
        <v>105</v>
      </c>
      <c r="D502" s="5" t="s">
        <v>170</v>
      </c>
      <c r="E502" s="6">
        <v>3320.0</v>
      </c>
      <c r="F502" s="3"/>
      <c r="G502" s="3"/>
      <c r="H502" s="3"/>
      <c r="I502" s="3"/>
      <c r="J502" s="3"/>
      <c r="K502" s="3"/>
      <c r="L502" s="3"/>
      <c r="M502" s="3"/>
      <c r="N502" s="3"/>
      <c r="O502" s="3" t="str">
        <f t="shared" si="1"/>
        <v/>
      </c>
      <c r="P502" s="3" t="str">
        <f t="shared" si="2"/>
        <v/>
      </c>
      <c r="Q502" s="3" t="str">
        <f t="shared" si="3"/>
        <v/>
      </c>
      <c r="R502" s="3" t="str">
        <f t="shared" si="4"/>
        <v/>
      </c>
      <c r="S502" s="3"/>
      <c r="T502" s="3"/>
      <c r="U502" s="3"/>
      <c r="V502" s="3"/>
      <c r="W502" s="3"/>
      <c r="X502" s="3"/>
      <c r="Y502" s="3"/>
      <c r="Z502" s="3"/>
    </row>
    <row r="503" ht="15.75" hidden="1" customHeight="1">
      <c r="A503" s="4" t="s">
        <v>573</v>
      </c>
      <c r="B503" s="5" t="s">
        <v>29</v>
      </c>
      <c r="C503" s="5" t="s">
        <v>169</v>
      </c>
      <c r="D503" s="5" t="s">
        <v>170</v>
      </c>
      <c r="E503" s="6">
        <v>3300.0</v>
      </c>
      <c r="F503" s="3"/>
      <c r="G503" s="3"/>
      <c r="H503" s="3"/>
      <c r="I503" s="3"/>
      <c r="J503" s="3"/>
      <c r="K503" s="3"/>
      <c r="L503" s="3"/>
      <c r="M503" s="3"/>
      <c r="N503" s="3"/>
      <c r="O503" s="3" t="str">
        <f t="shared" si="1"/>
        <v/>
      </c>
      <c r="P503" s="3" t="str">
        <f t="shared" si="2"/>
        <v/>
      </c>
      <c r="Q503" s="3" t="str">
        <f t="shared" si="3"/>
        <v/>
      </c>
      <c r="R503" s="3" t="str">
        <f t="shared" si="4"/>
        <v/>
      </c>
      <c r="S503" s="3"/>
      <c r="T503" s="3"/>
      <c r="U503" s="3"/>
      <c r="V503" s="3"/>
      <c r="W503" s="3"/>
      <c r="X503" s="3"/>
      <c r="Y503" s="3"/>
      <c r="Z503" s="3"/>
    </row>
    <row r="504" ht="15.75" hidden="1" customHeight="1">
      <c r="A504" s="4" t="s">
        <v>574</v>
      </c>
      <c r="B504" s="5" t="s">
        <v>24</v>
      </c>
      <c r="C504" s="5" t="s">
        <v>105</v>
      </c>
      <c r="D504" s="5" t="s">
        <v>170</v>
      </c>
      <c r="E504" s="6">
        <v>3210.0</v>
      </c>
      <c r="F504" s="3"/>
      <c r="G504" s="3"/>
      <c r="H504" s="3"/>
      <c r="I504" s="3"/>
      <c r="J504" s="3"/>
      <c r="K504" s="3"/>
      <c r="L504" s="3"/>
      <c r="M504" s="3"/>
      <c r="N504" s="3"/>
      <c r="O504" s="3" t="str">
        <f t="shared" si="1"/>
        <v/>
      </c>
      <c r="P504" s="3" t="str">
        <f t="shared" si="2"/>
        <v/>
      </c>
      <c r="Q504" s="3" t="str">
        <f t="shared" si="3"/>
        <v/>
      </c>
      <c r="R504" s="3" t="str">
        <f t="shared" si="4"/>
        <v/>
      </c>
      <c r="S504" s="3"/>
      <c r="T504" s="3"/>
      <c r="U504" s="3"/>
      <c r="V504" s="3"/>
      <c r="W504" s="3"/>
      <c r="X504" s="3"/>
      <c r="Y504" s="3"/>
      <c r="Z504" s="3"/>
    </row>
    <row r="505" ht="15.75" hidden="1" customHeight="1">
      <c r="A505" s="4" t="s">
        <v>575</v>
      </c>
      <c r="B505" s="5" t="s">
        <v>29</v>
      </c>
      <c r="C505" s="5" t="s">
        <v>169</v>
      </c>
      <c r="D505" s="5" t="s">
        <v>170</v>
      </c>
      <c r="E505" s="6">
        <v>3100.0</v>
      </c>
      <c r="F505" s="3"/>
      <c r="G505" s="3"/>
      <c r="H505" s="3"/>
      <c r="I505" s="3"/>
      <c r="J505" s="3"/>
      <c r="K505" s="3"/>
      <c r="L505" s="3"/>
      <c r="M505" s="3"/>
      <c r="N505" s="3"/>
      <c r="O505" s="3" t="str">
        <f t="shared" si="1"/>
        <v/>
      </c>
      <c r="P505" s="3" t="str">
        <f t="shared" si="2"/>
        <v/>
      </c>
      <c r="Q505" s="3" t="str">
        <f t="shared" si="3"/>
        <v/>
      </c>
      <c r="R505" s="3" t="str">
        <f t="shared" si="4"/>
        <v/>
      </c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15"/>
      <c r="B506" s="5"/>
      <c r="C506" s="5"/>
      <c r="D506" s="5"/>
      <c r="E506" s="6"/>
      <c r="F506" s="3"/>
      <c r="G506" s="3"/>
      <c r="H506" s="3"/>
      <c r="I506" s="3"/>
      <c r="J506" s="3"/>
      <c r="K506" s="3"/>
      <c r="L506" s="3"/>
      <c r="M506" s="3"/>
      <c r="N506" s="3"/>
      <c r="O506" s="3" t="str">
        <f t="shared" si="1"/>
        <v/>
      </c>
      <c r="P506" s="3" t="str">
        <f t="shared" si="2"/>
        <v/>
      </c>
      <c r="Q506" s="3" t="str">
        <f t="shared" si="3"/>
        <v/>
      </c>
      <c r="R506" s="3" t="str">
        <f t="shared" si="4"/>
        <v/>
      </c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15"/>
      <c r="B507" s="5"/>
      <c r="C507" s="5"/>
      <c r="D507" s="5"/>
      <c r="E507" s="6"/>
      <c r="F507" s="3"/>
      <c r="G507" s="3"/>
      <c r="H507" s="3"/>
      <c r="I507" s="3"/>
      <c r="J507" s="3"/>
      <c r="K507" s="3"/>
      <c r="L507" s="3"/>
      <c r="M507" s="3"/>
      <c r="N507" s="3"/>
      <c r="O507" s="3" t="str">
        <f t="shared" si="1"/>
        <v/>
      </c>
      <c r="P507" s="3" t="str">
        <f t="shared" si="2"/>
        <v/>
      </c>
      <c r="Q507" s="3" t="str">
        <f t="shared" si="3"/>
        <v/>
      </c>
      <c r="R507" s="3" t="str">
        <f t="shared" si="4"/>
        <v/>
      </c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15"/>
      <c r="B508" s="5"/>
      <c r="C508" s="5"/>
      <c r="D508" s="5"/>
      <c r="E508" s="6"/>
      <c r="F508" s="3"/>
      <c r="G508" s="3"/>
      <c r="H508" s="3"/>
      <c r="I508" s="3"/>
      <c r="J508" s="3"/>
      <c r="K508" s="3"/>
      <c r="L508" s="3"/>
      <c r="M508" s="3"/>
      <c r="N508" s="3"/>
      <c r="O508" s="3" t="str">
        <f t="shared" si="1"/>
        <v/>
      </c>
      <c r="P508" s="3" t="str">
        <f t="shared" si="2"/>
        <v/>
      </c>
      <c r="Q508" s="3" t="str">
        <f t="shared" si="3"/>
        <v/>
      </c>
      <c r="R508" s="3" t="str">
        <f t="shared" si="4"/>
        <v/>
      </c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15"/>
      <c r="B509" s="5"/>
      <c r="C509" s="5"/>
      <c r="D509" s="5"/>
      <c r="E509" s="6"/>
      <c r="F509" s="3"/>
      <c r="G509" s="3"/>
      <c r="H509" s="3"/>
      <c r="I509" s="3"/>
      <c r="J509" s="3"/>
      <c r="K509" s="3"/>
      <c r="L509" s="3"/>
      <c r="M509" s="3"/>
      <c r="N509" s="3"/>
      <c r="O509" s="3" t="str">
        <f t="shared" si="1"/>
        <v/>
      </c>
      <c r="P509" s="3" t="str">
        <f t="shared" si="2"/>
        <v/>
      </c>
      <c r="Q509" s="3" t="str">
        <f t="shared" si="3"/>
        <v/>
      </c>
      <c r="R509" s="3" t="str">
        <f t="shared" si="4"/>
        <v/>
      </c>
      <c r="S509" s="3"/>
      <c r="T509" s="3"/>
      <c r="U509" s="3"/>
      <c r="V509" s="3"/>
      <c r="W509" s="3"/>
      <c r="X509" s="3"/>
      <c r="Y509" s="3"/>
      <c r="Z509" s="3"/>
    </row>
    <row r="510" ht="15.75" hidden="1" customHeight="1">
      <c r="A510" s="4" t="s">
        <v>576</v>
      </c>
      <c r="B510" s="5" t="s">
        <v>24</v>
      </c>
      <c r="C510" s="5" t="s">
        <v>105</v>
      </c>
      <c r="D510" s="5" t="s">
        <v>170</v>
      </c>
      <c r="E510" s="6">
        <v>2980.0</v>
      </c>
      <c r="F510" s="3"/>
      <c r="G510" s="3"/>
      <c r="H510" s="3"/>
      <c r="I510" s="3"/>
      <c r="J510" s="3"/>
      <c r="K510" s="3"/>
      <c r="L510" s="3"/>
      <c r="M510" s="3"/>
      <c r="N510" s="3"/>
      <c r="O510" s="3" t="str">
        <f t="shared" si="1"/>
        <v/>
      </c>
      <c r="P510" s="3" t="str">
        <f t="shared" si="2"/>
        <v/>
      </c>
      <c r="Q510" s="3" t="str">
        <f t="shared" si="3"/>
        <v/>
      </c>
      <c r="R510" s="3" t="str">
        <f t="shared" si="4"/>
        <v/>
      </c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15"/>
      <c r="B511" s="5"/>
      <c r="C511" s="5"/>
      <c r="D511" s="5"/>
      <c r="E511" s="6"/>
      <c r="F511" s="3"/>
      <c r="G511" s="3"/>
      <c r="H511" s="3"/>
      <c r="I511" s="3"/>
      <c r="J511" s="3"/>
      <c r="K511" s="3"/>
      <c r="L511" s="3"/>
      <c r="M511" s="3"/>
      <c r="N511" s="3"/>
      <c r="O511" s="3" t="str">
        <f t="shared" si="1"/>
        <v/>
      </c>
      <c r="P511" s="3" t="str">
        <f t="shared" si="2"/>
        <v/>
      </c>
      <c r="Q511" s="3" t="str">
        <f t="shared" si="3"/>
        <v/>
      </c>
      <c r="R511" s="3" t="str">
        <f t="shared" si="4"/>
        <v/>
      </c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15"/>
      <c r="B512" s="5"/>
      <c r="C512" s="5"/>
      <c r="D512" s="5"/>
      <c r="E512" s="6"/>
      <c r="F512" s="3"/>
      <c r="G512" s="3"/>
      <c r="H512" s="3"/>
      <c r="I512" s="3"/>
      <c r="J512" s="3"/>
      <c r="K512" s="3"/>
      <c r="L512" s="3"/>
      <c r="M512" s="3"/>
      <c r="N512" s="3"/>
      <c r="O512" s="3" t="str">
        <f t="shared" si="1"/>
        <v/>
      </c>
      <c r="P512" s="3" t="str">
        <f t="shared" si="2"/>
        <v/>
      </c>
      <c r="Q512" s="3" t="str">
        <f t="shared" si="3"/>
        <v/>
      </c>
      <c r="R512" s="3" t="str">
        <f t="shared" si="4"/>
        <v/>
      </c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15"/>
      <c r="B513" s="5"/>
      <c r="C513" s="5"/>
      <c r="D513" s="5"/>
      <c r="E513" s="6"/>
      <c r="F513" s="3"/>
      <c r="G513" s="3"/>
      <c r="H513" s="3"/>
      <c r="I513" s="3"/>
      <c r="J513" s="3"/>
      <c r="K513" s="3"/>
      <c r="L513" s="3"/>
      <c r="M513" s="3"/>
      <c r="N513" s="3"/>
      <c r="O513" s="3" t="str">
        <f t="shared" si="1"/>
        <v/>
      </c>
      <c r="P513" s="3" t="str">
        <f t="shared" si="2"/>
        <v/>
      </c>
      <c r="Q513" s="3" t="str">
        <f t="shared" si="3"/>
        <v/>
      </c>
      <c r="R513" s="3" t="str">
        <f t="shared" si="4"/>
        <v/>
      </c>
      <c r="S513" s="3"/>
      <c r="T513" s="3"/>
      <c r="U513" s="3"/>
      <c r="V513" s="3"/>
      <c r="W513" s="3"/>
      <c r="X513" s="3"/>
      <c r="Y513" s="3"/>
      <c r="Z513" s="3"/>
    </row>
    <row r="514" ht="15.75" hidden="1" customHeight="1">
      <c r="A514" s="4" t="s">
        <v>577</v>
      </c>
      <c r="B514" s="5" t="s">
        <v>24</v>
      </c>
      <c r="C514" s="5" t="s">
        <v>105</v>
      </c>
      <c r="D514" s="5" t="s">
        <v>170</v>
      </c>
      <c r="E514" s="6">
        <v>2840.0</v>
      </c>
      <c r="F514" s="3"/>
      <c r="G514" s="3"/>
      <c r="H514" s="3"/>
      <c r="I514" s="3"/>
      <c r="J514" s="3"/>
      <c r="K514" s="3"/>
      <c r="L514" s="3"/>
      <c r="M514" s="3"/>
      <c r="N514" s="3"/>
      <c r="O514" s="3" t="str">
        <f t="shared" si="1"/>
        <v/>
      </c>
      <c r="P514" s="3" t="str">
        <f t="shared" si="2"/>
        <v/>
      </c>
      <c r="Q514" s="3" t="str">
        <f t="shared" si="3"/>
        <v/>
      </c>
      <c r="R514" s="3" t="str">
        <f t="shared" si="4"/>
        <v/>
      </c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15"/>
      <c r="B515" s="5"/>
      <c r="C515" s="5"/>
      <c r="D515" s="5"/>
      <c r="E515" s="6"/>
      <c r="F515" s="3"/>
      <c r="G515" s="3"/>
      <c r="H515" s="3"/>
      <c r="I515" s="3"/>
      <c r="J515" s="3"/>
      <c r="K515" s="3"/>
      <c r="L515" s="3"/>
      <c r="M515" s="3"/>
      <c r="N515" s="3"/>
      <c r="O515" s="3" t="str">
        <f t="shared" si="1"/>
        <v/>
      </c>
      <c r="P515" s="3" t="str">
        <f t="shared" si="2"/>
        <v/>
      </c>
      <c r="Q515" s="3" t="str">
        <f t="shared" si="3"/>
        <v/>
      </c>
      <c r="R515" s="3" t="str">
        <f t="shared" si="4"/>
        <v/>
      </c>
      <c r="S515" s="3"/>
      <c r="T515" s="3"/>
      <c r="U515" s="3"/>
      <c r="V515" s="3"/>
      <c r="W515" s="3"/>
      <c r="X515" s="3"/>
      <c r="Y515" s="3"/>
      <c r="Z515" s="3"/>
    </row>
    <row r="516" ht="15.75" hidden="1" customHeight="1">
      <c r="A516" s="4" t="s">
        <v>578</v>
      </c>
      <c r="B516" s="5" t="s">
        <v>24</v>
      </c>
      <c r="C516" s="5" t="s">
        <v>105</v>
      </c>
      <c r="D516" s="5" t="s">
        <v>170</v>
      </c>
      <c r="E516" s="6">
        <v>2820.0</v>
      </c>
      <c r="F516" s="3"/>
      <c r="G516" s="3"/>
      <c r="H516" s="3"/>
      <c r="I516" s="3"/>
      <c r="J516" s="3"/>
      <c r="K516" s="3"/>
      <c r="L516" s="3"/>
      <c r="M516" s="3"/>
      <c r="N516" s="3"/>
      <c r="O516" s="3" t="str">
        <f t="shared" si="1"/>
        <v/>
      </c>
      <c r="P516" s="3" t="str">
        <f t="shared" si="2"/>
        <v/>
      </c>
      <c r="Q516" s="3" t="str">
        <f t="shared" si="3"/>
        <v/>
      </c>
      <c r="R516" s="3" t="str">
        <f t="shared" si="4"/>
        <v/>
      </c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15"/>
      <c r="B517" s="5"/>
      <c r="C517" s="5"/>
      <c r="D517" s="5"/>
      <c r="E517" s="6"/>
      <c r="F517" s="3"/>
      <c r="G517" s="3"/>
      <c r="H517" s="3"/>
      <c r="I517" s="3"/>
      <c r="J517" s="3"/>
      <c r="K517" s="3"/>
      <c r="L517" s="3"/>
      <c r="M517" s="3"/>
      <c r="N517" s="3"/>
      <c r="O517" s="3" t="str">
        <f t="shared" si="1"/>
        <v/>
      </c>
      <c r="P517" s="3" t="str">
        <f t="shared" si="2"/>
        <v/>
      </c>
      <c r="Q517" s="3" t="str">
        <f t="shared" si="3"/>
        <v/>
      </c>
      <c r="R517" s="3" t="str">
        <f t="shared" si="4"/>
        <v/>
      </c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15"/>
      <c r="B518" s="5"/>
      <c r="C518" s="5"/>
      <c r="D518" s="5"/>
      <c r="E518" s="6"/>
      <c r="F518" s="3"/>
      <c r="G518" s="3"/>
      <c r="H518" s="3"/>
      <c r="I518" s="3"/>
      <c r="J518" s="3"/>
      <c r="K518" s="3"/>
      <c r="L518" s="3"/>
      <c r="M518" s="3"/>
      <c r="N518" s="3"/>
      <c r="O518" s="3" t="str">
        <f t="shared" si="1"/>
        <v/>
      </c>
      <c r="P518" s="3" t="str">
        <f t="shared" si="2"/>
        <v/>
      </c>
      <c r="Q518" s="3" t="str">
        <f t="shared" si="3"/>
        <v/>
      </c>
      <c r="R518" s="3" t="str">
        <f t="shared" si="4"/>
        <v/>
      </c>
      <c r="S518" s="3"/>
      <c r="T518" s="3"/>
      <c r="U518" s="3"/>
      <c r="V518" s="3"/>
      <c r="W518" s="3"/>
      <c r="X518" s="3"/>
      <c r="Y518" s="3"/>
      <c r="Z518" s="3"/>
    </row>
    <row r="519" ht="15.75" hidden="1" customHeight="1">
      <c r="A519" s="4" t="s">
        <v>579</v>
      </c>
      <c r="B519" s="5" t="s">
        <v>24</v>
      </c>
      <c r="C519" s="5" t="s">
        <v>105</v>
      </c>
      <c r="D519" s="5" t="s">
        <v>170</v>
      </c>
      <c r="E519" s="6">
        <v>2720.0</v>
      </c>
      <c r="F519" s="3"/>
      <c r="G519" s="3"/>
      <c r="H519" s="3"/>
      <c r="I519" s="3"/>
      <c r="J519" s="3"/>
      <c r="K519" s="3"/>
      <c r="L519" s="3"/>
      <c r="M519" s="3"/>
      <c r="N519" s="3"/>
      <c r="O519" s="3" t="str">
        <f t="shared" si="1"/>
        <v/>
      </c>
      <c r="P519" s="3" t="str">
        <f t="shared" si="2"/>
        <v/>
      </c>
      <c r="Q519" s="3" t="str">
        <f t="shared" si="3"/>
        <v/>
      </c>
      <c r="R519" s="3" t="str">
        <f t="shared" si="4"/>
        <v/>
      </c>
      <c r="S519" s="3"/>
      <c r="T519" s="3"/>
      <c r="U519" s="3"/>
      <c r="V519" s="3"/>
      <c r="W519" s="3"/>
      <c r="X519" s="3"/>
      <c r="Y519" s="3"/>
      <c r="Z519" s="3"/>
    </row>
    <row r="520" ht="15.75" hidden="1" customHeight="1">
      <c r="A520" s="4" t="s">
        <v>580</v>
      </c>
      <c r="B520" s="5" t="s">
        <v>24</v>
      </c>
      <c r="C520" s="5" t="s">
        <v>105</v>
      </c>
      <c r="D520" s="5" t="s">
        <v>170</v>
      </c>
      <c r="E520" s="6">
        <v>2710.0</v>
      </c>
      <c r="F520" s="3"/>
      <c r="G520" s="3"/>
      <c r="H520" s="3"/>
      <c r="I520" s="3"/>
      <c r="J520" s="3"/>
      <c r="K520" s="3"/>
      <c r="L520" s="3"/>
      <c r="M520" s="3"/>
      <c r="N520" s="3"/>
      <c r="O520" s="3" t="str">
        <f t="shared" si="1"/>
        <v/>
      </c>
      <c r="P520" s="3" t="str">
        <f t="shared" si="2"/>
        <v/>
      </c>
      <c r="Q520" s="3" t="str">
        <f t="shared" si="3"/>
        <v/>
      </c>
      <c r="R520" s="3" t="str">
        <f t="shared" si="4"/>
        <v/>
      </c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15"/>
      <c r="B521" s="5"/>
      <c r="C521" s="5"/>
      <c r="D521" s="5"/>
      <c r="E521" s="6"/>
      <c r="F521" s="3"/>
      <c r="G521" s="3"/>
      <c r="H521" s="3"/>
      <c r="I521" s="3"/>
      <c r="J521" s="3"/>
      <c r="K521" s="3"/>
      <c r="L521" s="3"/>
      <c r="M521" s="3"/>
      <c r="N521" s="3"/>
      <c r="O521" s="3" t="str">
        <f t="shared" si="1"/>
        <v/>
      </c>
      <c r="P521" s="3" t="str">
        <f t="shared" si="2"/>
        <v/>
      </c>
      <c r="Q521" s="3" t="str">
        <f t="shared" si="3"/>
        <v/>
      </c>
      <c r="R521" s="3" t="str">
        <f t="shared" si="4"/>
        <v/>
      </c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15"/>
      <c r="B522" s="5"/>
      <c r="C522" s="5"/>
      <c r="D522" s="5"/>
      <c r="E522" s="6"/>
      <c r="F522" s="3"/>
      <c r="G522" s="3"/>
      <c r="H522" s="3"/>
      <c r="I522" s="3"/>
      <c r="J522" s="3"/>
      <c r="K522" s="3"/>
      <c r="L522" s="3"/>
      <c r="M522" s="3"/>
      <c r="N522" s="3"/>
      <c r="O522" s="3" t="str">
        <f t="shared" si="1"/>
        <v/>
      </c>
      <c r="P522" s="3" t="str">
        <f t="shared" si="2"/>
        <v/>
      </c>
      <c r="Q522" s="3" t="str">
        <f t="shared" si="3"/>
        <v/>
      </c>
      <c r="R522" s="3" t="str">
        <f t="shared" si="4"/>
        <v/>
      </c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15"/>
      <c r="B523" s="5"/>
      <c r="C523" s="5"/>
      <c r="D523" s="5"/>
      <c r="E523" s="6"/>
      <c r="F523" s="3"/>
      <c r="G523" s="3"/>
      <c r="H523" s="3"/>
      <c r="I523" s="3"/>
      <c r="J523" s="3"/>
      <c r="K523" s="3"/>
      <c r="L523" s="3"/>
      <c r="M523" s="3"/>
      <c r="N523" s="3"/>
      <c r="O523" s="3" t="str">
        <f t="shared" si="1"/>
        <v/>
      </c>
      <c r="P523" s="3" t="str">
        <f t="shared" si="2"/>
        <v/>
      </c>
      <c r="Q523" s="3" t="str">
        <f t="shared" si="3"/>
        <v/>
      </c>
      <c r="R523" s="3" t="str">
        <f t="shared" si="4"/>
        <v/>
      </c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15"/>
      <c r="B524" s="5"/>
      <c r="C524" s="5"/>
      <c r="D524" s="5"/>
      <c r="E524" s="6"/>
      <c r="F524" s="3"/>
      <c r="G524" s="3"/>
      <c r="H524" s="3"/>
      <c r="I524" s="3"/>
      <c r="J524" s="3"/>
      <c r="K524" s="3"/>
      <c r="L524" s="3"/>
      <c r="M524" s="3"/>
      <c r="N524" s="3"/>
      <c r="O524" s="3" t="str">
        <f t="shared" si="1"/>
        <v/>
      </c>
      <c r="P524" s="3" t="str">
        <f t="shared" si="2"/>
        <v/>
      </c>
      <c r="Q524" s="3" t="str">
        <f t="shared" si="3"/>
        <v/>
      </c>
      <c r="R524" s="3" t="str">
        <f t="shared" si="4"/>
        <v/>
      </c>
      <c r="S524" s="3"/>
      <c r="T524" s="3"/>
      <c r="U524" s="3"/>
      <c r="V524" s="3"/>
      <c r="W524" s="3"/>
      <c r="X524" s="3"/>
      <c r="Y524" s="3"/>
      <c r="Z524" s="3"/>
    </row>
    <row r="525" ht="15.75" hidden="1" customHeight="1">
      <c r="A525" s="4" t="s">
        <v>581</v>
      </c>
      <c r="B525" s="5" t="s">
        <v>24</v>
      </c>
      <c r="C525" s="5" t="s">
        <v>105</v>
      </c>
      <c r="D525" s="5" t="s">
        <v>170</v>
      </c>
      <c r="E525" s="6">
        <v>2620.0</v>
      </c>
      <c r="F525" s="3"/>
      <c r="G525" s="3"/>
      <c r="H525" s="3"/>
      <c r="I525" s="3"/>
      <c r="J525" s="3"/>
      <c r="K525" s="3"/>
      <c r="L525" s="3"/>
      <c r="M525" s="3"/>
      <c r="N525" s="3"/>
      <c r="O525" s="3" t="str">
        <f t="shared" si="1"/>
        <v/>
      </c>
      <c r="P525" s="3" t="str">
        <f t="shared" si="2"/>
        <v/>
      </c>
      <c r="Q525" s="3" t="str">
        <f t="shared" si="3"/>
        <v/>
      </c>
      <c r="R525" s="3" t="str">
        <f t="shared" si="4"/>
        <v/>
      </c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15"/>
      <c r="B526" s="5"/>
      <c r="C526" s="5"/>
      <c r="D526" s="5"/>
      <c r="E526" s="6"/>
      <c r="F526" s="3"/>
      <c r="G526" s="3"/>
      <c r="H526" s="3"/>
      <c r="I526" s="3"/>
      <c r="J526" s="3"/>
      <c r="K526" s="3"/>
      <c r="L526" s="3"/>
      <c r="M526" s="3"/>
      <c r="N526" s="3"/>
      <c r="O526" s="3" t="str">
        <f t="shared" si="1"/>
        <v/>
      </c>
      <c r="P526" s="3" t="str">
        <f t="shared" si="2"/>
        <v/>
      </c>
      <c r="Q526" s="3" t="str">
        <f t="shared" si="3"/>
        <v/>
      </c>
      <c r="R526" s="3" t="str">
        <f t="shared" si="4"/>
        <v/>
      </c>
      <c r="S526" s="3"/>
      <c r="T526" s="3"/>
      <c r="U526" s="3"/>
      <c r="V526" s="3"/>
      <c r="W526" s="3"/>
      <c r="X526" s="3"/>
      <c r="Y526" s="3"/>
      <c r="Z526" s="3"/>
    </row>
    <row r="527" ht="15.75" hidden="1" customHeight="1">
      <c r="A527" s="4" t="s">
        <v>582</v>
      </c>
      <c r="B527" s="5" t="s">
        <v>24</v>
      </c>
      <c r="C527" s="5" t="s">
        <v>105</v>
      </c>
      <c r="D527" s="5" t="s">
        <v>170</v>
      </c>
      <c r="E527" s="6">
        <v>2550.0</v>
      </c>
      <c r="F527" s="3"/>
      <c r="G527" s="3"/>
      <c r="H527" s="3"/>
      <c r="I527" s="3"/>
      <c r="J527" s="3"/>
      <c r="K527" s="3"/>
      <c r="L527" s="3"/>
      <c r="M527" s="3"/>
      <c r="N527" s="3"/>
      <c r="O527" s="3" t="str">
        <f t="shared" si="1"/>
        <v/>
      </c>
      <c r="P527" s="3" t="str">
        <f t="shared" si="2"/>
        <v/>
      </c>
      <c r="Q527" s="3" t="str">
        <f t="shared" si="3"/>
        <v/>
      </c>
      <c r="R527" s="3" t="str">
        <f t="shared" si="4"/>
        <v/>
      </c>
      <c r="S527" s="3"/>
      <c r="T527" s="3"/>
      <c r="U527" s="3"/>
      <c r="V527" s="3"/>
      <c r="W527" s="3"/>
      <c r="X527" s="3"/>
      <c r="Y527" s="3"/>
      <c r="Z527" s="3"/>
    </row>
    <row r="528" ht="15.75" hidden="1" customHeight="1">
      <c r="A528" s="4" t="s">
        <v>583</v>
      </c>
      <c r="B528" s="5" t="s">
        <v>29</v>
      </c>
      <c r="C528" s="5" t="s">
        <v>169</v>
      </c>
      <c r="D528" s="5" t="s">
        <v>170</v>
      </c>
      <c r="E528" s="6">
        <v>2500.0</v>
      </c>
      <c r="F528" s="3"/>
      <c r="G528" s="3"/>
      <c r="H528" s="3"/>
      <c r="I528" s="3"/>
      <c r="J528" s="3"/>
      <c r="K528" s="3"/>
      <c r="L528" s="3"/>
      <c r="M528" s="3"/>
      <c r="N528" s="3"/>
      <c r="O528" s="3" t="str">
        <f t="shared" si="1"/>
        <v/>
      </c>
      <c r="P528" s="3" t="str">
        <f t="shared" si="2"/>
        <v/>
      </c>
      <c r="Q528" s="3" t="str">
        <f t="shared" si="3"/>
        <v/>
      </c>
      <c r="R528" s="3" t="str">
        <f t="shared" si="4"/>
        <v/>
      </c>
      <c r="S528" s="3"/>
      <c r="T528" s="3"/>
      <c r="U528" s="3"/>
      <c r="V528" s="3"/>
      <c r="W528" s="3"/>
      <c r="X528" s="3"/>
      <c r="Y528" s="3"/>
      <c r="Z528" s="3"/>
    </row>
    <row r="529" ht="15.75" hidden="1" customHeight="1">
      <c r="A529" s="4" t="s">
        <v>584</v>
      </c>
      <c r="B529" s="5" t="s">
        <v>29</v>
      </c>
      <c r="C529" s="5" t="s">
        <v>169</v>
      </c>
      <c r="D529" s="5" t="s">
        <v>170</v>
      </c>
      <c r="E529" s="6">
        <v>2500.0</v>
      </c>
      <c r="F529" s="3"/>
      <c r="G529" s="3"/>
      <c r="H529" s="3"/>
      <c r="I529" s="3"/>
      <c r="J529" s="3"/>
      <c r="K529" s="3"/>
      <c r="L529" s="3"/>
      <c r="M529" s="3"/>
      <c r="N529" s="3"/>
      <c r="O529" s="3" t="str">
        <f t="shared" si="1"/>
        <v/>
      </c>
      <c r="P529" s="3" t="str">
        <f t="shared" si="2"/>
        <v/>
      </c>
      <c r="Q529" s="3" t="str">
        <f t="shared" si="3"/>
        <v/>
      </c>
      <c r="R529" s="3" t="str">
        <f t="shared" si="4"/>
        <v/>
      </c>
      <c r="S529" s="3"/>
      <c r="T529" s="3"/>
      <c r="U529" s="3"/>
      <c r="V529" s="3"/>
      <c r="W529" s="3"/>
      <c r="X529" s="3"/>
      <c r="Y529" s="3"/>
      <c r="Z529" s="3"/>
    </row>
    <row r="530" ht="15.75" hidden="1" customHeight="1">
      <c r="A530" s="4" t="s">
        <v>585</v>
      </c>
      <c r="B530" s="5" t="s">
        <v>24</v>
      </c>
      <c r="C530" s="5" t="s">
        <v>105</v>
      </c>
      <c r="D530" s="5" t="s">
        <v>170</v>
      </c>
      <c r="E530" s="6">
        <v>2490.0</v>
      </c>
      <c r="F530" s="3"/>
      <c r="G530" s="3"/>
      <c r="H530" s="3"/>
      <c r="I530" s="3"/>
      <c r="J530" s="3"/>
      <c r="K530" s="3"/>
      <c r="L530" s="3"/>
      <c r="M530" s="3"/>
      <c r="N530" s="3"/>
      <c r="O530" s="3" t="str">
        <f t="shared" si="1"/>
        <v/>
      </c>
      <c r="P530" s="3" t="str">
        <f t="shared" si="2"/>
        <v/>
      </c>
      <c r="Q530" s="3" t="str">
        <f t="shared" si="3"/>
        <v/>
      </c>
      <c r="R530" s="3" t="str">
        <f t="shared" si="4"/>
        <v/>
      </c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15"/>
      <c r="B531" s="5"/>
      <c r="C531" s="5"/>
      <c r="D531" s="5"/>
      <c r="E531" s="6"/>
      <c r="F531" s="3"/>
      <c r="G531" s="3"/>
      <c r="H531" s="3"/>
      <c r="I531" s="3"/>
      <c r="J531" s="3"/>
      <c r="K531" s="3"/>
      <c r="L531" s="3"/>
      <c r="M531" s="3"/>
      <c r="N531" s="3"/>
      <c r="O531" s="3" t="str">
        <f t="shared" si="1"/>
        <v/>
      </c>
      <c r="P531" s="3" t="str">
        <f t="shared" si="2"/>
        <v/>
      </c>
      <c r="Q531" s="3" t="str">
        <f t="shared" si="3"/>
        <v/>
      </c>
      <c r="R531" s="3" t="str">
        <f t="shared" si="4"/>
        <v/>
      </c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15"/>
      <c r="B532" s="5"/>
      <c r="C532" s="5"/>
      <c r="D532" s="5"/>
      <c r="E532" s="6"/>
      <c r="F532" s="3"/>
      <c r="G532" s="3"/>
      <c r="H532" s="3"/>
      <c r="I532" s="3"/>
      <c r="J532" s="3"/>
      <c r="K532" s="3"/>
      <c r="L532" s="3"/>
      <c r="M532" s="3"/>
      <c r="N532" s="3"/>
      <c r="O532" s="3" t="str">
        <f t="shared" si="1"/>
        <v/>
      </c>
      <c r="P532" s="3" t="str">
        <f t="shared" si="2"/>
        <v/>
      </c>
      <c r="Q532" s="3" t="str">
        <f t="shared" si="3"/>
        <v/>
      </c>
      <c r="R532" s="3" t="str">
        <f t="shared" si="4"/>
        <v/>
      </c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15"/>
      <c r="B533" s="5"/>
      <c r="C533" s="5"/>
      <c r="D533" s="5"/>
      <c r="E533" s="6"/>
      <c r="F533" s="3"/>
      <c r="G533" s="3"/>
      <c r="H533" s="3"/>
      <c r="I533" s="3"/>
      <c r="J533" s="3"/>
      <c r="K533" s="3"/>
      <c r="L533" s="3"/>
      <c r="M533" s="3"/>
      <c r="N533" s="3"/>
      <c r="O533" s="3" t="str">
        <f t="shared" si="1"/>
        <v/>
      </c>
      <c r="P533" s="3" t="str">
        <f t="shared" si="2"/>
        <v/>
      </c>
      <c r="Q533" s="3" t="str">
        <f t="shared" si="3"/>
        <v/>
      </c>
      <c r="R533" s="3" t="str">
        <f t="shared" si="4"/>
        <v/>
      </c>
      <c r="S533" s="3"/>
      <c r="T533" s="3"/>
      <c r="U533" s="3"/>
      <c r="V533" s="3"/>
      <c r="W533" s="3"/>
      <c r="X533" s="3"/>
      <c r="Y533" s="3"/>
      <c r="Z533" s="3"/>
    </row>
    <row r="534" ht="15.75" hidden="1" customHeight="1">
      <c r="A534" s="4" t="s">
        <v>586</v>
      </c>
      <c r="B534" s="5" t="s">
        <v>24</v>
      </c>
      <c r="C534" s="5" t="s">
        <v>105</v>
      </c>
      <c r="D534" s="5" t="s">
        <v>170</v>
      </c>
      <c r="E534" s="6">
        <v>2370.0</v>
      </c>
      <c r="F534" s="3"/>
      <c r="G534" s="3"/>
      <c r="H534" s="3"/>
      <c r="I534" s="3"/>
      <c r="J534" s="3"/>
      <c r="K534" s="3"/>
      <c r="L534" s="3"/>
      <c r="M534" s="3"/>
      <c r="N534" s="3"/>
      <c r="O534" s="3" t="str">
        <f t="shared" si="1"/>
        <v/>
      </c>
      <c r="P534" s="3" t="str">
        <f t="shared" si="2"/>
        <v/>
      </c>
      <c r="Q534" s="3" t="str">
        <f t="shared" si="3"/>
        <v/>
      </c>
      <c r="R534" s="3" t="str">
        <f t="shared" si="4"/>
        <v/>
      </c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15"/>
      <c r="B535" s="5"/>
      <c r="C535" s="5"/>
      <c r="D535" s="5"/>
      <c r="E535" s="6"/>
      <c r="F535" s="3"/>
      <c r="G535" s="3"/>
      <c r="H535" s="3"/>
      <c r="I535" s="3"/>
      <c r="J535" s="3"/>
      <c r="K535" s="3"/>
      <c r="L535" s="3"/>
      <c r="M535" s="3"/>
      <c r="N535" s="3"/>
      <c r="O535" s="3" t="str">
        <f t="shared" si="1"/>
        <v/>
      </c>
      <c r="P535" s="3" t="str">
        <f t="shared" si="2"/>
        <v/>
      </c>
      <c r="Q535" s="3" t="str">
        <f t="shared" si="3"/>
        <v/>
      </c>
      <c r="R535" s="3" t="str">
        <f t="shared" si="4"/>
        <v/>
      </c>
      <c r="S535" s="3"/>
      <c r="T535" s="3"/>
      <c r="U535" s="3"/>
      <c r="V535" s="3"/>
      <c r="W535" s="3"/>
      <c r="X535" s="3"/>
      <c r="Y535" s="3"/>
      <c r="Z535" s="3"/>
    </row>
    <row r="536" ht="15.75" hidden="1" customHeight="1">
      <c r="A536" s="4" t="s">
        <v>587</v>
      </c>
      <c r="B536" s="5" t="s">
        <v>24</v>
      </c>
      <c r="C536" s="5" t="s">
        <v>105</v>
      </c>
      <c r="D536" s="5" t="s">
        <v>170</v>
      </c>
      <c r="E536" s="6">
        <v>2320.0</v>
      </c>
      <c r="F536" s="3"/>
      <c r="G536" s="3"/>
      <c r="H536" s="3"/>
      <c r="I536" s="3"/>
      <c r="J536" s="3"/>
      <c r="K536" s="3"/>
      <c r="L536" s="3"/>
      <c r="M536" s="3"/>
      <c r="N536" s="3"/>
      <c r="O536" s="3" t="str">
        <f t="shared" si="1"/>
        <v/>
      </c>
      <c r="P536" s="3" t="str">
        <f t="shared" si="2"/>
        <v/>
      </c>
      <c r="Q536" s="3" t="str">
        <f t="shared" si="3"/>
        <v/>
      </c>
      <c r="R536" s="3" t="str">
        <f t="shared" si="4"/>
        <v/>
      </c>
      <c r="S536" s="3"/>
      <c r="T536" s="3"/>
      <c r="U536" s="3"/>
      <c r="V536" s="3"/>
      <c r="W536" s="3"/>
      <c r="X536" s="3"/>
      <c r="Y536" s="3"/>
      <c r="Z536" s="3"/>
    </row>
    <row r="537" ht="15.75" hidden="1" customHeight="1">
      <c r="A537" s="4" t="s">
        <v>588</v>
      </c>
      <c r="B537" s="5" t="s">
        <v>29</v>
      </c>
      <c r="C537" s="5" t="s">
        <v>169</v>
      </c>
      <c r="D537" s="5" t="s">
        <v>170</v>
      </c>
      <c r="E537" s="6">
        <v>2300.0</v>
      </c>
      <c r="F537" s="3"/>
      <c r="G537" s="3"/>
      <c r="H537" s="3"/>
      <c r="I537" s="3"/>
      <c r="J537" s="3"/>
      <c r="K537" s="3"/>
      <c r="L537" s="3"/>
      <c r="M537" s="3"/>
      <c r="N537" s="3"/>
      <c r="O537" s="3" t="str">
        <f t="shared" si="1"/>
        <v/>
      </c>
      <c r="P537" s="3" t="str">
        <f t="shared" si="2"/>
        <v/>
      </c>
      <c r="Q537" s="3" t="str">
        <f t="shared" si="3"/>
        <v/>
      </c>
      <c r="R537" s="3" t="str">
        <f t="shared" si="4"/>
        <v/>
      </c>
      <c r="S537" s="3"/>
      <c r="T537" s="3"/>
      <c r="U537" s="3"/>
      <c r="V537" s="3"/>
      <c r="W537" s="3"/>
      <c r="X537" s="3"/>
      <c r="Y537" s="3"/>
      <c r="Z537" s="3"/>
    </row>
    <row r="538" ht="15.75" hidden="1" customHeight="1">
      <c r="A538" s="4" t="s">
        <v>589</v>
      </c>
      <c r="B538" s="5" t="s">
        <v>24</v>
      </c>
      <c r="C538" s="5" t="s">
        <v>105</v>
      </c>
      <c r="D538" s="5" t="s">
        <v>170</v>
      </c>
      <c r="E538" s="6">
        <v>2300.0</v>
      </c>
      <c r="F538" s="3"/>
      <c r="G538" s="3"/>
      <c r="H538" s="3"/>
      <c r="I538" s="3"/>
      <c r="J538" s="3"/>
      <c r="K538" s="3"/>
      <c r="L538" s="3"/>
      <c r="M538" s="3"/>
      <c r="N538" s="3"/>
      <c r="O538" s="3" t="str">
        <f t="shared" si="1"/>
        <v/>
      </c>
      <c r="P538" s="3" t="str">
        <f t="shared" si="2"/>
        <v/>
      </c>
      <c r="Q538" s="3" t="str">
        <f t="shared" si="3"/>
        <v/>
      </c>
      <c r="R538" s="3" t="str">
        <f t="shared" si="4"/>
        <v/>
      </c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15"/>
      <c r="B539" s="5"/>
      <c r="C539" s="5"/>
      <c r="D539" s="5"/>
      <c r="E539" s="6"/>
      <c r="F539" s="3"/>
      <c r="G539" s="3"/>
      <c r="H539" s="3"/>
      <c r="I539" s="3"/>
      <c r="J539" s="3"/>
      <c r="K539" s="3"/>
      <c r="L539" s="3"/>
      <c r="M539" s="3"/>
      <c r="N539" s="3"/>
      <c r="O539" s="3" t="str">
        <f t="shared" si="1"/>
        <v/>
      </c>
      <c r="P539" s="3" t="str">
        <f t="shared" si="2"/>
        <v/>
      </c>
      <c r="Q539" s="3" t="str">
        <f t="shared" si="3"/>
        <v/>
      </c>
      <c r="R539" s="3" t="str">
        <f t="shared" si="4"/>
        <v/>
      </c>
      <c r="S539" s="3"/>
      <c r="T539" s="3"/>
      <c r="U539" s="3"/>
      <c r="V539" s="3"/>
      <c r="W539" s="3"/>
      <c r="X539" s="3"/>
      <c r="Y539" s="3"/>
      <c r="Z539" s="3"/>
    </row>
    <row r="540" ht="15.75" hidden="1" customHeight="1">
      <c r="A540" s="4" t="s">
        <v>590</v>
      </c>
      <c r="B540" s="5" t="s">
        <v>24</v>
      </c>
      <c r="C540" s="5" t="s">
        <v>105</v>
      </c>
      <c r="D540" s="5" t="s">
        <v>170</v>
      </c>
      <c r="E540" s="6">
        <v>2240.0</v>
      </c>
      <c r="F540" s="3"/>
      <c r="G540" s="3"/>
      <c r="H540" s="3"/>
      <c r="I540" s="3"/>
      <c r="J540" s="3"/>
      <c r="K540" s="3"/>
      <c r="L540" s="3"/>
      <c r="M540" s="3"/>
      <c r="N540" s="3"/>
      <c r="O540" s="3" t="str">
        <f t="shared" si="1"/>
        <v/>
      </c>
      <c r="P540" s="3" t="str">
        <f t="shared" si="2"/>
        <v/>
      </c>
      <c r="Q540" s="3" t="str">
        <f t="shared" si="3"/>
        <v/>
      </c>
      <c r="R540" s="3" t="str">
        <f t="shared" si="4"/>
        <v/>
      </c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15"/>
      <c r="B541" s="5"/>
      <c r="C541" s="5"/>
      <c r="D541" s="5"/>
      <c r="E541" s="6"/>
      <c r="F541" s="3"/>
      <c r="G541" s="3"/>
      <c r="H541" s="3"/>
      <c r="I541" s="3"/>
      <c r="J541" s="3"/>
      <c r="K541" s="3"/>
      <c r="L541" s="3"/>
      <c r="M541" s="3"/>
      <c r="N541" s="3"/>
      <c r="O541" s="3" t="str">
        <f t="shared" si="1"/>
        <v/>
      </c>
      <c r="P541" s="3" t="str">
        <f t="shared" si="2"/>
        <v/>
      </c>
      <c r="Q541" s="3" t="str">
        <f t="shared" si="3"/>
        <v/>
      </c>
      <c r="R541" s="3" t="str">
        <f t="shared" si="4"/>
        <v/>
      </c>
      <c r="S541" s="3"/>
      <c r="T541" s="3"/>
      <c r="U541" s="3"/>
      <c r="V541" s="3"/>
      <c r="W541" s="3"/>
      <c r="X541" s="3"/>
      <c r="Y541" s="3"/>
      <c r="Z541" s="3"/>
    </row>
    <row r="542" ht="15.75" hidden="1" customHeight="1">
      <c r="A542" s="4" t="s">
        <v>591</v>
      </c>
      <c r="B542" s="5" t="s">
        <v>29</v>
      </c>
      <c r="C542" s="5" t="s">
        <v>169</v>
      </c>
      <c r="D542" s="5" t="s">
        <v>170</v>
      </c>
      <c r="E542" s="6">
        <v>2200.0</v>
      </c>
      <c r="F542" s="3"/>
      <c r="G542" s="3"/>
      <c r="H542" s="3"/>
      <c r="I542" s="3"/>
      <c r="J542" s="3"/>
      <c r="K542" s="3"/>
      <c r="L542" s="3"/>
      <c r="M542" s="3"/>
      <c r="N542" s="3"/>
      <c r="O542" s="3" t="str">
        <f t="shared" si="1"/>
        <v/>
      </c>
      <c r="P542" s="3" t="str">
        <f t="shared" si="2"/>
        <v/>
      </c>
      <c r="Q542" s="3" t="str">
        <f t="shared" si="3"/>
        <v/>
      </c>
      <c r="R542" s="3" t="str">
        <f t="shared" si="4"/>
        <v/>
      </c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15"/>
      <c r="B543" s="5"/>
      <c r="C543" s="5"/>
      <c r="D543" s="5"/>
      <c r="E543" s="6"/>
      <c r="F543" s="3"/>
      <c r="G543" s="3"/>
      <c r="H543" s="3"/>
      <c r="I543" s="3"/>
      <c r="J543" s="3"/>
      <c r="K543" s="3"/>
      <c r="L543" s="3"/>
      <c r="M543" s="3"/>
      <c r="N543" s="3"/>
      <c r="O543" s="3" t="str">
        <f t="shared" si="1"/>
        <v/>
      </c>
      <c r="P543" s="3" t="str">
        <f t="shared" si="2"/>
        <v/>
      </c>
      <c r="Q543" s="3" t="str">
        <f t="shared" si="3"/>
        <v/>
      </c>
      <c r="R543" s="3" t="str">
        <f t="shared" si="4"/>
        <v/>
      </c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15"/>
      <c r="B544" s="5"/>
      <c r="C544" s="5"/>
      <c r="D544" s="5"/>
      <c r="E544" s="6"/>
      <c r="F544" s="3"/>
      <c r="G544" s="3"/>
      <c r="H544" s="3"/>
      <c r="I544" s="3"/>
      <c r="J544" s="3"/>
      <c r="K544" s="3"/>
      <c r="L544" s="3"/>
      <c r="M544" s="3"/>
      <c r="N544" s="3"/>
      <c r="O544" s="3" t="str">
        <f t="shared" si="1"/>
        <v/>
      </c>
      <c r="P544" s="3" t="str">
        <f t="shared" si="2"/>
        <v/>
      </c>
      <c r="Q544" s="3" t="str">
        <f t="shared" si="3"/>
        <v/>
      </c>
      <c r="R544" s="3" t="str">
        <f t="shared" si="4"/>
        <v/>
      </c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15"/>
      <c r="B545" s="5"/>
      <c r="C545" s="5"/>
      <c r="D545" s="5"/>
      <c r="E545" s="6"/>
      <c r="F545" s="3"/>
      <c r="G545" s="3"/>
      <c r="H545" s="3"/>
      <c r="I545" s="3"/>
      <c r="J545" s="3"/>
      <c r="K545" s="3"/>
      <c r="L545" s="3"/>
      <c r="M545" s="3"/>
      <c r="N545" s="3"/>
      <c r="O545" s="3" t="str">
        <f t="shared" si="1"/>
        <v/>
      </c>
      <c r="P545" s="3" t="str">
        <f t="shared" si="2"/>
        <v/>
      </c>
      <c r="Q545" s="3" t="str">
        <f t="shared" si="3"/>
        <v/>
      </c>
      <c r="R545" s="3" t="str">
        <f t="shared" si="4"/>
        <v/>
      </c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15"/>
      <c r="B546" s="5"/>
      <c r="C546" s="5"/>
      <c r="D546" s="5"/>
      <c r="E546" s="6"/>
      <c r="F546" s="3"/>
      <c r="G546" s="3"/>
      <c r="H546" s="3"/>
      <c r="I546" s="3"/>
      <c r="J546" s="3"/>
      <c r="K546" s="3"/>
      <c r="L546" s="3"/>
      <c r="M546" s="3"/>
      <c r="N546" s="3"/>
      <c r="O546" s="3" t="str">
        <f t="shared" si="1"/>
        <v/>
      </c>
      <c r="P546" s="3" t="str">
        <f t="shared" si="2"/>
        <v/>
      </c>
      <c r="Q546" s="3" t="str">
        <f t="shared" si="3"/>
        <v/>
      </c>
      <c r="R546" s="3" t="str">
        <f t="shared" si="4"/>
        <v/>
      </c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15"/>
      <c r="B547" s="5"/>
      <c r="C547" s="5"/>
      <c r="D547" s="5"/>
      <c r="E547" s="6"/>
      <c r="F547" s="3"/>
      <c r="G547" s="3"/>
      <c r="H547" s="3"/>
      <c r="I547" s="3"/>
      <c r="J547" s="3"/>
      <c r="K547" s="3"/>
      <c r="L547" s="3"/>
      <c r="M547" s="3"/>
      <c r="N547" s="3"/>
      <c r="O547" s="3" t="str">
        <f t="shared" si="1"/>
        <v/>
      </c>
      <c r="P547" s="3" t="str">
        <f t="shared" si="2"/>
        <v/>
      </c>
      <c r="Q547" s="3" t="str">
        <f t="shared" si="3"/>
        <v/>
      </c>
      <c r="R547" s="3" t="str">
        <f t="shared" si="4"/>
        <v/>
      </c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15"/>
      <c r="B548" s="5"/>
      <c r="C548" s="5"/>
      <c r="D548" s="5"/>
      <c r="E548" s="6"/>
      <c r="F548" s="3"/>
      <c r="G548" s="3"/>
      <c r="H548" s="3"/>
      <c r="I548" s="3"/>
      <c r="J548" s="3"/>
      <c r="K548" s="3"/>
      <c r="L548" s="3"/>
      <c r="M548" s="3"/>
      <c r="N548" s="3"/>
      <c r="O548" s="3" t="str">
        <f t="shared" si="1"/>
        <v/>
      </c>
      <c r="P548" s="3" t="str">
        <f t="shared" si="2"/>
        <v/>
      </c>
      <c r="Q548" s="3" t="str">
        <f t="shared" si="3"/>
        <v/>
      </c>
      <c r="R548" s="3" t="str">
        <f t="shared" si="4"/>
        <v/>
      </c>
      <c r="S548" s="3"/>
      <c r="T548" s="3"/>
      <c r="U548" s="3"/>
      <c r="V548" s="3"/>
      <c r="W548" s="3"/>
      <c r="X548" s="3"/>
      <c r="Y548" s="3"/>
      <c r="Z548" s="3"/>
    </row>
    <row r="549" ht="15.75" hidden="1" customHeight="1">
      <c r="A549" s="4" t="s">
        <v>592</v>
      </c>
      <c r="B549" s="5" t="s">
        <v>24</v>
      </c>
      <c r="C549" s="5" t="s">
        <v>105</v>
      </c>
      <c r="D549" s="5" t="s">
        <v>170</v>
      </c>
      <c r="E549" s="6">
        <v>2080.0</v>
      </c>
      <c r="F549" s="3"/>
      <c r="G549" s="3"/>
      <c r="H549" s="3"/>
      <c r="I549" s="3"/>
      <c r="J549" s="3"/>
      <c r="K549" s="3"/>
      <c r="L549" s="3"/>
      <c r="M549" s="3"/>
      <c r="N549" s="3"/>
      <c r="O549" s="3" t="str">
        <f t="shared" si="1"/>
        <v/>
      </c>
      <c r="P549" s="3" t="str">
        <f t="shared" si="2"/>
        <v/>
      </c>
      <c r="Q549" s="3" t="str">
        <f t="shared" si="3"/>
        <v/>
      </c>
      <c r="R549" s="3" t="str">
        <f t="shared" si="4"/>
        <v/>
      </c>
      <c r="S549" s="3"/>
      <c r="T549" s="3"/>
      <c r="U549" s="3"/>
      <c r="V549" s="3"/>
      <c r="W549" s="3"/>
      <c r="X549" s="3"/>
      <c r="Y549" s="3"/>
      <c r="Z549" s="3"/>
    </row>
    <row r="550" ht="15.75" hidden="1" customHeight="1">
      <c r="A550" s="4" t="s">
        <v>593</v>
      </c>
      <c r="B550" s="5" t="s">
        <v>24</v>
      </c>
      <c r="C550" s="5" t="s">
        <v>105</v>
      </c>
      <c r="D550" s="5" t="s">
        <v>170</v>
      </c>
      <c r="E550" s="6">
        <v>2070.0</v>
      </c>
      <c r="F550" s="3"/>
      <c r="G550" s="3"/>
      <c r="H550" s="3"/>
      <c r="I550" s="3"/>
      <c r="J550" s="3"/>
      <c r="K550" s="3"/>
      <c r="L550" s="3"/>
      <c r="M550" s="3"/>
      <c r="N550" s="3"/>
      <c r="O550" s="3" t="str">
        <f t="shared" si="1"/>
        <v/>
      </c>
      <c r="P550" s="3" t="str">
        <f t="shared" si="2"/>
        <v/>
      </c>
      <c r="Q550" s="3" t="str">
        <f t="shared" si="3"/>
        <v/>
      </c>
      <c r="R550" s="3" t="str">
        <f t="shared" si="4"/>
        <v/>
      </c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15"/>
      <c r="B551" s="5"/>
      <c r="C551" s="5"/>
      <c r="D551" s="5"/>
      <c r="E551" s="6"/>
      <c r="F551" s="3"/>
      <c r="G551" s="3"/>
      <c r="H551" s="3"/>
      <c r="I551" s="3"/>
      <c r="J551" s="3"/>
      <c r="K551" s="3"/>
      <c r="L551" s="3"/>
      <c r="M551" s="3"/>
      <c r="N551" s="3"/>
      <c r="O551" s="3" t="str">
        <f t="shared" si="1"/>
        <v/>
      </c>
      <c r="P551" s="3" t="str">
        <f t="shared" si="2"/>
        <v/>
      </c>
      <c r="Q551" s="3" t="str">
        <f t="shared" si="3"/>
        <v/>
      </c>
      <c r="R551" s="3" t="str">
        <f t="shared" si="4"/>
        <v/>
      </c>
      <c r="S551" s="3"/>
      <c r="T551" s="3"/>
      <c r="U551" s="3"/>
      <c r="V551" s="3"/>
      <c r="W551" s="3"/>
      <c r="X551" s="3"/>
      <c r="Y551" s="3"/>
      <c r="Z551" s="3"/>
    </row>
    <row r="552" ht="15.75" hidden="1" customHeight="1">
      <c r="A552" s="4" t="s">
        <v>594</v>
      </c>
      <c r="B552" s="5" t="s">
        <v>24</v>
      </c>
      <c r="C552" s="5" t="s">
        <v>105</v>
      </c>
      <c r="D552" s="5" t="s">
        <v>170</v>
      </c>
      <c r="E552" s="6">
        <v>2030.0</v>
      </c>
      <c r="F552" s="3"/>
      <c r="G552" s="3"/>
      <c r="H552" s="3"/>
      <c r="I552" s="3"/>
      <c r="J552" s="3"/>
      <c r="K552" s="3"/>
      <c r="L552" s="3"/>
      <c r="M552" s="3"/>
      <c r="N552" s="3"/>
      <c r="O552" s="3" t="str">
        <f t="shared" si="1"/>
        <v/>
      </c>
      <c r="P552" s="3" t="str">
        <f t="shared" si="2"/>
        <v/>
      </c>
      <c r="Q552" s="3" t="str">
        <f t="shared" si="3"/>
        <v/>
      </c>
      <c r="R552" s="3" t="str">
        <f t="shared" si="4"/>
        <v/>
      </c>
      <c r="S552" s="3"/>
      <c r="T552" s="3"/>
      <c r="U552" s="3"/>
      <c r="V552" s="3"/>
      <c r="W552" s="3"/>
      <c r="X552" s="3"/>
      <c r="Y552" s="3"/>
      <c r="Z552" s="3"/>
    </row>
    <row r="553" ht="15.75" hidden="1" customHeight="1">
      <c r="A553" s="4" t="s">
        <v>595</v>
      </c>
      <c r="B553" s="5" t="s">
        <v>24</v>
      </c>
      <c r="C553" s="5" t="s">
        <v>105</v>
      </c>
      <c r="D553" s="5" t="s">
        <v>170</v>
      </c>
      <c r="E553" s="6">
        <v>2010.0</v>
      </c>
      <c r="F553" s="3"/>
      <c r="G553" s="3"/>
      <c r="H553" s="3"/>
      <c r="I553" s="3"/>
      <c r="J553" s="3"/>
      <c r="K553" s="3"/>
      <c r="L553" s="3"/>
      <c r="M553" s="3"/>
      <c r="N553" s="3"/>
      <c r="O553" s="3" t="str">
        <f t="shared" si="1"/>
        <v/>
      </c>
      <c r="P553" s="3" t="str">
        <f t="shared" si="2"/>
        <v/>
      </c>
      <c r="Q553" s="3" t="str">
        <f t="shared" si="3"/>
        <v/>
      </c>
      <c r="R553" s="3" t="str">
        <f t="shared" si="4"/>
        <v/>
      </c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15"/>
      <c r="B554" s="5"/>
      <c r="C554" s="5"/>
      <c r="D554" s="5"/>
      <c r="E554" s="6"/>
      <c r="F554" s="3"/>
      <c r="G554" s="3"/>
      <c r="H554" s="3"/>
      <c r="I554" s="3"/>
      <c r="J554" s="3"/>
      <c r="K554" s="3"/>
      <c r="L554" s="3"/>
      <c r="M554" s="3"/>
      <c r="N554" s="3"/>
      <c r="O554" s="3" t="str">
        <f t="shared" si="1"/>
        <v/>
      </c>
      <c r="P554" s="3" t="str">
        <f t="shared" si="2"/>
        <v/>
      </c>
      <c r="Q554" s="3" t="str">
        <f t="shared" si="3"/>
        <v/>
      </c>
      <c r="R554" s="3" t="str">
        <f t="shared" si="4"/>
        <v/>
      </c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15"/>
      <c r="B555" s="5"/>
      <c r="C555" s="5"/>
      <c r="D555" s="5"/>
      <c r="E555" s="6"/>
      <c r="F555" s="3"/>
      <c r="G555" s="3"/>
      <c r="H555" s="3"/>
      <c r="I555" s="3"/>
      <c r="J555" s="3"/>
      <c r="K555" s="3"/>
      <c r="L555" s="3"/>
      <c r="M555" s="3"/>
      <c r="N555" s="3"/>
      <c r="O555" s="3" t="str">
        <f t="shared" si="1"/>
        <v/>
      </c>
      <c r="P555" s="3" t="str">
        <f t="shared" si="2"/>
        <v/>
      </c>
      <c r="Q555" s="3" t="str">
        <f t="shared" si="3"/>
        <v/>
      </c>
      <c r="R555" s="3" t="str">
        <f t="shared" si="4"/>
        <v/>
      </c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15"/>
      <c r="B556" s="5"/>
      <c r="C556" s="5"/>
      <c r="D556" s="5"/>
      <c r="E556" s="6"/>
      <c r="F556" s="3"/>
      <c r="G556" s="3"/>
      <c r="H556" s="3"/>
      <c r="I556" s="3"/>
      <c r="J556" s="3"/>
      <c r="K556" s="3"/>
      <c r="L556" s="3"/>
      <c r="M556" s="3"/>
      <c r="N556" s="3"/>
      <c r="O556" s="3" t="str">
        <f t="shared" si="1"/>
        <v/>
      </c>
      <c r="P556" s="3" t="str">
        <f t="shared" si="2"/>
        <v/>
      </c>
      <c r="Q556" s="3" t="str">
        <f t="shared" si="3"/>
        <v/>
      </c>
      <c r="R556" s="3" t="str">
        <f t="shared" si="4"/>
        <v/>
      </c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15"/>
      <c r="B557" s="5"/>
      <c r="C557" s="5"/>
      <c r="D557" s="5"/>
      <c r="E557" s="6"/>
      <c r="F557" s="3"/>
      <c r="G557" s="3"/>
      <c r="H557" s="3"/>
      <c r="I557" s="3"/>
      <c r="J557" s="3"/>
      <c r="K557" s="3"/>
      <c r="L557" s="3"/>
      <c r="M557" s="3"/>
      <c r="N557" s="3"/>
      <c r="O557" s="3" t="str">
        <f t="shared" si="1"/>
        <v/>
      </c>
      <c r="P557" s="3" t="str">
        <f t="shared" si="2"/>
        <v/>
      </c>
      <c r="Q557" s="3" t="str">
        <f t="shared" si="3"/>
        <v/>
      </c>
      <c r="R557" s="3" t="str">
        <f t="shared" si="4"/>
        <v/>
      </c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15"/>
      <c r="B558" s="5"/>
      <c r="C558" s="5"/>
      <c r="D558" s="5"/>
      <c r="E558" s="6"/>
      <c r="F558" s="3"/>
      <c r="G558" s="3"/>
      <c r="H558" s="3"/>
      <c r="I558" s="3"/>
      <c r="J558" s="3"/>
      <c r="K558" s="3"/>
      <c r="L558" s="3"/>
      <c r="M558" s="3"/>
      <c r="N558" s="3"/>
      <c r="O558" s="3" t="str">
        <f t="shared" si="1"/>
        <v/>
      </c>
      <c r="P558" s="3" t="str">
        <f t="shared" si="2"/>
        <v/>
      </c>
      <c r="Q558" s="3" t="str">
        <f t="shared" si="3"/>
        <v/>
      </c>
      <c r="R558" s="3" t="str">
        <f t="shared" si="4"/>
        <v/>
      </c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15"/>
      <c r="B559" s="5"/>
      <c r="C559" s="5"/>
      <c r="D559" s="5"/>
      <c r="E559" s="6"/>
      <c r="F559" s="3"/>
      <c r="G559" s="3"/>
      <c r="H559" s="3"/>
      <c r="I559" s="3"/>
      <c r="J559" s="3"/>
      <c r="K559" s="3"/>
      <c r="L559" s="3"/>
      <c r="M559" s="3"/>
      <c r="N559" s="3"/>
      <c r="O559" s="3" t="str">
        <f t="shared" si="1"/>
        <v/>
      </c>
      <c r="P559" s="3" t="str">
        <f t="shared" si="2"/>
        <v/>
      </c>
      <c r="Q559" s="3" t="str">
        <f t="shared" si="3"/>
        <v/>
      </c>
      <c r="R559" s="3" t="str">
        <f t="shared" si="4"/>
        <v/>
      </c>
      <c r="S559" s="3"/>
      <c r="T559" s="3"/>
      <c r="U559" s="3"/>
      <c r="V559" s="3"/>
      <c r="W559" s="3"/>
      <c r="X559" s="3"/>
      <c r="Y559" s="3"/>
      <c r="Z559" s="3"/>
    </row>
    <row r="560" ht="15.75" hidden="1" customHeight="1">
      <c r="A560" s="4" t="s">
        <v>596</v>
      </c>
      <c r="B560" s="5" t="s">
        <v>29</v>
      </c>
      <c r="C560" s="5" t="s">
        <v>169</v>
      </c>
      <c r="D560" s="5" t="s">
        <v>170</v>
      </c>
      <c r="E560" s="6">
        <v>1900.0</v>
      </c>
      <c r="F560" s="3"/>
      <c r="G560" s="3"/>
      <c r="H560" s="3"/>
      <c r="I560" s="3"/>
      <c r="J560" s="3"/>
      <c r="K560" s="3"/>
      <c r="L560" s="3"/>
      <c r="M560" s="3"/>
      <c r="N560" s="3"/>
      <c r="O560" s="3" t="str">
        <f t="shared" si="1"/>
        <v/>
      </c>
      <c r="P560" s="3" t="str">
        <f t="shared" si="2"/>
        <v/>
      </c>
      <c r="Q560" s="3" t="str">
        <f t="shared" si="3"/>
        <v/>
      </c>
      <c r="R560" s="3" t="str">
        <f t="shared" si="4"/>
        <v/>
      </c>
      <c r="S560" s="3"/>
      <c r="T560" s="3"/>
      <c r="U560" s="3"/>
      <c r="V560" s="3"/>
      <c r="W560" s="3"/>
      <c r="X560" s="3"/>
      <c r="Y560" s="3"/>
      <c r="Z560" s="3"/>
    </row>
    <row r="561" ht="15.75" hidden="1" customHeight="1">
      <c r="A561" s="4" t="s">
        <v>597</v>
      </c>
      <c r="B561" s="5" t="s">
        <v>24</v>
      </c>
      <c r="C561" s="5" t="s">
        <v>105</v>
      </c>
      <c r="D561" s="5" t="s">
        <v>170</v>
      </c>
      <c r="E561" s="6">
        <v>1900.0</v>
      </c>
      <c r="F561" s="3"/>
      <c r="G561" s="3"/>
      <c r="H561" s="3"/>
      <c r="I561" s="3"/>
      <c r="J561" s="3"/>
      <c r="K561" s="3"/>
      <c r="L561" s="3"/>
      <c r="M561" s="3"/>
      <c r="N561" s="3"/>
      <c r="O561" s="3" t="str">
        <f t="shared" si="1"/>
        <v/>
      </c>
      <c r="P561" s="3" t="str">
        <f t="shared" si="2"/>
        <v/>
      </c>
      <c r="Q561" s="3" t="str">
        <f t="shared" si="3"/>
        <v/>
      </c>
      <c r="R561" s="3" t="str">
        <f t="shared" si="4"/>
        <v/>
      </c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15"/>
      <c r="B562" s="5"/>
      <c r="C562" s="5"/>
      <c r="D562" s="5"/>
      <c r="E562" s="6"/>
      <c r="F562" s="3"/>
      <c r="G562" s="3"/>
      <c r="H562" s="3"/>
      <c r="I562" s="3"/>
      <c r="J562" s="3"/>
      <c r="K562" s="3"/>
      <c r="L562" s="3"/>
      <c r="M562" s="3"/>
      <c r="N562" s="3"/>
      <c r="O562" s="3" t="str">
        <f t="shared" si="1"/>
        <v/>
      </c>
      <c r="P562" s="3" t="str">
        <f t="shared" si="2"/>
        <v/>
      </c>
      <c r="Q562" s="3" t="str">
        <f t="shared" si="3"/>
        <v/>
      </c>
      <c r="R562" s="3" t="str">
        <f t="shared" si="4"/>
        <v/>
      </c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15"/>
      <c r="B563" s="5"/>
      <c r="C563" s="5"/>
      <c r="D563" s="5"/>
      <c r="E563" s="6"/>
      <c r="F563" s="3"/>
      <c r="G563" s="3"/>
      <c r="H563" s="3"/>
      <c r="I563" s="3"/>
      <c r="J563" s="3"/>
      <c r="K563" s="3"/>
      <c r="L563" s="3"/>
      <c r="M563" s="3"/>
      <c r="N563" s="3"/>
      <c r="O563" s="3" t="str">
        <f t="shared" si="1"/>
        <v/>
      </c>
      <c r="P563" s="3" t="str">
        <f t="shared" si="2"/>
        <v/>
      </c>
      <c r="Q563" s="3" t="str">
        <f t="shared" si="3"/>
        <v/>
      </c>
      <c r="R563" s="3" t="str">
        <f t="shared" si="4"/>
        <v/>
      </c>
      <c r="S563" s="3"/>
      <c r="T563" s="3"/>
      <c r="U563" s="3"/>
      <c r="V563" s="3"/>
      <c r="W563" s="3"/>
      <c r="X563" s="3"/>
      <c r="Y563" s="3"/>
      <c r="Z563" s="3"/>
    </row>
    <row r="564" ht="15.75" hidden="1" customHeight="1">
      <c r="A564" s="4" t="s">
        <v>598</v>
      </c>
      <c r="B564" s="5" t="s">
        <v>24</v>
      </c>
      <c r="C564" s="5" t="s">
        <v>105</v>
      </c>
      <c r="D564" s="5" t="s">
        <v>170</v>
      </c>
      <c r="E564" s="6">
        <v>1840.0</v>
      </c>
      <c r="F564" s="3"/>
      <c r="G564" s="3"/>
      <c r="H564" s="3"/>
      <c r="I564" s="3"/>
      <c r="J564" s="3"/>
      <c r="K564" s="3"/>
      <c r="L564" s="3"/>
      <c r="M564" s="3"/>
      <c r="N564" s="3"/>
      <c r="O564" s="3" t="str">
        <f t="shared" si="1"/>
        <v/>
      </c>
      <c r="P564" s="3" t="str">
        <f t="shared" si="2"/>
        <v/>
      </c>
      <c r="Q564" s="3" t="str">
        <f t="shared" si="3"/>
        <v/>
      </c>
      <c r="R564" s="3" t="str">
        <f t="shared" si="4"/>
        <v/>
      </c>
      <c r="S564" s="3"/>
      <c r="T564" s="3"/>
      <c r="U564" s="3"/>
      <c r="V564" s="3"/>
      <c r="W564" s="3"/>
      <c r="X564" s="3"/>
      <c r="Y564" s="3"/>
      <c r="Z564" s="3"/>
    </row>
    <row r="565" ht="15.75" hidden="1" customHeight="1">
      <c r="A565" s="4" t="s">
        <v>599</v>
      </c>
      <c r="B565" s="5" t="s">
        <v>24</v>
      </c>
      <c r="C565" s="5" t="s">
        <v>105</v>
      </c>
      <c r="D565" s="5" t="s">
        <v>170</v>
      </c>
      <c r="E565" s="6">
        <v>1820.0</v>
      </c>
      <c r="F565" s="3"/>
      <c r="G565" s="3"/>
      <c r="H565" s="3"/>
      <c r="I565" s="3"/>
      <c r="J565" s="3"/>
      <c r="K565" s="3"/>
      <c r="L565" s="3"/>
      <c r="M565" s="3"/>
      <c r="N565" s="3"/>
      <c r="O565" s="3" t="str">
        <f t="shared" si="1"/>
        <v/>
      </c>
      <c r="P565" s="3" t="str">
        <f t="shared" si="2"/>
        <v/>
      </c>
      <c r="Q565" s="3" t="str">
        <f t="shared" si="3"/>
        <v/>
      </c>
      <c r="R565" s="3" t="str">
        <f t="shared" si="4"/>
        <v/>
      </c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15"/>
      <c r="B566" s="5"/>
      <c r="C566" s="5"/>
      <c r="D566" s="5"/>
      <c r="E566" s="6"/>
      <c r="F566" s="3"/>
      <c r="G566" s="3"/>
      <c r="H566" s="3"/>
      <c r="I566" s="3"/>
      <c r="J566" s="3"/>
      <c r="K566" s="3"/>
      <c r="L566" s="3"/>
      <c r="M566" s="3"/>
      <c r="N566" s="3"/>
      <c r="O566" s="3" t="str">
        <f t="shared" si="1"/>
        <v/>
      </c>
      <c r="P566" s="3" t="str">
        <f t="shared" si="2"/>
        <v/>
      </c>
      <c r="Q566" s="3" t="str">
        <f t="shared" si="3"/>
        <v/>
      </c>
      <c r="R566" s="3" t="str">
        <f t="shared" si="4"/>
        <v/>
      </c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15"/>
      <c r="B567" s="5"/>
      <c r="C567" s="5"/>
      <c r="D567" s="5"/>
      <c r="E567" s="6"/>
      <c r="F567" s="3"/>
      <c r="G567" s="3"/>
      <c r="H567" s="3"/>
      <c r="I567" s="3"/>
      <c r="J567" s="3"/>
      <c r="K567" s="3"/>
      <c r="L567" s="3"/>
      <c r="M567" s="3"/>
      <c r="N567" s="3"/>
      <c r="O567" s="3" t="str">
        <f t="shared" si="1"/>
        <v/>
      </c>
      <c r="P567" s="3" t="str">
        <f t="shared" si="2"/>
        <v/>
      </c>
      <c r="Q567" s="3" t="str">
        <f t="shared" si="3"/>
        <v/>
      </c>
      <c r="R567" s="3" t="str">
        <f t="shared" si="4"/>
        <v/>
      </c>
      <c r="S567" s="3"/>
      <c r="T567" s="3"/>
      <c r="U567" s="3"/>
      <c r="V567" s="3"/>
      <c r="W567" s="3"/>
      <c r="X567" s="3"/>
      <c r="Y567" s="3"/>
      <c r="Z567" s="3"/>
    </row>
    <row r="568" ht="15.75" hidden="1" customHeight="1">
      <c r="A568" s="4" t="s">
        <v>600</v>
      </c>
      <c r="B568" s="5" t="s">
        <v>24</v>
      </c>
      <c r="C568" s="5" t="s">
        <v>105</v>
      </c>
      <c r="D568" s="5" t="s">
        <v>170</v>
      </c>
      <c r="E568" s="6">
        <v>1750.0</v>
      </c>
      <c r="F568" s="3"/>
      <c r="G568" s="3"/>
      <c r="H568" s="3"/>
      <c r="I568" s="3"/>
      <c r="J568" s="3"/>
      <c r="K568" s="3"/>
      <c r="L568" s="3"/>
      <c r="M568" s="3"/>
      <c r="N568" s="3"/>
      <c r="O568" s="3" t="str">
        <f t="shared" si="1"/>
        <v/>
      </c>
      <c r="P568" s="3" t="str">
        <f t="shared" si="2"/>
        <v/>
      </c>
      <c r="Q568" s="3" t="str">
        <f t="shared" si="3"/>
        <v/>
      </c>
      <c r="R568" s="3" t="str">
        <f t="shared" si="4"/>
        <v/>
      </c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15"/>
      <c r="B569" s="5"/>
      <c r="C569" s="5"/>
      <c r="D569" s="5"/>
      <c r="E569" s="6"/>
      <c r="F569" s="3"/>
      <c r="G569" s="3"/>
      <c r="H569" s="3"/>
      <c r="I569" s="3"/>
      <c r="J569" s="3"/>
      <c r="K569" s="3"/>
      <c r="L569" s="3"/>
      <c r="M569" s="3"/>
      <c r="N569" s="3"/>
      <c r="O569" s="3" t="str">
        <f t="shared" si="1"/>
        <v/>
      </c>
      <c r="P569" s="3" t="str">
        <f t="shared" si="2"/>
        <v/>
      </c>
      <c r="Q569" s="3" t="str">
        <f t="shared" si="3"/>
        <v/>
      </c>
      <c r="R569" s="3" t="str">
        <f t="shared" si="4"/>
        <v/>
      </c>
      <c r="S569" s="3"/>
      <c r="T569" s="3"/>
      <c r="U569" s="3"/>
      <c r="V569" s="3"/>
      <c r="W569" s="3"/>
      <c r="X569" s="3"/>
      <c r="Y569" s="3"/>
      <c r="Z569" s="3"/>
    </row>
    <row r="570" ht="15.75" hidden="1" customHeight="1">
      <c r="A570" s="4" t="s">
        <v>601</v>
      </c>
      <c r="B570" s="5" t="s">
        <v>24</v>
      </c>
      <c r="C570" s="5" t="s">
        <v>105</v>
      </c>
      <c r="D570" s="5" t="s">
        <v>170</v>
      </c>
      <c r="E570" s="6">
        <v>1740.0</v>
      </c>
      <c r="F570" s="3"/>
      <c r="G570" s="3"/>
      <c r="H570" s="3"/>
      <c r="I570" s="3"/>
      <c r="J570" s="3"/>
      <c r="K570" s="3"/>
      <c r="L570" s="3"/>
      <c r="M570" s="3"/>
      <c r="N570" s="3"/>
      <c r="O570" s="3" t="str">
        <f t="shared" si="1"/>
        <v/>
      </c>
      <c r="P570" s="3" t="str">
        <f t="shared" si="2"/>
        <v/>
      </c>
      <c r="Q570" s="3" t="str">
        <f t="shared" si="3"/>
        <v/>
      </c>
      <c r="R570" s="3" t="str">
        <f t="shared" si="4"/>
        <v/>
      </c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15"/>
      <c r="B571" s="5"/>
      <c r="C571" s="5"/>
      <c r="D571" s="5"/>
      <c r="E571" s="6"/>
      <c r="F571" s="3"/>
      <c r="G571" s="3"/>
      <c r="H571" s="3"/>
      <c r="I571" s="3"/>
      <c r="J571" s="3"/>
      <c r="K571" s="3"/>
      <c r="L571" s="3"/>
      <c r="M571" s="3"/>
      <c r="N571" s="3"/>
      <c r="O571" s="3" t="str">
        <f t="shared" si="1"/>
        <v/>
      </c>
      <c r="P571" s="3" t="str">
        <f t="shared" si="2"/>
        <v/>
      </c>
      <c r="Q571" s="3" t="str">
        <f t="shared" si="3"/>
        <v/>
      </c>
      <c r="R571" s="3" t="str">
        <f t="shared" si="4"/>
        <v/>
      </c>
      <c r="S571" s="3"/>
      <c r="T571" s="3"/>
      <c r="U571" s="3"/>
      <c r="V571" s="3"/>
      <c r="W571" s="3"/>
      <c r="X571" s="3"/>
      <c r="Y571" s="3"/>
      <c r="Z571" s="3"/>
    </row>
    <row r="572" ht="15.75" hidden="1" customHeight="1">
      <c r="A572" s="4" t="s">
        <v>602</v>
      </c>
      <c r="B572" s="5" t="s">
        <v>24</v>
      </c>
      <c r="C572" s="5" t="s">
        <v>105</v>
      </c>
      <c r="D572" s="5" t="s">
        <v>170</v>
      </c>
      <c r="E572" s="6">
        <v>1710.0</v>
      </c>
      <c r="F572" s="3"/>
      <c r="G572" s="3"/>
      <c r="H572" s="3"/>
      <c r="I572" s="3"/>
      <c r="J572" s="3"/>
      <c r="K572" s="3"/>
      <c r="L572" s="3"/>
      <c r="M572" s="3"/>
      <c r="N572" s="3"/>
      <c r="O572" s="3" t="str">
        <f t="shared" si="1"/>
        <v/>
      </c>
      <c r="P572" s="3" t="str">
        <f t="shared" si="2"/>
        <v/>
      </c>
      <c r="Q572" s="3" t="str">
        <f t="shared" si="3"/>
        <v/>
      </c>
      <c r="R572" s="3" t="str">
        <f t="shared" si="4"/>
        <v/>
      </c>
      <c r="S572" s="3"/>
      <c r="T572" s="3"/>
      <c r="U572" s="3"/>
      <c r="V572" s="3"/>
      <c r="W572" s="3"/>
      <c r="X572" s="3"/>
      <c r="Y572" s="3"/>
      <c r="Z572" s="3"/>
    </row>
    <row r="573" ht="15.75" hidden="1" customHeight="1">
      <c r="A573" s="4" t="s">
        <v>603</v>
      </c>
      <c r="B573" s="5" t="s">
        <v>29</v>
      </c>
      <c r="C573" s="5" t="s">
        <v>169</v>
      </c>
      <c r="D573" s="5" t="s">
        <v>170</v>
      </c>
      <c r="E573" s="6">
        <v>1700.0</v>
      </c>
      <c r="F573" s="3"/>
      <c r="G573" s="3"/>
      <c r="H573" s="3"/>
      <c r="I573" s="3"/>
      <c r="J573" s="3"/>
      <c r="K573" s="3"/>
      <c r="L573" s="3"/>
      <c r="M573" s="3"/>
      <c r="N573" s="3"/>
      <c r="O573" s="3" t="str">
        <f t="shared" si="1"/>
        <v/>
      </c>
      <c r="P573" s="3" t="str">
        <f t="shared" si="2"/>
        <v/>
      </c>
      <c r="Q573" s="3" t="str">
        <f t="shared" si="3"/>
        <v/>
      </c>
      <c r="R573" s="3" t="str">
        <f t="shared" si="4"/>
        <v/>
      </c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15"/>
      <c r="B574" s="5"/>
      <c r="C574" s="5"/>
      <c r="D574" s="5"/>
      <c r="E574" s="6"/>
      <c r="F574" s="3"/>
      <c r="G574" s="3"/>
      <c r="H574" s="3"/>
      <c r="I574" s="3"/>
      <c r="J574" s="3"/>
      <c r="K574" s="3"/>
      <c r="L574" s="3"/>
      <c r="M574" s="3"/>
      <c r="N574" s="3"/>
      <c r="O574" s="3" t="str">
        <f t="shared" si="1"/>
        <v/>
      </c>
      <c r="P574" s="3" t="str">
        <f t="shared" si="2"/>
        <v/>
      </c>
      <c r="Q574" s="3" t="str">
        <f t="shared" si="3"/>
        <v/>
      </c>
      <c r="R574" s="3" t="str">
        <f t="shared" si="4"/>
        <v/>
      </c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15"/>
      <c r="B575" s="5"/>
      <c r="C575" s="5"/>
      <c r="D575" s="5"/>
      <c r="E575" s="6"/>
      <c r="F575" s="3"/>
      <c r="G575" s="3"/>
      <c r="H575" s="3"/>
      <c r="I575" s="3"/>
      <c r="J575" s="3"/>
      <c r="K575" s="3"/>
      <c r="L575" s="3"/>
      <c r="M575" s="3"/>
      <c r="N575" s="3"/>
      <c r="O575" s="3" t="str">
        <f t="shared" si="1"/>
        <v/>
      </c>
      <c r="P575" s="3" t="str">
        <f t="shared" si="2"/>
        <v/>
      </c>
      <c r="Q575" s="3" t="str">
        <f t="shared" si="3"/>
        <v/>
      </c>
      <c r="R575" s="3" t="str">
        <f t="shared" si="4"/>
        <v/>
      </c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15"/>
      <c r="B576" s="5"/>
      <c r="C576" s="5"/>
      <c r="D576" s="5"/>
      <c r="E576" s="6"/>
      <c r="F576" s="3"/>
      <c r="G576" s="3"/>
      <c r="H576" s="3"/>
      <c r="I576" s="3"/>
      <c r="J576" s="3"/>
      <c r="K576" s="3"/>
      <c r="L576" s="3"/>
      <c r="M576" s="3"/>
      <c r="N576" s="3"/>
      <c r="O576" s="3" t="str">
        <f t="shared" si="1"/>
        <v/>
      </c>
      <c r="P576" s="3" t="str">
        <f t="shared" si="2"/>
        <v/>
      </c>
      <c r="Q576" s="3" t="str">
        <f t="shared" si="3"/>
        <v/>
      </c>
      <c r="R576" s="3" t="str">
        <f t="shared" si="4"/>
        <v/>
      </c>
      <c r="S576" s="3"/>
      <c r="T576" s="3"/>
      <c r="U576" s="3"/>
      <c r="V576" s="3"/>
      <c r="W576" s="3"/>
      <c r="X576" s="3"/>
      <c r="Y576" s="3"/>
      <c r="Z576" s="3"/>
    </row>
    <row r="577" ht="15.75" hidden="1" customHeight="1">
      <c r="A577" s="4" t="s">
        <v>604</v>
      </c>
      <c r="B577" s="5" t="s">
        <v>24</v>
      </c>
      <c r="C577" s="5" t="s">
        <v>105</v>
      </c>
      <c r="D577" s="5" t="s">
        <v>170</v>
      </c>
      <c r="E577" s="6">
        <v>1630.0</v>
      </c>
      <c r="F577" s="3"/>
      <c r="G577" s="3"/>
      <c r="H577" s="3"/>
      <c r="I577" s="3"/>
      <c r="J577" s="3"/>
      <c r="K577" s="3"/>
      <c r="L577" s="3"/>
      <c r="M577" s="3"/>
      <c r="N577" s="3"/>
      <c r="O577" s="3" t="str">
        <f t="shared" si="1"/>
        <v/>
      </c>
      <c r="P577" s="3" t="str">
        <f t="shared" si="2"/>
        <v/>
      </c>
      <c r="Q577" s="3" t="str">
        <f t="shared" si="3"/>
        <v/>
      </c>
      <c r="R577" s="3" t="str">
        <f t="shared" si="4"/>
        <v/>
      </c>
      <c r="S577" s="3"/>
      <c r="T577" s="3"/>
      <c r="U577" s="3"/>
      <c r="V577" s="3"/>
      <c r="W577" s="3"/>
      <c r="X577" s="3"/>
      <c r="Y577" s="3"/>
      <c r="Z577" s="3"/>
    </row>
    <row r="578" ht="15.75" hidden="1" customHeight="1">
      <c r="A578" s="4" t="s">
        <v>605</v>
      </c>
      <c r="B578" s="5" t="s">
        <v>24</v>
      </c>
      <c r="C578" s="5" t="s">
        <v>105</v>
      </c>
      <c r="D578" s="5" t="s">
        <v>170</v>
      </c>
      <c r="E578" s="6">
        <v>1620.0</v>
      </c>
      <c r="F578" s="3"/>
      <c r="G578" s="3"/>
      <c r="H578" s="3"/>
      <c r="I578" s="3"/>
      <c r="J578" s="3"/>
      <c r="K578" s="3"/>
      <c r="L578" s="3"/>
      <c r="M578" s="3"/>
      <c r="N578" s="3"/>
      <c r="O578" s="3" t="str">
        <f t="shared" si="1"/>
        <v/>
      </c>
      <c r="P578" s="3" t="str">
        <f t="shared" si="2"/>
        <v/>
      </c>
      <c r="Q578" s="3" t="str">
        <f t="shared" si="3"/>
        <v/>
      </c>
      <c r="R578" s="3" t="str">
        <f t="shared" si="4"/>
        <v/>
      </c>
      <c r="S578" s="3"/>
      <c r="T578" s="3"/>
      <c r="U578" s="3"/>
      <c r="V578" s="3"/>
      <c r="W578" s="3"/>
      <c r="X578" s="3"/>
      <c r="Y578" s="3"/>
      <c r="Z578" s="3"/>
    </row>
    <row r="579" ht="15.75" hidden="1" customHeight="1">
      <c r="A579" s="4" t="s">
        <v>606</v>
      </c>
      <c r="B579" s="5" t="s">
        <v>24</v>
      </c>
      <c r="C579" s="5" t="s">
        <v>105</v>
      </c>
      <c r="D579" s="5" t="s">
        <v>170</v>
      </c>
      <c r="E579" s="6">
        <v>1610.0</v>
      </c>
      <c r="F579" s="3"/>
      <c r="G579" s="3"/>
      <c r="H579" s="3"/>
      <c r="I579" s="3"/>
      <c r="J579" s="3"/>
      <c r="K579" s="3"/>
      <c r="L579" s="3"/>
      <c r="M579" s="3"/>
      <c r="N579" s="3"/>
      <c r="O579" s="3" t="str">
        <f t="shared" si="1"/>
        <v/>
      </c>
      <c r="P579" s="3" t="str">
        <f t="shared" si="2"/>
        <v/>
      </c>
      <c r="Q579" s="3" t="str">
        <f t="shared" si="3"/>
        <v/>
      </c>
      <c r="R579" s="3" t="str">
        <f t="shared" si="4"/>
        <v/>
      </c>
      <c r="S579" s="3"/>
      <c r="T579" s="3"/>
      <c r="U579" s="3"/>
      <c r="V579" s="3"/>
      <c r="W579" s="3"/>
      <c r="X579" s="3"/>
      <c r="Y579" s="3"/>
      <c r="Z579" s="3"/>
    </row>
    <row r="580" ht="15.75" hidden="1" customHeight="1">
      <c r="A580" s="4" t="s">
        <v>607</v>
      </c>
      <c r="B580" s="5" t="s">
        <v>24</v>
      </c>
      <c r="C580" s="5" t="s">
        <v>105</v>
      </c>
      <c r="D580" s="5" t="s">
        <v>170</v>
      </c>
      <c r="E580" s="6">
        <v>1580.0</v>
      </c>
      <c r="F580" s="3"/>
      <c r="G580" s="3"/>
      <c r="H580" s="3"/>
      <c r="I580" s="3"/>
      <c r="J580" s="3"/>
      <c r="K580" s="3"/>
      <c r="L580" s="3"/>
      <c r="M580" s="3"/>
      <c r="N580" s="3"/>
      <c r="O580" s="3" t="str">
        <f t="shared" si="1"/>
        <v/>
      </c>
      <c r="P580" s="3" t="str">
        <f t="shared" si="2"/>
        <v/>
      </c>
      <c r="Q580" s="3" t="str">
        <f t="shared" si="3"/>
        <v/>
      </c>
      <c r="R580" s="3" t="str">
        <f t="shared" si="4"/>
        <v/>
      </c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15"/>
      <c r="B581" s="5"/>
      <c r="C581" s="5"/>
      <c r="D581" s="5"/>
      <c r="E581" s="6"/>
      <c r="F581" s="3"/>
      <c r="G581" s="3"/>
      <c r="H581" s="3"/>
      <c r="I581" s="3"/>
      <c r="J581" s="3"/>
      <c r="K581" s="3"/>
      <c r="L581" s="3"/>
      <c r="M581" s="3"/>
      <c r="N581" s="3"/>
      <c r="O581" s="3" t="str">
        <f t="shared" si="1"/>
        <v/>
      </c>
      <c r="P581" s="3" t="str">
        <f t="shared" si="2"/>
        <v/>
      </c>
      <c r="Q581" s="3" t="str">
        <f t="shared" si="3"/>
        <v/>
      </c>
      <c r="R581" s="3" t="str">
        <f t="shared" si="4"/>
        <v/>
      </c>
      <c r="S581" s="3"/>
      <c r="T581" s="3"/>
      <c r="U581" s="3"/>
      <c r="V581" s="3"/>
      <c r="W581" s="3"/>
      <c r="X581" s="3"/>
      <c r="Y581" s="3"/>
      <c r="Z581" s="3"/>
    </row>
    <row r="582" ht="15.75" hidden="1" customHeight="1">
      <c r="A582" s="4" t="s">
        <v>608</v>
      </c>
      <c r="B582" s="5" t="s">
        <v>24</v>
      </c>
      <c r="C582" s="5" t="s">
        <v>105</v>
      </c>
      <c r="D582" s="5" t="s">
        <v>170</v>
      </c>
      <c r="E582" s="6">
        <v>1540.0</v>
      </c>
      <c r="F582" s="3"/>
      <c r="G582" s="3"/>
      <c r="H582" s="3"/>
      <c r="I582" s="3"/>
      <c r="J582" s="3"/>
      <c r="K582" s="3"/>
      <c r="L582" s="3"/>
      <c r="M582" s="3"/>
      <c r="N582" s="3"/>
      <c r="O582" s="3" t="str">
        <f t="shared" si="1"/>
        <v/>
      </c>
      <c r="P582" s="3" t="str">
        <f t="shared" si="2"/>
        <v/>
      </c>
      <c r="Q582" s="3" t="str">
        <f t="shared" si="3"/>
        <v/>
      </c>
      <c r="R582" s="3" t="str">
        <f t="shared" si="4"/>
        <v/>
      </c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15"/>
      <c r="B583" s="5"/>
      <c r="C583" s="5"/>
      <c r="D583" s="5"/>
      <c r="E583" s="6"/>
      <c r="F583" s="3"/>
      <c r="G583" s="3"/>
      <c r="H583" s="3"/>
      <c r="I583" s="3"/>
      <c r="J583" s="3"/>
      <c r="K583" s="3"/>
      <c r="L583" s="3"/>
      <c r="M583" s="3"/>
      <c r="N583" s="3"/>
      <c r="O583" s="3" t="str">
        <f t="shared" si="1"/>
        <v/>
      </c>
      <c r="P583" s="3" t="str">
        <f t="shared" si="2"/>
        <v/>
      </c>
      <c r="Q583" s="3" t="str">
        <f t="shared" si="3"/>
        <v/>
      </c>
      <c r="R583" s="3" t="str">
        <f t="shared" si="4"/>
        <v/>
      </c>
      <c r="S583" s="3"/>
      <c r="T583" s="3"/>
      <c r="U583" s="3"/>
      <c r="V583" s="3"/>
      <c r="W583" s="3"/>
      <c r="X583" s="3"/>
      <c r="Y583" s="3"/>
      <c r="Z583" s="3"/>
    </row>
    <row r="584" ht="15.75" hidden="1" customHeight="1">
      <c r="A584" s="4" t="s">
        <v>609</v>
      </c>
      <c r="B584" s="5" t="s">
        <v>24</v>
      </c>
      <c r="C584" s="5" t="s">
        <v>105</v>
      </c>
      <c r="D584" s="5" t="s">
        <v>170</v>
      </c>
      <c r="E584" s="6">
        <v>1510.0</v>
      </c>
      <c r="F584" s="3"/>
      <c r="G584" s="3"/>
      <c r="H584" s="3"/>
      <c r="I584" s="3"/>
      <c r="J584" s="3"/>
      <c r="K584" s="3"/>
      <c r="L584" s="3"/>
      <c r="M584" s="3"/>
      <c r="N584" s="3"/>
      <c r="O584" s="3" t="str">
        <f t="shared" si="1"/>
        <v/>
      </c>
      <c r="P584" s="3" t="str">
        <f t="shared" si="2"/>
        <v/>
      </c>
      <c r="Q584" s="3" t="str">
        <f t="shared" si="3"/>
        <v/>
      </c>
      <c r="R584" s="3" t="str">
        <f t="shared" si="4"/>
        <v/>
      </c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15"/>
      <c r="B585" s="5"/>
      <c r="C585" s="5"/>
      <c r="D585" s="5"/>
      <c r="E585" s="6"/>
      <c r="F585" s="3"/>
      <c r="G585" s="3"/>
      <c r="H585" s="3"/>
      <c r="I585" s="3"/>
      <c r="J585" s="3"/>
      <c r="K585" s="3"/>
      <c r="L585" s="3"/>
      <c r="M585" s="3"/>
      <c r="N585" s="3"/>
      <c r="O585" s="3" t="str">
        <f t="shared" si="1"/>
        <v/>
      </c>
      <c r="P585" s="3" t="str">
        <f t="shared" si="2"/>
        <v/>
      </c>
      <c r="Q585" s="3" t="str">
        <f t="shared" si="3"/>
        <v/>
      </c>
      <c r="R585" s="3" t="str">
        <f t="shared" si="4"/>
        <v/>
      </c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15"/>
      <c r="B586" s="5"/>
      <c r="C586" s="5"/>
      <c r="D586" s="5"/>
      <c r="E586" s="6"/>
      <c r="F586" s="3"/>
      <c r="G586" s="3"/>
      <c r="H586" s="3"/>
      <c r="I586" s="3"/>
      <c r="J586" s="3"/>
      <c r="K586" s="3"/>
      <c r="L586" s="3"/>
      <c r="M586" s="3"/>
      <c r="N586" s="3"/>
      <c r="O586" s="3" t="str">
        <f t="shared" si="1"/>
        <v/>
      </c>
      <c r="P586" s="3" t="str">
        <f t="shared" si="2"/>
        <v/>
      </c>
      <c r="Q586" s="3" t="str">
        <f t="shared" si="3"/>
        <v/>
      </c>
      <c r="R586" s="3" t="str">
        <f t="shared" si="4"/>
        <v/>
      </c>
      <c r="S586" s="3"/>
      <c r="T586" s="3"/>
      <c r="U586" s="3"/>
      <c r="V586" s="3"/>
      <c r="W586" s="3"/>
      <c r="X586" s="3"/>
      <c r="Y586" s="3"/>
      <c r="Z586" s="3"/>
    </row>
    <row r="587" ht="15.75" hidden="1" customHeight="1">
      <c r="A587" s="4" t="s">
        <v>610</v>
      </c>
      <c r="B587" s="5" t="s">
        <v>24</v>
      </c>
      <c r="C587" s="5" t="s">
        <v>105</v>
      </c>
      <c r="D587" s="5" t="s">
        <v>170</v>
      </c>
      <c r="E587" s="6">
        <v>1430.0</v>
      </c>
      <c r="F587" s="3"/>
      <c r="G587" s="3"/>
      <c r="H587" s="3"/>
      <c r="I587" s="3"/>
      <c r="J587" s="3"/>
      <c r="K587" s="3"/>
      <c r="L587" s="3"/>
      <c r="M587" s="3"/>
      <c r="N587" s="3"/>
      <c r="O587" s="3" t="str">
        <f t="shared" si="1"/>
        <v/>
      </c>
      <c r="P587" s="3" t="str">
        <f t="shared" si="2"/>
        <v/>
      </c>
      <c r="Q587" s="3" t="str">
        <f t="shared" si="3"/>
        <v/>
      </c>
      <c r="R587" s="3" t="str">
        <f t="shared" si="4"/>
        <v/>
      </c>
      <c r="S587" s="3"/>
      <c r="T587" s="3"/>
      <c r="U587" s="3"/>
      <c r="V587" s="3"/>
      <c r="W587" s="3"/>
      <c r="X587" s="3"/>
      <c r="Y587" s="3"/>
      <c r="Z587" s="3"/>
    </row>
    <row r="588" ht="15.75" hidden="1" customHeight="1">
      <c r="A588" s="4" t="s">
        <v>611</v>
      </c>
      <c r="B588" s="5" t="s">
        <v>24</v>
      </c>
      <c r="C588" s="5" t="s">
        <v>105</v>
      </c>
      <c r="D588" s="5" t="s">
        <v>170</v>
      </c>
      <c r="E588" s="6">
        <v>1420.0</v>
      </c>
      <c r="F588" s="3"/>
      <c r="G588" s="3"/>
      <c r="H588" s="3"/>
      <c r="I588" s="3"/>
      <c r="J588" s="3"/>
      <c r="K588" s="3"/>
      <c r="L588" s="3"/>
      <c r="M588" s="3"/>
      <c r="N588" s="3"/>
      <c r="O588" s="3" t="str">
        <f t="shared" si="1"/>
        <v/>
      </c>
      <c r="P588" s="3" t="str">
        <f t="shared" si="2"/>
        <v/>
      </c>
      <c r="Q588" s="3" t="str">
        <f t="shared" si="3"/>
        <v/>
      </c>
      <c r="R588" s="3" t="str">
        <f t="shared" si="4"/>
        <v/>
      </c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15"/>
      <c r="B589" s="5"/>
      <c r="C589" s="5"/>
      <c r="D589" s="5"/>
      <c r="E589" s="6"/>
      <c r="F589" s="3"/>
      <c r="G589" s="3"/>
      <c r="H589" s="3"/>
      <c r="I589" s="3"/>
      <c r="J589" s="3"/>
      <c r="K589" s="3"/>
      <c r="L589" s="3"/>
      <c r="M589" s="3"/>
      <c r="N589" s="3"/>
      <c r="O589" s="3" t="str">
        <f t="shared" si="1"/>
        <v/>
      </c>
      <c r="P589" s="3" t="str">
        <f t="shared" si="2"/>
        <v/>
      </c>
      <c r="Q589" s="3" t="str">
        <f t="shared" si="3"/>
        <v/>
      </c>
      <c r="R589" s="3" t="str">
        <f t="shared" si="4"/>
        <v/>
      </c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15"/>
      <c r="B590" s="5"/>
      <c r="C590" s="5"/>
      <c r="D590" s="5"/>
      <c r="E590" s="6"/>
      <c r="F590" s="3"/>
      <c r="G590" s="3"/>
      <c r="H590" s="3"/>
      <c r="I590" s="3"/>
      <c r="J590" s="3"/>
      <c r="K590" s="3"/>
      <c r="L590" s="3"/>
      <c r="M590" s="3"/>
      <c r="N590" s="3"/>
      <c r="O590" s="3" t="str">
        <f t="shared" si="1"/>
        <v/>
      </c>
      <c r="P590" s="3" t="str">
        <f t="shared" si="2"/>
        <v/>
      </c>
      <c r="Q590" s="3" t="str">
        <f t="shared" si="3"/>
        <v/>
      </c>
      <c r="R590" s="3" t="str">
        <f t="shared" si="4"/>
        <v/>
      </c>
      <c r="S590" s="3"/>
      <c r="T590" s="3"/>
      <c r="U590" s="3"/>
      <c r="V590" s="3"/>
      <c r="W590" s="3"/>
      <c r="X590" s="3"/>
      <c r="Y590" s="3"/>
      <c r="Z590" s="3"/>
    </row>
    <row r="591" ht="15.75" hidden="1" customHeight="1">
      <c r="A591" s="4" t="s">
        <v>612</v>
      </c>
      <c r="B591" s="5" t="s">
        <v>24</v>
      </c>
      <c r="C591" s="5" t="s">
        <v>105</v>
      </c>
      <c r="D591" s="5" t="s">
        <v>170</v>
      </c>
      <c r="E591" s="6">
        <v>1410.0</v>
      </c>
      <c r="F591" s="3"/>
      <c r="G591" s="3"/>
      <c r="H591" s="3"/>
      <c r="I591" s="3"/>
      <c r="J591" s="3"/>
      <c r="K591" s="3"/>
      <c r="L591" s="3"/>
      <c r="M591" s="3"/>
      <c r="N591" s="3"/>
      <c r="O591" s="3" t="str">
        <f t="shared" si="1"/>
        <v/>
      </c>
      <c r="P591" s="3" t="str">
        <f t="shared" si="2"/>
        <v/>
      </c>
      <c r="Q591" s="3" t="str">
        <f t="shared" si="3"/>
        <v/>
      </c>
      <c r="R591" s="3" t="str">
        <f t="shared" si="4"/>
        <v/>
      </c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15"/>
      <c r="B592" s="5"/>
      <c r="C592" s="5"/>
      <c r="D592" s="5"/>
      <c r="E592" s="6"/>
      <c r="F592" s="3"/>
      <c r="G592" s="3"/>
      <c r="H592" s="3"/>
      <c r="I592" s="3"/>
      <c r="J592" s="3"/>
      <c r="K592" s="3"/>
      <c r="L592" s="3"/>
      <c r="M592" s="3"/>
      <c r="N592" s="3"/>
      <c r="O592" s="3" t="str">
        <f t="shared" si="1"/>
        <v/>
      </c>
      <c r="P592" s="3" t="str">
        <f t="shared" si="2"/>
        <v/>
      </c>
      <c r="Q592" s="3" t="str">
        <f t="shared" si="3"/>
        <v/>
      </c>
      <c r="R592" s="3" t="str">
        <f t="shared" si="4"/>
        <v/>
      </c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15"/>
      <c r="B593" s="5"/>
      <c r="C593" s="5"/>
      <c r="D593" s="5"/>
      <c r="E593" s="6"/>
      <c r="F593" s="3"/>
      <c r="G593" s="3"/>
      <c r="H593" s="3"/>
      <c r="I593" s="3"/>
      <c r="J593" s="3"/>
      <c r="K593" s="3"/>
      <c r="L593" s="3"/>
      <c r="M593" s="3"/>
      <c r="N593" s="3"/>
      <c r="O593" s="3" t="str">
        <f t="shared" si="1"/>
        <v/>
      </c>
      <c r="P593" s="3" t="str">
        <f t="shared" si="2"/>
        <v/>
      </c>
      <c r="Q593" s="3" t="str">
        <f t="shared" si="3"/>
        <v/>
      </c>
      <c r="R593" s="3" t="str">
        <f t="shared" si="4"/>
        <v/>
      </c>
      <c r="S593" s="3"/>
      <c r="T593" s="3"/>
      <c r="U593" s="3"/>
      <c r="V593" s="3"/>
      <c r="W593" s="3"/>
      <c r="X593" s="3"/>
      <c r="Y593" s="3"/>
      <c r="Z593" s="3"/>
    </row>
    <row r="594" ht="15.75" hidden="1" customHeight="1">
      <c r="A594" s="4" t="s">
        <v>613</v>
      </c>
      <c r="B594" s="5" t="s">
        <v>24</v>
      </c>
      <c r="C594" s="5" t="s">
        <v>105</v>
      </c>
      <c r="D594" s="5" t="s">
        <v>170</v>
      </c>
      <c r="E594" s="6">
        <v>1370.0</v>
      </c>
      <c r="F594" s="3"/>
      <c r="G594" s="3"/>
      <c r="H594" s="3"/>
      <c r="I594" s="3"/>
      <c r="J594" s="3"/>
      <c r="K594" s="3"/>
      <c r="L594" s="3"/>
      <c r="M594" s="3"/>
      <c r="N594" s="3"/>
      <c r="O594" s="3" t="str">
        <f t="shared" si="1"/>
        <v/>
      </c>
      <c r="P594" s="3" t="str">
        <f t="shared" si="2"/>
        <v/>
      </c>
      <c r="Q594" s="3" t="str">
        <f t="shared" si="3"/>
        <v/>
      </c>
      <c r="R594" s="3" t="str">
        <f t="shared" si="4"/>
        <v/>
      </c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15"/>
      <c r="B595" s="5"/>
      <c r="C595" s="5"/>
      <c r="D595" s="5"/>
      <c r="E595" s="6"/>
      <c r="F595" s="3"/>
      <c r="G595" s="3"/>
      <c r="H595" s="3"/>
      <c r="I595" s="3"/>
      <c r="J595" s="3"/>
      <c r="K595" s="3"/>
      <c r="L595" s="3"/>
      <c r="M595" s="3"/>
      <c r="N595" s="3"/>
      <c r="O595" s="3" t="str">
        <f t="shared" si="1"/>
        <v/>
      </c>
      <c r="P595" s="3" t="str">
        <f t="shared" si="2"/>
        <v/>
      </c>
      <c r="Q595" s="3" t="str">
        <f t="shared" si="3"/>
        <v/>
      </c>
      <c r="R595" s="3" t="str">
        <f t="shared" si="4"/>
        <v/>
      </c>
      <c r="S595" s="3"/>
      <c r="T595" s="3"/>
      <c r="U595" s="3"/>
      <c r="V595" s="3"/>
      <c r="W595" s="3"/>
      <c r="X595" s="3"/>
      <c r="Y595" s="3"/>
      <c r="Z595" s="3"/>
    </row>
    <row r="596" ht="15.75" hidden="1" customHeight="1">
      <c r="A596" s="4" t="s">
        <v>614</v>
      </c>
      <c r="B596" s="5" t="s">
        <v>24</v>
      </c>
      <c r="C596" s="5" t="s">
        <v>105</v>
      </c>
      <c r="D596" s="5" t="s">
        <v>170</v>
      </c>
      <c r="E596" s="6">
        <v>1330.0</v>
      </c>
      <c r="F596" s="3"/>
      <c r="G596" s="3"/>
      <c r="H596" s="3"/>
      <c r="I596" s="3"/>
      <c r="J596" s="3"/>
      <c r="K596" s="3"/>
      <c r="L596" s="3"/>
      <c r="M596" s="3"/>
      <c r="N596" s="3"/>
      <c r="O596" s="3" t="str">
        <f t="shared" si="1"/>
        <v/>
      </c>
      <c r="P596" s="3" t="str">
        <f t="shared" si="2"/>
        <v/>
      </c>
      <c r="Q596" s="3" t="str">
        <f t="shared" si="3"/>
        <v/>
      </c>
      <c r="R596" s="3" t="str">
        <f t="shared" si="4"/>
        <v/>
      </c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15"/>
      <c r="B597" s="5"/>
      <c r="C597" s="5"/>
      <c r="D597" s="5"/>
      <c r="E597" s="6"/>
      <c r="F597" s="3"/>
      <c r="G597" s="3"/>
      <c r="H597" s="3"/>
      <c r="I597" s="3"/>
      <c r="J597" s="3"/>
      <c r="K597" s="3"/>
      <c r="L597" s="3"/>
      <c r="M597" s="3"/>
      <c r="N597" s="3"/>
      <c r="O597" s="3" t="str">
        <f t="shared" si="1"/>
        <v/>
      </c>
      <c r="P597" s="3" t="str">
        <f t="shared" si="2"/>
        <v/>
      </c>
      <c r="Q597" s="3" t="str">
        <f t="shared" si="3"/>
        <v/>
      </c>
      <c r="R597" s="3" t="str">
        <f t="shared" si="4"/>
        <v/>
      </c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15"/>
      <c r="B598" s="5"/>
      <c r="C598" s="5"/>
      <c r="D598" s="5"/>
      <c r="E598" s="6"/>
      <c r="F598" s="3"/>
      <c r="G598" s="3"/>
      <c r="H598" s="3"/>
      <c r="I598" s="3"/>
      <c r="J598" s="3"/>
      <c r="K598" s="3"/>
      <c r="L598" s="3"/>
      <c r="M598" s="3"/>
      <c r="N598" s="3"/>
      <c r="O598" s="3" t="str">
        <f t="shared" si="1"/>
        <v/>
      </c>
      <c r="P598" s="3" t="str">
        <f t="shared" si="2"/>
        <v/>
      </c>
      <c r="Q598" s="3" t="str">
        <f t="shared" si="3"/>
        <v/>
      </c>
      <c r="R598" s="3" t="str">
        <f t="shared" si="4"/>
        <v/>
      </c>
      <c r="S598" s="3"/>
      <c r="T598" s="3"/>
      <c r="U598" s="3"/>
      <c r="V598" s="3"/>
      <c r="W598" s="3"/>
      <c r="X598" s="3"/>
      <c r="Y598" s="3"/>
      <c r="Z598" s="3"/>
    </row>
    <row r="599" ht="15.75" hidden="1" customHeight="1">
      <c r="A599" s="4" t="s">
        <v>615</v>
      </c>
      <c r="B599" s="5" t="s">
        <v>24</v>
      </c>
      <c r="C599" s="5" t="s">
        <v>105</v>
      </c>
      <c r="D599" s="5" t="s">
        <v>170</v>
      </c>
      <c r="E599" s="6">
        <v>1270.0</v>
      </c>
      <c r="F599" s="3"/>
      <c r="G599" s="3"/>
      <c r="H599" s="3"/>
      <c r="I599" s="3"/>
      <c r="J599" s="3"/>
      <c r="K599" s="3"/>
      <c r="L599" s="3"/>
      <c r="M599" s="3"/>
      <c r="N599" s="3"/>
      <c r="O599" s="3" t="str">
        <f t="shared" si="1"/>
        <v/>
      </c>
      <c r="P599" s="3" t="str">
        <f t="shared" si="2"/>
        <v/>
      </c>
      <c r="Q599" s="3" t="str">
        <f t="shared" si="3"/>
        <v/>
      </c>
      <c r="R599" s="3" t="str">
        <f t="shared" si="4"/>
        <v/>
      </c>
      <c r="S599" s="3"/>
      <c r="T599" s="3"/>
      <c r="U599" s="3"/>
      <c r="V599" s="3"/>
      <c r="W599" s="3"/>
      <c r="X599" s="3"/>
      <c r="Y599" s="3"/>
      <c r="Z599" s="3"/>
    </row>
    <row r="600" ht="15.75" hidden="1" customHeight="1">
      <c r="A600" s="4" t="s">
        <v>616</v>
      </c>
      <c r="B600" s="5" t="s">
        <v>24</v>
      </c>
      <c r="C600" s="5" t="s">
        <v>105</v>
      </c>
      <c r="D600" s="5" t="s">
        <v>170</v>
      </c>
      <c r="E600" s="6">
        <v>1270.0</v>
      </c>
      <c r="F600" s="3"/>
      <c r="G600" s="3"/>
      <c r="H600" s="3"/>
      <c r="I600" s="3"/>
      <c r="J600" s="3"/>
      <c r="K600" s="3"/>
      <c r="L600" s="3"/>
      <c r="M600" s="3"/>
      <c r="N600" s="3"/>
      <c r="O600" s="3" t="str">
        <f t="shared" si="1"/>
        <v/>
      </c>
      <c r="P600" s="3" t="str">
        <f t="shared" si="2"/>
        <v/>
      </c>
      <c r="Q600" s="3" t="str">
        <f t="shared" si="3"/>
        <v/>
      </c>
      <c r="R600" s="3" t="str">
        <f t="shared" si="4"/>
        <v/>
      </c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15"/>
      <c r="B601" s="5"/>
      <c r="C601" s="5"/>
      <c r="D601" s="5"/>
      <c r="E601" s="6"/>
      <c r="F601" s="3"/>
      <c r="G601" s="3"/>
      <c r="H601" s="3"/>
      <c r="I601" s="3"/>
      <c r="J601" s="3"/>
      <c r="K601" s="3"/>
      <c r="L601" s="3"/>
      <c r="M601" s="3"/>
      <c r="N601" s="3"/>
      <c r="O601" s="3" t="str">
        <f t="shared" si="1"/>
        <v/>
      </c>
      <c r="P601" s="3" t="str">
        <f t="shared" si="2"/>
        <v/>
      </c>
      <c r="Q601" s="3" t="str">
        <f t="shared" si="3"/>
        <v/>
      </c>
      <c r="R601" s="3" t="str">
        <f t="shared" si="4"/>
        <v/>
      </c>
      <c r="S601" s="3"/>
      <c r="T601" s="3"/>
      <c r="U601" s="3"/>
      <c r="V601" s="3"/>
      <c r="W601" s="3"/>
      <c r="X601" s="3"/>
      <c r="Y601" s="3"/>
      <c r="Z601" s="3"/>
    </row>
    <row r="602" ht="15.75" hidden="1" customHeight="1">
      <c r="A602" s="4" t="s">
        <v>617</v>
      </c>
      <c r="B602" s="5" t="s">
        <v>24</v>
      </c>
      <c r="C602" s="5" t="s">
        <v>105</v>
      </c>
      <c r="D602" s="5" t="s">
        <v>170</v>
      </c>
      <c r="E602" s="6">
        <v>1230.0</v>
      </c>
      <c r="F602" s="3"/>
      <c r="G602" s="3"/>
      <c r="H602" s="3"/>
      <c r="I602" s="3"/>
      <c r="J602" s="3"/>
      <c r="K602" s="3"/>
      <c r="L602" s="3"/>
      <c r="M602" s="3"/>
      <c r="N602" s="3"/>
      <c r="O602" s="3" t="str">
        <f t="shared" si="1"/>
        <v/>
      </c>
      <c r="P602" s="3" t="str">
        <f t="shared" si="2"/>
        <v/>
      </c>
      <c r="Q602" s="3" t="str">
        <f t="shared" si="3"/>
        <v/>
      </c>
      <c r="R602" s="3" t="str">
        <f t="shared" si="4"/>
        <v/>
      </c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15"/>
      <c r="B603" s="5"/>
      <c r="C603" s="5"/>
      <c r="D603" s="5"/>
      <c r="E603" s="6"/>
      <c r="F603" s="3"/>
      <c r="G603" s="3"/>
      <c r="H603" s="3"/>
      <c r="I603" s="3"/>
      <c r="J603" s="3"/>
      <c r="K603" s="3"/>
      <c r="L603" s="3"/>
      <c r="M603" s="3"/>
      <c r="N603" s="3"/>
      <c r="O603" s="3" t="str">
        <f t="shared" si="1"/>
        <v/>
      </c>
      <c r="P603" s="3" t="str">
        <f t="shared" si="2"/>
        <v/>
      </c>
      <c r="Q603" s="3" t="str">
        <f t="shared" si="3"/>
        <v/>
      </c>
      <c r="R603" s="3" t="str">
        <f t="shared" si="4"/>
        <v/>
      </c>
      <c r="S603" s="3"/>
      <c r="T603" s="3"/>
      <c r="U603" s="3"/>
      <c r="V603" s="3"/>
      <c r="W603" s="3"/>
      <c r="X603" s="3"/>
      <c r="Y603" s="3"/>
      <c r="Z603" s="3"/>
    </row>
    <row r="604" ht="15.75" hidden="1" customHeight="1">
      <c r="A604" s="4" t="s">
        <v>618</v>
      </c>
      <c r="B604" s="5" t="s">
        <v>24</v>
      </c>
      <c r="C604" s="5" t="s">
        <v>105</v>
      </c>
      <c r="D604" s="5" t="s">
        <v>170</v>
      </c>
      <c r="E604" s="6">
        <v>1210.0</v>
      </c>
      <c r="F604" s="3"/>
      <c r="G604" s="3"/>
      <c r="H604" s="3"/>
      <c r="I604" s="3"/>
      <c r="J604" s="3"/>
      <c r="K604" s="3"/>
      <c r="L604" s="3"/>
      <c r="M604" s="3"/>
      <c r="N604" s="3"/>
      <c r="O604" s="3" t="str">
        <f t="shared" si="1"/>
        <v/>
      </c>
      <c r="P604" s="3" t="str">
        <f t="shared" si="2"/>
        <v/>
      </c>
      <c r="Q604" s="3" t="str">
        <f t="shared" si="3"/>
        <v/>
      </c>
      <c r="R604" s="3" t="str">
        <f t="shared" si="4"/>
        <v/>
      </c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15"/>
      <c r="B605" s="5"/>
      <c r="C605" s="5"/>
      <c r="D605" s="5"/>
      <c r="E605" s="6"/>
      <c r="F605" s="3"/>
      <c r="G605" s="3"/>
      <c r="H605" s="3"/>
      <c r="I605" s="3"/>
      <c r="J605" s="3"/>
      <c r="K605" s="3"/>
      <c r="L605" s="3"/>
      <c r="M605" s="3"/>
      <c r="N605" s="3"/>
      <c r="O605" s="3" t="str">
        <f t="shared" si="1"/>
        <v/>
      </c>
      <c r="P605" s="3" t="str">
        <f t="shared" si="2"/>
        <v/>
      </c>
      <c r="Q605" s="3" t="str">
        <f t="shared" si="3"/>
        <v/>
      </c>
      <c r="R605" s="3" t="str">
        <f t="shared" si="4"/>
        <v/>
      </c>
      <c r="S605" s="3"/>
      <c r="T605" s="3"/>
      <c r="U605" s="3"/>
      <c r="V605" s="3"/>
      <c r="W605" s="3"/>
      <c r="X605" s="3"/>
      <c r="Y605" s="3"/>
      <c r="Z605" s="3"/>
    </row>
    <row r="606" ht="15.75" hidden="1" customHeight="1">
      <c r="A606" s="4" t="s">
        <v>619</v>
      </c>
      <c r="B606" s="5" t="s">
        <v>24</v>
      </c>
      <c r="C606" s="5" t="s">
        <v>105</v>
      </c>
      <c r="D606" s="5" t="s">
        <v>170</v>
      </c>
      <c r="E606" s="6">
        <v>1170.0</v>
      </c>
      <c r="F606" s="3"/>
      <c r="G606" s="3"/>
      <c r="H606" s="3"/>
      <c r="I606" s="3"/>
      <c r="J606" s="3"/>
      <c r="K606" s="3"/>
      <c r="L606" s="3"/>
      <c r="M606" s="3"/>
      <c r="N606" s="3"/>
      <c r="O606" s="3" t="str">
        <f t="shared" si="1"/>
        <v/>
      </c>
      <c r="P606" s="3" t="str">
        <f t="shared" si="2"/>
        <v/>
      </c>
      <c r="Q606" s="3" t="str">
        <f t="shared" si="3"/>
        <v/>
      </c>
      <c r="R606" s="3" t="str">
        <f t="shared" si="4"/>
        <v/>
      </c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15"/>
      <c r="B607" s="5"/>
      <c r="C607" s="5"/>
      <c r="D607" s="5"/>
      <c r="E607" s="6"/>
      <c r="F607" s="3"/>
      <c r="G607" s="3"/>
      <c r="H607" s="3"/>
      <c r="I607" s="3"/>
      <c r="J607" s="3"/>
      <c r="K607" s="3"/>
      <c r="L607" s="3"/>
      <c r="M607" s="3"/>
      <c r="N607" s="3"/>
      <c r="O607" s="3" t="str">
        <f t="shared" si="1"/>
        <v/>
      </c>
      <c r="P607" s="3" t="str">
        <f t="shared" si="2"/>
        <v/>
      </c>
      <c r="Q607" s="3" t="str">
        <f t="shared" si="3"/>
        <v/>
      </c>
      <c r="R607" s="3" t="str">
        <f t="shared" si="4"/>
        <v/>
      </c>
      <c r="S607" s="3"/>
      <c r="T607" s="3"/>
      <c r="U607" s="3"/>
      <c r="V607" s="3"/>
      <c r="W607" s="3"/>
      <c r="X607" s="3"/>
      <c r="Y607" s="3"/>
      <c r="Z607" s="3"/>
    </row>
    <row r="608" ht="15.75" hidden="1" customHeight="1">
      <c r="A608" s="4" t="s">
        <v>620</v>
      </c>
      <c r="B608" s="5" t="s">
        <v>24</v>
      </c>
      <c r="C608" s="5" t="s">
        <v>105</v>
      </c>
      <c r="D608" s="5" t="s">
        <v>170</v>
      </c>
      <c r="E608" s="6">
        <v>1150.0</v>
      </c>
      <c r="F608" s="3"/>
      <c r="G608" s="3"/>
      <c r="H608" s="3"/>
      <c r="I608" s="3"/>
      <c r="J608" s="3"/>
      <c r="K608" s="3"/>
      <c r="L608" s="3"/>
      <c r="M608" s="3"/>
      <c r="N608" s="3"/>
      <c r="O608" s="3" t="str">
        <f t="shared" si="1"/>
        <v/>
      </c>
      <c r="P608" s="3" t="str">
        <f t="shared" si="2"/>
        <v/>
      </c>
      <c r="Q608" s="3" t="str">
        <f t="shared" si="3"/>
        <v/>
      </c>
      <c r="R608" s="3" t="str">
        <f t="shared" si="4"/>
        <v/>
      </c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15"/>
      <c r="B609" s="5"/>
      <c r="C609" s="5"/>
      <c r="D609" s="5"/>
      <c r="E609" s="6"/>
      <c r="F609" s="3"/>
      <c r="G609" s="3"/>
      <c r="H609" s="3"/>
      <c r="I609" s="3"/>
      <c r="J609" s="3"/>
      <c r="K609" s="3"/>
      <c r="L609" s="3"/>
      <c r="M609" s="3"/>
      <c r="N609" s="3"/>
      <c r="O609" s="3" t="str">
        <f t="shared" si="1"/>
        <v/>
      </c>
      <c r="P609" s="3" t="str">
        <f t="shared" si="2"/>
        <v/>
      </c>
      <c r="Q609" s="3" t="str">
        <f t="shared" si="3"/>
        <v/>
      </c>
      <c r="R609" s="3" t="str">
        <f t="shared" si="4"/>
        <v/>
      </c>
      <c r="S609" s="3"/>
      <c r="T609" s="3"/>
      <c r="U609" s="3"/>
      <c r="V609" s="3"/>
      <c r="W609" s="3"/>
      <c r="X609" s="3"/>
      <c r="Y609" s="3"/>
      <c r="Z609" s="3"/>
    </row>
    <row r="610" ht="15.75" hidden="1" customHeight="1">
      <c r="A610" s="4" t="s">
        <v>621</v>
      </c>
      <c r="B610" s="5" t="s">
        <v>24</v>
      </c>
      <c r="C610" s="5" t="s">
        <v>105</v>
      </c>
      <c r="D610" s="5" t="s">
        <v>170</v>
      </c>
      <c r="E610" s="6">
        <v>1130.0</v>
      </c>
      <c r="F610" s="3"/>
      <c r="G610" s="3"/>
      <c r="H610" s="3"/>
      <c r="I610" s="3"/>
      <c r="J610" s="3"/>
      <c r="K610" s="3"/>
      <c r="L610" s="3"/>
      <c r="M610" s="3"/>
      <c r="N610" s="3"/>
      <c r="O610" s="3" t="str">
        <f t="shared" si="1"/>
        <v/>
      </c>
      <c r="P610" s="3" t="str">
        <f t="shared" si="2"/>
        <v/>
      </c>
      <c r="Q610" s="3" t="str">
        <f t="shared" si="3"/>
        <v/>
      </c>
      <c r="R610" s="3" t="str">
        <f t="shared" si="4"/>
        <v/>
      </c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15"/>
      <c r="B611" s="5"/>
      <c r="C611" s="5"/>
      <c r="D611" s="5"/>
      <c r="E611" s="6"/>
      <c r="F611" s="3"/>
      <c r="G611" s="3"/>
      <c r="H611" s="3"/>
      <c r="I611" s="3"/>
      <c r="J611" s="3"/>
      <c r="K611" s="3"/>
      <c r="L611" s="3"/>
      <c r="M611" s="3"/>
      <c r="N611" s="3"/>
      <c r="O611" s="3" t="str">
        <f t="shared" si="1"/>
        <v/>
      </c>
      <c r="P611" s="3" t="str">
        <f t="shared" si="2"/>
        <v/>
      </c>
      <c r="Q611" s="3" t="str">
        <f t="shared" si="3"/>
        <v/>
      </c>
      <c r="R611" s="3" t="str">
        <f t="shared" si="4"/>
        <v/>
      </c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15"/>
      <c r="B612" s="5"/>
      <c r="C612" s="5"/>
      <c r="D612" s="5"/>
      <c r="E612" s="6"/>
      <c r="F612" s="3"/>
      <c r="G612" s="3"/>
      <c r="H612" s="3"/>
      <c r="I612" s="3"/>
      <c r="J612" s="3"/>
      <c r="K612" s="3"/>
      <c r="L612" s="3"/>
      <c r="M612" s="3"/>
      <c r="N612" s="3"/>
      <c r="O612" s="3" t="str">
        <f t="shared" si="1"/>
        <v/>
      </c>
      <c r="P612" s="3" t="str">
        <f t="shared" si="2"/>
        <v/>
      </c>
      <c r="Q612" s="3" t="str">
        <f t="shared" si="3"/>
        <v/>
      </c>
      <c r="R612" s="3" t="str">
        <f t="shared" si="4"/>
        <v/>
      </c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15"/>
      <c r="B613" s="5"/>
      <c r="C613" s="5"/>
      <c r="D613" s="5"/>
      <c r="E613" s="6"/>
      <c r="F613" s="3"/>
      <c r="G613" s="3"/>
      <c r="H613" s="3"/>
      <c r="I613" s="3"/>
      <c r="J613" s="3"/>
      <c r="K613" s="3"/>
      <c r="L613" s="3"/>
      <c r="M613" s="3"/>
      <c r="N613" s="3"/>
      <c r="O613" s="3" t="str">
        <f t="shared" si="1"/>
        <v/>
      </c>
      <c r="P613" s="3" t="str">
        <f t="shared" si="2"/>
        <v/>
      </c>
      <c r="Q613" s="3" t="str">
        <f t="shared" si="3"/>
        <v/>
      </c>
      <c r="R613" s="3" t="str">
        <f t="shared" si="4"/>
        <v/>
      </c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15"/>
      <c r="B614" s="5"/>
      <c r="C614" s="5"/>
      <c r="D614" s="5"/>
      <c r="E614" s="6"/>
      <c r="F614" s="3"/>
      <c r="G614" s="3"/>
      <c r="H614" s="3"/>
      <c r="I614" s="3"/>
      <c r="J614" s="3"/>
      <c r="K614" s="3"/>
      <c r="L614" s="3"/>
      <c r="M614" s="3"/>
      <c r="N614" s="3"/>
      <c r="O614" s="3" t="str">
        <f t="shared" si="1"/>
        <v/>
      </c>
      <c r="P614" s="3" t="str">
        <f t="shared" si="2"/>
        <v/>
      </c>
      <c r="Q614" s="3" t="str">
        <f t="shared" si="3"/>
        <v/>
      </c>
      <c r="R614" s="3" t="str">
        <f t="shared" si="4"/>
        <v/>
      </c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15"/>
      <c r="B615" s="5"/>
      <c r="C615" s="5"/>
      <c r="D615" s="5"/>
      <c r="E615" s="6"/>
      <c r="F615" s="3"/>
      <c r="G615" s="3"/>
      <c r="H615" s="3"/>
      <c r="I615" s="3"/>
      <c r="J615" s="3"/>
      <c r="K615" s="3"/>
      <c r="L615" s="3"/>
      <c r="M615" s="3"/>
      <c r="N615" s="3"/>
      <c r="O615" s="3" t="str">
        <f t="shared" si="1"/>
        <v/>
      </c>
      <c r="P615" s="3" t="str">
        <f t="shared" si="2"/>
        <v/>
      </c>
      <c r="Q615" s="3" t="str">
        <f t="shared" si="3"/>
        <v/>
      </c>
      <c r="R615" s="3" t="str">
        <f t="shared" si="4"/>
        <v/>
      </c>
      <c r="S615" s="3"/>
      <c r="T615" s="3"/>
      <c r="U615" s="3"/>
      <c r="V615" s="3"/>
      <c r="W615" s="3"/>
      <c r="X615" s="3"/>
      <c r="Y615" s="3"/>
      <c r="Z615" s="3"/>
    </row>
    <row r="616" ht="15.75" hidden="1" customHeight="1">
      <c r="A616" s="4" t="s">
        <v>622</v>
      </c>
      <c r="B616" s="5" t="s">
        <v>24</v>
      </c>
      <c r="C616" s="5" t="s">
        <v>105</v>
      </c>
      <c r="D616" s="5" t="s">
        <v>170</v>
      </c>
      <c r="E616" s="6">
        <v>1080.0</v>
      </c>
      <c r="F616" s="3"/>
      <c r="G616" s="3"/>
      <c r="H616" s="3"/>
      <c r="I616" s="3"/>
      <c r="J616" s="3"/>
      <c r="K616" s="3"/>
      <c r="L616" s="3"/>
      <c r="M616" s="3"/>
      <c r="N616" s="3"/>
      <c r="O616" s="3" t="str">
        <f t="shared" si="1"/>
        <v/>
      </c>
      <c r="P616" s="3" t="str">
        <f t="shared" si="2"/>
        <v/>
      </c>
      <c r="Q616" s="3" t="str">
        <f t="shared" si="3"/>
        <v/>
      </c>
      <c r="R616" s="3" t="str">
        <f t="shared" si="4"/>
        <v/>
      </c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15"/>
      <c r="B617" s="5"/>
      <c r="C617" s="5"/>
      <c r="D617" s="5"/>
      <c r="E617" s="6"/>
      <c r="F617" s="3"/>
      <c r="G617" s="3"/>
      <c r="H617" s="3"/>
      <c r="I617" s="3"/>
      <c r="J617" s="3"/>
      <c r="K617" s="3"/>
      <c r="L617" s="3"/>
      <c r="M617" s="3"/>
      <c r="N617" s="3"/>
      <c r="O617" s="3" t="str">
        <f t="shared" si="1"/>
        <v/>
      </c>
      <c r="P617" s="3" t="str">
        <f t="shared" si="2"/>
        <v/>
      </c>
      <c r="Q617" s="3" t="str">
        <f t="shared" si="3"/>
        <v/>
      </c>
      <c r="R617" s="3" t="str">
        <f t="shared" si="4"/>
        <v/>
      </c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15"/>
      <c r="B618" s="5"/>
      <c r="C618" s="5"/>
      <c r="D618" s="5"/>
      <c r="E618" s="6"/>
      <c r="F618" s="3"/>
      <c r="G618" s="3"/>
      <c r="H618" s="3"/>
      <c r="I618" s="3"/>
      <c r="J618" s="3"/>
      <c r="K618" s="3"/>
      <c r="L618" s="3"/>
      <c r="M618" s="3"/>
      <c r="N618" s="3"/>
      <c r="O618" s="3" t="str">
        <f t="shared" si="1"/>
        <v/>
      </c>
      <c r="P618" s="3" t="str">
        <f t="shared" si="2"/>
        <v/>
      </c>
      <c r="Q618" s="3" t="str">
        <f t="shared" si="3"/>
        <v/>
      </c>
      <c r="R618" s="3" t="str">
        <f t="shared" si="4"/>
        <v/>
      </c>
      <c r="S618" s="3"/>
      <c r="T618" s="3"/>
      <c r="U618" s="3"/>
      <c r="V618" s="3"/>
      <c r="W618" s="3"/>
      <c r="X618" s="3"/>
      <c r="Y618" s="3"/>
      <c r="Z618" s="3"/>
    </row>
    <row r="619" ht="15.75" hidden="1" customHeight="1">
      <c r="A619" s="4" t="s">
        <v>623</v>
      </c>
      <c r="B619" s="5" t="s">
        <v>24</v>
      </c>
      <c r="C619" s="5" t="s">
        <v>105</v>
      </c>
      <c r="D619" s="5" t="s">
        <v>170</v>
      </c>
      <c r="E619" s="6">
        <v>1040.0</v>
      </c>
      <c r="F619" s="3"/>
      <c r="G619" s="3"/>
      <c r="H619" s="3"/>
      <c r="I619" s="3"/>
      <c r="J619" s="3"/>
      <c r="K619" s="3"/>
      <c r="L619" s="3"/>
      <c r="M619" s="3"/>
      <c r="N619" s="3"/>
      <c r="O619" s="3" t="str">
        <f t="shared" si="1"/>
        <v/>
      </c>
      <c r="P619" s="3" t="str">
        <f t="shared" si="2"/>
        <v/>
      </c>
      <c r="Q619" s="3" t="str">
        <f t="shared" si="3"/>
        <v/>
      </c>
      <c r="R619" s="3" t="str">
        <f t="shared" si="4"/>
        <v/>
      </c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15"/>
      <c r="B620" s="5"/>
      <c r="C620" s="5"/>
      <c r="D620" s="5"/>
      <c r="E620" s="6"/>
      <c r="F620" s="3"/>
      <c r="G620" s="3"/>
      <c r="H620" s="3"/>
      <c r="I620" s="3"/>
      <c r="J620" s="3"/>
      <c r="K620" s="3"/>
      <c r="L620" s="3"/>
      <c r="M620" s="3"/>
      <c r="N620" s="3"/>
      <c r="O620" s="3" t="str">
        <f t="shared" si="1"/>
        <v/>
      </c>
      <c r="P620" s="3" t="str">
        <f t="shared" si="2"/>
        <v/>
      </c>
      <c r="Q620" s="3" t="str">
        <f t="shared" si="3"/>
        <v/>
      </c>
      <c r="R620" s="3" t="str">
        <f t="shared" si="4"/>
        <v/>
      </c>
      <c r="S620" s="3"/>
      <c r="T620" s="3"/>
      <c r="U620" s="3"/>
      <c r="V620" s="3"/>
      <c r="W620" s="3"/>
      <c r="X620" s="3"/>
      <c r="Y620" s="3"/>
      <c r="Z620" s="3"/>
    </row>
    <row r="621" ht="15.75" hidden="1" customHeight="1">
      <c r="A621" s="4" t="s">
        <v>624</v>
      </c>
      <c r="B621" s="5" t="s">
        <v>24</v>
      </c>
      <c r="C621" s="5" t="s">
        <v>105</v>
      </c>
      <c r="D621" s="5" t="s">
        <v>170</v>
      </c>
      <c r="E621" s="6">
        <v>1010.0</v>
      </c>
      <c r="F621" s="3"/>
      <c r="G621" s="3"/>
      <c r="H621" s="3"/>
      <c r="I621" s="3"/>
      <c r="J621" s="3"/>
      <c r="K621" s="3"/>
      <c r="L621" s="3"/>
      <c r="M621" s="3"/>
      <c r="N621" s="3"/>
      <c r="O621" s="3" t="str">
        <f t="shared" si="1"/>
        <v/>
      </c>
      <c r="P621" s="3" t="str">
        <f t="shared" si="2"/>
        <v/>
      </c>
      <c r="Q621" s="3" t="str">
        <f t="shared" si="3"/>
        <v/>
      </c>
      <c r="R621" s="3" t="str">
        <f t="shared" si="4"/>
        <v/>
      </c>
      <c r="S621" s="3"/>
      <c r="T621" s="3"/>
      <c r="U621" s="3"/>
      <c r="V621" s="3"/>
      <c r="W621" s="3"/>
      <c r="X621" s="3"/>
      <c r="Y621" s="3"/>
      <c r="Z621" s="3"/>
    </row>
    <row r="622" ht="15.75" hidden="1" customHeight="1">
      <c r="A622" s="4" t="s">
        <v>625</v>
      </c>
      <c r="B622" s="5" t="s">
        <v>24</v>
      </c>
      <c r="C622" s="5" t="s">
        <v>105</v>
      </c>
      <c r="D622" s="5" t="s">
        <v>170</v>
      </c>
      <c r="E622" s="6">
        <v>1000.0</v>
      </c>
      <c r="F622" s="3"/>
      <c r="G622" s="3"/>
      <c r="H622" s="3"/>
      <c r="I622" s="3"/>
      <c r="J622" s="3"/>
      <c r="K622" s="3"/>
      <c r="L622" s="3"/>
      <c r="M622" s="3"/>
      <c r="N622" s="3"/>
      <c r="O622" s="3" t="str">
        <f t="shared" si="1"/>
        <v/>
      </c>
      <c r="P622" s="3" t="str">
        <f t="shared" si="2"/>
        <v/>
      </c>
      <c r="Q622" s="3" t="str">
        <f t="shared" si="3"/>
        <v/>
      </c>
      <c r="R622" s="3" t="str">
        <f t="shared" si="4"/>
        <v/>
      </c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15"/>
      <c r="B623" s="5"/>
      <c r="C623" s="5"/>
      <c r="D623" s="5"/>
      <c r="E623" s="6"/>
      <c r="F623" s="3"/>
      <c r="G623" s="3"/>
      <c r="H623" s="3"/>
      <c r="I623" s="3"/>
      <c r="J623" s="3"/>
      <c r="K623" s="3"/>
      <c r="L623" s="3"/>
      <c r="M623" s="3"/>
      <c r="N623" s="3"/>
      <c r="O623" s="3" t="str">
        <f t="shared" si="1"/>
        <v/>
      </c>
      <c r="P623" s="3" t="str">
        <f t="shared" si="2"/>
        <v/>
      </c>
      <c r="Q623" s="3" t="str">
        <f t="shared" si="3"/>
        <v/>
      </c>
      <c r="R623" s="3" t="str">
        <f t="shared" si="4"/>
        <v/>
      </c>
      <c r="S623" s="3"/>
      <c r="T623" s="3"/>
      <c r="U623" s="3"/>
      <c r="V623" s="3"/>
      <c r="W623" s="3"/>
      <c r="X623" s="3"/>
      <c r="Y623" s="3"/>
      <c r="Z623" s="3"/>
    </row>
    <row r="624" ht="15.75" hidden="1" customHeight="1">
      <c r="A624" s="4" t="s">
        <v>626</v>
      </c>
      <c r="B624" s="5" t="s">
        <v>24</v>
      </c>
      <c r="C624" s="5" t="s">
        <v>105</v>
      </c>
      <c r="D624" s="5" t="s">
        <v>170</v>
      </c>
      <c r="E624" s="6">
        <v>975.0</v>
      </c>
      <c r="F624" s="3"/>
      <c r="G624" s="3"/>
      <c r="H624" s="3"/>
      <c r="I624" s="3"/>
      <c r="J624" s="3"/>
      <c r="K624" s="3"/>
      <c r="L624" s="3"/>
      <c r="M624" s="3"/>
      <c r="N624" s="3"/>
      <c r="O624" s="3" t="str">
        <f t="shared" si="1"/>
        <v/>
      </c>
      <c r="P624" s="3" t="str">
        <f t="shared" si="2"/>
        <v/>
      </c>
      <c r="Q624" s="3" t="str">
        <f t="shared" si="3"/>
        <v/>
      </c>
      <c r="R624" s="3" t="str">
        <f t="shared" si="4"/>
        <v/>
      </c>
      <c r="S624" s="3"/>
      <c r="T624" s="3"/>
      <c r="U624" s="3"/>
      <c r="V624" s="3"/>
      <c r="W624" s="3"/>
      <c r="X624" s="3"/>
      <c r="Y624" s="3"/>
      <c r="Z624" s="3"/>
    </row>
    <row r="625" ht="15.75" hidden="1" customHeight="1">
      <c r="A625" s="4" t="s">
        <v>627</v>
      </c>
      <c r="B625" s="5" t="s">
        <v>24</v>
      </c>
      <c r="C625" s="5" t="s">
        <v>105</v>
      </c>
      <c r="D625" s="5" t="s">
        <v>170</v>
      </c>
      <c r="E625" s="6">
        <v>966.0</v>
      </c>
      <c r="F625" s="3"/>
      <c r="G625" s="3"/>
      <c r="H625" s="3"/>
      <c r="I625" s="3"/>
      <c r="J625" s="3"/>
      <c r="K625" s="3"/>
      <c r="L625" s="3"/>
      <c r="M625" s="3"/>
      <c r="N625" s="3"/>
      <c r="O625" s="3" t="str">
        <f t="shared" si="1"/>
        <v/>
      </c>
      <c r="P625" s="3" t="str">
        <f t="shared" si="2"/>
        <v/>
      </c>
      <c r="Q625" s="3" t="str">
        <f t="shared" si="3"/>
        <v/>
      </c>
      <c r="R625" s="3" t="str">
        <f t="shared" si="4"/>
        <v/>
      </c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15"/>
      <c r="B626" s="5"/>
      <c r="C626" s="5"/>
      <c r="D626" s="5"/>
      <c r="E626" s="6"/>
      <c r="F626" s="3"/>
      <c r="G626" s="3"/>
      <c r="H626" s="3"/>
      <c r="I626" s="3"/>
      <c r="J626" s="3"/>
      <c r="K626" s="3"/>
      <c r="L626" s="3"/>
      <c r="M626" s="3"/>
      <c r="N626" s="3"/>
      <c r="O626" s="3" t="str">
        <f t="shared" si="1"/>
        <v/>
      </c>
      <c r="P626" s="3" t="str">
        <f t="shared" si="2"/>
        <v/>
      </c>
      <c r="Q626" s="3" t="str">
        <f t="shared" si="3"/>
        <v/>
      </c>
      <c r="R626" s="3" t="str">
        <f t="shared" si="4"/>
        <v/>
      </c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15"/>
      <c r="B627" s="5"/>
      <c r="C627" s="5"/>
      <c r="D627" s="5"/>
      <c r="E627" s="6"/>
      <c r="F627" s="3"/>
      <c r="G627" s="3"/>
      <c r="H627" s="3"/>
      <c r="I627" s="3"/>
      <c r="J627" s="3"/>
      <c r="K627" s="3"/>
      <c r="L627" s="3"/>
      <c r="M627" s="3"/>
      <c r="N627" s="3"/>
      <c r="O627" s="3" t="str">
        <f t="shared" si="1"/>
        <v/>
      </c>
      <c r="P627" s="3" t="str">
        <f t="shared" si="2"/>
        <v/>
      </c>
      <c r="Q627" s="3" t="str">
        <f t="shared" si="3"/>
        <v/>
      </c>
      <c r="R627" s="3" t="str">
        <f t="shared" si="4"/>
        <v/>
      </c>
      <c r="S627" s="3"/>
      <c r="T627" s="3"/>
      <c r="U627" s="3"/>
      <c r="V627" s="3"/>
      <c r="W627" s="3"/>
      <c r="X627" s="3"/>
      <c r="Y627" s="3"/>
      <c r="Z627" s="3"/>
    </row>
    <row r="628" ht="15.75" hidden="1" customHeight="1">
      <c r="A628" s="4" t="s">
        <v>628</v>
      </c>
      <c r="B628" s="5" t="s">
        <v>24</v>
      </c>
      <c r="C628" s="5" t="s">
        <v>105</v>
      </c>
      <c r="D628" s="5" t="s">
        <v>170</v>
      </c>
      <c r="E628" s="6">
        <v>929.0</v>
      </c>
      <c r="F628" s="3"/>
      <c r="G628" s="3"/>
      <c r="H628" s="3"/>
      <c r="I628" s="3"/>
      <c r="J628" s="3"/>
      <c r="K628" s="3"/>
      <c r="L628" s="3"/>
      <c r="M628" s="3"/>
      <c r="N628" s="3"/>
      <c r="O628" s="3" t="str">
        <f t="shared" si="1"/>
        <v/>
      </c>
      <c r="P628" s="3" t="str">
        <f t="shared" si="2"/>
        <v/>
      </c>
      <c r="Q628" s="3" t="str">
        <f t="shared" si="3"/>
        <v/>
      </c>
      <c r="R628" s="3" t="str">
        <f t="shared" si="4"/>
        <v/>
      </c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15"/>
      <c r="B629" s="5"/>
      <c r="C629" s="5"/>
      <c r="D629" s="5"/>
      <c r="E629" s="6"/>
      <c r="F629" s="3"/>
      <c r="G629" s="3"/>
      <c r="H629" s="3"/>
      <c r="I629" s="3"/>
      <c r="J629" s="3"/>
      <c r="K629" s="3"/>
      <c r="L629" s="3"/>
      <c r="M629" s="3"/>
      <c r="N629" s="3"/>
      <c r="O629" s="3" t="str">
        <f t="shared" si="1"/>
        <v/>
      </c>
      <c r="P629" s="3" t="str">
        <f t="shared" si="2"/>
        <v/>
      </c>
      <c r="Q629" s="3" t="str">
        <f t="shared" si="3"/>
        <v/>
      </c>
      <c r="R629" s="3" t="str">
        <f t="shared" si="4"/>
        <v/>
      </c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15"/>
      <c r="B630" s="5"/>
      <c r="C630" s="5"/>
      <c r="D630" s="5"/>
      <c r="E630" s="6"/>
      <c r="F630" s="3"/>
      <c r="G630" s="3"/>
      <c r="H630" s="3"/>
      <c r="I630" s="3"/>
      <c r="J630" s="3"/>
      <c r="K630" s="3"/>
      <c r="L630" s="3"/>
      <c r="M630" s="3"/>
      <c r="N630" s="3"/>
      <c r="O630" s="3" t="str">
        <f t="shared" si="1"/>
        <v/>
      </c>
      <c r="P630" s="3" t="str">
        <f t="shared" si="2"/>
        <v/>
      </c>
      <c r="Q630" s="3" t="str">
        <f t="shared" si="3"/>
        <v/>
      </c>
      <c r="R630" s="3" t="str">
        <f t="shared" si="4"/>
        <v/>
      </c>
      <c r="S630" s="3"/>
      <c r="T630" s="3"/>
      <c r="U630" s="3"/>
      <c r="V630" s="3"/>
      <c r="W630" s="3"/>
      <c r="X630" s="3"/>
      <c r="Y630" s="3"/>
      <c r="Z630" s="3"/>
    </row>
    <row r="631" ht="15.75" hidden="1" customHeight="1">
      <c r="A631" s="4" t="s">
        <v>629</v>
      </c>
      <c r="B631" s="5" t="s">
        <v>24</v>
      </c>
      <c r="C631" s="5" t="s">
        <v>105</v>
      </c>
      <c r="D631" s="5" t="s">
        <v>170</v>
      </c>
      <c r="E631" s="6">
        <v>884.0</v>
      </c>
      <c r="F631" s="3"/>
      <c r="G631" s="3"/>
      <c r="H631" s="3"/>
      <c r="I631" s="3"/>
      <c r="J631" s="3"/>
      <c r="K631" s="3"/>
      <c r="L631" s="3"/>
      <c r="M631" s="3"/>
      <c r="N631" s="3"/>
      <c r="O631" s="3" t="str">
        <f t="shared" si="1"/>
        <v/>
      </c>
      <c r="P631" s="3" t="str">
        <f t="shared" si="2"/>
        <v/>
      </c>
      <c r="Q631" s="3" t="str">
        <f t="shared" si="3"/>
        <v/>
      </c>
      <c r="R631" s="3" t="str">
        <f t="shared" si="4"/>
        <v/>
      </c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15"/>
      <c r="B632" s="5"/>
      <c r="C632" s="5"/>
      <c r="D632" s="5"/>
      <c r="E632" s="6"/>
      <c r="F632" s="3"/>
      <c r="G632" s="3"/>
      <c r="H632" s="3"/>
      <c r="I632" s="3"/>
      <c r="J632" s="3"/>
      <c r="K632" s="3"/>
      <c r="L632" s="3"/>
      <c r="M632" s="3"/>
      <c r="N632" s="3"/>
      <c r="O632" s="3" t="str">
        <f t="shared" si="1"/>
        <v/>
      </c>
      <c r="P632" s="3" t="str">
        <f t="shared" si="2"/>
        <v/>
      </c>
      <c r="Q632" s="3" t="str">
        <f t="shared" si="3"/>
        <v/>
      </c>
      <c r="R632" s="3" t="str">
        <f t="shared" si="4"/>
        <v/>
      </c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15"/>
      <c r="B633" s="5"/>
      <c r="C633" s="5"/>
      <c r="D633" s="5"/>
      <c r="E633" s="6"/>
      <c r="F633" s="3"/>
      <c r="G633" s="3"/>
      <c r="H633" s="3"/>
      <c r="I633" s="3"/>
      <c r="J633" s="3"/>
      <c r="K633" s="3"/>
      <c r="L633" s="3"/>
      <c r="M633" s="3"/>
      <c r="N633" s="3"/>
      <c r="O633" s="3" t="str">
        <f t="shared" si="1"/>
        <v/>
      </c>
      <c r="P633" s="3" t="str">
        <f t="shared" si="2"/>
        <v/>
      </c>
      <c r="Q633" s="3" t="str">
        <f t="shared" si="3"/>
        <v/>
      </c>
      <c r="R633" s="3" t="str">
        <f t="shared" si="4"/>
        <v/>
      </c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15"/>
      <c r="B634" s="5"/>
      <c r="C634" s="5"/>
      <c r="D634" s="5"/>
      <c r="E634" s="6"/>
      <c r="F634" s="3"/>
      <c r="G634" s="3"/>
      <c r="H634" s="3"/>
      <c r="I634" s="3"/>
      <c r="J634" s="3"/>
      <c r="K634" s="3"/>
      <c r="L634" s="3"/>
      <c r="M634" s="3"/>
      <c r="N634" s="3"/>
      <c r="O634" s="3" t="str">
        <f t="shared" si="1"/>
        <v/>
      </c>
      <c r="P634" s="3" t="str">
        <f t="shared" si="2"/>
        <v/>
      </c>
      <c r="Q634" s="3" t="str">
        <f t="shared" si="3"/>
        <v/>
      </c>
      <c r="R634" s="3" t="str">
        <f t="shared" si="4"/>
        <v/>
      </c>
      <c r="S634" s="3"/>
      <c r="T634" s="3"/>
      <c r="U634" s="3"/>
      <c r="V634" s="3"/>
      <c r="W634" s="3"/>
      <c r="X634" s="3"/>
      <c r="Y634" s="3"/>
      <c r="Z634" s="3"/>
    </row>
    <row r="635" ht="15.75" hidden="1" customHeight="1">
      <c r="A635" s="4" t="s">
        <v>630</v>
      </c>
      <c r="B635" s="5" t="s">
        <v>24</v>
      </c>
      <c r="C635" s="5" t="s">
        <v>105</v>
      </c>
      <c r="D635" s="5" t="s">
        <v>170</v>
      </c>
      <c r="E635" s="6">
        <v>832.0</v>
      </c>
      <c r="F635" s="3"/>
      <c r="G635" s="3"/>
      <c r="H635" s="3"/>
      <c r="I635" s="3"/>
      <c r="J635" s="3"/>
      <c r="K635" s="3"/>
      <c r="L635" s="3"/>
      <c r="M635" s="3"/>
      <c r="N635" s="3"/>
      <c r="O635" s="3" t="str">
        <f t="shared" si="1"/>
        <v/>
      </c>
      <c r="P635" s="3" t="str">
        <f t="shared" si="2"/>
        <v/>
      </c>
      <c r="Q635" s="3" t="str">
        <f t="shared" si="3"/>
        <v/>
      </c>
      <c r="R635" s="3" t="str">
        <f t="shared" si="4"/>
        <v/>
      </c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15"/>
      <c r="B636" s="5"/>
      <c r="C636" s="5"/>
      <c r="D636" s="5"/>
      <c r="E636" s="6"/>
      <c r="F636" s="3"/>
      <c r="G636" s="3"/>
      <c r="H636" s="3"/>
      <c r="I636" s="3"/>
      <c r="J636" s="3"/>
      <c r="K636" s="3"/>
      <c r="L636" s="3"/>
      <c r="M636" s="3"/>
      <c r="N636" s="3"/>
      <c r="O636" s="3" t="str">
        <f t="shared" si="1"/>
        <v/>
      </c>
      <c r="P636" s="3" t="str">
        <f t="shared" si="2"/>
        <v/>
      </c>
      <c r="Q636" s="3" t="str">
        <f t="shared" si="3"/>
        <v/>
      </c>
      <c r="R636" s="3" t="str">
        <f t="shared" si="4"/>
        <v/>
      </c>
      <c r="S636" s="3"/>
      <c r="T636" s="3"/>
      <c r="U636" s="3"/>
      <c r="V636" s="3"/>
      <c r="W636" s="3"/>
      <c r="X636" s="3"/>
      <c r="Y636" s="3"/>
      <c r="Z636" s="3"/>
    </row>
    <row r="637" ht="15.75" hidden="1" customHeight="1">
      <c r="A637" s="4" t="s">
        <v>631</v>
      </c>
      <c r="B637" s="5" t="s">
        <v>24</v>
      </c>
      <c r="C637" s="5" t="s">
        <v>105</v>
      </c>
      <c r="D637" s="5" t="s">
        <v>170</v>
      </c>
      <c r="E637" s="6">
        <v>797.0</v>
      </c>
      <c r="F637" s="3"/>
      <c r="G637" s="3"/>
      <c r="H637" s="3"/>
      <c r="I637" s="3"/>
      <c r="J637" s="3"/>
      <c r="K637" s="3"/>
      <c r="L637" s="3"/>
      <c r="M637" s="3"/>
      <c r="N637" s="3"/>
      <c r="O637" s="3" t="str">
        <f t="shared" si="1"/>
        <v/>
      </c>
      <c r="P637" s="3" t="str">
        <f t="shared" si="2"/>
        <v/>
      </c>
      <c r="Q637" s="3" t="str">
        <f t="shared" si="3"/>
        <v/>
      </c>
      <c r="R637" s="3" t="str">
        <f t="shared" si="4"/>
        <v/>
      </c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15"/>
      <c r="B638" s="5"/>
      <c r="C638" s="5"/>
      <c r="D638" s="5"/>
      <c r="E638" s="6"/>
      <c r="F638" s="3"/>
      <c r="G638" s="3"/>
      <c r="H638" s="3"/>
      <c r="I638" s="3"/>
      <c r="J638" s="3"/>
      <c r="K638" s="3"/>
      <c r="L638" s="3"/>
      <c r="M638" s="3"/>
      <c r="N638" s="3"/>
      <c r="O638" s="3" t="str">
        <f t="shared" si="1"/>
        <v/>
      </c>
      <c r="P638" s="3" t="str">
        <f t="shared" si="2"/>
        <v/>
      </c>
      <c r="Q638" s="3" t="str">
        <f t="shared" si="3"/>
        <v/>
      </c>
      <c r="R638" s="3" t="str">
        <f t="shared" si="4"/>
        <v/>
      </c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15"/>
      <c r="B639" s="5"/>
      <c r="C639" s="5"/>
      <c r="D639" s="5"/>
      <c r="E639" s="6"/>
      <c r="F639" s="3"/>
      <c r="G639" s="3"/>
      <c r="H639" s="3"/>
      <c r="I639" s="3"/>
      <c r="J639" s="3"/>
      <c r="K639" s="3"/>
      <c r="L639" s="3"/>
      <c r="M639" s="3"/>
      <c r="N639" s="3"/>
      <c r="O639" s="3" t="str">
        <f t="shared" si="1"/>
        <v/>
      </c>
      <c r="P639" s="3" t="str">
        <f t="shared" si="2"/>
        <v/>
      </c>
      <c r="Q639" s="3" t="str">
        <f t="shared" si="3"/>
        <v/>
      </c>
      <c r="R639" s="3" t="str">
        <f t="shared" si="4"/>
        <v/>
      </c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15"/>
      <c r="B640" s="5"/>
      <c r="C640" s="5"/>
      <c r="D640" s="5"/>
      <c r="E640" s="6"/>
      <c r="F640" s="3"/>
      <c r="G640" s="3"/>
      <c r="H640" s="3"/>
      <c r="I640" s="3"/>
      <c r="J640" s="3"/>
      <c r="K640" s="3"/>
      <c r="L640" s="3"/>
      <c r="M640" s="3"/>
      <c r="N640" s="3"/>
      <c r="O640" s="3" t="str">
        <f t="shared" si="1"/>
        <v/>
      </c>
      <c r="P640" s="3" t="str">
        <f t="shared" si="2"/>
        <v/>
      </c>
      <c r="Q640" s="3" t="str">
        <f t="shared" si="3"/>
        <v/>
      </c>
      <c r="R640" s="3" t="str">
        <f t="shared" si="4"/>
        <v/>
      </c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15"/>
      <c r="B641" s="5"/>
      <c r="C641" s="5"/>
      <c r="D641" s="5"/>
      <c r="E641" s="6"/>
      <c r="F641" s="3"/>
      <c r="G641" s="3"/>
      <c r="H641" s="3"/>
      <c r="I641" s="3"/>
      <c r="J641" s="3"/>
      <c r="K641" s="3"/>
      <c r="L641" s="3"/>
      <c r="M641" s="3"/>
      <c r="N641" s="3"/>
      <c r="O641" s="3" t="str">
        <f t="shared" si="1"/>
        <v/>
      </c>
      <c r="P641" s="3" t="str">
        <f t="shared" si="2"/>
        <v/>
      </c>
      <c r="Q641" s="3" t="str">
        <f t="shared" si="3"/>
        <v/>
      </c>
      <c r="R641" s="3" t="str">
        <f t="shared" si="4"/>
        <v/>
      </c>
      <c r="S641" s="3"/>
      <c r="T641" s="3"/>
      <c r="U641" s="3"/>
      <c r="V641" s="3"/>
      <c r="W641" s="3"/>
      <c r="X641" s="3"/>
      <c r="Y641" s="3"/>
      <c r="Z641" s="3"/>
    </row>
    <row r="642" ht="15.75" hidden="1" customHeight="1">
      <c r="A642" s="4" t="s">
        <v>632</v>
      </c>
      <c r="B642" s="5" t="s">
        <v>24</v>
      </c>
      <c r="C642" s="5" t="s">
        <v>105</v>
      </c>
      <c r="D642" s="5" t="s">
        <v>170</v>
      </c>
      <c r="E642" s="6">
        <v>750.0</v>
      </c>
      <c r="F642" s="3"/>
      <c r="G642" s="3"/>
      <c r="H642" s="3"/>
      <c r="I642" s="3"/>
      <c r="J642" s="3"/>
      <c r="K642" s="3"/>
      <c r="L642" s="3"/>
      <c r="M642" s="3"/>
      <c r="N642" s="3"/>
      <c r="O642" s="3" t="str">
        <f t="shared" si="1"/>
        <v/>
      </c>
      <c r="P642" s="3" t="str">
        <f t="shared" si="2"/>
        <v/>
      </c>
      <c r="Q642" s="3" t="str">
        <f t="shared" si="3"/>
        <v/>
      </c>
      <c r="R642" s="3" t="str">
        <f t="shared" si="4"/>
        <v/>
      </c>
      <c r="S642" s="3"/>
      <c r="T642" s="3"/>
      <c r="U642" s="3"/>
      <c r="V642" s="3"/>
      <c r="W642" s="3"/>
      <c r="X642" s="3"/>
      <c r="Y642" s="3"/>
      <c r="Z642" s="3"/>
    </row>
    <row r="643" ht="15.75" hidden="1" customHeight="1">
      <c r="A643" s="4" t="s">
        <v>633</v>
      </c>
      <c r="B643" s="5" t="s">
        <v>24</v>
      </c>
      <c r="C643" s="5" t="s">
        <v>105</v>
      </c>
      <c r="D643" s="5" t="s">
        <v>170</v>
      </c>
      <c r="E643" s="6">
        <v>727.0</v>
      </c>
      <c r="F643" s="3"/>
      <c r="G643" s="3"/>
      <c r="H643" s="3"/>
      <c r="I643" s="3"/>
      <c r="J643" s="3"/>
      <c r="K643" s="3"/>
      <c r="L643" s="3"/>
      <c r="M643" s="3"/>
      <c r="N643" s="3"/>
      <c r="O643" s="3" t="str">
        <f t="shared" si="1"/>
        <v/>
      </c>
      <c r="P643" s="3" t="str">
        <f t="shared" si="2"/>
        <v/>
      </c>
      <c r="Q643" s="3" t="str">
        <f t="shared" si="3"/>
        <v/>
      </c>
      <c r="R643" s="3" t="str">
        <f t="shared" si="4"/>
        <v/>
      </c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15"/>
      <c r="B644" s="5"/>
      <c r="C644" s="5"/>
      <c r="D644" s="5"/>
      <c r="E644" s="6"/>
      <c r="F644" s="3"/>
      <c r="G644" s="3"/>
      <c r="H644" s="3"/>
      <c r="I644" s="3"/>
      <c r="J644" s="3"/>
      <c r="K644" s="3"/>
      <c r="L644" s="3"/>
      <c r="M644" s="3"/>
      <c r="N644" s="3"/>
      <c r="O644" s="3" t="str">
        <f t="shared" si="1"/>
        <v/>
      </c>
      <c r="P644" s="3" t="str">
        <f t="shared" si="2"/>
        <v/>
      </c>
      <c r="Q644" s="3" t="str">
        <f t="shared" si="3"/>
        <v/>
      </c>
      <c r="R644" s="3" t="str">
        <f t="shared" si="4"/>
        <v/>
      </c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15"/>
      <c r="B645" s="5"/>
      <c r="C645" s="5"/>
      <c r="D645" s="5"/>
      <c r="E645" s="6"/>
      <c r="F645" s="3"/>
      <c r="G645" s="3"/>
      <c r="H645" s="3"/>
      <c r="I645" s="3"/>
      <c r="J645" s="3"/>
      <c r="K645" s="3"/>
      <c r="L645" s="3"/>
      <c r="M645" s="3"/>
      <c r="N645" s="3"/>
      <c r="O645" s="3" t="str">
        <f t="shared" si="1"/>
        <v/>
      </c>
      <c r="P645" s="3" t="str">
        <f t="shared" si="2"/>
        <v/>
      </c>
      <c r="Q645" s="3" t="str">
        <f t="shared" si="3"/>
        <v/>
      </c>
      <c r="R645" s="3" t="str">
        <f t="shared" si="4"/>
        <v/>
      </c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15"/>
      <c r="B646" s="5"/>
      <c r="C646" s="5"/>
      <c r="D646" s="5"/>
      <c r="E646" s="6"/>
      <c r="F646" s="3"/>
      <c r="G646" s="3"/>
      <c r="H646" s="3"/>
      <c r="I646" s="3"/>
      <c r="J646" s="3"/>
      <c r="K646" s="3"/>
      <c r="L646" s="3"/>
      <c r="M646" s="3"/>
      <c r="N646" s="3"/>
      <c r="O646" s="3" t="str">
        <f t="shared" si="1"/>
        <v/>
      </c>
      <c r="P646" s="3" t="str">
        <f t="shared" si="2"/>
        <v/>
      </c>
      <c r="Q646" s="3" t="str">
        <f t="shared" si="3"/>
        <v/>
      </c>
      <c r="R646" s="3" t="str">
        <f t="shared" si="4"/>
        <v/>
      </c>
      <c r="S646" s="3"/>
      <c r="T646" s="3"/>
      <c r="U646" s="3"/>
      <c r="V646" s="3"/>
      <c r="W646" s="3"/>
      <c r="X646" s="3"/>
      <c r="Y646" s="3"/>
      <c r="Z646" s="3"/>
    </row>
    <row r="647" ht="15.75" hidden="1" customHeight="1">
      <c r="A647" s="4" t="s">
        <v>634</v>
      </c>
      <c r="B647" s="5" t="s">
        <v>24</v>
      </c>
      <c r="C647" s="5" t="s">
        <v>105</v>
      </c>
      <c r="D647" s="5" t="s">
        <v>170</v>
      </c>
      <c r="E647" s="6">
        <v>708.0</v>
      </c>
      <c r="F647" s="3"/>
      <c r="G647" s="3"/>
      <c r="H647" s="3"/>
      <c r="I647" s="3"/>
      <c r="J647" s="3"/>
      <c r="K647" s="3"/>
      <c r="L647" s="3"/>
      <c r="M647" s="3"/>
      <c r="N647" s="3"/>
      <c r="O647" s="3" t="str">
        <f t="shared" si="1"/>
        <v/>
      </c>
      <c r="P647" s="3" t="str">
        <f t="shared" si="2"/>
        <v/>
      </c>
      <c r="Q647" s="3" t="str">
        <f t="shared" si="3"/>
        <v/>
      </c>
      <c r="R647" s="3" t="str">
        <f t="shared" si="4"/>
        <v/>
      </c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15"/>
      <c r="B648" s="5"/>
      <c r="C648" s="5"/>
      <c r="D648" s="5"/>
      <c r="E648" s="6"/>
      <c r="F648" s="3"/>
      <c r="G648" s="3"/>
      <c r="H648" s="3"/>
      <c r="I648" s="3"/>
      <c r="J648" s="3"/>
      <c r="K648" s="3"/>
      <c r="L648" s="3"/>
      <c r="M648" s="3"/>
      <c r="N648" s="3"/>
      <c r="O648" s="3" t="str">
        <f t="shared" si="1"/>
        <v/>
      </c>
      <c r="P648" s="3" t="str">
        <f t="shared" si="2"/>
        <v/>
      </c>
      <c r="Q648" s="3" t="str">
        <f t="shared" si="3"/>
        <v/>
      </c>
      <c r="R648" s="3" t="str">
        <f t="shared" si="4"/>
        <v/>
      </c>
      <c r="S648" s="3"/>
      <c r="T648" s="3"/>
      <c r="U648" s="3"/>
      <c r="V648" s="3"/>
      <c r="W648" s="3"/>
      <c r="X648" s="3"/>
      <c r="Y648" s="3"/>
      <c r="Z648" s="3"/>
    </row>
    <row r="649" ht="15.75" hidden="1" customHeight="1">
      <c r="A649" s="4" t="s">
        <v>635</v>
      </c>
      <c r="B649" s="5" t="s">
        <v>24</v>
      </c>
      <c r="C649" s="5" t="s">
        <v>105</v>
      </c>
      <c r="D649" s="5" t="s">
        <v>170</v>
      </c>
      <c r="E649" s="6">
        <v>693.0</v>
      </c>
      <c r="F649" s="3"/>
      <c r="G649" s="3"/>
      <c r="H649" s="3"/>
      <c r="I649" s="3"/>
      <c r="J649" s="3"/>
      <c r="K649" s="3"/>
      <c r="L649" s="3"/>
      <c r="M649" s="3"/>
      <c r="N649" s="3"/>
      <c r="O649" s="3" t="str">
        <f t="shared" si="1"/>
        <v/>
      </c>
      <c r="P649" s="3" t="str">
        <f t="shared" si="2"/>
        <v/>
      </c>
      <c r="Q649" s="3" t="str">
        <f t="shared" si="3"/>
        <v/>
      </c>
      <c r="R649" s="3" t="str">
        <f t="shared" si="4"/>
        <v/>
      </c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15"/>
      <c r="B650" s="5"/>
      <c r="C650" s="5"/>
      <c r="D650" s="5"/>
      <c r="E650" s="6"/>
      <c r="F650" s="3"/>
      <c r="G650" s="3"/>
      <c r="H650" s="3"/>
      <c r="I650" s="3"/>
      <c r="J650" s="3"/>
      <c r="K650" s="3"/>
      <c r="L650" s="3"/>
      <c r="M650" s="3"/>
      <c r="N650" s="3"/>
      <c r="O650" s="3" t="str">
        <f t="shared" si="1"/>
        <v/>
      </c>
      <c r="P650" s="3" t="str">
        <f t="shared" si="2"/>
        <v/>
      </c>
      <c r="Q650" s="3" t="str">
        <f t="shared" si="3"/>
        <v/>
      </c>
      <c r="R650" s="3" t="str">
        <f t="shared" si="4"/>
        <v/>
      </c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15"/>
      <c r="B651" s="5"/>
      <c r="C651" s="5"/>
      <c r="D651" s="5"/>
      <c r="E651" s="6"/>
      <c r="F651" s="3"/>
      <c r="G651" s="3"/>
      <c r="H651" s="3"/>
      <c r="I651" s="3"/>
      <c r="J651" s="3"/>
      <c r="K651" s="3"/>
      <c r="L651" s="3"/>
      <c r="M651" s="3"/>
      <c r="N651" s="3"/>
      <c r="O651" s="3" t="str">
        <f t="shared" si="1"/>
        <v/>
      </c>
      <c r="P651" s="3" t="str">
        <f t="shared" si="2"/>
        <v/>
      </c>
      <c r="Q651" s="3" t="str">
        <f t="shared" si="3"/>
        <v/>
      </c>
      <c r="R651" s="3" t="str">
        <f t="shared" si="4"/>
        <v/>
      </c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15"/>
      <c r="B652" s="5"/>
      <c r="C652" s="5"/>
      <c r="D652" s="5"/>
      <c r="E652" s="6"/>
      <c r="F652" s="3"/>
      <c r="G652" s="3"/>
      <c r="H652" s="3"/>
      <c r="I652" s="3"/>
      <c r="J652" s="3"/>
      <c r="K652" s="3"/>
      <c r="L652" s="3"/>
      <c r="M652" s="3"/>
      <c r="N652" s="3"/>
      <c r="O652" s="3" t="str">
        <f t="shared" si="1"/>
        <v/>
      </c>
      <c r="P652" s="3" t="str">
        <f t="shared" si="2"/>
        <v/>
      </c>
      <c r="Q652" s="3" t="str">
        <f t="shared" si="3"/>
        <v/>
      </c>
      <c r="R652" s="3" t="str">
        <f t="shared" si="4"/>
        <v/>
      </c>
      <c r="S652" s="3"/>
      <c r="T652" s="3"/>
      <c r="U652" s="3"/>
      <c r="V652" s="3"/>
      <c r="W652" s="3"/>
      <c r="X652" s="3"/>
      <c r="Y652" s="3"/>
      <c r="Z652" s="3"/>
    </row>
    <row r="653" ht="15.75" hidden="1" customHeight="1">
      <c r="A653" s="4" t="s">
        <v>636</v>
      </c>
      <c r="B653" s="5" t="s">
        <v>24</v>
      </c>
      <c r="C653" s="5" t="s">
        <v>105</v>
      </c>
      <c r="D653" s="5" t="s">
        <v>170</v>
      </c>
      <c r="E653" s="6">
        <v>653.0</v>
      </c>
      <c r="F653" s="3"/>
      <c r="G653" s="3"/>
      <c r="H653" s="3"/>
      <c r="I653" s="3"/>
      <c r="J653" s="3"/>
      <c r="K653" s="3"/>
      <c r="L653" s="3"/>
      <c r="M653" s="3"/>
      <c r="N653" s="3"/>
      <c r="O653" s="3" t="str">
        <f t="shared" si="1"/>
        <v/>
      </c>
      <c r="P653" s="3" t="str">
        <f t="shared" si="2"/>
        <v/>
      </c>
      <c r="Q653" s="3" t="str">
        <f t="shared" si="3"/>
        <v/>
      </c>
      <c r="R653" s="3" t="str">
        <f t="shared" si="4"/>
        <v/>
      </c>
      <c r="S653" s="3"/>
      <c r="T653" s="3"/>
      <c r="U653" s="3"/>
      <c r="V653" s="3"/>
      <c r="W653" s="3"/>
      <c r="X653" s="3"/>
      <c r="Y653" s="3"/>
      <c r="Z653" s="3"/>
    </row>
    <row r="654" ht="15.75" hidden="1" customHeight="1">
      <c r="A654" s="4" t="s">
        <v>637</v>
      </c>
      <c r="B654" s="5" t="s">
        <v>24</v>
      </c>
      <c r="C654" s="5" t="s">
        <v>105</v>
      </c>
      <c r="D654" s="5" t="s">
        <v>170</v>
      </c>
      <c r="E654" s="6">
        <v>652.0</v>
      </c>
      <c r="F654" s="3"/>
      <c r="G654" s="3"/>
      <c r="H654" s="3"/>
      <c r="I654" s="3"/>
      <c r="J654" s="3"/>
      <c r="K654" s="3"/>
      <c r="L654" s="3"/>
      <c r="M654" s="3"/>
      <c r="N654" s="3"/>
      <c r="O654" s="3" t="str">
        <f t="shared" si="1"/>
        <v/>
      </c>
      <c r="P654" s="3" t="str">
        <f t="shared" si="2"/>
        <v/>
      </c>
      <c r="Q654" s="3" t="str">
        <f t="shared" si="3"/>
        <v/>
      </c>
      <c r="R654" s="3" t="str">
        <f t="shared" si="4"/>
        <v/>
      </c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15"/>
      <c r="B655" s="5"/>
      <c r="C655" s="5"/>
      <c r="D655" s="5"/>
      <c r="E655" s="6"/>
      <c r="F655" s="3"/>
      <c r="G655" s="3"/>
      <c r="H655" s="3"/>
      <c r="I655" s="3"/>
      <c r="J655" s="3"/>
      <c r="K655" s="3"/>
      <c r="L655" s="3"/>
      <c r="M655" s="3"/>
      <c r="N655" s="3"/>
      <c r="O655" s="3" t="str">
        <f t="shared" si="1"/>
        <v/>
      </c>
      <c r="P655" s="3" t="str">
        <f t="shared" si="2"/>
        <v/>
      </c>
      <c r="Q655" s="3" t="str">
        <f t="shared" si="3"/>
        <v/>
      </c>
      <c r="R655" s="3" t="str">
        <f t="shared" si="4"/>
        <v/>
      </c>
      <c r="S655" s="3"/>
      <c r="T655" s="3"/>
      <c r="U655" s="3"/>
      <c r="V655" s="3"/>
      <c r="W655" s="3"/>
      <c r="X655" s="3"/>
      <c r="Y655" s="3"/>
      <c r="Z655" s="3"/>
    </row>
    <row r="656" ht="15.75" hidden="1" customHeight="1">
      <c r="A656" s="4" t="s">
        <v>638</v>
      </c>
      <c r="B656" s="5" t="s">
        <v>24</v>
      </c>
      <c r="C656" s="5" t="s">
        <v>105</v>
      </c>
      <c r="D656" s="5" t="s">
        <v>170</v>
      </c>
      <c r="E656" s="6">
        <v>635.0</v>
      </c>
      <c r="F656" s="3"/>
      <c r="G656" s="3"/>
      <c r="H656" s="3"/>
      <c r="I656" s="3"/>
      <c r="J656" s="3"/>
      <c r="K656" s="3"/>
      <c r="L656" s="3"/>
      <c r="M656" s="3"/>
      <c r="N656" s="3"/>
      <c r="O656" s="3" t="str">
        <f t="shared" si="1"/>
        <v/>
      </c>
      <c r="P656" s="3" t="str">
        <f t="shared" si="2"/>
        <v/>
      </c>
      <c r="Q656" s="3" t="str">
        <f t="shared" si="3"/>
        <v/>
      </c>
      <c r="R656" s="3" t="str">
        <f t="shared" si="4"/>
        <v/>
      </c>
      <c r="S656" s="3"/>
      <c r="T656" s="3"/>
      <c r="U656" s="3"/>
      <c r="V656" s="3"/>
      <c r="W656" s="3"/>
      <c r="X656" s="3"/>
      <c r="Y656" s="3"/>
      <c r="Z656" s="3"/>
    </row>
    <row r="657" ht="15.75" hidden="1" customHeight="1">
      <c r="A657" s="4" t="s">
        <v>639</v>
      </c>
      <c r="B657" s="5" t="s">
        <v>24</v>
      </c>
      <c r="C657" s="5" t="s">
        <v>105</v>
      </c>
      <c r="D657" s="5" t="s">
        <v>170</v>
      </c>
      <c r="E657" s="6">
        <v>632.0</v>
      </c>
      <c r="F657" s="3"/>
      <c r="G657" s="3"/>
      <c r="H657" s="3"/>
      <c r="I657" s="3"/>
      <c r="J657" s="3"/>
      <c r="K657" s="3"/>
      <c r="L657" s="3"/>
      <c r="M657" s="3"/>
      <c r="N657" s="3"/>
      <c r="O657" s="3" t="str">
        <f t="shared" si="1"/>
        <v/>
      </c>
      <c r="P657" s="3" t="str">
        <f t="shared" si="2"/>
        <v/>
      </c>
      <c r="Q657" s="3" t="str">
        <f t="shared" si="3"/>
        <v/>
      </c>
      <c r="R657" s="3" t="str">
        <f t="shared" si="4"/>
        <v/>
      </c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15"/>
      <c r="B658" s="5"/>
      <c r="C658" s="5"/>
      <c r="D658" s="5"/>
      <c r="E658" s="6"/>
      <c r="F658" s="3"/>
      <c r="G658" s="3"/>
      <c r="H658" s="3"/>
      <c r="I658" s="3"/>
      <c r="J658" s="3"/>
      <c r="K658" s="3"/>
      <c r="L658" s="3"/>
      <c r="M658" s="3"/>
      <c r="N658" s="3"/>
      <c r="O658" s="3" t="str">
        <f t="shared" si="1"/>
        <v/>
      </c>
      <c r="P658" s="3" t="str">
        <f t="shared" si="2"/>
        <v/>
      </c>
      <c r="Q658" s="3" t="str">
        <f t="shared" si="3"/>
        <v/>
      </c>
      <c r="R658" s="3" t="str">
        <f t="shared" si="4"/>
        <v/>
      </c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15"/>
      <c r="B659" s="5"/>
      <c r="C659" s="5"/>
      <c r="D659" s="5"/>
      <c r="E659" s="6"/>
      <c r="F659" s="3"/>
      <c r="G659" s="3"/>
      <c r="H659" s="3"/>
      <c r="I659" s="3"/>
      <c r="J659" s="3"/>
      <c r="K659" s="3"/>
      <c r="L659" s="3"/>
      <c r="M659" s="3"/>
      <c r="N659" s="3"/>
      <c r="O659" s="3" t="str">
        <f t="shared" si="1"/>
        <v/>
      </c>
      <c r="P659" s="3" t="str">
        <f t="shared" si="2"/>
        <v/>
      </c>
      <c r="Q659" s="3" t="str">
        <f t="shared" si="3"/>
        <v/>
      </c>
      <c r="R659" s="3" t="str">
        <f t="shared" si="4"/>
        <v/>
      </c>
      <c r="S659" s="3"/>
      <c r="T659" s="3"/>
      <c r="U659" s="3"/>
      <c r="V659" s="3"/>
      <c r="W659" s="3"/>
      <c r="X659" s="3"/>
      <c r="Y659" s="3"/>
      <c r="Z659" s="3"/>
    </row>
    <row r="660" ht="15.75" hidden="1" customHeight="1">
      <c r="A660" s="4" t="s">
        <v>640</v>
      </c>
      <c r="B660" s="5" t="s">
        <v>24</v>
      </c>
      <c r="C660" s="5" t="s">
        <v>105</v>
      </c>
      <c r="D660" s="5" t="s">
        <v>170</v>
      </c>
      <c r="E660" s="6">
        <v>621.0</v>
      </c>
      <c r="F660" s="3"/>
      <c r="G660" s="3"/>
      <c r="H660" s="3"/>
      <c r="I660" s="3"/>
      <c r="J660" s="3"/>
      <c r="K660" s="3"/>
      <c r="L660" s="3"/>
      <c r="M660" s="3"/>
      <c r="N660" s="3"/>
      <c r="O660" s="3" t="str">
        <f t="shared" si="1"/>
        <v/>
      </c>
      <c r="P660" s="3" t="str">
        <f t="shared" si="2"/>
        <v/>
      </c>
      <c r="Q660" s="3" t="str">
        <f t="shared" si="3"/>
        <v/>
      </c>
      <c r="R660" s="3" t="str">
        <f t="shared" si="4"/>
        <v/>
      </c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15"/>
      <c r="B661" s="5"/>
      <c r="C661" s="5"/>
      <c r="D661" s="5"/>
      <c r="E661" s="6"/>
      <c r="F661" s="3"/>
      <c r="G661" s="3"/>
      <c r="H661" s="3"/>
      <c r="I661" s="3"/>
      <c r="J661" s="3"/>
      <c r="K661" s="3"/>
      <c r="L661" s="3"/>
      <c r="M661" s="3"/>
      <c r="N661" s="3"/>
      <c r="O661" s="3" t="str">
        <f t="shared" si="1"/>
        <v/>
      </c>
      <c r="P661" s="3" t="str">
        <f t="shared" si="2"/>
        <v/>
      </c>
      <c r="Q661" s="3" t="str">
        <f t="shared" si="3"/>
        <v/>
      </c>
      <c r="R661" s="3" t="str">
        <f t="shared" si="4"/>
        <v/>
      </c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15"/>
      <c r="B662" s="5"/>
      <c r="C662" s="5"/>
      <c r="D662" s="5"/>
      <c r="E662" s="6"/>
      <c r="F662" s="3"/>
      <c r="G662" s="3"/>
      <c r="H662" s="3"/>
      <c r="I662" s="3"/>
      <c r="J662" s="3"/>
      <c r="K662" s="3"/>
      <c r="L662" s="3"/>
      <c r="M662" s="3"/>
      <c r="N662" s="3"/>
      <c r="O662" s="3" t="str">
        <f t="shared" si="1"/>
        <v/>
      </c>
      <c r="P662" s="3" t="str">
        <f t="shared" si="2"/>
        <v/>
      </c>
      <c r="Q662" s="3" t="str">
        <f t="shared" si="3"/>
        <v/>
      </c>
      <c r="R662" s="3" t="str">
        <f t="shared" si="4"/>
        <v/>
      </c>
      <c r="S662" s="3"/>
      <c r="T662" s="3"/>
      <c r="U662" s="3"/>
      <c r="V662" s="3"/>
      <c r="W662" s="3"/>
      <c r="X662" s="3"/>
      <c r="Y662" s="3"/>
      <c r="Z662" s="3"/>
    </row>
    <row r="663" ht="15.75" hidden="1" customHeight="1">
      <c r="A663" s="4" t="s">
        <v>641</v>
      </c>
      <c r="B663" s="5" t="s">
        <v>24</v>
      </c>
      <c r="C663" s="5" t="s">
        <v>105</v>
      </c>
      <c r="D663" s="5" t="s">
        <v>170</v>
      </c>
      <c r="E663" s="6">
        <v>594.0</v>
      </c>
      <c r="F663" s="3"/>
      <c r="G663" s="3"/>
      <c r="H663" s="3"/>
      <c r="I663" s="3"/>
      <c r="J663" s="3"/>
      <c r="K663" s="3"/>
      <c r="L663" s="3"/>
      <c r="M663" s="3"/>
      <c r="N663" s="3"/>
      <c r="O663" s="3" t="str">
        <f t="shared" si="1"/>
        <v/>
      </c>
      <c r="P663" s="3" t="str">
        <f t="shared" si="2"/>
        <v/>
      </c>
      <c r="Q663" s="3" t="str">
        <f t="shared" si="3"/>
        <v/>
      </c>
      <c r="R663" s="3" t="str">
        <f t="shared" si="4"/>
        <v/>
      </c>
      <c r="S663" s="3"/>
      <c r="T663" s="3"/>
      <c r="U663" s="3"/>
      <c r="V663" s="3"/>
      <c r="W663" s="3"/>
      <c r="X663" s="3"/>
      <c r="Y663" s="3"/>
      <c r="Z663" s="3"/>
    </row>
    <row r="664" ht="15.75" hidden="1" customHeight="1">
      <c r="A664" s="4" t="s">
        <v>621</v>
      </c>
      <c r="B664" s="5" t="s">
        <v>24</v>
      </c>
      <c r="C664" s="5" t="s">
        <v>105</v>
      </c>
      <c r="D664" s="5" t="s">
        <v>170</v>
      </c>
      <c r="E664" s="6">
        <v>582.0</v>
      </c>
      <c r="F664" s="3"/>
      <c r="G664" s="3"/>
      <c r="H664" s="3"/>
      <c r="I664" s="3"/>
      <c r="J664" s="3"/>
      <c r="K664" s="3"/>
      <c r="L664" s="3"/>
      <c r="M664" s="3"/>
      <c r="N664" s="3"/>
      <c r="O664" s="3" t="str">
        <f t="shared" si="1"/>
        <v/>
      </c>
      <c r="P664" s="3" t="str">
        <f t="shared" si="2"/>
        <v/>
      </c>
      <c r="Q664" s="3" t="str">
        <f t="shared" si="3"/>
        <v/>
      </c>
      <c r="R664" s="3" t="str">
        <f t="shared" si="4"/>
        <v/>
      </c>
      <c r="S664" s="3"/>
      <c r="T664" s="3"/>
      <c r="U664" s="3"/>
      <c r="V664" s="3"/>
      <c r="W664" s="3"/>
      <c r="X664" s="3"/>
      <c r="Y664" s="3"/>
      <c r="Z664" s="3"/>
    </row>
    <row r="665" ht="15.75" hidden="1" customHeight="1">
      <c r="A665" s="4" t="s">
        <v>642</v>
      </c>
      <c r="B665" s="5" t="s">
        <v>24</v>
      </c>
      <c r="C665" s="5" t="s">
        <v>105</v>
      </c>
      <c r="D665" s="5" t="s">
        <v>170</v>
      </c>
      <c r="E665" s="6">
        <v>568.0</v>
      </c>
      <c r="F665" s="3"/>
      <c r="G665" s="3"/>
      <c r="H665" s="3"/>
      <c r="I665" s="3"/>
      <c r="J665" s="3"/>
      <c r="K665" s="3"/>
      <c r="L665" s="3"/>
      <c r="M665" s="3"/>
      <c r="N665" s="3"/>
      <c r="O665" s="3" t="str">
        <f t="shared" si="1"/>
        <v/>
      </c>
      <c r="P665" s="3" t="str">
        <f t="shared" si="2"/>
        <v/>
      </c>
      <c r="Q665" s="3" t="str">
        <f t="shared" si="3"/>
        <v/>
      </c>
      <c r="R665" s="3" t="str">
        <f t="shared" si="4"/>
        <v/>
      </c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15"/>
      <c r="B666" s="5"/>
      <c r="C666" s="5"/>
      <c r="D666" s="5"/>
      <c r="E666" s="6"/>
      <c r="F666" s="3"/>
      <c r="G666" s="3"/>
      <c r="H666" s="3"/>
      <c r="I666" s="3"/>
      <c r="J666" s="3"/>
      <c r="K666" s="3"/>
      <c r="L666" s="3"/>
      <c r="M666" s="3"/>
      <c r="N666" s="3"/>
      <c r="O666" s="3" t="str">
        <f t="shared" si="1"/>
        <v/>
      </c>
      <c r="P666" s="3" t="str">
        <f t="shared" si="2"/>
        <v/>
      </c>
      <c r="Q666" s="3" t="str">
        <f t="shared" si="3"/>
        <v/>
      </c>
      <c r="R666" s="3" t="str">
        <f t="shared" si="4"/>
        <v/>
      </c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15"/>
      <c r="B667" s="5"/>
      <c r="C667" s="5"/>
      <c r="D667" s="5"/>
      <c r="E667" s="6"/>
      <c r="F667" s="3"/>
      <c r="G667" s="3"/>
      <c r="H667" s="3"/>
      <c r="I667" s="3"/>
      <c r="J667" s="3"/>
      <c r="K667" s="3"/>
      <c r="L667" s="3"/>
      <c r="M667" s="3"/>
      <c r="N667" s="3"/>
      <c r="O667" s="3" t="str">
        <f t="shared" si="1"/>
        <v/>
      </c>
      <c r="P667" s="3" t="str">
        <f t="shared" si="2"/>
        <v/>
      </c>
      <c r="Q667" s="3" t="str">
        <f t="shared" si="3"/>
        <v/>
      </c>
      <c r="R667" s="3" t="str">
        <f t="shared" si="4"/>
        <v/>
      </c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15"/>
      <c r="B668" s="5"/>
      <c r="C668" s="5"/>
      <c r="D668" s="5"/>
      <c r="E668" s="6"/>
      <c r="F668" s="3"/>
      <c r="G668" s="3"/>
      <c r="H668" s="3"/>
      <c r="I668" s="3"/>
      <c r="J668" s="3"/>
      <c r="K668" s="3"/>
      <c r="L668" s="3"/>
      <c r="M668" s="3"/>
      <c r="N668" s="3"/>
      <c r="O668" s="3" t="str">
        <f t="shared" si="1"/>
        <v/>
      </c>
      <c r="P668" s="3" t="str">
        <f t="shared" si="2"/>
        <v/>
      </c>
      <c r="Q668" s="3" t="str">
        <f t="shared" si="3"/>
        <v/>
      </c>
      <c r="R668" s="3" t="str">
        <f t="shared" si="4"/>
        <v/>
      </c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15"/>
      <c r="B669" s="5"/>
      <c r="C669" s="5"/>
      <c r="D669" s="5"/>
      <c r="E669" s="6"/>
      <c r="F669" s="3"/>
      <c r="G669" s="3"/>
      <c r="H669" s="3"/>
      <c r="I669" s="3"/>
      <c r="J669" s="3"/>
      <c r="K669" s="3"/>
      <c r="L669" s="3"/>
      <c r="M669" s="3"/>
      <c r="N669" s="3"/>
      <c r="O669" s="3" t="str">
        <f t="shared" si="1"/>
        <v/>
      </c>
      <c r="P669" s="3" t="str">
        <f t="shared" si="2"/>
        <v/>
      </c>
      <c r="Q669" s="3" t="str">
        <f t="shared" si="3"/>
        <v/>
      </c>
      <c r="R669" s="3" t="str">
        <f t="shared" si="4"/>
        <v/>
      </c>
      <c r="S669" s="3"/>
      <c r="T669" s="3"/>
      <c r="U669" s="3"/>
      <c r="V669" s="3"/>
      <c r="W669" s="3"/>
      <c r="X669" s="3"/>
      <c r="Y669" s="3"/>
      <c r="Z669" s="3"/>
    </row>
    <row r="670" ht="15.75" hidden="1" customHeight="1">
      <c r="A670" s="4" t="s">
        <v>643</v>
      </c>
      <c r="B670" s="5" t="s">
        <v>24</v>
      </c>
      <c r="C670" s="5" t="s">
        <v>105</v>
      </c>
      <c r="D670" s="5" t="s">
        <v>170</v>
      </c>
      <c r="E670" s="6">
        <v>545.0</v>
      </c>
      <c r="F670" s="3"/>
      <c r="G670" s="3"/>
      <c r="H670" s="3"/>
      <c r="I670" s="3"/>
      <c r="J670" s="3"/>
      <c r="K670" s="3"/>
      <c r="L670" s="3"/>
      <c r="M670" s="3"/>
      <c r="N670" s="3"/>
      <c r="O670" s="3" t="str">
        <f t="shared" si="1"/>
        <v/>
      </c>
      <c r="P670" s="3" t="str">
        <f t="shared" si="2"/>
        <v/>
      </c>
      <c r="Q670" s="3" t="str">
        <f t="shared" si="3"/>
        <v/>
      </c>
      <c r="R670" s="3" t="str">
        <f t="shared" si="4"/>
        <v/>
      </c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15"/>
      <c r="B671" s="5"/>
      <c r="C671" s="5"/>
      <c r="D671" s="5"/>
      <c r="E671" s="6"/>
      <c r="F671" s="3"/>
      <c r="G671" s="3"/>
      <c r="H671" s="3"/>
      <c r="I671" s="3"/>
      <c r="J671" s="3"/>
      <c r="K671" s="3"/>
      <c r="L671" s="3"/>
      <c r="M671" s="3"/>
      <c r="N671" s="3"/>
      <c r="O671" s="3" t="str">
        <f t="shared" si="1"/>
        <v/>
      </c>
      <c r="P671" s="3" t="str">
        <f t="shared" si="2"/>
        <v/>
      </c>
      <c r="Q671" s="3" t="str">
        <f t="shared" si="3"/>
        <v/>
      </c>
      <c r="R671" s="3" t="str">
        <f t="shared" si="4"/>
        <v/>
      </c>
      <c r="S671" s="3"/>
      <c r="T671" s="3"/>
      <c r="U671" s="3"/>
      <c r="V671" s="3"/>
      <c r="W671" s="3"/>
      <c r="X671" s="3"/>
      <c r="Y671" s="3"/>
      <c r="Z671" s="3"/>
    </row>
    <row r="672" ht="9.0" customHeight="1">
      <c r="A672" s="15"/>
      <c r="B672" s="5"/>
      <c r="C672" s="5"/>
      <c r="D672" s="5"/>
      <c r="E672" s="6"/>
      <c r="F672" s="3"/>
      <c r="G672" s="3"/>
      <c r="H672" s="3"/>
      <c r="I672" s="3"/>
      <c r="J672" s="3"/>
      <c r="K672" s="3"/>
      <c r="L672" s="3"/>
      <c r="M672" s="3"/>
      <c r="N672" s="3"/>
      <c r="O672" s="3" t="str">
        <f t="shared" si="1"/>
        <v/>
      </c>
      <c r="P672" s="3" t="str">
        <f t="shared" si="2"/>
        <v/>
      </c>
      <c r="Q672" s="3" t="str">
        <f t="shared" si="3"/>
        <v/>
      </c>
      <c r="R672" s="3" t="str">
        <f t="shared" si="4"/>
        <v/>
      </c>
      <c r="S672" s="3"/>
      <c r="T672" s="3"/>
      <c r="U672" s="3"/>
      <c r="V672" s="3"/>
      <c r="W672" s="3"/>
      <c r="X672" s="3"/>
      <c r="Y672" s="3"/>
      <c r="Z672" s="3"/>
    </row>
    <row r="673" ht="15.75" hidden="1" customHeight="1">
      <c r="A673" s="4" t="s">
        <v>644</v>
      </c>
      <c r="B673" s="5" t="s">
        <v>24</v>
      </c>
      <c r="C673" s="5" t="s">
        <v>105</v>
      </c>
      <c r="D673" s="5" t="s">
        <v>170</v>
      </c>
      <c r="E673" s="6">
        <v>506.0</v>
      </c>
      <c r="F673" s="3"/>
      <c r="G673" s="3"/>
      <c r="H673" s="3"/>
      <c r="I673" s="3"/>
      <c r="J673" s="3"/>
      <c r="K673" s="3"/>
      <c r="L673" s="3"/>
      <c r="M673" s="3"/>
      <c r="N673" s="3"/>
      <c r="O673" s="3" t="str">
        <f t="shared" si="1"/>
        <v/>
      </c>
      <c r="P673" s="3" t="str">
        <f t="shared" si="2"/>
        <v/>
      </c>
      <c r="Q673" s="3" t="str">
        <f t="shared" si="3"/>
        <v/>
      </c>
      <c r="R673" s="3" t="str">
        <f t="shared" si="4"/>
        <v/>
      </c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conditionalFormatting sqref="A172">
    <cfRule type="expression" dxfId="0" priority="1">
      <formula>AND($H135="Вышло",$G135="")</formula>
    </cfRule>
  </conditionalFormatting>
  <conditionalFormatting sqref="A172">
    <cfRule type="expression" dxfId="1" priority="2">
      <formula>AND($H135="Вышло",N($Y135)=0,N($U135)=0)</formula>
    </cfRule>
  </conditionalFormatting>
  <conditionalFormatting sqref="A172">
    <cfRule type="expression" dxfId="0" priority="3">
      <formula>AND($H135="Вышло",$G135="")</formula>
    </cfRule>
  </conditionalFormatting>
  <conditionalFormatting sqref="A172">
    <cfRule type="expression" dxfId="1" priority="4">
      <formula>AND($H135="Вышло",N($Y135)=0,N($U135)=0)</formula>
    </cfRule>
  </conditionalFormatting>
  <conditionalFormatting sqref="A172">
    <cfRule type="expression" dxfId="0" priority="5">
      <formula>AND($H135="Вышло",$G135="")</formula>
    </cfRule>
  </conditionalFormatting>
  <conditionalFormatting sqref="A172">
    <cfRule type="expression" dxfId="1" priority="6">
      <formula>AND($H135="Вышло",N($Y135)=0,N($U135)=0)</formula>
    </cfRule>
  </conditionalFormatting>
  <conditionalFormatting sqref="A172">
    <cfRule type="expression" dxfId="0" priority="7">
      <formula>AND($I135="Вышло",$H135="")</formula>
    </cfRule>
  </conditionalFormatting>
  <conditionalFormatting sqref="A172">
    <cfRule type="expression" dxfId="1" priority="8">
      <formula>AND($I135="Вышло",N($Z135)=0,N($V135)=0)</formula>
    </cfRule>
  </conditionalFormatting>
  <conditionalFormatting sqref="O73:O406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P73:P406">
    <cfRule type="colorScale" priority="1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R73:R406">
    <cfRule type="expression" dxfId="2" priority="11">
      <formula>$R73="Высокий"</formula>
    </cfRule>
  </conditionalFormatting>
  <conditionalFormatting sqref="R73:R406">
    <cfRule type="expression" dxfId="1" priority="12">
      <formula>$R73="Средний"</formula>
    </cfRule>
  </conditionalFormatting>
  <conditionalFormatting sqref="R73:R406">
    <cfRule type="expression" dxfId="0" priority="13">
      <formula>$R73="Низкий"</formula>
    </cfRule>
  </conditionalFormatting>
  <conditionalFormatting sqref="O22:O72 O166:O230 O242 O266 O277 O288 O299">
    <cfRule type="colorScale" priority="1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O22:O72 O166:O230 O242 O266 O277 O288 O299">
    <cfRule type="colorScale" priority="1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P22:P72 P166:P230 P242 P266 P277 P288 P299">
    <cfRule type="colorScale" priority="16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P22:P72 P166:P230 P242 P266 P277 P288 P299">
    <cfRule type="colorScale" priority="1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R2:R72 R166:R230 R242 R266 R277 R288 R299">
    <cfRule type="expression" dxfId="2" priority="18">
      <formula>$R2="Высокий"</formula>
    </cfRule>
  </conditionalFormatting>
  <conditionalFormatting sqref="R2:R72 R166:R230 R242 R266 R277 R288 R299">
    <cfRule type="expression" dxfId="1" priority="19">
      <formula>$R2="Средний"</formula>
    </cfRule>
  </conditionalFormatting>
  <conditionalFormatting sqref="R2:R72 R166:R230 R242 R266 R277 R288 R299">
    <cfRule type="expression" dxfId="0" priority="20">
      <formula>$R2="Низкий"</formula>
    </cfRule>
  </conditionalFormatting>
  <conditionalFormatting sqref="R8:R14 R22:R72 R166:R230 R242 R266 R277 R288 R299">
    <cfRule type="expression" dxfId="2" priority="21">
      <formula>$R8="Высокий"</formula>
    </cfRule>
  </conditionalFormatting>
  <conditionalFormatting sqref="R8:R14 R22:R72 R166:R230 R242 R266 R277 R288 R299">
    <cfRule type="expression" dxfId="1" priority="22">
      <formula>$R8="Средний"</formula>
    </cfRule>
  </conditionalFormatting>
  <conditionalFormatting sqref="R8:R14 R22:R72 R166:R230 R242 R266 R277 R288 R299">
    <cfRule type="expression" dxfId="0" priority="23">
      <formula>$R8="Низкий"</formula>
    </cfRule>
  </conditionalFormatting>
  <conditionalFormatting sqref="R2:R32">
    <cfRule type="expression" dxfId="2" priority="24">
      <formula>$R2="Высокий"</formula>
    </cfRule>
  </conditionalFormatting>
  <conditionalFormatting sqref="R2:R32">
    <cfRule type="expression" dxfId="1" priority="25">
      <formula>$R2="Средний"</formula>
    </cfRule>
  </conditionalFormatting>
  <conditionalFormatting sqref="R2:R32">
    <cfRule type="expression" dxfId="0" priority="26">
      <formula>$R2="Низкий"</formula>
    </cfRule>
  </conditionalFormatting>
  <conditionalFormatting sqref="O53:O59 O166:O169">
    <cfRule type="colorScale" priority="2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O53:O59 O166:O169">
    <cfRule type="colorScale" priority="28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P53:P59 P166:P169">
    <cfRule type="colorScale" priority="2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P53:P59 P166:P169">
    <cfRule type="colorScale" priority="3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R53:R59 R166:R169">
    <cfRule type="expression" dxfId="2" priority="31">
      <formula>$R53="Высокий"</formula>
    </cfRule>
  </conditionalFormatting>
  <conditionalFormatting sqref="R53:R59 R166:R169">
    <cfRule type="expression" dxfId="1" priority="32">
      <formula>$R53="Средний"</formula>
    </cfRule>
  </conditionalFormatting>
  <conditionalFormatting sqref="R53:R59 R166:R169">
    <cfRule type="expression" dxfId="0" priority="33">
      <formula>$R53="Низкий"</formula>
    </cfRule>
  </conditionalFormatting>
  <conditionalFormatting sqref="R53:R59 R166:R169">
    <cfRule type="expression" dxfId="2" priority="34">
      <formula>$R53="Высокий"</formula>
    </cfRule>
  </conditionalFormatting>
  <conditionalFormatting sqref="R53:R59 R166:R169">
    <cfRule type="expression" dxfId="1" priority="35">
      <formula>$R53="Средний"</formula>
    </cfRule>
  </conditionalFormatting>
  <conditionalFormatting sqref="R53:R59 R166:R169">
    <cfRule type="expression" dxfId="0" priority="36">
      <formula>$R53="Низкий"</formula>
    </cfRule>
  </conditionalFormatting>
  <conditionalFormatting sqref="O3 O5:O6 O15:O52">
    <cfRule type="colorScale" priority="3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P3 P5:P6 P16:P52">
    <cfRule type="colorScale" priority="38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O2">
    <cfRule type="colorScale" priority="3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P2">
    <cfRule type="colorScale" priority="4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O4:P4">
    <cfRule type="colorScale" priority="4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O8:O14">
    <cfRule type="colorScale" priority="4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O7:O14">
    <cfRule type="colorScale" priority="4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P8:P15">
    <cfRule type="colorScale" priority="4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P7:P15">
    <cfRule type="colorScale" priority="4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dataValidations>
    <dataValidation type="list" allowBlank="1" sqref="K153:K406">
      <formula1>"Анна,Менеджер 2"</formula1>
    </dataValidation>
  </dataValidations>
  <hyperlinks>
    <hyperlink r:id="rId1" ref="A2"/>
    <hyperlink r:id="rId2" ref="A3"/>
    <hyperlink r:id="rId3" ref="A4"/>
    <hyperlink r:id="rId4" ref="A5"/>
    <hyperlink r:id="rId5" ref="A6"/>
    <hyperlink r:id="rId6" ref="A7"/>
    <hyperlink r:id="rId7" ref="A8"/>
    <hyperlink r:id="rId8" ref="A21"/>
    <hyperlink r:id="rId9" ref="A22"/>
    <hyperlink r:id="rId10" ref="A23"/>
    <hyperlink r:id="rId11" ref="A24"/>
    <hyperlink r:id="rId12" ref="A25"/>
    <hyperlink r:id="rId13" ref="A27"/>
    <hyperlink r:id="rId14" ref="A28"/>
    <hyperlink r:id="rId15" ref="A29"/>
    <hyperlink r:id="rId16" ref="A30"/>
    <hyperlink r:id="rId17" ref="A31"/>
    <hyperlink r:id="rId18" ref="A32"/>
    <hyperlink r:id="rId19" ref="A33"/>
    <hyperlink r:id="rId20" ref="A34"/>
    <hyperlink r:id="rId21" ref="A35"/>
    <hyperlink r:id="rId22" ref="A36"/>
    <hyperlink r:id="rId23" ref="A37"/>
    <hyperlink r:id="rId24" ref="A38"/>
    <hyperlink r:id="rId25" ref="A39"/>
    <hyperlink r:id="rId26" ref="A40"/>
    <hyperlink r:id="rId27" ref="A41"/>
    <hyperlink r:id="rId28" ref="A42"/>
    <hyperlink r:id="rId29" ref="A43"/>
    <hyperlink r:id="rId30" ref="A44"/>
    <hyperlink r:id="rId31" ref="A45"/>
    <hyperlink r:id="rId32" ref="A46"/>
    <hyperlink r:id="rId33" ref="A47"/>
    <hyperlink r:id="rId34" ref="A48"/>
    <hyperlink r:id="rId35" ref="A49"/>
    <hyperlink r:id="rId36" ref="A50"/>
    <hyperlink r:id="rId37" ref="A51"/>
    <hyperlink r:id="rId38" ref="A52"/>
    <hyperlink r:id="rId39" ref="A53"/>
    <hyperlink r:id="rId40" ref="A54"/>
    <hyperlink r:id="rId41" ref="A55"/>
    <hyperlink r:id="rId42" ref="A56"/>
    <hyperlink r:id="rId43" ref="A57"/>
    <hyperlink r:id="rId44" ref="A58"/>
    <hyperlink r:id="rId45" ref="A59"/>
    <hyperlink r:id="rId46" ref="A60"/>
    <hyperlink r:id="rId47" ref="A61"/>
    <hyperlink r:id="rId48" ref="A62"/>
    <hyperlink r:id="rId49" ref="A63"/>
    <hyperlink r:id="rId50" ref="A64"/>
    <hyperlink r:id="rId51" ref="A65"/>
    <hyperlink r:id="rId52" ref="A66"/>
    <hyperlink r:id="rId53" ref="A67"/>
    <hyperlink r:id="rId54" ref="A68"/>
    <hyperlink r:id="rId55" ref="A69"/>
    <hyperlink r:id="rId56" ref="A70"/>
    <hyperlink r:id="rId57" ref="A71"/>
    <hyperlink r:id="rId58" ref="A72"/>
    <hyperlink r:id="rId59" ref="A73"/>
    <hyperlink r:id="rId60" ref="A74"/>
    <hyperlink r:id="rId61" ref="A75"/>
    <hyperlink r:id="rId62" ref="A76"/>
    <hyperlink r:id="rId63" ref="A77"/>
    <hyperlink r:id="rId64" ref="A78"/>
    <hyperlink r:id="rId65" ref="A79"/>
    <hyperlink r:id="rId66" ref="A80"/>
    <hyperlink r:id="rId67" ref="A81"/>
    <hyperlink r:id="rId68" ref="A82"/>
    <hyperlink r:id="rId69" ref="A83"/>
    <hyperlink r:id="rId70" ref="A84"/>
    <hyperlink r:id="rId71" ref="A85"/>
    <hyperlink r:id="rId72" ref="A86"/>
    <hyperlink r:id="rId73" ref="A87"/>
    <hyperlink r:id="rId74" ref="A88"/>
    <hyperlink r:id="rId75" ref="A89"/>
    <hyperlink r:id="rId76" ref="A90"/>
    <hyperlink r:id="rId77" ref="A91"/>
    <hyperlink r:id="rId78" ref="A92"/>
    <hyperlink r:id="rId79" ref="A93"/>
    <hyperlink r:id="rId80" ref="A94"/>
    <hyperlink r:id="rId81" ref="A95"/>
    <hyperlink r:id="rId82" ref="A96"/>
    <hyperlink r:id="rId83" ref="A97"/>
    <hyperlink r:id="rId84" ref="A98"/>
    <hyperlink r:id="rId85" ref="A99"/>
    <hyperlink r:id="rId86" ref="A100"/>
    <hyperlink r:id="rId87" ref="A101"/>
    <hyperlink r:id="rId88" ref="A102"/>
    <hyperlink r:id="rId89" ref="A103"/>
    <hyperlink r:id="rId90" ref="A104"/>
    <hyperlink r:id="rId91" ref="A105"/>
    <hyperlink r:id="rId92" ref="A106"/>
    <hyperlink r:id="rId93" ref="A107"/>
    <hyperlink r:id="rId94" ref="A108"/>
    <hyperlink r:id="rId95" ref="A109"/>
    <hyperlink r:id="rId96" ref="A110"/>
    <hyperlink r:id="rId97" ref="A111"/>
    <hyperlink r:id="rId98" ref="A112"/>
    <hyperlink r:id="rId99" ref="A113"/>
    <hyperlink r:id="rId100" ref="A114"/>
    <hyperlink r:id="rId101" ref="A115"/>
    <hyperlink r:id="rId102" ref="A116"/>
    <hyperlink r:id="rId103" ref="A117"/>
    <hyperlink r:id="rId104" ref="A118"/>
    <hyperlink r:id="rId105" ref="A119"/>
    <hyperlink r:id="rId106" ref="A120"/>
    <hyperlink r:id="rId107" ref="A121"/>
    <hyperlink r:id="rId108" ref="A122"/>
    <hyperlink r:id="rId109" ref="A123"/>
    <hyperlink r:id="rId110" ref="A124"/>
    <hyperlink r:id="rId111" ref="A125"/>
    <hyperlink r:id="rId112" ref="A126"/>
    <hyperlink r:id="rId113" ref="A127"/>
    <hyperlink r:id="rId114" ref="A128"/>
    <hyperlink r:id="rId115" ref="A129"/>
    <hyperlink r:id="rId116" ref="A130"/>
    <hyperlink r:id="rId117" ref="A131"/>
    <hyperlink r:id="rId118" ref="A132"/>
    <hyperlink r:id="rId119" ref="A133"/>
    <hyperlink r:id="rId120" ref="A134"/>
    <hyperlink r:id="rId121" ref="A135"/>
    <hyperlink r:id="rId122" ref="A136"/>
    <hyperlink r:id="rId123" ref="A137"/>
    <hyperlink r:id="rId124" ref="A138"/>
    <hyperlink r:id="rId125" ref="A139"/>
    <hyperlink r:id="rId126" ref="A140"/>
    <hyperlink r:id="rId127" ref="A141"/>
    <hyperlink r:id="rId128" ref="A142"/>
    <hyperlink r:id="rId129" ref="A143"/>
    <hyperlink r:id="rId130" ref="A144"/>
    <hyperlink r:id="rId131" ref="A145"/>
    <hyperlink r:id="rId132" ref="A147"/>
    <hyperlink r:id="rId133" ref="A148"/>
    <hyperlink r:id="rId134" ref="A149"/>
    <hyperlink r:id="rId135" ref="A150"/>
    <hyperlink r:id="rId136" ref="A151"/>
    <hyperlink r:id="rId137" ref="A152"/>
    <hyperlink r:id="rId138" ref="A153"/>
    <hyperlink r:id="rId139" ref="A154"/>
    <hyperlink r:id="rId140" ref="A155"/>
    <hyperlink r:id="rId141" ref="A156"/>
    <hyperlink r:id="rId142" ref="A157"/>
    <hyperlink r:id="rId143" ref="A158"/>
    <hyperlink r:id="rId144" ref="A159"/>
    <hyperlink r:id="rId145" ref="A160"/>
    <hyperlink r:id="rId146" ref="A161"/>
    <hyperlink r:id="rId147" ref="A162"/>
    <hyperlink r:id="rId148" ref="A163"/>
    <hyperlink r:id="rId149" ref="A164"/>
    <hyperlink r:id="rId150" ref="A165"/>
    <hyperlink r:id="rId151" ref="A166"/>
    <hyperlink r:id="rId152" ref="A167"/>
    <hyperlink r:id="rId153" ref="A169"/>
    <hyperlink r:id="rId154" ref="A170"/>
    <hyperlink r:id="rId155" ref="A171"/>
    <hyperlink r:id="rId156" ref="A172"/>
    <hyperlink r:id="rId157" ref="A173"/>
    <hyperlink r:id="rId158" ref="A174"/>
    <hyperlink r:id="rId159" ref="A175"/>
    <hyperlink r:id="rId160" ref="A176"/>
    <hyperlink r:id="rId161" ref="A177"/>
    <hyperlink r:id="rId162" ref="A178"/>
    <hyperlink r:id="rId163" ref="A179"/>
    <hyperlink r:id="rId164" ref="A180"/>
    <hyperlink r:id="rId165" ref="A181"/>
    <hyperlink r:id="rId166" ref="A182"/>
    <hyperlink r:id="rId167" ref="A183"/>
    <hyperlink r:id="rId168" ref="A185"/>
    <hyperlink r:id="rId169" ref="A186"/>
    <hyperlink r:id="rId170" ref="A187"/>
    <hyperlink r:id="rId171" ref="A188"/>
    <hyperlink r:id="rId172" ref="N188"/>
    <hyperlink r:id="rId173" ref="A189"/>
    <hyperlink r:id="rId174" ref="N189"/>
    <hyperlink r:id="rId175" ref="A190"/>
    <hyperlink r:id="rId176" ref="A191"/>
    <hyperlink r:id="rId177" ref="A192"/>
    <hyperlink r:id="rId178" ref="A193"/>
    <hyperlink r:id="rId179" ref="A194"/>
    <hyperlink r:id="rId180" ref="A195"/>
    <hyperlink r:id="rId181" ref="A196"/>
    <hyperlink r:id="rId182" ref="A197"/>
    <hyperlink r:id="rId183" ref="A198"/>
    <hyperlink r:id="rId184" ref="A199"/>
    <hyperlink r:id="rId185" ref="A200"/>
    <hyperlink r:id="rId186" ref="A201"/>
    <hyperlink r:id="rId187" ref="A202"/>
    <hyperlink r:id="rId188" ref="A203"/>
    <hyperlink r:id="rId189" ref="A204"/>
    <hyperlink r:id="rId190" ref="A205"/>
    <hyperlink r:id="rId191" ref="A206"/>
    <hyperlink r:id="rId192" ref="A207"/>
    <hyperlink r:id="rId193" ref="A208"/>
    <hyperlink r:id="rId194" ref="A209"/>
    <hyperlink r:id="rId195" ref="A210"/>
    <hyperlink r:id="rId196" ref="A211"/>
    <hyperlink r:id="rId197" ref="A212"/>
    <hyperlink r:id="rId198" ref="A213"/>
    <hyperlink r:id="rId199" ref="A214"/>
    <hyperlink r:id="rId200" ref="A215"/>
    <hyperlink r:id="rId201" ref="A216"/>
    <hyperlink r:id="rId202" ref="N216"/>
    <hyperlink r:id="rId203" ref="A217"/>
    <hyperlink r:id="rId204" ref="A218"/>
    <hyperlink r:id="rId205" ref="A219"/>
    <hyperlink r:id="rId206" ref="A220"/>
    <hyperlink r:id="rId207" ref="A221"/>
    <hyperlink r:id="rId208" ref="A222"/>
    <hyperlink r:id="rId209" ref="N222"/>
    <hyperlink r:id="rId210" ref="A223"/>
    <hyperlink r:id="rId211" ref="A224"/>
    <hyperlink r:id="rId212" ref="I224"/>
    <hyperlink r:id="rId213" ref="N224"/>
    <hyperlink r:id="rId214" ref="A225"/>
    <hyperlink r:id="rId215" ref="A226"/>
    <hyperlink r:id="rId216" ref="A227"/>
    <hyperlink r:id="rId217" ref="A228"/>
    <hyperlink r:id="rId218" ref="I228"/>
    <hyperlink r:id="rId219" ref="N228"/>
    <hyperlink r:id="rId220" ref="A229"/>
    <hyperlink r:id="rId221" ref="A230"/>
    <hyperlink r:id="rId222" ref="A231"/>
    <hyperlink r:id="rId223" ref="A232"/>
    <hyperlink r:id="rId224" ref="A233"/>
    <hyperlink r:id="rId225" ref="A234"/>
    <hyperlink r:id="rId226" ref="N234"/>
    <hyperlink r:id="rId227" ref="A235"/>
    <hyperlink r:id="rId228" ref="A236"/>
    <hyperlink r:id="rId229" ref="A237"/>
    <hyperlink r:id="rId230" ref="A238"/>
    <hyperlink r:id="rId231" ref="A239"/>
    <hyperlink r:id="rId232" ref="A240"/>
    <hyperlink r:id="rId233" ref="A241"/>
    <hyperlink r:id="rId234" ref="A242"/>
    <hyperlink r:id="rId235" ref="N242"/>
    <hyperlink r:id="rId236" ref="A243"/>
    <hyperlink r:id="rId237" ref="A244"/>
    <hyperlink r:id="rId238" ref="A245"/>
    <hyperlink r:id="rId239" ref="A246"/>
    <hyperlink r:id="rId240" ref="A247"/>
    <hyperlink r:id="rId241" ref="A248"/>
    <hyperlink r:id="rId242" ref="A249"/>
    <hyperlink r:id="rId243" ref="A250"/>
    <hyperlink r:id="rId244" ref="A251"/>
    <hyperlink r:id="rId245" ref="I251"/>
    <hyperlink r:id="rId246" ref="N251"/>
    <hyperlink r:id="rId247" ref="A252"/>
    <hyperlink r:id="rId248" ref="A253"/>
    <hyperlink r:id="rId249" ref="A254"/>
    <hyperlink r:id="rId250" ref="A255"/>
    <hyperlink r:id="rId251" ref="I255"/>
    <hyperlink r:id="rId252" ref="N255"/>
    <hyperlink r:id="rId253" ref="A256"/>
    <hyperlink r:id="rId254" ref="A257"/>
    <hyperlink r:id="rId255" ref="A258"/>
    <hyperlink r:id="rId256" ref="A259"/>
    <hyperlink r:id="rId257" ref="A260"/>
    <hyperlink r:id="rId258" ref="A261"/>
    <hyperlink r:id="rId259" ref="I261"/>
    <hyperlink r:id="rId260" ref="N261"/>
    <hyperlink r:id="rId261" ref="A262"/>
    <hyperlink r:id="rId262" ref="A263"/>
    <hyperlink r:id="rId263" ref="N263"/>
    <hyperlink r:id="rId264" ref="A264"/>
    <hyperlink r:id="rId265" ref="A265"/>
    <hyperlink r:id="rId266" ref="A266"/>
    <hyperlink r:id="rId267" ref="A267"/>
    <hyperlink r:id="rId268" ref="A268"/>
    <hyperlink r:id="rId269" ref="A269"/>
    <hyperlink r:id="rId270" ref="A270"/>
    <hyperlink r:id="rId271" ref="A271"/>
    <hyperlink r:id="rId272" ref="A272"/>
    <hyperlink r:id="rId273" ref="A273"/>
    <hyperlink r:id="rId274" ref="A274"/>
    <hyperlink r:id="rId275" ref="A275"/>
    <hyperlink r:id="rId276" ref="A276"/>
    <hyperlink r:id="rId277" ref="A277"/>
    <hyperlink r:id="rId278" ref="A278"/>
    <hyperlink r:id="rId279" ref="A279"/>
    <hyperlink r:id="rId280" ref="A280"/>
    <hyperlink r:id="rId281" ref="A281"/>
    <hyperlink r:id="rId282" ref="A282"/>
    <hyperlink r:id="rId283" ref="A283"/>
    <hyperlink r:id="rId284" ref="A284"/>
    <hyperlink r:id="rId285" ref="A285"/>
    <hyperlink r:id="rId286" ref="A286"/>
    <hyperlink r:id="rId287" ref="A287"/>
    <hyperlink r:id="rId288" ref="A288"/>
    <hyperlink r:id="rId289" ref="A289"/>
    <hyperlink r:id="rId290" ref="A290"/>
    <hyperlink r:id="rId291" ref="A292"/>
    <hyperlink r:id="rId292" ref="A293"/>
    <hyperlink r:id="rId293" ref="A294"/>
    <hyperlink r:id="rId294" ref="A295"/>
    <hyperlink r:id="rId295" ref="A296"/>
    <hyperlink r:id="rId296" ref="A297"/>
    <hyperlink r:id="rId297" ref="A298"/>
    <hyperlink r:id="rId298" ref="A299"/>
    <hyperlink r:id="rId299" ref="A300"/>
    <hyperlink r:id="rId300" ref="A301"/>
    <hyperlink r:id="rId301" ref="A302"/>
    <hyperlink r:id="rId302" ref="A303"/>
    <hyperlink r:id="rId303" ref="A304"/>
    <hyperlink r:id="rId304" ref="A305"/>
    <hyperlink r:id="rId305" ref="A306"/>
    <hyperlink r:id="rId306" ref="A307"/>
    <hyperlink r:id="rId307" ref="A308"/>
    <hyperlink r:id="rId308" ref="A309"/>
    <hyperlink r:id="rId309" ref="A310"/>
    <hyperlink r:id="rId310" ref="A311"/>
    <hyperlink r:id="rId311" ref="A312"/>
    <hyperlink r:id="rId312" ref="A313"/>
    <hyperlink r:id="rId313" ref="A314"/>
    <hyperlink r:id="rId314" ref="A315"/>
    <hyperlink r:id="rId315" ref="A316"/>
    <hyperlink r:id="rId316" ref="A318"/>
    <hyperlink r:id="rId317" ref="A319"/>
    <hyperlink r:id="rId318" ref="A320"/>
    <hyperlink r:id="rId319" ref="A321"/>
    <hyperlink r:id="rId320" ref="A322"/>
    <hyperlink r:id="rId321" ref="A323"/>
    <hyperlink r:id="rId322" ref="A324"/>
    <hyperlink r:id="rId323" ref="A325"/>
    <hyperlink r:id="rId324" ref="A326"/>
    <hyperlink r:id="rId325" ref="A329"/>
    <hyperlink r:id="rId326" ref="A332"/>
    <hyperlink r:id="rId327" ref="A335"/>
    <hyperlink r:id="rId328" ref="A339"/>
    <hyperlink r:id="rId329" ref="A341"/>
    <hyperlink r:id="rId330" ref="A342"/>
    <hyperlink r:id="rId331" ref="A345"/>
    <hyperlink r:id="rId332" ref="A346"/>
    <hyperlink r:id="rId333" ref="A348"/>
    <hyperlink r:id="rId334" ref="A349"/>
    <hyperlink r:id="rId335" ref="A351"/>
    <hyperlink r:id="rId336" ref="A352"/>
    <hyperlink r:id="rId337" ref="A354"/>
    <hyperlink r:id="rId338" ref="A357"/>
    <hyperlink r:id="rId339" ref="A359"/>
    <hyperlink r:id="rId340" ref="A360"/>
    <hyperlink r:id="rId341" ref="A362"/>
    <hyperlink r:id="rId342" ref="A366"/>
    <hyperlink r:id="rId343" ref="A367"/>
    <hyperlink r:id="rId344" ref="A368"/>
    <hyperlink r:id="rId345" ref="A371"/>
    <hyperlink r:id="rId346" ref="A372"/>
    <hyperlink r:id="rId347" ref="A374"/>
    <hyperlink r:id="rId348" ref="A375"/>
    <hyperlink r:id="rId349" ref="A378"/>
    <hyperlink r:id="rId350" ref="A379"/>
    <hyperlink r:id="rId351" ref="A380"/>
    <hyperlink r:id="rId352" ref="A382"/>
    <hyperlink r:id="rId353" ref="A384"/>
    <hyperlink r:id="rId354" ref="A385"/>
    <hyperlink r:id="rId355" ref="A387"/>
    <hyperlink r:id="rId356" ref="A389"/>
    <hyperlink r:id="rId357" ref="A390"/>
    <hyperlink r:id="rId358" ref="A396"/>
    <hyperlink r:id="rId359" ref="A398"/>
    <hyperlink r:id="rId360" ref="A399"/>
    <hyperlink r:id="rId361" ref="A401"/>
    <hyperlink r:id="rId362" ref="A402"/>
    <hyperlink r:id="rId363" ref="A405"/>
    <hyperlink r:id="rId364" ref="A406"/>
    <hyperlink r:id="rId365" ref="A407"/>
    <hyperlink r:id="rId366" ref="A408"/>
    <hyperlink r:id="rId367" ref="A412"/>
    <hyperlink r:id="rId368" ref="A414"/>
    <hyperlink r:id="rId369" ref="A415"/>
    <hyperlink r:id="rId370" ref="A416"/>
    <hyperlink r:id="rId371" ref="A421"/>
    <hyperlink r:id="rId372" ref="A423"/>
    <hyperlink r:id="rId373" ref="A424"/>
    <hyperlink r:id="rId374" ref="A428"/>
    <hyperlink r:id="rId375" ref="A429"/>
    <hyperlink r:id="rId376" ref="A431"/>
    <hyperlink r:id="rId377" ref="A432"/>
    <hyperlink r:id="rId378" ref="A434"/>
    <hyperlink r:id="rId379" ref="A435"/>
    <hyperlink r:id="rId380" ref="A438"/>
    <hyperlink r:id="rId381" ref="A443"/>
    <hyperlink r:id="rId382" ref="A444"/>
    <hyperlink r:id="rId383" ref="A447"/>
    <hyperlink r:id="rId384" ref="A449"/>
    <hyperlink r:id="rId385" ref="A451"/>
    <hyperlink r:id="rId386" ref="A453"/>
    <hyperlink r:id="rId387" ref="A454"/>
    <hyperlink r:id="rId388" ref="A456"/>
    <hyperlink r:id="rId389" ref="A458"/>
    <hyperlink r:id="rId390" ref="A462"/>
    <hyperlink r:id="rId391" ref="A463"/>
    <hyperlink r:id="rId392" ref="A465"/>
    <hyperlink r:id="rId393" ref="A467"/>
    <hyperlink r:id="rId394" ref="A470"/>
    <hyperlink r:id="rId395" ref="A471"/>
    <hyperlink r:id="rId396" ref="A475"/>
    <hyperlink r:id="rId397" ref="A476"/>
    <hyperlink r:id="rId398" ref="A478"/>
    <hyperlink r:id="rId399" ref="A479"/>
    <hyperlink r:id="rId400" ref="A480"/>
    <hyperlink r:id="rId401" ref="A482"/>
    <hyperlink r:id="rId402" ref="A484"/>
    <hyperlink r:id="rId403" ref="A485"/>
    <hyperlink r:id="rId404" ref="A489"/>
    <hyperlink r:id="rId405" ref="A491"/>
    <hyperlink r:id="rId406" ref="A494"/>
    <hyperlink r:id="rId407" ref="A497"/>
    <hyperlink r:id="rId408" ref="A499"/>
    <hyperlink r:id="rId409" ref="A500"/>
    <hyperlink r:id="rId410" ref="A501"/>
    <hyperlink r:id="rId411" ref="A502"/>
    <hyperlink r:id="rId412" ref="A503"/>
    <hyperlink r:id="rId413" ref="A504"/>
    <hyperlink r:id="rId414" ref="A505"/>
    <hyperlink r:id="rId415" ref="A510"/>
    <hyperlink r:id="rId416" ref="A514"/>
    <hyperlink r:id="rId417" ref="A516"/>
    <hyperlink r:id="rId418" ref="A519"/>
    <hyperlink r:id="rId419" ref="A520"/>
    <hyperlink r:id="rId420" ref="A525"/>
    <hyperlink r:id="rId421" ref="A527"/>
    <hyperlink r:id="rId422" ref="A528"/>
    <hyperlink r:id="rId423" ref="A529"/>
    <hyperlink r:id="rId424" ref="A530"/>
    <hyperlink r:id="rId425" ref="A534"/>
    <hyperlink r:id="rId426" ref="A536"/>
    <hyperlink r:id="rId427" ref="A537"/>
    <hyperlink r:id="rId428" ref="A538"/>
    <hyperlink r:id="rId429" ref="A540"/>
    <hyperlink r:id="rId430" ref="A542"/>
    <hyperlink r:id="rId431" ref="A549"/>
    <hyperlink r:id="rId432" ref="A550"/>
    <hyperlink r:id="rId433" ref="A552"/>
    <hyperlink r:id="rId434" ref="A553"/>
    <hyperlink r:id="rId435" ref="A560"/>
    <hyperlink r:id="rId436" ref="A561"/>
    <hyperlink r:id="rId437" ref="A564"/>
    <hyperlink r:id="rId438" ref="A565"/>
    <hyperlink r:id="rId439" ref="A568"/>
    <hyperlink r:id="rId440" ref="A570"/>
    <hyperlink r:id="rId441" ref="A572"/>
    <hyperlink r:id="rId442" ref="A573"/>
    <hyperlink r:id="rId443" ref="A577"/>
    <hyperlink r:id="rId444" ref="A578"/>
    <hyperlink r:id="rId445" ref="A579"/>
    <hyperlink r:id="rId446" ref="A580"/>
    <hyperlink r:id="rId447" ref="A582"/>
    <hyperlink r:id="rId448" ref="A584"/>
    <hyperlink r:id="rId449" ref="A587"/>
    <hyperlink r:id="rId450" ref="A588"/>
    <hyperlink r:id="rId451" ref="A591"/>
    <hyperlink r:id="rId452" ref="A594"/>
    <hyperlink r:id="rId453" ref="A596"/>
    <hyperlink r:id="rId454" ref="A599"/>
    <hyperlink r:id="rId455" ref="A600"/>
    <hyperlink r:id="rId456" ref="A602"/>
    <hyperlink r:id="rId457" ref="A604"/>
    <hyperlink r:id="rId458" ref="A606"/>
    <hyperlink r:id="rId459" ref="A608"/>
    <hyperlink r:id="rId460" ref="A610"/>
    <hyperlink r:id="rId461" ref="A616"/>
    <hyperlink r:id="rId462" ref="A619"/>
    <hyperlink r:id="rId463" ref="A621"/>
    <hyperlink r:id="rId464" ref="A622"/>
    <hyperlink r:id="rId465" ref="A624"/>
    <hyperlink r:id="rId466" ref="A625"/>
    <hyperlink r:id="rId467" ref="A628"/>
    <hyperlink r:id="rId468" ref="A631"/>
    <hyperlink r:id="rId469" ref="A635"/>
    <hyperlink r:id="rId470" ref="A637"/>
    <hyperlink r:id="rId471" ref="A642"/>
    <hyperlink r:id="rId472" ref="A643"/>
    <hyperlink r:id="rId473" ref="A647"/>
    <hyperlink r:id="rId474" ref="A649"/>
    <hyperlink r:id="rId475" ref="A653"/>
    <hyperlink r:id="rId476" ref="A654"/>
    <hyperlink r:id="rId477" ref="A656"/>
    <hyperlink r:id="rId478" ref="A657"/>
    <hyperlink r:id="rId479" ref="A660"/>
    <hyperlink r:id="rId480" ref="A663"/>
    <hyperlink r:id="rId481" ref="A664"/>
    <hyperlink r:id="rId482" ref="A665"/>
    <hyperlink r:id="rId483" ref="A670"/>
    <hyperlink r:id="rId484" ref="A673"/>
  </hyperlinks>
  <printOptions/>
  <pageMargins bottom="0.75" footer="0.0" header="0.0" left="0.7" right="0.7" top="0.75"/>
  <pageSetup paperSize="9" orientation="portrait"/>
  <drawing r:id="rId485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9.88"/>
    <col customWidth="1" min="2" max="2" width="12.0"/>
    <col customWidth="1" min="3" max="3" width="13.0"/>
    <col customWidth="1" min="4" max="4" width="11.75"/>
    <col customWidth="1" min="5" max="5" width="10.0"/>
    <col customWidth="1" min="6" max="6" width="12.25"/>
    <col customWidth="1" min="7" max="9" width="10.0"/>
    <col customWidth="1" min="10" max="10" width="15.0"/>
    <col customWidth="1" min="11" max="11" width="13.0"/>
    <col customWidth="1" min="12" max="12" width="12.38"/>
    <col customWidth="1" min="13" max="13" width="8.0"/>
    <col customWidth="1" min="14" max="14" width="8.75"/>
    <col customWidth="1" min="15" max="26" width="14.38"/>
  </cols>
  <sheetData>
    <row r="1" ht="15.0" customHeight="1">
      <c r="A1" s="53" t="s">
        <v>645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ht="15.0" customHeight="1">
      <c r="A2" s="54" t="s">
        <v>646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>
      <c r="A3" s="55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ht="15.0" customHeight="1">
      <c r="A4" s="56" t="s">
        <v>647</v>
      </c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3"/>
      <c r="N4" s="3"/>
    </row>
    <row r="5" ht="15.0" customHeight="1">
      <c r="A5" s="55" t="s">
        <v>648</v>
      </c>
      <c r="B5" s="58">
        <v>800000.0</v>
      </c>
      <c r="C5" s="3" t="s">
        <v>649</v>
      </c>
      <c r="D5" s="59">
        <v>0.12</v>
      </c>
      <c r="E5" s="3"/>
      <c r="F5" s="3"/>
      <c r="G5" s="3"/>
      <c r="H5" s="3"/>
      <c r="I5" s="3"/>
      <c r="J5" s="3"/>
      <c r="K5" s="3"/>
      <c r="L5" s="3"/>
      <c r="M5" s="3"/>
      <c r="N5" s="3"/>
    </row>
    <row r="6" ht="30.0" customHeight="1">
      <c r="A6" s="60" t="s">
        <v>650</v>
      </c>
      <c r="B6" s="60" t="s">
        <v>651</v>
      </c>
      <c r="C6" s="60" t="s">
        <v>652</v>
      </c>
      <c r="D6" s="60" t="s">
        <v>653</v>
      </c>
      <c r="E6" s="60" t="s">
        <v>654</v>
      </c>
      <c r="F6" s="60" t="s">
        <v>655</v>
      </c>
      <c r="G6" s="60" t="s">
        <v>656</v>
      </c>
      <c r="H6" s="60" t="s">
        <v>657</v>
      </c>
      <c r="I6" s="60" t="s">
        <v>658</v>
      </c>
      <c r="J6" s="60" t="s">
        <v>659</v>
      </c>
      <c r="K6" s="60" t="s">
        <v>660</v>
      </c>
      <c r="L6" s="60" t="s">
        <v>661</v>
      </c>
      <c r="M6" s="3"/>
      <c r="N6" s="3"/>
    </row>
    <row r="7" ht="25.5" customHeight="1">
      <c r="A7" s="61" t="s">
        <v>662</v>
      </c>
      <c r="B7" s="62"/>
      <c r="C7" s="62"/>
      <c r="D7" s="62"/>
      <c r="E7" s="62"/>
      <c r="F7" s="63" t="s">
        <v>663</v>
      </c>
      <c r="G7" s="64">
        <v>600.0</v>
      </c>
      <c r="H7" s="62"/>
      <c r="I7" s="63" t="s">
        <v>664</v>
      </c>
      <c r="J7" s="65">
        <v>0.95</v>
      </c>
      <c r="K7" s="62"/>
      <c r="L7" s="62"/>
      <c r="M7" s="3"/>
      <c r="N7" s="3"/>
    </row>
    <row r="8" ht="15.0" customHeight="1">
      <c r="A8" s="66" t="s">
        <v>29</v>
      </c>
      <c r="B8" s="64">
        <v>80000.0</v>
      </c>
      <c r="C8" s="64">
        <v>400000.0</v>
      </c>
      <c r="D8" s="67">
        <v>0.02</v>
      </c>
      <c r="E8" s="68">
        <f t="shared" ref="E8:E14" si="1">IF(OR(C8="",D8=""),"",ROUND(C8*D8,0))</f>
        <v>8000</v>
      </c>
      <c r="F8" s="67">
        <v>0.03</v>
      </c>
      <c r="G8" s="68">
        <f t="shared" ref="G8:G14" si="2">IF(OR(E8="",F8=""),"",ROUND(E8*F8,0))</f>
        <v>240</v>
      </c>
      <c r="H8" s="68">
        <f t="shared" ref="H8:H15" si="3">IF(N(G8)=0,"",ROUND(B8/G8,0))</f>
        <v>333</v>
      </c>
      <c r="I8" s="68">
        <f t="shared" ref="I8:I14" si="4">IF(OR(N(G8)=0,$J$7=""),"",ROUND(G8*$J$7,0))</f>
        <v>228</v>
      </c>
      <c r="J8" s="68">
        <f t="shared" ref="J8:J15" si="5">IF(N(I8)=0,"",ROUND(B8/I8,0))</f>
        <v>351</v>
      </c>
      <c r="K8" s="68">
        <f t="shared" ref="K8:K14" si="6">IF(OR(N(I8)=0,$G$7=""),"",ROUND(I8*$G$7,0))</f>
        <v>136800</v>
      </c>
      <c r="L8" s="69">
        <f t="shared" ref="L8:L15" si="7">IF(N(K8)=0,"",B8/K8)</f>
        <v>0.5847953216</v>
      </c>
      <c r="M8" s="3"/>
      <c r="N8" s="3"/>
    </row>
    <row r="9" ht="15.0" customHeight="1">
      <c r="A9" s="66" t="s">
        <v>37</v>
      </c>
      <c r="B9" s="64">
        <v>40000.0</v>
      </c>
      <c r="C9" s="64">
        <v>220000.0</v>
      </c>
      <c r="D9" s="67">
        <v>0.018</v>
      </c>
      <c r="E9" s="68">
        <f t="shared" si="1"/>
        <v>3960</v>
      </c>
      <c r="F9" s="67">
        <v>0.025</v>
      </c>
      <c r="G9" s="68">
        <f t="shared" si="2"/>
        <v>99</v>
      </c>
      <c r="H9" s="68">
        <f t="shared" si="3"/>
        <v>404</v>
      </c>
      <c r="I9" s="68">
        <f t="shared" si="4"/>
        <v>94</v>
      </c>
      <c r="J9" s="68">
        <f t="shared" si="5"/>
        <v>426</v>
      </c>
      <c r="K9" s="68">
        <f t="shared" si="6"/>
        <v>56400</v>
      </c>
      <c r="L9" s="69">
        <f t="shared" si="7"/>
        <v>0.7092198582</v>
      </c>
      <c r="M9" s="3"/>
      <c r="N9" s="3"/>
    </row>
    <row r="10" ht="15.0" customHeight="1">
      <c r="A10" s="66" t="s">
        <v>244</v>
      </c>
      <c r="B10" s="64"/>
      <c r="C10" s="64"/>
      <c r="D10" s="67"/>
      <c r="E10" s="68" t="str">
        <f t="shared" si="1"/>
        <v/>
      </c>
      <c r="F10" s="67"/>
      <c r="G10" s="68" t="str">
        <f t="shared" si="2"/>
        <v/>
      </c>
      <c r="H10" s="68" t="str">
        <f t="shared" si="3"/>
        <v/>
      </c>
      <c r="I10" s="68" t="str">
        <f t="shared" si="4"/>
        <v/>
      </c>
      <c r="J10" s="68" t="str">
        <f t="shared" si="5"/>
        <v/>
      </c>
      <c r="K10" s="68" t="str">
        <f t="shared" si="6"/>
        <v/>
      </c>
      <c r="L10" s="69" t="str">
        <f t="shared" si="7"/>
        <v/>
      </c>
      <c r="M10" s="3"/>
      <c r="N10" s="3"/>
    </row>
    <row r="11" ht="15.0" customHeight="1">
      <c r="A11" s="66" t="s">
        <v>24</v>
      </c>
      <c r="B11" s="64">
        <v>50000.0</v>
      </c>
      <c r="C11" s="64">
        <v>300000.0</v>
      </c>
      <c r="D11" s="67">
        <v>0.022</v>
      </c>
      <c r="E11" s="68">
        <f t="shared" si="1"/>
        <v>6600</v>
      </c>
      <c r="F11" s="67">
        <v>0.028</v>
      </c>
      <c r="G11" s="68">
        <f t="shared" si="2"/>
        <v>185</v>
      </c>
      <c r="H11" s="68">
        <f t="shared" si="3"/>
        <v>270</v>
      </c>
      <c r="I11" s="68">
        <f t="shared" si="4"/>
        <v>176</v>
      </c>
      <c r="J11" s="68">
        <f t="shared" si="5"/>
        <v>284</v>
      </c>
      <c r="K11" s="68">
        <f t="shared" si="6"/>
        <v>105600</v>
      </c>
      <c r="L11" s="69">
        <f t="shared" si="7"/>
        <v>0.4734848485</v>
      </c>
      <c r="M11" s="3"/>
      <c r="N11" s="3"/>
    </row>
    <row r="12" ht="15.0" customHeight="1">
      <c r="A12" s="66" t="s">
        <v>120</v>
      </c>
      <c r="B12" s="64">
        <v>150000.0</v>
      </c>
      <c r="C12" s="64">
        <v>500000.0</v>
      </c>
      <c r="D12" s="67">
        <v>0.02</v>
      </c>
      <c r="E12" s="68">
        <f t="shared" si="1"/>
        <v>10000</v>
      </c>
      <c r="F12" s="67">
        <v>0.03</v>
      </c>
      <c r="G12" s="68">
        <f t="shared" si="2"/>
        <v>300</v>
      </c>
      <c r="H12" s="68">
        <f t="shared" si="3"/>
        <v>500</v>
      </c>
      <c r="I12" s="68">
        <f t="shared" si="4"/>
        <v>285</v>
      </c>
      <c r="J12" s="68">
        <f t="shared" si="5"/>
        <v>526</v>
      </c>
      <c r="K12" s="68">
        <f t="shared" si="6"/>
        <v>171000</v>
      </c>
      <c r="L12" s="69">
        <f t="shared" si="7"/>
        <v>0.8771929825</v>
      </c>
      <c r="M12" s="3"/>
      <c r="N12" s="3"/>
    </row>
    <row r="13" ht="15.0" customHeight="1">
      <c r="A13" s="66" t="s">
        <v>297</v>
      </c>
      <c r="B13" s="64"/>
      <c r="C13" s="64"/>
      <c r="D13" s="67"/>
      <c r="E13" s="68" t="str">
        <f t="shared" si="1"/>
        <v/>
      </c>
      <c r="F13" s="67"/>
      <c r="G13" s="68" t="str">
        <f t="shared" si="2"/>
        <v/>
      </c>
      <c r="H13" s="68" t="str">
        <f t="shared" si="3"/>
        <v/>
      </c>
      <c r="I13" s="68" t="str">
        <f t="shared" si="4"/>
        <v/>
      </c>
      <c r="J13" s="68" t="str">
        <f t="shared" si="5"/>
        <v/>
      </c>
      <c r="K13" s="68" t="str">
        <f t="shared" si="6"/>
        <v/>
      </c>
      <c r="L13" s="69" t="str">
        <f t="shared" si="7"/>
        <v/>
      </c>
      <c r="M13" s="3"/>
      <c r="N13" s="3"/>
    </row>
    <row r="14" ht="15.0" customHeight="1">
      <c r="A14" s="66" t="s">
        <v>665</v>
      </c>
      <c r="B14" s="64"/>
      <c r="C14" s="64"/>
      <c r="D14" s="67"/>
      <c r="E14" s="68" t="str">
        <f t="shared" si="1"/>
        <v/>
      </c>
      <c r="F14" s="67"/>
      <c r="G14" s="68" t="str">
        <f t="shared" si="2"/>
        <v/>
      </c>
      <c r="H14" s="68" t="str">
        <f t="shared" si="3"/>
        <v/>
      </c>
      <c r="I14" s="68" t="str">
        <f t="shared" si="4"/>
        <v/>
      </c>
      <c r="J14" s="68" t="str">
        <f t="shared" si="5"/>
        <v/>
      </c>
      <c r="K14" s="68" t="str">
        <f t="shared" si="6"/>
        <v/>
      </c>
      <c r="L14" s="69" t="str">
        <f t="shared" si="7"/>
        <v/>
      </c>
      <c r="M14" s="3"/>
      <c r="N14" s="3"/>
    </row>
    <row r="15" ht="15.0" customHeight="1">
      <c r="A15" s="70" t="s">
        <v>666</v>
      </c>
      <c r="B15" s="71">
        <f t="shared" ref="B15:C15" si="8">SUM(B8:B14)</f>
        <v>320000</v>
      </c>
      <c r="C15" s="71">
        <f t="shared" si="8"/>
        <v>1420000</v>
      </c>
      <c r="D15" s="72">
        <f>IF(N(C15)=0,"",E15/C15)</f>
        <v>0.02011267606</v>
      </c>
      <c r="E15" s="71">
        <f>SUM(E8:E14)</f>
        <v>28560</v>
      </c>
      <c r="F15" s="72">
        <f>IF(N(E15)=0,"",G15/E15)</f>
        <v>0.02885154062</v>
      </c>
      <c r="G15" s="71">
        <f>SUM(G8:G14)</f>
        <v>824</v>
      </c>
      <c r="H15" s="71">
        <f t="shared" si="3"/>
        <v>388</v>
      </c>
      <c r="I15" s="71">
        <f>SUM(I8:I14)</f>
        <v>783</v>
      </c>
      <c r="J15" s="71">
        <f t="shared" si="5"/>
        <v>409</v>
      </c>
      <c r="K15" s="71">
        <f>SUM(K8:K14)</f>
        <v>469800</v>
      </c>
      <c r="L15" s="72">
        <f t="shared" si="7"/>
        <v>0.681140911</v>
      </c>
      <c r="M15" s="3"/>
      <c r="N15" s="3"/>
    </row>
    <row r="16">
      <c r="A16" s="61" t="s">
        <v>667</v>
      </c>
      <c r="B16" s="73"/>
      <c r="C16" s="73"/>
      <c r="D16" s="74"/>
      <c r="E16" s="73"/>
      <c r="F16" s="75" t="s">
        <v>663</v>
      </c>
      <c r="G16" s="64">
        <v>2500.0</v>
      </c>
      <c r="H16" s="73"/>
      <c r="I16" s="76" t="s">
        <v>664</v>
      </c>
      <c r="J16" s="65">
        <v>0.85</v>
      </c>
      <c r="K16" s="73"/>
      <c r="L16" s="74"/>
      <c r="M16" s="3"/>
      <c r="N16" s="3"/>
    </row>
    <row r="17" ht="25.5" customHeight="1">
      <c r="A17" s="66" t="s">
        <v>29</v>
      </c>
      <c r="B17" s="64">
        <v>20000.0</v>
      </c>
      <c r="C17" s="64">
        <v>400000.0</v>
      </c>
      <c r="D17" s="67">
        <v>0.02</v>
      </c>
      <c r="E17" s="68">
        <f t="shared" ref="E17:E23" si="9">IF(OR(C17="",D17=""),"",ROUND(C17*D17,0))</f>
        <v>8000</v>
      </c>
      <c r="F17" s="67">
        <v>0.05</v>
      </c>
      <c r="G17" s="68">
        <f t="shared" ref="G17:G23" si="10">IF(OR(E17="",F17=""),"",ROUND(E17*F17,0))</f>
        <v>400</v>
      </c>
      <c r="H17" s="68">
        <f t="shared" ref="H17:H25" si="11">IF(N(G17)=0,"",ROUND(B17/G17,0))</f>
        <v>50</v>
      </c>
      <c r="I17" s="68">
        <f t="shared" ref="I17:I23" si="12">IF(OR(N(G17)=0,$J$16=""),"",ROUND(G17*$J$16,0))</f>
        <v>340</v>
      </c>
      <c r="J17" s="68">
        <f t="shared" ref="J17:J25" si="13">IF(N(I17)=0,"",ROUND(B17/I17,0))</f>
        <v>59</v>
      </c>
      <c r="K17" s="68">
        <f t="shared" ref="K17:K23" si="14">IF(OR(N(I17)=0,$G$16=""),"",ROUND(I17*$G$16,0))</f>
        <v>850000</v>
      </c>
      <c r="L17" s="69">
        <f t="shared" ref="L17:L25" si="15">IF(N(K17)=0,"",B17/K17)</f>
        <v>0.02352941176</v>
      </c>
      <c r="M17" s="3"/>
      <c r="N17" s="3"/>
    </row>
    <row r="18" ht="15.0" customHeight="1">
      <c r="A18" s="66" t="s">
        <v>37</v>
      </c>
      <c r="B18" s="64"/>
      <c r="C18" s="64"/>
      <c r="D18" s="67"/>
      <c r="E18" s="68" t="str">
        <f t="shared" si="9"/>
        <v/>
      </c>
      <c r="F18" s="67"/>
      <c r="G18" s="68" t="str">
        <f t="shared" si="10"/>
        <v/>
      </c>
      <c r="H18" s="68" t="str">
        <f t="shared" si="11"/>
        <v/>
      </c>
      <c r="I18" s="68" t="str">
        <f t="shared" si="12"/>
        <v/>
      </c>
      <c r="J18" s="68" t="str">
        <f t="shared" si="13"/>
        <v/>
      </c>
      <c r="K18" s="68" t="str">
        <f t="shared" si="14"/>
        <v/>
      </c>
      <c r="L18" s="69" t="str">
        <f t="shared" si="15"/>
        <v/>
      </c>
      <c r="M18" s="3"/>
      <c r="N18" s="3"/>
    </row>
    <row r="19" ht="21.75" customHeight="1">
      <c r="A19" s="66" t="s">
        <v>244</v>
      </c>
      <c r="B19" s="64"/>
      <c r="C19" s="64"/>
      <c r="D19" s="67"/>
      <c r="E19" s="68" t="str">
        <f t="shared" si="9"/>
        <v/>
      </c>
      <c r="F19" s="67"/>
      <c r="G19" s="68" t="str">
        <f t="shared" si="10"/>
        <v/>
      </c>
      <c r="H19" s="68" t="str">
        <f t="shared" si="11"/>
        <v/>
      </c>
      <c r="I19" s="68" t="str">
        <f t="shared" si="12"/>
        <v/>
      </c>
      <c r="J19" s="68" t="str">
        <f t="shared" si="13"/>
        <v/>
      </c>
      <c r="K19" s="68" t="str">
        <f t="shared" si="14"/>
        <v/>
      </c>
      <c r="L19" s="69" t="str">
        <f t="shared" si="15"/>
        <v/>
      </c>
      <c r="M19" s="3"/>
      <c r="N19" s="3"/>
    </row>
    <row r="20" ht="15.0" customHeight="1">
      <c r="A20" s="66" t="s">
        <v>24</v>
      </c>
      <c r="B20" s="64">
        <v>15000.0</v>
      </c>
      <c r="C20" s="64">
        <v>300000.0</v>
      </c>
      <c r="D20" s="67">
        <v>0.022</v>
      </c>
      <c r="E20" s="68">
        <f t="shared" si="9"/>
        <v>6600</v>
      </c>
      <c r="F20" s="67">
        <v>0.045</v>
      </c>
      <c r="G20" s="68">
        <f t="shared" si="10"/>
        <v>297</v>
      </c>
      <c r="H20" s="68">
        <f t="shared" si="11"/>
        <v>51</v>
      </c>
      <c r="I20" s="68">
        <f t="shared" si="12"/>
        <v>252</v>
      </c>
      <c r="J20" s="68">
        <f t="shared" si="13"/>
        <v>60</v>
      </c>
      <c r="K20" s="68">
        <f t="shared" si="14"/>
        <v>630000</v>
      </c>
      <c r="L20" s="69">
        <f t="shared" si="15"/>
        <v>0.02380952381</v>
      </c>
      <c r="M20" s="3"/>
      <c r="N20" s="3"/>
    </row>
    <row r="21" ht="15.0" customHeight="1">
      <c r="A21" s="66" t="s">
        <v>120</v>
      </c>
      <c r="B21" s="64"/>
      <c r="C21" s="64"/>
      <c r="D21" s="67"/>
      <c r="E21" s="68" t="str">
        <f t="shared" si="9"/>
        <v/>
      </c>
      <c r="F21" s="67"/>
      <c r="G21" s="68" t="str">
        <f t="shared" si="10"/>
        <v/>
      </c>
      <c r="H21" s="68" t="str">
        <f t="shared" si="11"/>
        <v/>
      </c>
      <c r="I21" s="68" t="str">
        <f t="shared" si="12"/>
        <v/>
      </c>
      <c r="J21" s="68" t="str">
        <f t="shared" si="13"/>
        <v/>
      </c>
      <c r="K21" s="68" t="str">
        <f t="shared" si="14"/>
        <v/>
      </c>
      <c r="L21" s="69" t="str">
        <f t="shared" si="15"/>
        <v/>
      </c>
      <c r="M21" s="3"/>
      <c r="N21" s="3"/>
    </row>
    <row r="22" ht="15.0" customHeight="1">
      <c r="A22" s="66" t="s">
        <v>297</v>
      </c>
      <c r="B22" s="64"/>
      <c r="C22" s="64"/>
      <c r="D22" s="67"/>
      <c r="E22" s="68" t="str">
        <f t="shared" si="9"/>
        <v/>
      </c>
      <c r="F22" s="67"/>
      <c r="G22" s="68" t="str">
        <f t="shared" si="10"/>
        <v/>
      </c>
      <c r="H22" s="68" t="str">
        <f t="shared" si="11"/>
        <v/>
      </c>
      <c r="I22" s="68" t="str">
        <f t="shared" si="12"/>
        <v/>
      </c>
      <c r="J22" s="68" t="str">
        <f t="shared" si="13"/>
        <v/>
      </c>
      <c r="K22" s="68" t="str">
        <f t="shared" si="14"/>
        <v/>
      </c>
      <c r="L22" s="69" t="str">
        <f t="shared" si="15"/>
        <v/>
      </c>
      <c r="M22" s="3"/>
      <c r="N22" s="3"/>
    </row>
    <row r="23" ht="15.0" customHeight="1">
      <c r="A23" s="66" t="s">
        <v>665</v>
      </c>
      <c r="B23" s="64"/>
      <c r="C23" s="64"/>
      <c r="D23" s="67"/>
      <c r="E23" s="68" t="str">
        <f t="shared" si="9"/>
        <v/>
      </c>
      <c r="F23" s="67"/>
      <c r="G23" s="68" t="str">
        <f t="shared" si="10"/>
        <v/>
      </c>
      <c r="H23" s="68" t="str">
        <f t="shared" si="11"/>
        <v/>
      </c>
      <c r="I23" s="68" t="str">
        <f t="shared" si="12"/>
        <v/>
      </c>
      <c r="J23" s="68" t="str">
        <f t="shared" si="13"/>
        <v/>
      </c>
      <c r="K23" s="68" t="str">
        <f t="shared" si="14"/>
        <v/>
      </c>
      <c r="L23" s="69" t="str">
        <f t="shared" si="15"/>
        <v/>
      </c>
      <c r="M23" s="3"/>
      <c r="N23" s="3"/>
    </row>
    <row r="24" ht="15.0" customHeight="1">
      <c r="A24" s="70" t="s">
        <v>668</v>
      </c>
      <c r="B24" s="71">
        <f t="shared" ref="B24:C24" si="16">SUM(B17:B23)</f>
        <v>35000</v>
      </c>
      <c r="C24" s="71">
        <f t="shared" si="16"/>
        <v>700000</v>
      </c>
      <c r="D24" s="72">
        <f t="shared" ref="D24:D25" si="18">IF(N(C24)=0,"",E24/C24)</f>
        <v>0.02085714286</v>
      </c>
      <c r="E24" s="71">
        <f>SUM(E17:E23)</f>
        <v>14600</v>
      </c>
      <c r="F24" s="72">
        <f t="shared" ref="F24:F25" si="19">IF(N(E24)=0,"",G24/E24)</f>
        <v>0.04773972603</v>
      </c>
      <c r="G24" s="71">
        <f>SUM(G17:G23)</f>
        <v>697</v>
      </c>
      <c r="H24" s="71">
        <f t="shared" si="11"/>
        <v>50</v>
      </c>
      <c r="I24" s="71">
        <f>SUM(I17:I23)</f>
        <v>592</v>
      </c>
      <c r="J24" s="71">
        <f t="shared" si="13"/>
        <v>59</v>
      </c>
      <c r="K24" s="71">
        <f>SUM(K17:K23)</f>
        <v>1480000</v>
      </c>
      <c r="L24" s="72">
        <f t="shared" si="15"/>
        <v>0.02364864865</v>
      </c>
      <c r="M24" s="3"/>
      <c r="N24" s="3"/>
    </row>
    <row r="25" ht="15.0" customHeight="1">
      <c r="A25" s="56" t="s">
        <v>669</v>
      </c>
      <c r="B25" s="77">
        <f t="shared" ref="B25:C25" si="17">B15+B24</f>
        <v>355000</v>
      </c>
      <c r="C25" s="77">
        <f t="shared" si="17"/>
        <v>2120000</v>
      </c>
      <c r="D25" s="78">
        <f t="shared" si="18"/>
        <v>0.02035849057</v>
      </c>
      <c r="E25" s="77">
        <f>E15+E24</f>
        <v>43160</v>
      </c>
      <c r="F25" s="78">
        <f t="shared" si="19"/>
        <v>0.03524096386</v>
      </c>
      <c r="G25" s="77">
        <f>G15+G24</f>
        <v>1521</v>
      </c>
      <c r="H25" s="77">
        <f t="shared" si="11"/>
        <v>233</v>
      </c>
      <c r="I25" s="77">
        <f>I15+I24</f>
        <v>1375</v>
      </c>
      <c r="J25" s="77">
        <f t="shared" si="13"/>
        <v>258</v>
      </c>
      <c r="K25" s="77">
        <f>K15+K24</f>
        <v>1949800</v>
      </c>
      <c r="L25" s="78">
        <f t="shared" si="15"/>
        <v>0.1820699559</v>
      </c>
      <c r="M25" s="3"/>
      <c r="N25" s="3"/>
    </row>
    <row r="26" ht="15.0" customHeight="1">
      <c r="A26" s="79" t="s">
        <v>670</v>
      </c>
      <c r="B26" s="80" t="str">
        <f>IF(OR(N(K25)=0,N($D$5)=0),"— заполни бюджеты и параметры —",IF(L25&lt;=$D$5,"В цель: DRR "&amp;TEXT(L25,"0.0%")&amp;" ≤ "&amp;TEXT($D$5,"0.0%"),"Выше цели: DRR "&amp;TEXT(L25,"0.0%")&amp;" &gt; "&amp;TEXT($D$5,"0.0%")))</f>
        <v>Выше цели: DRR 18,2% &gt; 12,0%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3"/>
      <c r="N26" s="3"/>
    </row>
    <row r="27" ht="15.0" customHeight="1">
      <c r="A27" s="55"/>
      <c r="B27" s="3"/>
      <c r="N27" s="3"/>
    </row>
    <row r="28" ht="15.0" customHeight="1">
      <c r="A28" s="82" t="s">
        <v>671</v>
      </c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3"/>
    </row>
    <row r="29" ht="15.75" customHeight="1">
      <c r="A29" s="84" t="s">
        <v>648</v>
      </c>
      <c r="B29" s="58">
        <f>3154950/2</f>
        <v>1577475</v>
      </c>
      <c r="C29" s="85"/>
      <c r="D29" s="86" t="s">
        <v>649</v>
      </c>
      <c r="E29" s="59">
        <v>0.13</v>
      </c>
      <c r="F29" s="85"/>
      <c r="G29" s="85"/>
      <c r="H29" s="85"/>
      <c r="I29" s="85"/>
      <c r="J29" s="85"/>
      <c r="K29" s="85"/>
      <c r="L29" s="85"/>
      <c r="M29" s="85"/>
      <c r="N29" s="3"/>
    </row>
    <row r="30" ht="30.0" customHeight="1">
      <c r="A30" s="60" t="s">
        <v>650</v>
      </c>
      <c r="B30" s="60" t="s">
        <v>651</v>
      </c>
      <c r="C30" s="60" t="s">
        <v>672</v>
      </c>
      <c r="D30" s="60" t="s">
        <v>652</v>
      </c>
      <c r="E30" s="60" t="s">
        <v>653</v>
      </c>
      <c r="F30" s="60" t="s">
        <v>654</v>
      </c>
      <c r="G30" s="60" t="s">
        <v>655</v>
      </c>
      <c r="H30" s="60" t="s">
        <v>656</v>
      </c>
      <c r="I30" s="60" t="s">
        <v>657</v>
      </c>
      <c r="J30" s="60" t="s">
        <v>658</v>
      </c>
      <c r="K30" s="60" t="s">
        <v>659</v>
      </c>
      <c r="L30" s="60" t="s">
        <v>660</v>
      </c>
      <c r="M30" s="60" t="s">
        <v>661</v>
      </c>
      <c r="N30" s="3"/>
    </row>
    <row r="31" ht="15.0" customHeight="1">
      <c r="A31" s="87" t="s">
        <v>662</v>
      </c>
      <c r="B31" s="88"/>
      <c r="C31" s="88"/>
      <c r="D31" s="88"/>
      <c r="E31" s="88"/>
      <c r="F31" s="88"/>
      <c r="G31" s="63" t="s">
        <v>663</v>
      </c>
      <c r="H31" s="64">
        <v>600.0</v>
      </c>
      <c r="I31" s="88"/>
      <c r="J31" s="63" t="s">
        <v>664</v>
      </c>
      <c r="K31" s="67">
        <v>0.95</v>
      </c>
      <c r="L31" s="88"/>
      <c r="M31" s="89">
        <v>0.18</v>
      </c>
      <c r="N31" s="3"/>
    </row>
    <row r="32" ht="25.5" customHeight="1">
      <c r="A32" s="66" t="s">
        <v>29</v>
      </c>
      <c r="B32" s="64">
        <v>171000.0</v>
      </c>
      <c r="C32" s="90">
        <v>0.57</v>
      </c>
      <c r="D32" s="68">
        <f t="shared" ref="D32:D38" si="20">IF(OR(B32="",C32=""),"",ROUND(B32/C32,0))</f>
        <v>300000</v>
      </c>
      <c r="E32" s="67">
        <v>0.0082</v>
      </c>
      <c r="F32" s="68">
        <f t="shared" ref="F32:F38" si="21">IF(OR(D32="",E32=""),"",ROUND(D32*E32,0))</f>
        <v>2460</v>
      </c>
      <c r="G32" s="67">
        <v>0.17</v>
      </c>
      <c r="H32" s="68">
        <f t="shared" ref="H32:H38" si="22">IF(OR(F32="",G32=""),"",ROUND(F32*G32,0))</f>
        <v>418</v>
      </c>
      <c r="I32" s="68">
        <f t="shared" ref="I32:I39" si="23">IF(N(H32)=0,"",ROUND(B32/H32,0))</f>
        <v>409</v>
      </c>
      <c r="J32" s="68">
        <f t="shared" ref="J32:J38" si="24">IF(OR(N(H32)=0,$K$31=""),"",ROUND(H32*$K$31,0))</f>
        <v>397</v>
      </c>
      <c r="K32" s="68">
        <f t="shared" ref="K32:K39" si="25">IF(N(J32)=0,"",ROUND(B32/J32,0))</f>
        <v>431</v>
      </c>
      <c r="L32" s="68">
        <f t="shared" ref="L32:L38" si="26">IF(OR(N(J32)=0,$H$31=""),"",ROUND(J32*$H$31,0))</f>
        <v>238200</v>
      </c>
      <c r="M32" s="69">
        <f t="shared" ref="M32:M39" si="27">IF(N(L32)=0,"",B32/L32)</f>
        <v>0.717884131</v>
      </c>
      <c r="N32" s="3"/>
    </row>
    <row r="33" ht="15.0" customHeight="1">
      <c r="A33" s="66" t="s">
        <v>37</v>
      </c>
      <c r="B33" s="64">
        <v>334000.0</v>
      </c>
      <c r="C33" s="90">
        <v>0.71</v>
      </c>
      <c r="D33" s="68">
        <f t="shared" si="20"/>
        <v>470423</v>
      </c>
      <c r="E33" s="67">
        <v>0.021</v>
      </c>
      <c r="F33" s="68">
        <f t="shared" si="21"/>
        <v>9879</v>
      </c>
      <c r="G33" s="67">
        <v>0.23</v>
      </c>
      <c r="H33" s="68">
        <f t="shared" si="22"/>
        <v>2272</v>
      </c>
      <c r="I33" s="68">
        <f t="shared" si="23"/>
        <v>147</v>
      </c>
      <c r="J33" s="68">
        <f t="shared" si="24"/>
        <v>2158</v>
      </c>
      <c r="K33" s="68">
        <f t="shared" si="25"/>
        <v>155</v>
      </c>
      <c r="L33" s="68">
        <f t="shared" si="26"/>
        <v>1294800</v>
      </c>
      <c r="M33" s="69">
        <f t="shared" si="27"/>
        <v>0.2579548965</v>
      </c>
      <c r="N33" s="3"/>
    </row>
    <row r="34" ht="15.0" customHeight="1">
      <c r="A34" s="66" t="s">
        <v>244</v>
      </c>
      <c r="B34" s="64">
        <v>335000.0</v>
      </c>
      <c r="C34" s="90">
        <v>0.72</v>
      </c>
      <c r="D34" s="68">
        <f t="shared" si="20"/>
        <v>465278</v>
      </c>
      <c r="E34" s="67">
        <v>0.012</v>
      </c>
      <c r="F34" s="68">
        <f t="shared" si="21"/>
        <v>5583</v>
      </c>
      <c r="G34" s="67">
        <v>0.23</v>
      </c>
      <c r="H34" s="68">
        <f t="shared" si="22"/>
        <v>1284</v>
      </c>
      <c r="I34" s="68">
        <f t="shared" si="23"/>
        <v>261</v>
      </c>
      <c r="J34" s="68">
        <f t="shared" si="24"/>
        <v>1220</v>
      </c>
      <c r="K34" s="68">
        <f t="shared" si="25"/>
        <v>275</v>
      </c>
      <c r="L34" s="68">
        <f t="shared" si="26"/>
        <v>732000</v>
      </c>
      <c r="M34" s="69">
        <f t="shared" si="27"/>
        <v>0.4576502732</v>
      </c>
      <c r="N34" s="3"/>
    </row>
    <row r="35" ht="15.0" customHeight="1">
      <c r="A35" s="66" t="s">
        <v>24</v>
      </c>
      <c r="B35" s="64">
        <v>350000.0</v>
      </c>
      <c r="C35" s="90">
        <v>0.35</v>
      </c>
      <c r="D35" s="68">
        <f t="shared" si="20"/>
        <v>1000000</v>
      </c>
      <c r="E35" s="67">
        <v>0.006</v>
      </c>
      <c r="F35" s="68">
        <f t="shared" si="21"/>
        <v>6000</v>
      </c>
      <c r="G35" s="67">
        <v>0.23</v>
      </c>
      <c r="H35" s="68">
        <f t="shared" si="22"/>
        <v>1380</v>
      </c>
      <c r="I35" s="68">
        <f t="shared" si="23"/>
        <v>254</v>
      </c>
      <c r="J35" s="68">
        <f t="shared" si="24"/>
        <v>1311</v>
      </c>
      <c r="K35" s="68">
        <f t="shared" si="25"/>
        <v>267</v>
      </c>
      <c r="L35" s="68">
        <f t="shared" si="26"/>
        <v>786600</v>
      </c>
      <c r="M35" s="69">
        <f t="shared" si="27"/>
        <v>0.4449529621</v>
      </c>
      <c r="N35" s="3"/>
    </row>
    <row r="36" ht="15.0" customHeight="1">
      <c r="A36" s="66" t="s">
        <v>120</v>
      </c>
      <c r="B36" s="64">
        <v>150000.0</v>
      </c>
      <c r="C36" s="90">
        <v>0.8</v>
      </c>
      <c r="D36" s="68">
        <f t="shared" si="20"/>
        <v>187500</v>
      </c>
      <c r="E36" s="67">
        <v>0.01</v>
      </c>
      <c r="F36" s="68">
        <f t="shared" si="21"/>
        <v>1875</v>
      </c>
      <c r="G36" s="67">
        <v>0.23</v>
      </c>
      <c r="H36" s="68">
        <f t="shared" si="22"/>
        <v>431</v>
      </c>
      <c r="I36" s="68">
        <f t="shared" si="23"/>
        <v>348</v>
      </c>
      <c r="J36" s="68">
        <f t="shared" si="24"/>
        <v>409</v>
      </c>
      <c r="K36" s="68">
        <f t="shared" si="25"/>
        <v>367</v>
      </c>
      <c r="L36" s="68">
        <f t="shared" si="26"/>
        <v>245400</v>
      </c>
      <c r="M36" s="69">
        <f t="shared" si="27"/>
        <v>0.6112469438</v>
      </c>
      <c r="N36" s="3"/>
    </row>
    <row r="37" ht="15.0" customHeight="1">
      <c r="A37" s="66" t="s">
        <v>297</v>
      </c>
      <c r="B37" s="64"/>
      <c r="C37" s="90"/>
      <c r="D37" s="68" t="str">
        <f t="shared" si="20"/>
        <v/>
      </c>
      <c r="E37" s="67"/>
      <c r="F37" s="68" t="str">
        <f t="shared" si="21"/>
        <v/>
      </c>
      <c r="G37" s="67"/>
      <c r="H37" s="68" t="str">
        <f t="shared" si="22"/>
        <v/>
      </c>
      <c r="I37" s="68" t="str">
        <f t="shared" si="23"/>
        <v/>
      </c>
      <c r="J37" s="68" t="str">
        <f t="shared" si="24"/>
        <v/>
      </c>
      <c r="K37" s="68" t="str">
        <f t="shared" si="25"/>
        <v/>
      </c>
      <c r="L37" s="68" t="str">
        <f t="shared" si="26"/>
        <v/>
      </c>
      <c r="M37" s="69" t="str">
        <f t="shared" si="27"/>
        <v/>
      </c>
      <c r="N37" s="3"/>
    </row>
    <row r="38" ht="15.0" customHeight="1">
      <c r="A38" s="66" t="s">
        <v>665</v>
      </c>
      <c r="B38" s="64"/>
      <c r="C38" s="90"/>
      <c r="D38" s="68" t="str">
        <f t="shared" si="20"/>
        <v/>
      </c>
      <c r="E38" s="67"/>
      <c r="F38" s="68" t="str">
        <f t="shared" si="21"/>
        <v/>
      </c>
      <c r="G38" s="67"/>
      <c r="H38" s="68" t="str">
        <f t="shared" si="22"/>
        <v/>
      </c>
      <c r="I38" s="68" t="str">
        <f t="shared" si="23"/>
        <v/>
      </c>
      <c r="J38" s="68" t="str">
        <f t="shared" si="24"/>
        <v/>
      </c>
      <c r="K38" s="68" t="str">
        <f t="shared" si="25"/>
        <v/>
      </c>
      <c r="L38" s="68" t="str">
        <f t="shared" si="26"/>
        <v/>
      </c>
      <c r="M38" s="69" t="str">
        <f t="shared" si="27"/>
        <v/>
      </c>
      <c r="N38" s="3"/>
    </row>
    <row r="39" ht="15.0" customHeight="1">
      <c r="A39" s="91" t="s">
        <v>666</v>
      </c>
      <c r="B39" s="71">
        <f>SUM(B32:B38)</f>
        <v>1340000</v>
      </c>
      <c r="C39" s="92">
        <f>IF(N(D39)=0,"",B39/D39)</f>
        <v>0.5529875565</v>
      </c>
      <c r="D39" s="71">
        <f>SUM(D32:D38)</f>
        <v>2423201</v>
      </c>
      <c r="E39" s="72">
        <f>IF(N(D39)=0,"",F39/D39)</f>
        <v>0.01064583582</v>
      </c>
      <c r="F39" s="71">
        <f>SUM(F32:F38)</f>
        <v>25797</v>
      </c>
      <c r="G39" s="72">
        <f>IF(N(F39)=0,"",H39/F39)</f>
        <v>0.2242508819</v>
      </c>
      <c r="H39" s="71">
        <f>SUM(H32:H38)</f>
        <v>5785</v>
      </c>
      <c r="I39" s="71">
        <f t="shared" si="23"/>
        <v>232</v>
      </c>
      <c r="J39" s="71">
        <f>SUM(J32:J38)</f>
        <v>5495</v>
      </c>
      <c r="K39" s="71">
        <f t="shared" si="25"/>
        <v>244</v>
      </c>
      <c r="L39" s="71">
        <f>SUM(L32:L38)</f>
        <v>3297000</v>
      </c>
      <c r="M39" s="72">
        <f t="shared" si="27"/>
        <v>0.406430088</v>
      </c>
      <c r="N39" s="3"/>
    </row>
    <row r="40" ht="15.0" customHeight="1">
      <c r="A40" s="87" t="s">
        <v>667</v>
      </c>
      <c r="B40" s="93"/>
      <c r="C40" s="94"/>
      <c r="D40" s="93"/>
      <c r="E40" s="95"/>
      <c r="F40" s="93"/>
      <c r="G40" s="75" t="s">
        <v>663</v>
      </c>
      <c r="H40" s="64">
        <v>1180.0</v>
      </c>
      <c r="I40" s="93"/>
      <c r="J40" s="76" t="s">
        <v>664</v>
      </c>
      <c r="K40" s="64">
        <v>0.95</v>
      </c>
      <c r="L40" s="93"/>
      <c r="M40" s="95"/>
      <c r="N40" s="3"/>
    </row>
    <row r="41" ht="15.0" customHeight="1">
      <c r="A41" s="66" t="s">
        <v>29</v>
      </c>
      <c r="B41" s="64">
        <v>16000.0</v>
      </c>
      <c r="C41" s="90">
        <v>0.57</v>
      </c>
      <c r="D41" s="68">
        <f t="shared" ref="D41:D47" si="28">IF(OR(B41="",C41=""),"",ROUND(B41/C41,0))</f>
        <v>28070</v>
      </c>
      <c r="E41" s="67">
        <v>0.0082</v>
      </c>
      <c r="F41" s="68">
        <f t="shared" ref="F41:F47" si="29">IF(OR(D41="",E41=""),"",ROUND(D41*E41,0))</f>
        <v>230</v>
      </c>
      <c r="G41" s="67">
        <v>0.08</v>
      </c>
      <c r="H41" s="68">
        <f t="shared" ref="H41:H47" si="30">IF(OR(F41="",G41=""),"",ROUND(F41*G41,0))</f>
        <v>18</v>
      </c>
      <c r="I41" s="68">
        <f t="shared" ref="I41:I49" si="31">IF(N(H41)=0,"",ROUND(B41/H41,0))</f>
        <v>889</v>
      </c>
      <c r="J41" s="68">
        <f t="shared" ref="J41:J47" si="32">IF(OR(N(H41)=0,$K$40=""),"",ROUND(H41*$K$40,0))</f>
        <v>17</v>
      </c>
      <c r="K41" s="68">
        <f t="shared" ref="K41:K49" si="33">IF(N(J41)=0,"",ROUND(B41/J41,0))</f>
        <v>941</v>
      </c>
      <c r="L41" s="68">
        <f t="shared" ref="L41:L47" si="34">IF(OR(N(J41)=0,$H$40=""),"",ROUND(J41*$H$40,0))</f>
        <v>20060</v>
      </c>
      <c r="M41" s="69">
        <f t="shared" ref="M41:M49" si="35">IF(N(L41)=0,"",B41/L41)</f>
        <v>0.7976071785</v>
      </c>
      <c r="N41" s="3"/>
    </row>
    <row r="42" ht="25.5" customHeight="1">
      <c r="A42" s="66" t="s">
        <v>37</v>
      </c>
      <c r="B42" s="64">
        <v>24000.0</v>
      </c>
      <c r="C42" s="90">
        <v>0.71</v>
      </c>
      <c r="D42" s="68">
        <f t="shared" si="28"/>
        <v>33803</v>
      </c>
      <c r="E42" s="67">
        <v>0.021</v>
      </c>
      <c r="F42" s="68">
        <f t="shared" si="29"/>
        <v>710</v>
      </c>
      <c r="G42" s="67">
        <v>0.11</v>
      </c>
      <c r="H42" s="68">
        <f t="shared" si="30"/>
        <v>78</v>
      </c>
      <c r="I42" s="68">
        <f t="shared" si="31"/>
        <v>308</v>
      </c>
      <c r="J42" s="68">
        <f t="shared" si="32"/>
        <v>74</v>
      </c>
      <c r="K42" s="68">
        <f t="shared" si="33"/>
        <v>324</v>
      </c>
      <c r="L42" s="68">
        <f t="shared" si="34"/>
        <v>87320</v>
      </c>
      <c r="M42" s="69">
        <f t="shared" si="35"/>
        <v>0.2748511223</v>
      </c>
      <c r="N42" s="3"/>
    </row>
    <row r="43" ht="15.0" customHeight="1">
      <c r="A43" s="66" t="s">
        <v>244</v>
      </c>
      <c r="B43" s="64">
        <v>59000.0</v>
      </c>
      <c r="C43" s="90">
        <v>0.72</v>
      </c>
      <c r="D43" s="68">
        <f t="shared" si="28"/>
        <v>81944</v>
      </c>
      <c r="E43" s="67">
        <v>0.012</v>
      </c>
      <c r="F43" s="68">
        <f t="shared" si="29"/>
        <v>983</v>
      </c>
      <c r="G43" s="67">
        <v>0.11</v>
      </c>
      <c r="H43" s="68">
        <f t="shared" si="30"/>
        <v>108</v>
      </c>
      <c r="I43" s="68">
        <f t="shared" si="31"/>
        <v>546</v>
      </c>
      <c r="J43" s="68">
        <f t="shared" si="32"/>
        <v>103</v>
      </c>
      <c r="K43" s="68">
        <f t="shared" si="33"/>
        <v>573</v>
      </c>
      <c r="L43" s="68">
        <f t="shared" si="34"/>
        <v>121540</v>
      </c>
      <c r="M43" s="69">
        <f t="shared" si="35"/>
        <v>0.4854368932</v>
      </c>
      <c r="N43" s="3"/>
    </row>
    <row r="44" ht="15.0" customHeight="1">
      <c r="A44" s="66" t="s">
        <v>24</v>
      </c>
      <c r="B44" s="64">
        <v>118000.0</v>
      </c>
      <c r="C44" s="90">
        <v>0.35</v>
      </c>
      <c r="D44" s="68">
        <f t="shared" si="28"/>
        <v>337143</v>
      </c>
      <c r="E44" s="67">
        <v>0.006</v>
      </c>
      <c r="F44" s="68">
        <f t="shared" si="29"/>
        <v>2023</v>
      </c>
      <c r="G44" s="67">
        <v>0.11</v>
      </c>
      <c r="H44" s="68">
        <f t="shared" si="30"/>
        <v>223</v>
      </c>
      <c r="I44" s="68">
        <f t="shared" si="31"/>
        <v>529</v>
      </c>
      <c r="J44" s="68">
        <f t="shared" si="32"/>
        <v>212</v>
      </c>
      <c r="K44" s="68">
        <f t="shared" si="33"/>
        <v>557</v>
      </c>
      <c r="L44" s="68">
        <f t="shared" si="34"/>
        <v>250160</v>
      </c>
      <c r="M44" s="69">
        <f t="shared" si="35"/>
        <v>0.4716981132</v>
      </c>
      <c r="N44" s="3"/>
    </row>
    <row r="45" ht="21.75" customHeight="1">
      <c r="A45" s="66" t="s">
        <v>120</v>
      </c>
      <c r="B45" s="64">
        <v>50000.0</v>
      </c>
      <c r="C45" s="90">
        <v>0.8</v>
      </c>
      <c r="D45" s="68">
        <f t="shared" si="28"/>
        <v>62500</v>
      </c>
      <c r="E45" s="67">
        <v>0.01</v>
      </c>
      <c r="F45" s="68">
        <f t="shared" si="29"/>
        <v>625</v>
      </c>
      <c r="G45" s="67">
        <v>0.11</v>
      </c>
      <c r="H45" s="68">
        <f t="shared" si="30"/>
        <v>69</v>
      </c>
      <c r="I45" s="68">
        <f t="shared" si="31"/>
        <v>725</v>
      </c>
      <c r="J45" s="68">
        <f t="shared" si="32"/>
        <v>66</v>
      </c>
      <c r="K45" s="68">
        <f t="shared" si="33"/>
        <v>758</v>
      </c>
      <c r="L45" s="68">
        <f t="shared" si="34"/>
        <v>77880</v>
      </c>
      <c r="M45" s="69">
        <f t="shared" si="35"/>
        <v>0.6420133539</v>
      </c>
      <c r="N45" s="3"/>
    </row>
    <row r="46" ht="15.0" customHeight="1">
      <c r="A46" s="66" t="s">
        <v>297</v>
      </c>
      <c r="B46" s="64"/>
      <c r="C46" s="90"/>
      <c r="D46" s="68" t="str">
        <f t="shared" si="28"/>
        <v/>
      </c>
      <c r="E46" s="67"/>
      <c r="F46" s="68" t="str">
        <f t="shared" si="29"/>
        <v/>
      </c>
      <c r="G46" s="67"/>
      <c r="H46" s="68" t="str">
        <f t="shared" si="30"/>
        <v/>
      </c>
      <c r="I46" s="68" t="str">
        <f t="shared" si="31"/>
        <v/>
      </c>
      <c r="J46" s="68" t="str">
        <f t="shared" si="32"/>
        <v/>
      </c>
      <c r="K46" s="68" t="str">
        <f t="shared" si="33"/>
        <v/>
      </c>
      <c r="L46" s="68" t="str">
        <f t="shared" si="34"/>
        <v/>
      </c>
      <c r="M46" s="69" t="str">
        <f t="shared" si="35"/>
        <v/>
      </c>
      <c r="N46" s="3"/>
    </row>
    <row r="47" ht="15.0" customHeight="1">
      <c r="A47" s="66" t="s">
        <v>665</v>
      </c>
      <c r="B47" s="64"/>
      <c r="C47" s="90"/>
      <c r="D47" s="68" t="str">
        <f t="shared" si="28"/>
        <v/>
      </c>
      <c r="E47" s="67"/>
      <c r="F47" s="68" t="str">
        <f t="shared" si="29"/>
        <v/>
      </c>
      <c r="G47" s="67"/>
      <c r="H47" s="68" t="str">
        <f t="shared" si="30"/>
        <v/>
      </c>
      <c r="I47" s="68" t="str">
        <f t="shared" si="31"/>
        <v/>
      </c>
      <c r="J47" s="68" t="str">
        <f t="shared" si="32"/>
        <v/>
      </c>
      <c r="K47" s="68" t="str">
        <f t="shared" si="33"/>
        <v/>
      </c>
      <c r="L47" s="68" t="str">
        <f t="shared" si="34"/>
        <v/>
      </c>
      <c r="M47" s="69" t="str">
        <f t="shared" si="35"/>
        <v/>
      </c>
      <c r="N47" s="3"/>
    </row>
    <row r="48" ht="15.0" customHeight="1">
      <c r="A48" s="91" t="s">
        <v>668</v>
      </c>
      <c r="B48" s="71">
        <f>SUM(B41:B47)</f>
        <v>267000</v>
      </c>
      <c r="C48" s="92">
        <f t="shared" ref="C48:C49" si="36">IF(N(D48)=0,"",B48/D48)</f>
        <v>0.4912965076</v>
      </c>
      <c r="D48" s="71">
        <f>SUM(D41:D47)</f>
        <v>543460</v>
      </c>
      <c r="E48" s="72">
        <f t="shared" ref="E48:E49" si="37">IF(N(D48)=0,"",F48/D48)</f>
        <v>0.008410922607</v>
      </c>
      <c r="F48" s="71">
        <f>SUM(F41:F47)</f>
        <v>4571</v>
      </c>
      <c r="G48" s="72">
        <f t="shared" ref="G48:G49" si="38">IF(N(F48)=0,"",H48/F48)</f>
        <v>0.1085101728</v>
      </c>
      <c r="H48" s="71">
        <f>SUM(H41:H47)</f>
        <v>496</v>
      </c>
      <c r="I48" s="71">
        <f t="shared" si="31"/>
        <v>538</v>
      </c>
      <c r="J48" s="71">
        <f>SUM(J41:J47)</f>
        <v>472</v>
      </c>
      <c r="K48" s="71">
        <f t="shared" si="33"/>
        <v>566</v>
      </c>
      <c r="L48" s="71">
        <f>SUM(L41:L47)</f>
        <v>556960</v>
      </c>
      <c r="M48" s="72">
        <f t="shared" si="35"/>
        <v>0.4793881069</v>
      </c>
      <c r="N48" s="3"/>
    </row>
    <row r="49" ht="15.0" customHeight="1">
      <c r="A49" s="96" t="s">
        <v>669</v>
      </c>
      <c r="B49" s="97">
        <f>B39+B48</f>
        <v>1607000</v>
      </c>
      <c r="C49" s="98">
        <f t="shared" si="36"/>
        <v>0.5416864279</v>
      </c>
      <c r="D49" s="97">
        <f>D39+D48</f>
        <v>2966661</v>
      </c>
      <c r="E49" s="99">
        <f t="shared" si="37"/>
        <v>0.01023642405</v>
      </c>
      <c r="F49" s="97">
        <f>F39+F48</f>
        <v>30368</v>
      </c>
      <c r="G49" s="99">
        <f t="shared" si="38"/>
        <v>0.2068295574</v>
      </c>
      <c r="H49" s="97">
        <f>H39+H48</f>
        <v>6281</v>
      </c>
      <c r="I49" s="97">
        <f t="shared" si="31"/>
        <v>256</v>
      </c>
      <c r="J49" s="97">
        <f>J39+J48</f>
        <v>5967</v>
      </c>
      <c r="K49" s="97">
        <f t="shared" si="33"/>
        <v>269</v>
      </c>
      <c r="L49" s="97">
        <f>L39+L48</f>
        <v>3853960</v>
      </c>
      <c r="M49" s="99">
        <f t="shared" si="35"/>
        <v>0.4169737102</v>
      </c>
      <c r="N49" s="100">
        <f>J48*2+J39</f>
        <v>6439</v>
      </c>
    </row>
    <row r="50" ht="15.0" customHeight="1">
      <c r="A50" s="101" t="s">
        <v>670</v>
      </c>
      <c r="B50" s="102" t="str">
        <f>IF(OR(N(L49)=0,N($E$29)=0),"Заполни бюджет, CPV и параметры",IF(M49&lt;=$E$29,"В ЦЕЛЬ: DRR "&amp;ROUND(M49*100,1)&amp;"% при цели "&amp;ROUND($E$29*100,1)&amp;"%","ВЫШЕ ЦЕЛИ: DRR "&amp;ROUND(M49*100,1)&amp;"% при цели "&amp;ROUND($E$29*100,1)&amp;"%"))</f>
        <v>ВЫШЕ ЦЕЛИ: DRR 41,7% при цели 13%</v>
      </c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4"/>
      <c r="N50" s="3"/>
    </row>
    <row r="51" ht="15.0" customHeight="1">
      <c r="A51" s="55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ht="15.0" customHeight="1">
      <c r="A52" s="56" t="s">
        <v>673</v>
      </c>
      <c r="B52" s="105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3"/>
    </row>
    <row r="53" ht="15.0" customHeight="1">
      <c r="A53" s="55" t="s">
        <v>648</v>
      </c>
      <c r="B53" s="58">
        <f>B63+B72+B81</f>
        <v>960000</v>
      </c>
      <c r="C53" s="3" t="s">
        <v>649</v>
      </c>
      <c r="D53" s="59">
        <v>0.13</v>
      </c>
      <c r="E53" s="3"/>
      <c r="F53" s="3"/>
      <c r="G53" s="3"/>
      <c r="H53" s="3"/>
      <c r="I53" s="3"/>
      <c r="J53" s="3"/>
      <c r="K53" s="3"/>
      <c r="L53" s="3"/>
      <c r="M53" s="3"/>
      <c r="N53" s="3"/>
    </row>
    <row r="54" ht="30.0" customHeight="1">
      <c r="A54" s="60" t="s">
        <v>650</v>
      </c>
      <c r="B54" s="60" t="s">
        <v>651</v>
      </c>
      <c r="C54" s="60" t="s">
        <v>652</v>
      </c>
      <c r="D54" s="60" t="s">
        <v>653</v>
      </c>
      <c r="E54" s="60" t="s">
        <v>654</v>
      </c>
      <c r="F54" s="60" t="s">
        <v>674</v>
      </c>
      <c r="G54" s="60" t="s">
        <v>675</v>
      </c>
      <c r="H54" s="60" t="s">
        <v>676</v>
      </c>
      <c r="I54" s="60" t="s">
        <v>658</v>
      </c>
      <c r="J54" s="60" t="s">
        <v>659</v>
      </c>
      <c r="K54" s="60" t="s">
        <v>660</v>
      </c>
      <c r="L54" s="60" t="s">
        <v>661</v>
      </c>
      <c r="M54" s="3"/>
      <c r="N54" s="3"/>
    </row>
    <row r="55" ht="27.0" customHeight="1">
      <c r="A55" s="87" t="s">
        <v>662</v>
      </c>
      <c r="B55" s="62"/>
      <c r="C55" s="62"/>
      <c r="D55" s="62"/>
      <c r="E55" s="62"/>
      <c r="F55" s="63" t="s">
        <v>663</v>
      </c>
      <c r="G55" s="64">
        <v>700.0</v>
      </c>
      <c r="H55" s="62"/>
      <c r="I55" s="63" t="s">
        <v>664</v>
      </c>
      <c r="J55" s="65">
        <f>K31</f>
        <v>0.95</v>
      </c>
      <c r="K55" s="62"/>
      <c r="L55" s="62"/>
      <c r="M55" s="3"/>
      <c r="N55" s="3"/>
    </row>
    <row r="56" ht="15.0" customHeight="1">
      <c r="A56" s="66" t="s">
        <v>29</v>
      </c>
      <c r="B56" s="64">
        <v>137000.0</v>
      </c>
      <c r="C56" s="64">
        <f t="shared" ref="C56:C59" si="39">ROUND(B56/C32,0)</f>
        <v>240351</v>
      </c>
      <c r="D56" s="67">
        <f t="shared" ref="D56:D59" si="40">E32</f>
        <v>0.0082</v>
      </c>
      <c r="E56" s="68">
        <f t="shared" ref="E56:E62" si="41">IF(OR(C56="",D56=""),"",ROUND(C56*D56,0))</f>
        <v>1971</v>
      </c>
      <c r="F56" s="67">
        <v>0.08</v>
      </c>
      <c r="G56" s="68">
        <f t="shared" ref="G56:G62" si="42">IF(OR(E56="",F56=""),"",ROUND(E56*F56,0))</f>
        <v>158</v>
      </c>
      <c r="H56" s="68">
        <f t="shared" ref="H56:H63" si="43">IF(N(G56)=0,"",ROUND(B56/G56,0))</f>
        <v>867</v>
      </c>
      <c r="I56" s="68">
        <f t="shared" ref="I56:I62" si="44">IF(OR(N(G56)=0,$J$55=""),"",ROUND(G56*$J$55,0))</f>
        <v>150</v>
      </c>
      <c r="J56" s="68">
        <f t="shared" ref="J56:J63" si="45">IF(N(I56)=0,"",ROUND(B56/I56,0))</f>
        <v>913</v>
      </c>
      <c r="K56" s="68">
        <f t="shared" ref="K56:K62" si="46">IF(OR(N(I56)=0,$G$55=""),"",ROUND(I56*$G$55,0))</f>
        <v>105000</v>
      </c>
      <c r="L56" s="69">
        <f t="shared" ref="L56:L63" si="47">IF(N(K56)=0,"",B56/K56)</f>
        <v>1.304761905</v>
      </c>
      <c r="M56" s="3"/>
      <c r="N56" s="3"/>
    </row>
    <row r="57" ht="25.5" customHeight="1">
      <c r="A57" s="66" t="s">
        <v>37</v>
      </c>
      <c r="B57" s="64">
        <v>40000.0</v>
      </c>
      <c r="C57" s="64">
        <f t="shared" si="39"/>
        <v>56338</v>
      </c>
      <c r="D57" s="67">
        <f t="shared" si="40"/>
        <v>0.021</v>
      </c>
      <c r="E57" s="68">
        <f t="shared" si="41"/>
        <v>1183</v>
      </c>
      <c r="F57" s="67">
        <v>0.11</v>
      </c>
      <c r="G57" s="68">
        <f t="shared" si="42"/>
        <v>130</v>
      </c>
      <c r="H57" s="68">
        <f t="shared" si="43"/>
        <v>308</v>
      </c>
      <c r="I57" s="68">
        <f t="shared" si="44"/>
        <v>124</v>
      </c>
      <c r="J57" s="68">
        <f t="shared" si="45"/>
        <v>323</v>
      </c>
      <c r="K57" s="68">
        <f t="shared" si="46"/>
        <v>86800</v>
      </c>
      <c r="L57" s="69">
        <f t="shared" si="47"/>
        <v>0.4608294931</v>
      </c>
      <c r="M57" s="3"/>
      <c r="N57" s="3"/>
    </row>
    <row r="58" ht="21.75" customHeight="1">
      <c r="A58" s="66" t="s">
        <v>244</v>
      </c>
      <c r="B58" s="64">
        <v>70000.0</v>
      </c>
      <c r="C58" s="64">
        <f t="shared" si="39"/>
        <v>97222</v>
      </c>
      <c r="D58" s="67">
        <f t="shared" si="40"/>
        <v>0.012</v>
      </c>
      <c r="E58" s="68">
        <f t="shared" si="41"/>
        <v>1167</v>
      </c>
      <c r="F58" s="67">
        <v>0.11</v>
      </c>
      <c r="G58" s="68">
        <f t="shared" si="42"/>
        <v>128</v>
      </c>
      <c r="H58" s="68">
        <f t="shared" si="43"/>
        <v>547</v>
      </c>
      <c r="I58" s="68">
        <f t="shared" si="44"/>
        <v>122</v>
      </c>
      <c r="J58" s="68">
        <f t="shared" si="45"/>
        <v>574</v>
      </c>
      <c r="K58" s="68">
        <f t="shared" si="46"/>
        <v>85400</v>
      </c>
      <c r="L58" s="69">
        <f t="shared" si="47"/>
        <v>0.8196721311</v>
      </c>
      <c r="M58" s="3"/>
      <c r="N58" s="3"/>
    </row>
    <row r="59" ht="15.0" customHeight="1">
      <c r="A59" s="66" t="s">
        <v>24</v>
      </c>
      <c r="B59" s="64">
        <v>200000.0</v>
      </c>
      <c r="C59" s="64">
        <f t="shared" si="39"/>
        <v>571429</v>
      </c>
      <c r="D59" s="67">
        <f t="shared" si="40"/>
        <v>0.006</v>
      </c>
      <c r="E59" s="68">
        <f t="shared" si="41"/>
        <v>3429</v>
      </c>
      <c r="F59" s="67">
        <v>0.11</v>
      </c>
      <c r="G59" s="68">
        <f t="shared" si="42"/>
        <v>377</v>
      </c>
      <c r="H59" s="68">
        <f t="shared" si="43"/>
        <v>531</v>
      </c>
      <c r="I59" s="68">
        <f t="shared" si="44"/>
        <v>358</v>
      </c>
      <c r="J59" s="68">
        <f t="shared" si="45"/>
        <v>559</v>
      </c>
      <c r="K59" s="68">
        <f t="shared" si="46"/>
        <v>250600</v>
      </c>
      <c r="L59" s="69">
        <f t="shared" si="47"/>
        <v>0.798084597</v>
      </c>
      <c r="M59" s="3"/>
      <c r="N59" s="3"/>
    </row>
    <row r="60" ht="15.0" customHeight="1">
      <c r="A60" s="66" t="s">
        <v>120</v>
      </c>
      <c r="B60" s="64">
        <v>200000.0</v>
      </c>
      <c r="C60" s="64"/>
      <c r="D60" s="67"/>
      <c r="E60" s="68" t="str">
        <f t="shared" si="41"/>
        <v/>
      </c>
      <c r="F60" s="67">
        <v>0.11</v>
      </c>
      <c r="G60" s="68" t="str">
        <f t="shared" si="42"/>
        <v/>
      </c>
      <c r="H60" s="68" t="str">
        <f t="shared" si="43"/>
        <v/>
      </c>
      <c r="I60" s="68" t="str">
        <f t="shared" si="44"/>
        <v/>
      </c>
      <c r="J60" s="68" t="str">
        <f t="shared" si="45"/>
        <v/>
      </c>
      <c r="K60" s="68" t="str">
        <f t="shared" si="46"/>
        <v/>
      </c>
      <c r="L60" s="69" t="str">
        <f t="shared" si="47"/>
        <v/>
      </c>
      <c r="M60" s="3"/>
      <c r="N60" s="3"/>
    </row>
    <row r="61" ht="15.0" customHeight="1">
      <c r="A61" s="66" t="s">
        <v>297</v>
      </c>
      <c r="B61" s="64"/>
      <c r="C61" s="64"/>
      <c r="D61" s="67"/>
      <c r="E61" s="68" t="str">
        <f t="shared" si="41"/>
        <v/>
      </c>
      <c r="F61" s="67"/>
      <c r="G61" s="68" t="str">
        <f t="shared" si="42"/>
        <v/>
      </c>
      <c r="H61" s="68" t="str">
        <f t="shared" si="43"/>
        <v/>
      </c>
      <c r="I61" s="68" t="str">
        <f t="shared" si="44"/>
        <v/>
      </c>
      <c r="J61" s="68" t="str">
        <f t="shared" si="45"/>
        <v/>
      </c>
      <c r="K61" s="68" t="str">
        <f t="shared" si="46"/>
        <v/>
      </c>
      <c r="L61" s="69" t="str">
        <f t="shared" si="47"/>
        <v/>
      </c>
      <c r="M61" s="3"/>
      <c r="N61" s="3"/>
    </row>
    <row r="62" ht="15.0" customHeight="1">
      <c r="A62" s="66" t="s">
        <v>665</v>
      </c>
      <c r="B62" s="64"/>
      <c r="C62" s="64"/>
      <c r="D62" s="67"/>
      <c r="E62" s="68" t="str">
        <f t="shared" si="41"/>
        <v/>
      </c>
      <c r="F62" s="67"/>
      <c r="G62" s="68" t="str">
        <f t="shared" si="42"/>
        <v/>
      </c>
      <c r="H62" s="68" t="str">
        <f t="shared" si="43"/>
        <v/>
      </c>
      <c r="I62" s="68" t="str">
        <f t="shared" si="44"/>
        <v/>
      </c>
      <c r="J62" s="68" t="str">
        <f t="shared" si="45"/>
        <v/>
      </c>
      <c r="K62" s="68" t="str">
        <f t="shared" si="46"/>
        <v/>
      </c>
      <c r="L62" s="69" t="str">
        <f t="shared" si="47"/>
        <v/>
      </c>
      <c r="M62" s="3"/>
      <c r="N62" s="3"/>
    </row>
    <row r="63" ht="15.0" customHeight="1">
      <c r="A63" s="70" t="s">
        <v>666</v>
      </c>
      <c r="B63" s="71">
        <f t="shared" ref="B63:C63" si="48">SUM(B56:B62)</f>
        <v>647000</v>
      </c>
      <c r="C63" s="71">
        <f t="shared" si="48"/>
        <v>965340</v>
      </c>
      <c r="D63" s="72">
        <f>IF(N(C63)=0,"",E63/C63)</f>
        <v>0.008028259473</v>
      </c>
      <c r="E63" s="71">
        <f>SUM(E56:E62)</f>
        <v>7750</v>
      </c>
      <c r="F63" s="72">
        <f>IF(N(E63)=0,"",G63/E63)</f>
        <v>0.1023225806</v>
      </c>
      <c r="G63" s="71">
        <f>SUM(G56:G62)</f>
        <v>793</v>
      </c>
      <c r="H63" s="71">
        <f t="shared" si="43"/>
        <v>816</v>
      </c>
      <c r="I63" s="71">
        <f>SUM(I56:I62)</f>
        <v>754</v>
      </c>
      <c r="J63" s="71">
        <f t="shared" si="45"/>
        <v>858</v>
      </c>
      <c r="K63" s="71">
        <f>SUM(K56:K62)</f>
        <v>527800</v>
      </c>
      <c r="L63" s="72">
        <f t="shared" si="47"/>
        <v>1.225843122</v>
      </c>
      <c r="M63" s="3"/>
      <c r="N63" s="3"/>
    </row>
    <row r="64" ht="15.0" customHeight="1">
      <c r="A64" s="106" t="s">
        <v>667</v>
      </c>
      <c r="B64" s="73"/>
      <c r="C64" s="73"/>
      <c r="D64" s="74"/>
      <c r="E64" s="73"/>
      <c r="F64" s="75" t="s">
        <v>663</v>
      </c>
      <c r="G64" s="64">
        <v>1200.0</v>
      </c>
      <c r="H64" s="73"/>
      <c r="I64" s="76" t="s">
        <v>664</v>
      </c>
      <c r="J64" s="65">
        <v>0.95</v>
      </c>
      <c r="K64" s="73"/>
      <c r="L64" s="7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0" customHeight="1">
      <c r="A65" s="107" t="s">
        <v>29</v>
      </c>
      <c r="B65" s="64">
        <v>54000.0</v>
      </c>
      <c r="C65" s="64">
        <f>ROUND(B65/C32,0)</f>
        <v>94737</v>
      </c>
      <c r="D65" s="67">
        <f>E32</f>
        <v>0.0082</v>
      </c>
      <c r="E65" s="68">
        <f t="shared" ref="E65:E71" si="49">IF(OR(C65="",D65=""),"",ROUND(C65*D65,0))</f>
        <v>777</v>
      </c>
      <c r="F65" s="67"/>
      <c r="G65" s="68" t="str">
        <f t="shared" ref="G65:G71" si="50">IF(OR(E65="",F65=""),"",ROUND(E65*F65,0))</f>
        <v/>
      </c>
      <c r="H65" s="68" t="str">
        <f t="shared" ref="H65:H72" si="51">IF(N(G65)=0,"",ROUND(B65/G65,0))</f>
        <v/>
      </c>
      <c r="I65" s="68" t="str">
        <f t="shared" ref="I65:I71" si="52">IF(OR(N(G65)=0,$J$64=""),"",ROUND(G65*$J$64,0))</f>
        <v/>
      </c>
      <c r="J65" s="68" t="str">
        <f t="shared" ref="J65:J72" si="53">IF(N(I65)=0,"",ROUND(B65/I65,0))</f>
        <v/>
      </c>
      <c r="K65" s="68" t="str">
        <f t="shared" ref="K65:K71" si="54">IF(OR(N(I65)=0,$G$64=""),"",ROUND(I65*$G$64,0))</f>
        <v/>
      </c>
      <c r="L65" s="69" t="str">
        <f t="shared" ref="L65:L72" si="55">IF(N(K65)=0,"",B65/K65)</f>
        <v/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0" customHeight="1">
      <c r="A66" s="107" t="s">
        <v>37</v>
      </c>
      <c r="B66" s="64"/>
      <c r="C66" s="64"/>
      <c r="D66" s="67"/>
      <c r="E66" s="68" t="str">
        <f t="shared" si="49"/>
        <v/>
      </c>
      <c r="F66" s="67"/>
      <c r="G66" s="68" t="str">
        <f t="shared" si="50"/>
        <v/>
      </c>
      <c r="H66" s="68" t="str">
        <f t="shared" si="51"/>
        <v/>
      </c>
      <c r="I66" s="68" t="str">
        <f t="shared" si="52"/>
        <v/>
      </c>
      <c r="J66" s="68" t="str">
        <f t="shared" si="53"/>
        <v/>
      </c>
      <c r="K66" s="68" t="str">
        <f t="shared" si="54"/>
        <v/>
      </c>
      <c r="L66" s="69" t="str">
        <f t="shared" si="55"/>
        <v/>
      </c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0" customHeight="1">
      <c r="A67" s="107" t="s">
        <v>244</v>
      </c>
      <c r="B67" s="64">
        <v>54000.0</v>
      </c>
      <c r="C67" s="64">
        <f>ROUND(B67/C34,0)</f>
        <v>75000</v>
      </c>
      <c r="D67" s="67">
        <f>E34</f>
        <v>0.012</v>
      </c>
      <c r="E67" s="68">
        <f t="shared" si="49"/>
        <v>900</v>
      </c>
      <c r="F67" s="67"/>
      <c r="G67" s="68" t="str">
        <f t="shared" si="50"/>
        <v/>
      </c>
      <c r="H67" s="68" t="str">
        <f t="shared" si="51"/>
        <v/>
      </c>
      <c r="I67" s="68" t="str">
        <f t="shared" si="52"/>
        <v/>
      </c>
      <c r="J67" s="68" t="str">
        <f t="shared" si="53"/>
        <v/>
      </c>
      <c r="K67" s="68" t="str">
        <f t="shared" si="54"/>
        <v/>
      </c>
      <c r="L67" s="69" t="str">
        <f t="shared" si="55"/>
        <v/>
      </c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0" customHeight="1">
      <c r="A68" s="107" t="s">
        <v>24</v>
      </c>
      <c r="B68" s="64"/>
      <c r="C68" s="64"/>
      <c r="D68" s="67"/>
      <c r="E68" s="68" t="str">
        <f t="shared" si="49"/>
        <v/>
      </c>
      <c r="F68" s="67"/>
      <c r="G68" s="68" t="str">
        <f t="shared" si="50"/>
        <v/>
      </c>
      <c r="H68" s="68" t="str">
        <f t="shared" si="51"/>
        <v/>
      </c>
      <c r="I68" s="68" t="str">
        <f t="shared" si="52"/>
        <v/>
      </c>
      <c r="J68" s="68" t="str">
        <f t="shared" si="53"/>
        <v/>
      </c>
      <c r="K68" s="68" t="str">
        <f t="shared" si="54"/>
        <v/>
      </c>
      <c r="L68" s="69" t="str">
        <f t="shared" si="55"/>
        <v/>
      </c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0" customHeight="1">
      <c r="A69" s="107" t="s">
        <v>120</v>
      </c>
      <c r="B69" s="64"/>
      <c r="C69" s="64"/>
      <c r="D69" s="67"/>
      <c r="E69" s="68" t="str">
        <f t="shared" si="49"/>
        <v/>
      </c>
      <c r="F69" s="67"/>
      <c r="G69" s="68" t="str">
        <f t="shared" si="50"/>
        <v/>
      </c>
      <c r="H69" s="68" t="str">
        <f t="shared" si="51"/>
        <v/>
      </c>
      <c r="I69" s="68" t="str">
        <f t="shared" si="52"/>
        <v/>
      </c>
      <c r="J69" s="68" t="str">
        <f t="shared" si="53"/>
        <v/>
      </c>
      <c r="K69" s="68" t="str">
        <f t="shared" si="54"/>
        <v/>
      </c>
      <c r="L69" s="69" t="str">
        <f t="shared" si="55"/>
        <v/>
      </c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0" customHeight="1">
      <c r="A70" s="107" t="s">
        <v>297</v>
      </c>
      <c r="B70" s="64"/>
      <c r="C70" s="64"/>
      <c r="D70" s="67"/>
      <c r="E70" s="68" t="str">
        <f t="shared" si="49"/>
        <v/>
      </c>
      <c r="F70" s="67"/>
      <c r="G70" s="68" t="str">
        <f t="shared" si="50"/>
        <v/>
      </c>
      <c r="H70" s="68" t="str">
        <f t="shared" si="51"/>
        <v/>
      </c>
      <c r="I70" s="68" t="str">
        <f t="shared" si="52"/>
        <v/>
      </c>
      <c r="J70" s="68" t="str">
        <f t="shared" si="53"/>
        <v/>
      </c>
      <c r="K70" s="68" t="str">
        <f t="shared" si="54"/>
        <v/>
      </c>
      <c r="L70" s="69" t="str">
        <f t="shared" si="55"/>
        <v/>
      </c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0" customHeight="1">
      <c r="A71" s="107" t="s">
        <v>665</v>
      </c>
      <c r="B71" s="64"/>
      <c r="C71" s="64"/>
      <c r="D71" s="67"/>
      <c r="E71" s="68" t="str">
        <f t="shared" si="49"/>
        <v/>
      </c>
      <c r="F71" s="67"/>
      <c r="G71" s="68" t="str">
        <f t="shared" si="50"/>
        <v/>
      </c>
      <c r="H71" s="68" t="str">
        <f t="shared" si="51"/>
        <v/>
      </c>
      <c r="I71" s="68" t="str">
        <f t="shared" si="52"/>
        <v/>
      </c>
      <c r="J71" s="68" t="str">
        <f t="shared" si="53"/>
        <v/>
      </c>
      <c r="K71" s="68" t="str">
        <f t="shared" si="54"/>
        <v/>
      </c>
      <c r="L71" s="69" t="str">
        <f t="shared" si="55"/>
        <v/>
      </c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0" customHeight="1">
      <c r="A72" s="70" t="s">
        <v>668</v>
      </c>
      <c r="B72" s="108">
        <f t="shared" ref="B72:C72" si="56">SUM(B65:B71)</f>
        <v>108000</v>
      </c>
      <c r="C72" s="108">
        <f t="shared" si="56"/>
        <v>169737</v>
      </c>
      <c r="D72" s="72">
        <f>IF(N(C72)=0,"",E72/C72)</f>
        <v>0.009879990809</v>
      </c>
      <c r="E72" s="108">
        <f>SUM(E65:E71)</f>
        <v>1677</v>
      </c>
      <c r="F72" s="72">
        <f>IF(N(E72)=0,"",G72/E72)</f>
        <v>0</v>
      </c>
      <c r="G72" s="108">
        <f>SUM(G65:G71)</f>
        <v>0</v>
      </c>
      <c r="H72" s="109" t="str">
        <f t="shared" si="51"/>
        <v/>
      </c>
      <c r="I72" s="108">
        <f>SUM(I65:I71)</f>
        <v>0</v>
      </c>
      <c r="J72" s="109" t="str">
        <f t="shared" si="53"/>
        <v/>
      </c>
      <c r="K72" s="108">
        <f>SUM(K65:K71)</f>
        <v>0</v>
      </c>
      <c r="L72" s="110" t="str">
        <f t="shared" si="55"/>
        <v/>
      </c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0" customHeight="1">
      <c r="A73" s="61" t="s">
        <v>677</v>
      </c>
      <c r="B73" s="73"/>
      <c r="C73" s="73"/>
      <c r="D73" s="74"/>
      <c r="E73" s="73"/>
      <c r="F73" s="75" t="s">
        <v>678</v>
      </c>
      <c r="G73" s="64">
        <v>1423.0</v>
      </c>
      <c r="H73" s="73"/>
      <c r="I73" s="76" t="s">
        <v>679</v>
      </c>
      <c r="J73" s="64">
        <f>ROUND(B81/G81,0)</f>
        <v>144</v>
      </c>
      <c r="K73" s="73"/>
      <c r="L73" s="74"/>
      <c r="M73" s="3"/>
      <c r="N73" s="3"/>
    </row>
    <row r="74" ht="15.0" customHeight="1">
      <c r="A74" s="66" t="s">
        <v>680</v>
      </c>
      <c r="B74" s="64">
        <v>55000.0</v>
      </c>
      <c r="C74" s="64">
        <f>ROUND(B74/C41,0)</f>
        <v>96491</v>
      </c>
      <c r="D74" s="67">
        <f>E41</f>
        <v>0.0082</v>
      </c>
      <c r="E74" s="68">
        <f t="shared" ref="E74:E80" si="57">IF(OR(C74="",D74=""),"",ROUND(C74*D74,0))</f>
        <v>791</v>
      </c>
      <c r="F74" s="67">
        <v>0.5348</v>
      </c>
      <c r="G74" s="68">
        <f t="shared" ref="G74:G80" si="58">IF(OR(E74="",F74=""),"",ROUND(E74*F74,0))</f>
        <v>423</v>
      </c>
      <c r="H74" s="68">
        <f t="shared" ref="H74:H82" si="59">IF(N(G74)=0,"",ROUND(B74/G74,0))</f>
        <v>130</v>
      </c>
      <c r="I74" s="68">
        <f t="shared" ref="I74:I80" si="60">IF(OR(N(G74)=0,$J$73=""),"",ROUND(G74*$J$73,0))</f>
        <v>60912</v>
      </c>
      <c r="J74" s="68">
        <f t="shared" ref="J74:J82" si="61">IF(N(I74)=0,"",ROUND(B74/I74,0))</f>
        <v>1</v>
      </c>
      <c r="K74" s="68">
        <f t="shared" ref="K74:K80" si="62">IF(N(I74)=0,"",ROUND(I74*$G$73,0))</f>
        <v>86677776</v>
      </c>
      <c r="L74" s="69">
        <f t="shared" ref="L74:L82" si="63">IF(N(K74)=0,"",B74/K74)</f>
        <v>0.0006345340471</v>
      </c>
      <c r="M74" s="3"/>
      <c r="N74" s="3"/>
    </row>
    <row r="75" ht="15.0" customHeight="1">
      <c r="A75" s="66" t="s">
        <v>681</v>
      </c>
      <c r="B75" s="64">
        <v>150000.0</v>
      </c>
      <c r="C75" s="64">
        <f>ROUND(B75/C41,0)</f>
        <v>263158</v>
      </c>
      <c r="D75" s="67">
        <f>E41</f>
        <v>0.0082</v>
      </c>
      <c r="E75" s="68">
        <f t="shared" si="57"/>
        <v>2158</v>
      </c>
      <c r="F75" s="67">
        <v>0.4634</v>
      </c>
      <c r="G75" s="68">
        <f t="shared" si="58"/>
        <v>1000</v>
      </c>
      <c r="H75" s="68">
        <f t="shared" si="59"/>
        <v>150</v>
      </c>
      <c r="I75" s="68">
        <f t="shared" si="60"/>
        <v>144000</v>
      </c>
      <c r="J75" s="68">
        <f t="shared" si="61"/>
        <v>1</v>
      </c>
      <c r="K75" s="68">
        <f t="shared" si="62"/>
        <v>204912000</v>
      </c>
      <c r="L75" s="69">
        <f t="shared" si="63"/>
        <v>0.0007320215507</v>
      </c>
      <c r="M75" s="3"/>
      <c r="N75" s="3"/>
    </row>
    <row r="76" ht="25.5" customHeight="1">
      <c r="A76" s="66"/>
      <c r="B76" s="64"/>
      <c r="C76" s="64"/>
      <c r="D76" s="67"/>
      <c r="E76" s="68" t="str">
        <f t="shared" si="57"/>
        <v/>
      </c>
      <c r="F76" s="67"/>
      <c r="G76" s="68" t="str">
        <f t="shared" si="58"/>
        <v/>
      </c>
      <c r="H76" s="68" t="str">
        <f t="shared" si="59"/>
        <v/>
      </c>
      <c r="I76" s="68" t="str">
        <f t="shared" si="60"/>
        <v/>
      </c>
      <c r="J76" s="68" t="str">
        <f t="shared" si="61"/>
        <v/>
      </c>
      <c r="K76" s="68" t="str">
        <f t="shared" si="62"/>
        <v/>
      </c>
      <c r="L76" s="69" t="str">
        <f t="shared" si="63"/>
        <v/>
      </c>
      <c r="M76" s="3"/>
      <c r="N76" s="3"/>
    </row>
    <row r="77" ht="15.75" customHeight="1">
      <c r="A77" s="66"/>
      <c r="B77" s="64"/>
      <c r="C77" s="64"/>
      <c r="D77" s="67"/>
      <c r="E77" s="68" t="str">
        <f t="shared" si="57"/>
        <v/>
      </c>
      <c r="F77" s="67"/>
      <c r="G77" s="68" t="str">
        <f t="shared" si="58"/>
        <v/>
      </c>
      <c r="H77" s="68" t="str">
        <f t="shared" si="59"/>
        <v/>
      </c>
      <c r="I77" s="68" t="str">
        <f t="shared" si="60"/>
        <v/>
      </c>
      <c r="J77" s="68" t="str">
        <f t="shared" si="61"/>
        <v/>
      </c>
      <c r="K77" s="68" t="str">
        <f t="shared" si="62"/>
        <v/>
      </c>
      <c r="L77" s="69" t="str">
        <f t="shared" si="63"/>
        <v/>
      </c>
      <c r="M77" s="3"/>
      <c r="N77" s="3"/>
    </row>
    <row r="78" ht="15.0" customHeight="1">
      <c r="A78" s="66"/>
      <c r="B78" s="64"/>
      <c r="C78" s="64"/>
      <c r="D78" s="67"/>
      <c r="E78" s="68" t="str">
        <f t="shared" si="57"/>
        <v/>
      </c>
      <c r="F78" s="67"/>
      <c r="G78" s="68" t="str">
        <f t="shared" si="58"/>
        <v/>
      </c>
      <c r="H78" s="68" t="str">
        <f t="shared" si="59"/>
        <v/>
      </c>
      <c r="I78" s="68" t="str">
        <f t="shared" si="60"/>
        <v/>
      </c>
      <c r="J78" s="68" t="str">
        <f t="shared" si="61"/>
        <v/>
      </c>
      <c r="K78" s="68" t="str">
        <f t="shared" si="62"/>
        <v/>
      </c>
      <c r="L78" s="69" t="str">
        <f t="shared" si="63"/>
        <v/>
      </c>
      <c r="M78" s="3"/>
      <c r="N78" s="3"/>
    </row>
    <row r="79" ht="15.0" customHeight="1">
      <c r="A79" s="66"/>
      <c r="B79" s="64"/>
      <c r="C79" s="64"/>
      <c r="D79" s="67"/>
      <c r="E79" s="68" t="str">
        <f t="shared" si="57"/>
        <v/>
      </c>
      <c r="F79" s="67"/>
      <c r="G79" s="68" t="str">
        <f t="shared" si="58"/>
        <v/>
      </c>
      <c r="H79" s="68" t="str">
        <f t="shared" si="59"/>
        <v/>
      </c>
      <c r="I79" s="68" t="str">
        <f t="shared" si="60"/>
        <v/>
      </c>
      <c r="J79" s="68" t="str">
        <f t="shared" si="61"/>
        <v/>
      </c>
      <c r="K79" s="68" t="str">
        <f t="shared" si="62"/>
        <v/>
      </c>
      <c r="L79" s="69" t="str">
        <f t="shared" si="63"/>
        <v/>
      </c>
      <c r="M79" s="3"/>
      <c r="N79" s="3"/>
    </row>
    <row r="80" ht="21.75" customHeight="1">
      <c r="A80" s="66"/>
      <c r="B80" s="64"/>
      <c r="C80" s="64"/>
      <c r="D80" s="67"/>
      <c r="E80" s="68" t="str">
        <f t="shared" si="57"/>
        <v/>
      </c>
      <c r="F80" s="67"/>
      <c r="G80" s="68" t="str">
        <f t="shared" si="58"/>
        <v/>
      </c>
      <c r="H80" s="68" t="str">
        <f t="shared" si="59"/>
        <v/>
      </c>
      <c r="I80" s="68" t="str">
        <f t="shared" si="60"/>
        <v/>
      </c>
      <c r="J80" s="68" t="str">
        <f t="shared" si="61"/>
        <v/>
      </c>
      <c r="K80" s="68" t="str">
        <f t="shared" si="62"/>
        <v/>
      </c>
      <c r="L80" s="69" t="str">
        <f t="shared" si="63"/>
        <v/>
      </c>
      <c r="M80" s="3"/>
      <c r="N80" s="3"/>
    </row>
    <row r="81" ht="15.0" customHeight="1">
      <c r="A81" s="70" t="s">
        <v>682</v>
      </c>
      <c r="B81" s="71">
        <f t="shared" ref="B81:C81" si="64">SUM(B74:B80)</f>
        <v>205000</v>
      </c>
      <c r="C81" s="71">
        <f t="shared" si="64"/>
        <v>359649</v>
      </c>
      <c r="D81" s="72">
        <f t="shared" ref="D81:D82" si="66">IF(N(C81)=0,"",E81/C81)</f>
        <v>0.008199661336</v>
      </c>
      <c r="E81" s="71">
        <f>SUM(E74:E80)</f>
        <v>2949</v>
      </c>
      <c r="F81" s="72">
        <f t="shared" ref="F81:F82" si="67">IF(N(E81)=0,"",G81/E81)</f>
        <v>0.482536453</v>
      </c>
      <c r="G81" s="71">
        <f>SUM(G74:G80)</f>
        <v>1423</v>
      </c>
      <c r="H81" s="71">
        <f t="shared" si="59"/>
        <v>144</v>
      </c>
      <c r="I81" s="71"/>
      <c r="J81" s="71" t="str">
        <f t="shared" si="61"/>
        <v/>
      </c>
      <c r="K81" s="71"/>
      <c r="L81" s="72" t="str">
        <f t="shared" si="63"/>
        <v/>
      </c>
      <c r="M81" s="3"/>
      <c r="N81" s="3"/>
    </row>
    <row r="82" ht="15.0" customHeight="1">
      <c r="A82" s="56" t="s">
        <v>683</v>
      </c>
      <c r="B82" s="77">
        <f t="shared" ref="B82:C82" si="65">B63+B72+B81</f>
        <v>960000</v>
      </c>
      <c r="C82" s="77">
        <f t="shared" si="65"/>
        <v>1494726</v>
      </c>
      <c r="D82" s="78">
        <f t="shared" si="66"/>
        <v>0.008279778367</v>
      </c>
      <c r="E82" s="77">
        <f>E63+E72+E81</f>
        <v>12376</v>
      </c>
      <c r="F82" s="78">
        <f t="shared" si="67"/>
        <v>0.1790562379</v>
      </c>
      <c r="G82" s="77">
        <f>G63+G72+G81</f>
        <v>2216</v>
      </c>
      <c r="H82" s="77">
        <f t="shared" si="59"/>
        <v>433</v>
      </c>
      <c r="I82" s="77">
        <f>I63+I72</f>
        <v>754</v>
      </c>
      <c r="J82" s="77">
        <f t="shared" si="61"/>
        <v>1273</v>
      </c>
      <c r="K82" s="77">
        <f>K63+K72</f>
        <v>527800</v>
      </c>
      <c r="L82" s="78">
        <f t="shared" si="63"/>
        <v>1.818870784</v>
      </c>
      <c r="M82" s="3"/>
      <c r="N82" s="3"/>
    </row>
    <row r="83" ht="15.0" customHeight="1">
      <c r="A83" s="79" t="s">
        <v>670</v>
      </c>
      <c r="B83" s="102" t="str">
        <f>IF(OR(N(K82)=0,N($D$53)=0),"— заполни бюджеты и параметры —",IF(L82&lt;=$D$53,"В ЦЕЛЬ: DRR "&amp;TEXT(L82,"0.0%")&amp;" при цели "&amp;TEXT($D$53,"0.0%"),"ВЫШЕ ЦЕЛИ: DRR "&amp;TEXT(L82,"0.0%")&amp;" при цели "&amp;TEXT($D$53,"0.0%")))</f>
        <v>ВЫШЕ ЦЕЛИ: DRR 181,9% при цели 13,0%</v>
      </c>
      <c r="C83" s="103"/>
      <c r="D83" s="103"/>
      <c r="E83" s="103"/>
      <c r="F83" s="103"/>
      <c r="G83" s="103"/>
      <c r="H83" s="103"/>
      <c r="I83" s="103"/>
      <c r="J83" s="103"/>
      <c r="K83" s="103"/>
      <c r="L83" s="104"/>
      <c r="M83" s="3"/>
      <c r="N83" s="3"/>
    </row>
    <row r="84" ht="15.0" customHeight="1">
      <c r="A84" s="55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ht="15.0" customHeight="1">
      <c r="A85" s="56" t="s">
        <v>684</v>
      </c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3"/>
      <c r="N85" s="3"/>
    </row>
    <row r="86" ht="15.0" customHeight="1">
      <c r="A86" s="55" t="s">
        <v>648</v>
      </c>
      <c r="B86" s="111">
        <v>630000.0</v>
      </c>
      <c r="C86" s="103"/>
      <c r="D86" s="103"/>
      <c r="E86" s="103"/>
      <c r="F86" s="103"/>
      <c r="G86" s="103"/>
      <c r="H86" s="103"/>
      <c r="I86" s="103"/>
      <c r="J86" s="103"/>
      <c r="K86" s="103"/>
      <c r="L86" s="103"/>
      <c r="M86" s="104"/>
      <c r="N86" s="3"/>
    </row>
    <row r="87" ht="30.0" customHeight="1">
      <c r="A87" s="60" t="s">
        <v>1</v>
      </c>
      <c r="B87" s="60" t="s">
        <v>651</v>
      </c>
      <c r="C87" s="60" t="s">
        <v>652</v>
      </c>
      <c r="D87" s="60" t="s">
        <v>685</v>
      </c>
      <c r="E87" s="60" t="s">
        <v>654</v>
      </c>
      <c r="F87" s="60" t="s">
        <v>686</v>
      </c>
      <c r="G87" s="60" t="s">
        <v>687</v>
      </c>
      <c r="H87" s="60" t="s">
        <v>657</v>
      </c>
      <c r="I87" s="60" t="s">
        <v>658</v>
      </c>
      <c r="J87" s="60" t="s">
        <v>688</v>
      </c>
      <c r="K87" s="60" t="s">
        <v>660</v>
      </c>
      <c r="L87" s="60" t="s">
        <v>689</v>
      </c>
      <c r="M87" s="3"/>
      <c r="N87" s="3"/>
    </row>
    <row r="88" ht="15.0" customHeight="1">
      <c r="A88" s="61" t="s">
        <v>690</v>
      </c>
      <c r="B88" s="62"/>
      <c r="C88" s="62"/>
      <c r="D88" s="62"/>
      <c r="E88" s="62"/>
      <c r="F88" s="63" t="s">
        <v>691</v>
      </c>
      <c r="G88" s="64">
        <v>700.0</v>
      </c>
      <c r="H88" s="62"/>
      <c r="I88" s="63" t="s">
        <v>692</v>
      </c>
      <c r="J88" s="65">
        <v>0.95</v>
      </c>
      <c r="K88" s="62"/>
      <c r="L88" s="62"/>
      <c r="M88" s="3"/>
      <c r="N88" s="3"/>
    </row>
    <row r="89" ht="15.0" customHeight="1">
      <c r="A89" s="66" t="s">
        <v>29</v>
      </c>
      <c r="B89" s="64">
        <v>20000.0</v>
      </c>
      <c r="C89" s="64">
        <f t="shared" ref="C89:C94" si="68">B89*C203/B203/G203</f>
        <v>22403.35574</v>
      </c>
      <c r="D89" s="67">
        <f t="shared" ref="D89:D94" si="69">IF(C203&gt;0,D203/C203,0)</f>
        <v>0.002340425532</v>
      </c>
      <c r="E89" s="68">
        <f t="shared" ref="E89:E94" si="70">C89*D89</f>
        <v>52.43338577</v>
      </c>
      <c r="F89" s="67">
        <f t="shared" ref="F89:F94" si="71">IF(D203&gt;0,E203/D203,0)</f>
        <v>0.1090909091</v>
      </c>
      <c r="G89" s="68">
        <f t="shared" ref="G89:G94" si="72">ROUNDDOWN(B89/H203,0)</f>
        <v>5</v>
      </c>
      <c r="H89" s="68">
        <f t="shared" ref="H89:H94" si="73">IF(G89&gt;0,B89/G89,0)</f>
        <v>4000</v>
      </c>
      <c r="I89" s="68">
        <f t="shared" ref="I89:I94" si="74">ROUND(G89*$J$88,0)</f>
        <v>5</v>
      </c>
      <c r="J89" s="68">
        <f t="shared" ref="J89:J94" si="75">IF(I89&gt;0,B89/I89,0)</f>
        <v>4000</v>
      </c>
      <c r="K89" s="68">
        <f t="shared" ref="K89:K94" si="76">I89*$G$88</f>
        <v>3500</v>
      </c>
      <c r="L89" s="69">
        <f t="shared" ref="L89:L94" si="77">IF(K89&gt;0,B89/K89,0)</f>
        <v>5.714285714</v>
      </c>
      <c r="M89" s="3"/>
      <c r="N89" s="3"/>
    </row>
    <row r="90" ht="15.75" customHeight="1">
      <c r="A90" s="66" t="s">
        <v>37</v>
      </c>
      <c r="B90" s="64">
        <v>80000.0</v>
      </c>
      <c r="C90" s="64">
        <f t="shared" si="68"/>
        <v>65790.75426</v>
      </c>
      <c r="D90" s="67">
        <f t="shared" si="69"/>
        <v>0.01274677874</v>
      </c>
      <c r="E90" s="68">
        <f t="shared" si="70"/>
        <v>838.6201878</v>
      </c>
      <c r="F90" s="67">
        <f t="shared" si="71"/>
        <v>0.08893709328</v>
      </c>
      <c r="G90" s="68">
        <f t="shared" si="72"/>
        <v>74</v>
      </c>
      <c r="H90" s="68">
        <f t="shared" si="73"/>
        <v>1081.081081</v>
      </c>
      <c r="I90" s="68">
        <f t="shared" si="74"/>
        <v>70</v>
      </c>
      <c r="J90" s="68">
        <f t="shared" si="75"/>
        <v>1142.857143</v>
      </c>
      <c r="K90" s="68">
        <f t="shared" si="76"/>
        <v>49000</v>
      </c>
      <c r="L90" s="69">
        <f t="shared" si="77"/>
        <v>1.632653061</v>
      </c>
      <c r="M90" s="3"/>
      <c r="N90" s="3"/>
    </row>
    <row r="91" ht="25.5" customHeight="1">
      <c r="A91" s="66" t="s">
        <v>244</v>
      </c>
      <c r="B91" s="64">
        <v>30000.0</v>
      </c>
      <c r="C91" s="64">
        <f t="shared" si="68"/>
        <v>53908.3558</v>
      </c>
      <c r="D91" s="67">
        <f t="shared" si="69"/>
        <v>0.00357</v>
      </c>
      <c r="E91" s="68">
        <f t="shared" si="70"/>
        <v>192.4528302</v>
      </c>
      <c r="F91" s="67">
        <f t="shared" si="71"/>
        <v>0.09243697479</v>
      </c>
      <c r="G91" s="68">
        <f t="shared" si="72"/>
        <v>17</v>
      </c>
      <c r="H91" s="68">
        <f t="shared" si="73"/>
        <v>1764.705882</v>
      </c>
      <c r="I91" s="68">
        <f t="shared" si="74"/>
        <v>16</v>
      </c>
      <c r="J91" s="68">
        <f t="shared" si="75"/>
        <v>1875</v>
      </c>
      <c r="K91" s="68">
        <f t="shared" si="76"/>
        <v>11200</v>
      </c>
      <c r="L91" s="69">
        <f t="shared" si="77"/>
        <v>2.678571429</v>
      </c>
      <c r="M91" s="3"/>
      <c r="N91" s="3"/>
    </row>
    <row r="92" ht="15.75" customHeight="1">
      <c r="A92" s="66" t="s">
        <v>24</v>
      </c>
      <c r="B92" s="64">
        <v>40000.0</v>
      </c>
      <c r="C92" s="64">
        <f t="shared" si="68"/>
        <v>18550.72464</v>
      </c>
      <c r="D92" s="67">
        <f t="shared" si="69"/>
        <v>0.00785</v>
      </c>
      <c r="E92" s="68">
        <f t="shared" si="70"/>
        <v>145.6231884</v>
      </c>
      <c r="F92" s="67">
        <f t="shared" si="71"/>
        <v>0.03184713376</v>
      </c>
      <c r="G92" s="68">
        <f t="shared" si="72"/>
        <v>4</v>
      </c>
      <c r="H92" s="68">
        <f t="shared" si="73"/>
        <v>10000</v>
      </c>
      <c r="I92" s="68">
        <f t="shared" si="74"/>
        <v>4</v>
      </c>
      <c r="J92" s="68">
        <f t="shared" si="75"/>
        <v>10000</v>
      </c>
      <c r="K92" s="68">
        <f t="shared" si="76"/>
        <v>2800</v>
      </c>
      <c r="L92" s="69">
        <f t="shared" si="77"/>
        <v>14.28571429</v>
      </c>
      <c r="M92" s="3"/>
      <c r="N92" s="3"/>
    </row>
    <row r="93" ht="15.75" customHeight="1">
      <c r="A93" s="66" t="s">
        <v>120</v>
      </c>
      <c r="B93" s="64">
        <v>60000.0</v>
      </c>
      <c r="C93" s="64">
        <f t="shared" si="68"/>
        <v>880503.1447</v>
      </c>
      <c r="D93" s="67">
        <f t="shared" si="69"/>
        <v>0.001335</v>
      </c>
      <c r="E93" s="68">
        <f t="shared" si="70"/>
        <v>1175.471698</v>
      </c>
      <c r="F93" s="67">
        <f t="shared" si="71"/>
        <v>0.02193686463</v>
      </c>
      <c r="G93" s="68">
        <f t="shared" si="72"/>
        <v>25</v>
      </c>
      <c r="H93" s="68">
        <f t="shared" si="73"/>
        <v>2400</v>
      </c>
      <c r="I93" s="68">
        <f t="shared" si="74"/>
        <v>24</v>
      </c>
      <c r="J93" s="68">
        <f t="shared" si="75"/>
        <v>2500</v>
      </c>
      <c r="K93" s="68">
        <f t="shared" si="76"/>
        <v>16800</v>
      </c>
      <c r="L93" s="69">
        <f t="shared" si="77"/>
        <v>3.571428571</v>
      </c>
      <c r="M93" s="3"/>
      <c r="N93" s="3"/>
    </row>
    <row r="94" ht="15.75" customHeight="1">
      <c r="A94" s="66" t="s">
        <v>297</v>
      </c>
      <c r="B94" s="64">
        <v>10000.0</v>
      </c>
      <c r="C94" s="64">
        <f t="shared" si="68"/>
        <v>962.2641509</v>
      </c>
      <c r="D94" s="67">
        <f t="shared" si="69"/>
        <v>0.07843137255</v>
      </c>
      <c r="E94" s="68">
        <f t="shared" si="70"/>
        <v>75.47169811</v>
      </c>
      <c r="F94" s="67">
        <f t="shared" si="71"/>
        <v>0.2166666667</v>
      </c>
      <c r="G94" s="68">
        <f t="shared" si="72"/>
        <v>16</v>
      </c>
      <c r="H94" s="68">
        <f t="shared" si="73"/>
        <v>625</v>
      </c>
      <c r="I94" s="68">
        <f t="shared" si="74"/>
        <v>15</v>
      </c>
      <c r="J94" s="68">
        <f t="shared" si="75"/>
        <v>666.6666667</v>
      </c>
      <c r="K94" s="68">
        <f t="shared" si="76"/>
        <v>10500</v>
      </c>
      <c r="L94" s="69">
        <f t="shared" si="77"/>
        <v>0.9523809524</v>
      </c>
      <c r="M94" s="3"/>
      <c r="N94" s="3"/>
    </row>
    <row r="95" ht="15.75" customHeight="1">
      <c r="A95" s="66" t="s">
        <v>665</v>
      </c>
      <c r="B95" s="64">
        <v>0.0</v>
      </c>
      <c r="C95" s="64">
        <v>0.0</v>
      </c>
      <c r="D95" s="67">
        <v>0.0</v>
      </c>
      <c r="E95" s="68">
        <v>0.0</v>
      </c>
      <c r="F95" s="67">
        <v>0.0</v>
      </c>
      <c r="G95" s="68">
        <v>0.0</v>
      </c>
      <c r="H95" s="68">
        <v>0.0</v>
      </c>
      <c r="I95" s="68">
        <v>0.0</v>
      </c>
      <c r="J95" s="68">
        <v>0.0</v>
      </c>
      <c r="K95" s="68">
        <v>0.0</v>
      </c>
      <c r="L95" s="69">
        <v>0.0</v>
      </c>
      <c r="M95" s="3"/>
      <c r="N95" s="3"/>
    </row>
    <row r="96" ht="15.75" customHeight="1">
      <c r="A96" s="70" t="s">
        <v>693</v>
      </c>
      <c r="B96" s="71">
        <f t="shared" ref="B96:C96" si="78">SUM(B89:B95)</f>
        <v>240000</v>
      </c>
      <c r="C96" s="71">
        <f t="shared" si="78"/>
        <v>1042118.599</v>
      </c>
      <c r="D96" s="72">
        <f>IF(C96&gt;0,E96/C96,0)</f>
        <v>0.002379837564</v>
      </c>
      <c r="E96" s="71">
        <f>SUM(E89:E95)</f>
        <v>2480.072988</v>
      </c>
      <c r="F96" s="72">
        <f>IF(E96&gt;0,G96/E96,0)</f>
        <v>0.05685316547</v>
      </c>
      <c r="G96" s="71">
        <f>SUM(G89:G95)</f>
        <v>141</v>
      </c>
      <c r="H96" s="71">
        <f>IF(G96&gt;0,B96/G96,0)</f>
        <v>1702.12766</v>
      </c>
      <c r="I96" s="71">
        <f>SUM(I89:I95)</f>
        <v>134</v>
      </c>
      <c r="J96" s="71">
        <f>IF(I96&gt;0,B96/I96,0)</f>
        <v>1791.044776</v>
      </c>
      <c r="K96" s="71">
        <f>SUM(K89:K95)</f>
        <v>93800</v>
      </c>
      <c r="L96" s="72">
        <f>IF(K96&gt;0,B96/K96,0)</f>
        <v>2.558635394</v>
      </c>
      <c r="M96" s="3"/>
      <c r="N96" s="3"/>
    </row>
    <row r="97" ht="15.75" customHeight="1">
      <c r="A97" s="61" t="s">
        <v>694</v>
      </c>
      <c r="B97" s="73"/>
      <c r="C97" s="73"/>
      <c r="D97" s="74"/>
      <c r="E97" s="73"/>
      <c r="F97" s="75" t="s">
        <v>695</v>
      </c>
      <c r="G97" s="64"/>
      <c r="H97" s="73"/>
      <c r="I97" s="76" t="s">
        <v>696</v>
      </c>
      <c r="J97" s="65"/>
      <c r="K97" s="73"/>
      <c r="L97" s="74"/>
      <c r="M97" s="3"/>
      <c r="N97" s="3"/>
    </row>
    <row r="98" ht="15.75" customHeight="1">
      <c r="A98" s="66" t="s">
        <v>29</v>
      </c>
      <c r="B98" s="64">
        <v>18000.0</v>
      </c>
      <c r="C98" s="64"/>
      <c r="D98" s="67"/>
      <c r="E98" s="68"/>
      <c r="F98" s="67"/>
      <c r="G98" s="68">
        <v>7.0</v>
      </c>
      <c r="H98" s="68">
        <f t="shared" ref="H98:H104" si="79">IF(G98&gt;0,B98/G98,0)</f>
        <v>2571.428571</v>
      </c>
      <c r="I98" s="68"/>
      <c r="J98" s="68"/>
      <c r="K98" s="68"/>
      <c r="L98" s="69"/>
      <c r="M98" s="3"/>
      <c r="N98" s="3"/>
    </row>
    <row r="99" ht="15.75" customHeight="1">
      <c r="A99" s="66" t="s">
        <v>37</v>
      </c>
      <c r="B99" s="64">
        <v>45000.0</v>
      </c>
      <c r="C99" s="64"/>
      <c r="D99" s="67"/>
      <c r="E99" s="68"/>
      <c r="F99" s="67"/>
      <c r="G99" s="68">
        <v>18.0</v>
      </c>
      <c r="H99" s="68">
        <f t="shared" si="79"/>
        <v>2500</v>
      </c>
      <c r="I99" s="68"/>
      <c r="J99" s="68"/>
      <c r="K99" s="68"/>
      <c r="L99" s="69"/>
      <c r="M99" s="3"/>
      <c r="N99" s="3"/>
    </row>
    <row r="100" ht="15.75" customHeight="1">
      <c r="A100" s="66" t="s">
        <v>244</v>
      </c>
      <c r="B100" s="64">
        <v>10000.0</v>
      </c>
      <c r="C100" s="64"/>
      <c r="D100" s="67"/>
      <c r="E100" s="68"/>
      <c r="F100" s="67"/>
      <c r="G100" s="68">
        <v>4.0</v>
      </c>
      <c r="H100" s="68">
        <f t="shared" si="79"/>
        <v>2500</v>
      </c>
      <c r="I100" s="68"/>
      <c r="J100" s="68"/>
      <c r="K100" s="68"/>
      <c r="L100" s="69"/>
      <c r="M100" s="3"/>
      <c r="N100" s="3"/>
    </row>
    <row r="101" ht="25.5" customHeight="1">
      <c r="A101" s="66" t="s">
        <v>24</v>
      </c>
      <c r="B101" s="64">
        <v>17000.0</v>
      </c>
      <c r="C101" s="64"/>
      <c r="D101" s="67"/>
      <c r="E101" s="68"/>
      <c r="F101" s="67"/>
      <c r="G101" s="68">
        <v>7.0</v>
      </c>
      <c r="H101" s="68">
        <f t="shared" si="79"/>
        <v>2428.571429</v>
      </c>
      <c r="I101" s="68"/>
      <c r="J101" s="68"/>
      <c r="K101" s="68"/>
      <c r="L101" s="69"/>
      <c r="M101" s="3"/>
      <c r="N101" s="3"/>
    </row>
    <row r="102" ht="15.75" customHeight="1">
      <c r="A102" s="66" t="s">
        <v>120</v>
      </c>
      <c r="B102" s="64">
        <v>0.0</v>
      </c>
      <c r="C102" s="64"/>
      <c r="D102" s="67"/>
      <c r="E102" s="68"/>
      <c r="F102" s="67"/>
      <c r="G102" s="68">
        <v>0.0</v>
      </c>
      <c r="H102" s="68">
        <f t="shared" si="79"/>
        <v>0</v>
      </c>
      <c r="I102" s="68"/>
      <c r="J102" s="68"/>
      <c r="K102" s="68"/>
      <c r="L102" s="69"/>
      <c r="M102" s="3"/>
      <c r="N102" s="3"/>
    </row>
    <row r="103" ht="15.75" customHeight="1">
      <c r="A103" s="66" t="s">
        <v>297</v>
      </c>
      <c r="B103" s="64">
        <v>0.0</v>
      </c>
      <c r="C103" s="64"/>
      <c r="D103" s="67"/>
      <c r="E103" s="68"/>
      <c r="F103" s="67"/>
      <c r="G103" s="68">
        <v>0.0</v>
      </c>
      <c r="H103" s="68">
        <f t="shared" si="79"/>
        <v>0</v>
      </c>
      <c r="I103" s="68"/>
      <c r="J103" s="68"/>
      <c r="K103" s="68"/>
      <c r="L103" s="69"/>
      <c r="M103" s="3"/>
      <c r="N103" s="3"/>
    </row>
    <row r="104" ht="15.75" customHeight="1">
      <c r="A104" s="66" t="s">
        <v>665</v>
      </c>
      <c r="B104" s="64">
        <v>0.0</v>
      </c>
      <c r="C104" s="64"/>
      <c r="D104" s="67"/>
      <c r="E104" s="68"/>
      <c r="F104" s="67"/>
      <c r="G104" s="68">
        <v>0.0</v>
      </c>
      <c r="H104" s="68">
        <f t="shared" si="79"/>
        <v>0</v>
      </c>
      <c r="I104" s="68"/>
      <c r="J104" s="68"/>
      <c r="K104" s="68"/>
      <c r="L104" s="69"/>
      <c r="M104" s="3"/>
      <c r="N104" s="3"/>
    </row>
    <row r="105" ht="15.75" customHeight="1">
      <c r="A105" s="70" t="s">
        <v>697</v>
      </c>
      <c r="B105" s="71">
        <f>SUM(B98:B104)</f>
        <v>90000</v>
      </c>
      <c r="C105" s="71"/>
      <c r="D105" s="72"/>
      <c r="E105" s="71"/>
      <c r="F105" s="72"/>
      <c r="G105" s="71">
        <f>SUM(G98:G104)</f>
        <v>36</v>
      </c>
      <c r="H105" s="71">
        <f t="shared" ref="H105:H106" si="80">B105/G105</f>
        <v>2500</v>
      </c>
      <c r="I105" s="71">
        <f>SUM(I98:I104)</f>
        <v>0</v>
      </c>
      <c r="J105" s="71"/>
      <c r="K105" s="71">
        <f>SUM(K98:K104)</f>
        <v>0</v>
      </c>
      <c r="L105" s="72"/>
      <c r="M105" s="3"/>
      <c r="N105" s="3"/>
    </row>
    <row r="106" ht="15.75" customHeight="1">
      <c r="A106" s="56" t="s">
        <v>698</v>
      </c>
      <c r="B106" s="77">
        <f>B96+B105</f>
        <v>330000</v>
      </c>
      <c r="C106" s="77"/>
      <c r="D106" s="78"/>
      <c r="E106" s="77"/>
      <c r="F106" s="78"/>
      <c r="G106" s="77">
        <f>G96+G105</f>
        <v>177</v>
      </c>
      <c r="H106" s="77">
        <f t="shared" si="80"/>
        <v>1864.40678</v>
      </c>
      <c r="I106" s="77">
        <f>I96+I105</f>
        <v>134</v>
      </c>
      <c r="J106" s="77"/>
      <c r="K106" s="77">
        <f>K96+K105</f>
        <v>93800</v>
      </c>
      <c r="L106" s="78"/>
      <c r="M106" s="3"/>
      <c r="N106" s="3"/>
    </row>
    <row r="107" ht="15.75" customHeight="1">
      <c r="A107" s="79" t="s">
        <v>699</v>
      </c>
      <c r="B107" s="80" t="s">
        <v>700</v>
      </c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3"/>
      <c r="N107" s="3"/>
    </row>
    <row r="108" ht="15.75" customHeight="1">
      <c r="A108" s="55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</row>
    <row r="109" ht="15.75" customHeight="1">
      <c r="A109" s="56" t="s">
        <v>701</v>
      </c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3"/>
      <c r="N109" s="3"/>
    </row>
    <row r="110" ht="15.75" customHeight="1">
      <c r="A110" s="55" t="s">
        <v>648</v>
      </c>
      <c r="B110" s="58"/>
      <c r="C110" s="3" t="s">
        <v>649</v>
      </c>
      <c r="D110" s="59"/>
      <c r="E110" s="3"/>
      <c r="F110" s="3"/>
      <c r="G110" s="3"/>
      <c r="H110" s="3"/>
      <c r="I110" s="3"/>
      <c r="J110" s="3"/>
      <c r="K110" s="3"/>
      <c r="L110" s="3"/>
      <c r="M110" s="3"/>
      <c r="N110" s="3"/>
    </row>
    <row r="111" ht="30.0" customHeight="1">
      <c r="A111" s="60" t="s">
        <v>650</v>
      </c>
      <c r="B111" s="112" t="s">
        <v>651</v>
      </c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04"/>
      <c r="N111" s="3"/>
    </row>
    <row r="112" ht="15.75" customHeight="1">
      <c r="A112" s="61" t="s">
        <v>662</v>
      </c>
      <c r="B112" s="62"/>
      <c r="C112" s="62"/>
      <c r="D112" s="62"/>
      <c r="E112" s="62"/>
      <c r="F112" s="63" t="s">
        <v>663</v>
      </c>
      <c r="G112" s="64"/>
      <c r="H112" s="62"/>
      <c r="I112" s="63" t="s">
        <v>664</v>
      </c>
      <c r="J112" s="65"/>
      <c r="K112" s="62"/>
      <c r="L112" s="62"/>
      <c r="M112" s="3"/>
      <c r="N112" s="3"/>
    </row>
    <row r="113" ht="15.75" customHeight="1">
      <c r="A113" s="66" t="s">
        <v>29</v>
      </c>
      <c r="B113" s="64"/>
      <c r="C113" s="64"/>
      <c r="D113" s="67"/>
      <c r="E113" s="68" t="str">
        <f t="shared" ref="E113:E119" si="81">IF(OR(C113="",D113=""),"",ROUND(C113*D113,0))</f>
        <v/>
      </c>
      <c r="F113" s="67"/>
      <c r="G113" s="68" t="str">
        <f t="shared" ref="G113:G119" si="82">IF(OR(E113="",F113=""),"",ROUND(E113*F113,0))</f>
        <v/>
      </c>
      <c r="H113" s="68" t="str">
        <f t="shared" ref="H113:H120" si="83">IF(N(G113)=0,"",ROUND(B113/G113,0))</f>
        <v/>
      </c>
      <c r="I113" s="68" t="str">
        <f t="shared" ref="I113:I119" si="84">IF(OR(N(G113)=0,$J$112=""),"",ROUND(G113*$J$112,0))</f>
        <v/>
      </c>
      <c r="J113" s="68" t="str">
        <f t="shared" ref="J113:J120" si="85">IF(N(I113)=0,"",ROUND(B113/I113,0))</f>
        <v/>
      </c>
      <c r="K113" s="68" t="str">
        <f t="shared" ref="K113:K119" si="86">IF(OR(N(I113)=0,$G$112=""),"",ROUND(I113*$G$112,0))</f>
        <v/>
      </c>
      <c r="L113" s="69" t="str">
        <f t="shared" ref="L113:L120" si="87">IF(N(K113)=0,"",B113/K113)</f>
        <v/>
      </c>
      <c r="M113" s="3"/>
      <c r="N113" s="3"/>
    </row>
    <row r="114" ht="15.75" customHeight="1">
      <c r="A114" s="66" t="s">
        <v>37</v>
      </c>
      <c r="B114" s="64"/>
      <c r="C114" s="64"/>
      <c r="D114" s="67"/>
      <c r="E114" s="68" t="str">
        <f t="shared" si="81"/>
        <v/>
      </c>
      <c r="F114" s="67"/>
      <c r="G114" s="68" t="str">
        <f t="shared" si="82"/>
        <v/>
      </c>
      <c r="H114" s="68" t="str">
        <f t="shared" si="83"/>
        <v/>
      </c>
      <c r="I114" s="68" t="str">
        <f t="shared" si="84"/>
        <v/>
      </c>
      <c r="J114" s="68" t="str">
        <f t="shared" si="85"/>
        <v/>
      </c>
      <c r="K114" s="68" t="str">
        <f t="shared" si="86"/>
        <v/>
      </c>
      <c r="L114" s="69" t="str">
        <f t="shared" si="87"/>
        <v/>
      </c>
      <c r="M114" s="3"/>
      <c r="N114" s="3"/>
    </row>
    <row r="115" ht="15.75" customHeight="1">
      <c r="A115" s="66" t="s">
        <v>244</v>
      </c>
      <c r="B115" s="64"/>
      <c r="C115" s="64"/>
      <c r="D115" s="67"/>
      <c r="E115" s="68" t="str">
        <f t="shared" si="81"/>
        <v/>
      </c>
      <c r="F115" s="67"/>
      <c r="G115" s="68" t="str">
        <f t="shared" si="82"/>
        <v/>
      </c>
      <c r="H115" s="68" t="str">
        <f t="shared" si="83"/>
        <v/>
      </c>
      <c r="I115" s="68" t="str">
        <f t="shared" si="84"/>
        <v/>
      </c>
      <c r="J115" s="68" t="str">
        <f t="shared" si="85"/>
        <v/>
      </c>
      <c r="K115" s="68" t="str">
        <f t="shared" si="86"/>
        <v/>
      </c>
      <c r="L115" s="69" t="str">
        <f t="shared" si="87"/>
        <v/>
      </c>
      <c r="M115" s="3"/>
      <c r="N115" s="3"/>
    </row>
    <row r="116" ht="25.5" customHeight="1">
      <c r="A116" s="66" t="s">
        <v>24</v>
      </c>
      <c r="B116" s="64"/>
      <c r="C116" s="64"/>
      <c r="D116" s="67"/>
      <c r="E116" s="68" t="str">
        <f t="shared" si="81"/>
        <v/>
      </c>
      <c r="F116" s="67"/>
      <c r="G116" s="68" t="str">
        <f t="shared" si="82"/>
        <v/>
      </c>
      <c r="H116" s="68" t="str">
        <f t="shared" si="83"/>
        <v/>
      </c>
      <c r="I116" s="68" t="str">
        <f t="shared" si="84"/>
        <v/>
      </c>
      <c r="J116" s="68" t="str">
        <f t="shared" si="85"/>
        <v/>
      </c>
      <c r="K116" s="68" t="str">
        <f t="shared" si="86"/>
        <v/>
      </c>
      <c r="L116" s="69" t="str">
        <f t="shared" si="87"/>
        <v/>
      </c>
      <c r="M116" s="3"/>
      <c r="N116" s="3"/>
    </row>
    <row r="117" ht="15.75" customHeight="1">
      <c r="A117" s="66" t="s">
        <v>120</v>
      </c>
      <c r="B117" s="64"/>
      <c r="C117" s="64"/>
      <c r="D117" s="67"/>
      <c r="E117" s="68" t="str">
        <f t="shared" si="81"/>
        <v/>
      </c>
      <c r="F117" s="67"/>
      <c r="G117" s="68" t="str">
        <f t="shared" si="82"/>
        <v/>
      </c>
      <c r="H117" s="68" t="str">
        <f t="shared" si="83"/>
        <v/>
      </c>
      <c r="I117" s="68" t="str">
        <f t="shared" si="84"/>
        <v/>
      </c>
      <c r="J117" s="68" t="str">
        <f t="shared" si="85"/>
        <v/>
      </c>
      <c r="K117" s="68" t="str">
        <f t="shared" si="86"/>
        <v/>
      </c>
      <c r="L117" s="69" t="str">
        <f t="shared" si="87"/>
        <v/>
      </c>
      <c r="M117" s="3"/>
      <c r="N117" s="3"/>
    </row>
    <row r="118" ht="15.75" customHeight="1">
      <c r="A118" s="66" t="s">
        <v>297</v>
      </c>
      <c r="B118" s="64"/>
      <c r="C118" s="64"/>
      <c r="D118" s="67"/>
      <c r="E118" s="68" t="str">
        <f t="shared" si="81"/>
        <v/>
      </c>
      <c r="F118" s="67"/>
      <c r="G118" s="68" t="str">
        <f t="shared" si="82"/>
        <v/>
      </c>
      <c r="H118" s="68" t="str">
        <f t="shared" si="83"/>
        <v/>
      </c>
      <c r="I118" s="68" t="str">
        <f t="shared" si="84"/>
        <v/>
      </c>
      <c r="J118" s="68" t="str">
        <f t="shared" si="85"/>
        <v/>
      </c>
      <c r="K118" s="68" t="str">
        <f t="shared" si="86"/>
        <v/>
      </c>
      <c r="L118" s="69" t="str">
        <f t="shared" si="87"/>
        <v/>
      </c>
      <c r="M118" s="3"/>
      <c r="N118" s="3"/>
    </row>
    <row r="119" ht="15.75" customHeight="1">
      <c r="A119" s="66" t="s">
        <v>665</v>
      </c>
      <c r="B119" s="64"/>
      <c r="C119" s="64"/>
      <c r="D119" s="67"/>
      <c r="E119" s="68" t="str">
        <f t="shared" si="81"/>
        <v/>
      </c>
      <c r="F119" s="67"/>
      <c r="G119" s="68" t="str">
        <f t="shared" si="82"/>
        <v/>
      </c>
      <c r="H119" s="68" t="str">
        <f t="shared" si="83"/>
        <v/>
      </c>
      <c r="I119" s="68" t="str">
        <f t="shared" si="84"/>
        <v/>
      </c>
      <c r="J119" s="68" t="str">
        <f t="shared" si="85"/>
        <v/>
      </c>
      <c r="K119" s="68" t="str">
        <f t="shared" si="86"/>
        <v/>
      </c>
      <c r="L119" s="69" t="str">
        <f t="shared" si="87"/>
        <v/>
      </c>
      <c r="M119" s="3"/>
      <c r="N119" s="3"/>
    </row>
    <row r="120" ht="15.75" customHeight="1">
      <c r="A120" s="70" t="s">
        <v>666</v>
      </c>
      <c r="B120" s="71">
        <f t="shared" ref="B120:C120" si="88">SUM(B113:B119)</f>
        <v>0</v>
      </c>
      <c r="C120" s="71">
        <f t="shared" si="88"/>
        <v>0</v>
      </c>
      <c r="D120" s="72" t="str">
        <f>IF(N(C120)=0,"",E120/C120)</f>
        <v/>
      </c>
      <c r="E120" s="71">
        <f>SUM(E113:E119)</f>
        <v>0</v>
      </c>
      <c r="F120" s="72" t="str">
        <f>IF(N(E120)=0,"",G120/E120)</f>
        <v/>
      </c>
      <c r="G120" s="71">
        <f>SUM(G113:G119)</f>
        <v>0</v>
      </c>
      <c r="H120" s="71" t="str">
        <f t="shared" si="83"/>
        <v/>
      </c>
      <c r="I120" s="71">
        <f>SUM(I113:I119)</f>
        <v>0</v>
      </c>
      <c r="J120" s="71" t="str">
        <f t="shared" si="85"/>
        <v/>
      </c>
      <c r="K120" s="71">
        <f>SUM(K113:K119)</f>
        <v>0</v>
      </c>
      <c r="L120" s="72" t="str">
        <f t="shared" si="87"/>
        <v/>
      </c>
      <c r="M120" s="3"/>
      <c r="N120" s="3"/>
    </row>
    <row r="121" ht="15.75" customHeight="1">
      <c r="A121" s="61" t="s">
        <v>667</v>
      </c>
      <c r="B121" s="73"/>
      <c r="C121" s="73"/>
      <c r="D121" s="74"/>
      <c r="E121" s="73"/>
      <c r="F121" s="75" t="s">
        <v>663</v>
      </c>
      <c r="G121" s="64"/>
      <c r="H121" s="73"/>
      <c r="I121" s="76" t="s">
        <v>664</v>
      </c>
      <c r="J121" s="65"/>
      <c r="K121" s="73"/>
      <c r="L121" s="74"/>
      <c r="M121" s="3"/>
      <c r="N121" s="3"/>
    </row>
    <row r="122" ht="15.75" customHeight="1">
      <c r="A122" s="66" t="s">
        <v>29</v>
      </c>
      <c r="B122" s="64"/>
      <c r="C122" s="64"/>
      <c r="D122" s="67"/>
      <c r="E122" s="68" t="str">
        <f t="shared" ref="E122:E128" si="89">IF(OR(C122="",D122=""),"",ROUND(C122*D122,0))</f>
        <v/>
      </c>
      <c r="F122" s="67"/>
      <c r="G122" s="68" t="str">
        <f t="shared" ref="G122:G128" si="90">IF(OR(E122="",F122=""),"",ROUND(E122*F122,0))</f>
        <v/>
      </c>
      <c r="H122" s="68" t="str">
        <f t="shared" ref="H122:H130" si="91">IF(N(G122)=0,"",ROUND(B122/G122,0))</f>
        <v/>
      </c>
      <c r="I122" s="68" t="str">
        <f t="shared" ref="I122:I128" si="92">IF(OR(N(G122)=0,$J$121=""),"",ROUND(G122*$J$121,0))</f>
        <v/>
      </c>
      <c r="J122" s="68" t="str">
        <f t="shared" ref="J122:J130" si="93">IF(N(I122)=0,"",ROUND(B122/I122,0))</f>
        <v/>
      </c>
      <c r="K122" s="68" t="str">
        <f t="shared" ref="K122:K128" si="94">IF(OR(N(I122)=0,$G$121=""),"",ROUND(I122*$G$121,0))</f>
        <v/>
      </c>
      <c r="L122" s="69" t="str">
        <f t="shared" ref="L122:L130" si="95">IF(N(K122)=0,"",B122/K122)</f>
        <v/>
      </c>
      <c r="M122" s="3"/>
      <c r="N122" s="3"/>
    </row>
    <row r="123" ht="15.75" customHeight="1">
      <c r="A123" s="66" t="s">
        <v>37</v>
      </c>
      <c r="B123" s="64"/>
      <c r="C123" s="64"/>
      <c r="D123" s="67"/>
      <c r="E123" s="68" t="str">
        <f t="shared" si="89"/>
        <v/>
      </c>
      <c r="F123" s="67"/>
      <c r="G123" s="68" t="str">
        <f t="shared" si="90"/>
        <v/>
      </c>
      <c r="H123" s="68" t="str">
        <f t="shared" si="91"/>
        <v/>
      </c>
      <c r="I123" s="68" t="str">
        <f t="shared" si="92"/>
        <v/>
      </c>
      <c r="J123" s="68" t="str">
        <f t="shared" si="93"/>
        <v/>
      </c>
      <c r="K123" s="68" t="str">
        <f t="shared" si="94"/>
        <v/>
      </c>
      <c r="L123" s="69" t="str">
        <f t="shared" si="95"/>
        <v/>
      </c>
      <c r="M123" s="3"/>
      <c r="N123" s="3"/>
    </row>
    <row r="124" ht="15.75" customHeight="1">
      <c r="A124" s="66" t="s">
        <v>244</v>
      </c>
      <c r="B124" s="64"/>
      <c r="C124" s="64"/>
      <c r="D124" s="67"/>
      <c r="E124" s="68" t="str">
        <f t="shared" si="89"/>
        <v/>
      </c>
      <c r="F124" s="67"/>
      <c r="G124" s="68" t="str">
        <f t="shared" si="90"/>
        <v/>
      </c>
      <c r="H124" s="68" t="str">
        <f t="shared" si="91"/>
        <v/>
      </c>
      <c r="I124" s="68" t="str">
        <f t="shared" si="92"/>
        <v/>
      </c>
      <c r="J124" s="68" t="str">
        <f t="shared" si="93"/>
        <v/>
      </c>
      <c r="K124" s="68" t="str">
        <f t="shared" si="94"/>
        <v/>
      </c>
      <c r="L124" s="69" t="str">
        <f t="shared" si="95"/>
        <v/>
      </c>
      <c r="M124" s="3"/>
      <c r="N124" s="3"/>
    </row>
    <row r="125" ht="15.75" customHeight="1">
      <c r="A125" s="66" t="s">
        <v>24</v>
      </c>
      <c r="B125" s="64"/>
      <c r="C125" s="64"/>
      <c r="D125" s="67"/>
      <c r="E125" s="68" t="str">
        <f t="shared" si="89"/>
        <v/>
      </c>
      <c r="F125" s="67"/>
      <c r="G125" s="68" t="str">
        <f t="shared" si="90"/>
        <v/>
      </c>
      <c r="H125" s="68" t="str">
        <f t="shared" si="91"/>
        <v/>
      </c>
      <c r="I125" s="68" t="str">
        <f t="shared" si="92"/>
        <v/>
      </c>
      <c r="J125" s="68" t="str">
        <f t="shared" si="93"/>
        <v/>
      </c>
      <c r="K125" s="68" t="str">
        <f t="shared" si="94"/>
        <v/>
      </c>
      <c r="L125" s="69" t="str">
        <f t="shared" si="95"/>
        <v/>
      </c>
      <c r="M125" s="3"/>
      <c r="N125" s="3"/>
    </row>
    <row r="126" ht="25.5" customHeight="1">
      <c r="A126" s="66" t="s">
        <v>120</v>
      </c>
      <c r="B126" s="64"/>
      <c r="C126" s="64"/>
      <c r="D126" s="67"/>
      <c r="E126" s="68" t="str">
        <f t="shared" si="89"/>
        <v/>
      </c>
      <c r="F126" s="67"/>
      <c r="G126" s="68" t="str">
        <f t="shared" si="90"/>
        <v/>
      </c>
      <c r="H126" s="68" t="str">
        <f t="shared" si="91"/>
        <v/>
      </c>
      <c r="I126" s="68" t="str">
        <f t="shared" si="92"/>
        <v/>
      </c>
      <c r="J126" s="68" t="str">
        <f t="shared" si="93"/>
        <v/>
      </c>
      <c r="K126" s="68" t="str">
        <f t="shared" si="94"/>
        <v/>
      </c>
      <c r="L126" s="69" t="str">
        <f t="shared" si="95"/>
        <v/>
      </c>
      <c r="M126" s="3"/>
      <c r="N126" s="3"/>
    </row>
    <row r="127" ht="15.75" customHeight="1">
      <c r="A127" s="66" t="s">
        <v>297</v>
      </c>
      <c r="B127" s="64"/>
      <c r="C127" s="64"/>
      <c r="D127" s="67"/>
      <c r="E127" s="68" t="str">
        <f t="shared" si="89"/>
        <v/>
      </c>
      <c r="F127" s="67"/>
      <c r="G127" s="68" t="str">
        <f t="shared" si="90"/>
        <v/>
      </c>
      <c r="H127" s="68" t="str">
        <f t="shared" si="91"/>
        <v/>
      </c>
      <c r="I127" s="68" t="str">
        <f t="shared" si="92"/>
        <v/>
      </c>
      <c r="J127" s="68" t="str">
        <f t="shared" si="93"/>
        <v/>
      </c>
      <c r="K127" s="68" t="str">
        <f t="shared" si="94"/>
        <v/>
      </c>
      <c r="L127" s="69" t="str">
        <f t="shared" si="95"/>
        <v/>
      </c>
      <c r="M127" s="3"/>
      <c r="N127" s="3"/>
    </row>
    <row r="128" ht="15.75" customHeight="1">
      <c r="A128" s="66" t="s">
        <v>665</v>
      </c>
      <c r="B128" s="64"/>
      <c r="C128" s="64"/>
      <c r="D128" s="67"/>
      <c r="E128" s="68" t="str">
        <f t="shared" si="89"/>
        <v/>
      </c>
      <c r="F128" s="67"/>
      <c r="G128" s="68" t="str">
        <f t="shared" si="90"/>
        <v/>
      </c>
      <c r="H128" s="68" t="str">
        <f t="shared" si="91"/>
        <v/>
      </c>
      <c r="I128" s="68" t="str">
        <f t="shared" si="92"/>
        <v/>
      </c>
      <c r="J128" s="68" t="str">
        <f t="shared" si="93"/>
        <v/>
      </c>
      <c r="K128" s="68" t="str">
        <f t="shared" si="94"/>
        <v/>
      </c>
      <c r="L128" s="69" t="str">
        <f t="shared" si="95"/>
        <v/>
      </c>
      <c r="M128" s="3"/>
      <c r="N128" s="3"/>
    </row>
    <row r="129" ht="15.75" customHeight="1">
      <c r="A129" s="70" t="s">
        <v>668</v>
      </c>
      <c r="B129" s="71">
        <f t="shared" ref="B129:C129" si="96">SUM(B122:B128)</f>
        <v>0</v>
      </c>
      <c r="C129" s="71">
        <f t="shared" si="96"/>
        <v>0</v>
      </c>
      <c r="D129" s="72" t="str">
        <f t="shared" ref="D129:D130" si="98">IF(N(C129)=0,"",E129/C129)</f>
        <v/>
      </c>
      <c r="E129" s="71">
        <f>SUM(E122:E128)</f>
        <v>0</v>
      </c>
      <c r="F129" s="72" t="str">
        <f t="shared" ref="F129:F130" si="99">IF(N(E129)=0,"",G129/E129)</f>
        <v/>
      </c>
      <c r="G129" s="71">
        <f>SUM(G122:G128)</f>
        <v>0</v>
      </c>
      <c r="H129" s="71" t="str">
        <f t="shared" si="91"/>
        <v/>
      </c>
      <c r="I129" s="71">
        <f>SUM(I122:I128)</f>
        <v>0</v>
      </c>
      <c r="J129" s="71" t="str">
        <f t="shared" si="93"/>
        <v/>
      </c>
      <c r="K129" s="71">
        <f>SUM(K122:K128)</f>
        <v>0</v>
      </c>
      <c r="L129" s="72" t="str">
        <f t="shared" si="95"/>
        <v/>
      </c>
      <c r="M129" s="3"/>
      <c r="N129" s="3"/>
    </row>
    <row r="130" ht="15.75" customHeight="1">
      <c r="A130" s="56" t="s">
        <v>669</v>
      </c>
      <c r="B130" s="77">
        <f t="shared" ref="B130:C130" si="97">B120+B129</f>
        <v>0</v>
      </c>
      <c r="C130" s="77">
        <f t="shared" si="97"/>
        <v>0</v>
      </c>
      <c r="D130" s="78" t="str">
        <f t="shared" si="98"/>
        <v/>
      </c>
      <c r="E130" s="77">
        <f>E120+E129</f>
        <v>0</v>
      </c>
      <c r="F130" s="78" t="str">
        <f t="shared" si="99"/>
        <v/>
      </c>
      <c r="G130" s="77">
        <f>G120+G129</f>
        <v>0</v>
      </c>
      <c r="H130" s="77" t="str">
        <f t="shared" si="91"/>
        <v/>
      </c>
      <c r="I130" s="77">
        <f>I120+I129</f>
        <v>0</v>
      </c>
      <c r="J130" s="77" t="str">
        <f t="shared" si="93"/>
        <v/>
      </c>
      <c r="K130" s="77">
        <f>K120+K129</f>
        <v>0</v>
      </c>
      <c r="L130" s="78" t="str">
        <f t="shared" si="95"/>
        <v/>
      </c>
      <c r="M130" s="3"/>
      <c r="N130" s="3"/>
    </row>
    <row r="131" ht="15.75" customHeight="1">
      <c r="A131" s="79" t="s">
        <v>670</v>
      </c>
      <c r="B131" s="80" t="str">
        <f>IF(OR(N(K130)=0,N($D$110)=0),"— заполни бюджеты и параметры —",IF(L130&lt;=$D$110,"В цель: DRR "&amp;TEXT(L130,"0.0%")&amp;" ≤ "&amp;TEXT($D$110,"0.0%"),"Выше цели: DRR "&amp;TEXT(L130,"0.0%")&amp;" &gt; "&amp;TEXT($D$110,"0.0%")))</f>
        <v>— заполни бюджеты и параметры —</v>
      </c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3"/>
      <c r="N131" s="3"/>
    </row>
    <row r="132" ht="15.75" customHeight="1">
      <c r="A132" s="55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</row>
    <row r="133" ht="15.75" customHeight="1">
      <c r="A133" s="56" t="s">
        <v>702</v>
      </c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3"/>
      <c r="N133" s="3"/>
    </row>
    <row r="134" ht="15.75" customHeight="1">
      <c r="A134" s="55" t="s">
        <v>648</v>
      </c>
      <c r="B134" s="58"/>
      <c r="C134" s="3" t="s">
        <v>649</v>
      </c>
      <c r="D134" s="59"/>
      <c r="E134" s="3"/>
      <c r="F134" s="3"/>
      <c r="G134" s="3"/>
      <c r="H134" s="3"/>
      <c r="I134" s="3"/>
      <c r="J134" s="3"/>
      <c r="K134" s="3"/>
      <c r="L134" s="3"/>
      <c r="M134" s="3"/>
      <c r="N134" s="3"/>
    </row>
    <row r="135" ht="30.0" customHeight="1">
      <c r="A135" s="60" t="s">
        <v>650</v>
      </c>
      <c r="B135" s="60" t="s">
        <v>651</v>
      </c>
      <c r="C135" s="60" t="s">
        <v>652</v>
      </c>
      <c r="D135" s="60" t="s">
        <v>653</v>
      </c>
      <c r="E135" s="60" t="s">
        <v>654</v>
      </c>
      <c r="F135" s="60" t="s">
        <v>655</v>
      </c>
      <c r="G135" s="60" t="s">
        <v>656</v>
      </c>
      <c r="H135" s="60" t="s">
        <v>657</v>
      </c>
      <c r="I135" s="60" t="s">
        <v>658</v>
      </c>
      <c r="J135" s="60" t="s">
        <v>659</v>
      </c>
      <c r="K135" s="60" t="s">
        <v>660</v>
      </c>
      <c r="L135" s="60" t="s">
        <v>661</v>
      </c>
      <c r="M135" s="3"/>
      <c r="N135" s="3"/>
    </row>
    <row r="136" ht="15.75" customHeight="1">
      <c r="A136" s="61" t="s">
        <v>662</v>
      </c>
      <c r="B136" s="113" t="s">
        <v>663</v>
      </c>
      <c r="C136" s="103"/>
      <c r="D136" s="103"/>
      <c r="E136" s="103"/>
      <c r="F136" s="103"/>
      <c r="G136" s="103"/>
      <c r="H136" s="103"/>
      <c r="I136" s="103"/>
      <c r="J136" s="103"/>
      <c r="K136" s="103"/>
      <c r="L136" s="103"/>
      <c r="M136" s="104"/>
      <c r="N136" s="3"/>
    </row>
    <row r="137" ht="15.75" customHeight="1">
      <c r="A137" s="66" t="s">
        <v>29</v>
      </c>
      <c r="B137" s="64"/>
      <c r="C137" s="64"/>
      <c r="D137" s="67"/>
      <c r="E137" s="68" t="str">
        <f t="shared" ref="E137:E143" si="100">IF(OR(C137="",D137=""),"",ROUND(C137*D137,0))</f>
        <v/>
      </c>
      <c r="F137" s="67"/>
      <c r="G137" s="68" t="str">
        <f t="shared" ref="G137:G143" si="101">IF(OR(E137="",F137=""),"",ROUND(E137*F137,0))</f>
        <v/>
      </c>
      <c r="H137" s="68" t="str">
        <f t="shared" ref="H137:H144" si="102">IF(N(G137)=0,"",ROUND(B137/G137,0))</f>
        <v/>
      </c>
      <c r="I137" s="68" t="str">
        <f t="shared" ref="I137:I143" si="103">IF(OR(N(G137)=0,$J$136=""),"",ROUND(G137*$J$136,0))</f>
        <v/>
      </c>
      <c r="J137" s="68" t="str">
        <f t="shared" ref="J137:J144" si="104">IF(N(I137)=0,"",ROUND(B137/I137,0))</f>
        <v/>
      </c>
      <c r="K137" s="68" t="str">
        <f t="shared" ref="K137:K143" si="105">IF(OR(N(I137)=0,$G$136=""),"",ROUND(I137*$G$136,0))</f>
        <v/>
      </c>
      <c r="L137" s="69" t="str">
        <f t="shared" ref="L137:L144" si="106">IF(N(K137)=0,"",B137/K137)</f>
        <v/>
      </c>
      <c r="M137" s="3"/>
      <c r="N137" s="3"/>
    </row>
    <row r="138" ht="15.75" customHeight="1">
      <c r="A138" s="66" t="s">
        <v>37</v>
      </c>
      <c r="B138" s="64"/>
      <c r="C138" s="64"/>
      <c r="D138" s="67"/>
      <c r="E138" s="68" t="str">
        <f t="shared" si="100"/>
        <v/>
      </c>
      <c r="F138" s="67"/>
      <c r="G138" s="68" t="str">
        <f t="shared" si="101"/>
        <v/>
      </c>
      <c r="H138" s="68" t="str">
        <f t="shared" si="102"/>
        <v/>
      </c>
      <c r="I138" s="68" t="str">
        <f t="shared" si="103"/>
        <v/>
      </c>
      <c r="J138" s="68" t="str">
        <f t="shared" si="104"/>
        <v/>
      </c>
      <c r="K138" s="68" t="str">
        <f t="shared" si="105"/>
        <v/>
      </c>
      <c r="L138" s="69" t="str">
        <f t="shared" si="106"/>
        <v/>
      </c>
      <c r="M138" s="3"/>
      <c r="N138" s="3"/>
    </row>
    <row r="139" ht="15.75" customHeight="1">
      <c r="A139" s="66" t="s">
        <v>244</v>
      </c>
      <c r="B139" s="64"/>
      <c r="C139" s="64"/>
      <c r="D139" s="67"/>
      <c r="E139" s="68" t="str">
        <f t="shared" si="100"/>
        <v/>
      </c>
      <c r="F139" s="67"/>
      <c r="G139" s="68" t="str">
        <f t="shared" si="101"/>
        <v/>
      </c>
      <c r="H139" s="68" t="str">
        <f t="shared" si="102"/>
        <v/>
      </c>
      <c r="I139" s="68" t="str">
        <f t="shared" si="103"/>
        <v/>
      </c>
      <c r="J139" s="68" t="str">
        <f t="shared" si="104"/>
        <v/>
      </c>
      <c r="K139" s="68" t="str">
        <f t="shared" si="105"/>
        <v/>
      </c>
      <c r="L139" s="69" t="str">
        <f t="shared" si="106"/>
        <v/>
      </c>
      <c r="M139" s="3"/>
      <c r="N139" s="3"/>
    </row>
    <row r="140" ht="15.75" customHeight="1">
      <c r="A140" s="66" t="s">
        <v>24</v>
      </c>
      <c r="B140" s="64"/>
      <c r="C140" s="64"/>
      <c r="D140" s="67"/>
      <c r="E140" s="68" t="str">
        <f t="shared" si="100"/>
        <v/>
      </c>
      <c r="F140" s="67"/>
      <c r="G140" s="68" t="str">
        <f t="shared" si="101"/>
        <v/>
      </c>
      <c r="H140" s="68" t="str">
        <f t="shared" si="102"/>
        <v/>
      </c>
      <c r="I140" s="68" t="str">
        <f t="shared" si="103"/>
        <v/>
      </c>
      <c r="J140" s="68" t="str">
        <f t="shared" si="104"/>
        <v/>
      </c>
      <c r="K140" s="68" t="str">
        <f t="shared" si="105"/>
        <v/>
      </c>
      <c r="L140" s="69" t="str">
        <f t="shared" si="106"/>
        <v/>
      </c>
      <c r="M140" s="3"/>
      <c r="N140" s="3"/>
    </row>
    <row r="141" ht="25.5" customHeight="1">
      <c r="A141" s="66" t="s">
        <v>120</v>
      </c>
      <c r="B141" s="64"/>
      <c r="C141" s="64"/>
      <c r="D141" s="67"/>
      <c r="E141" s="68" t="str">
        <f t="shared" si="100"/>
        <v/>
      </c>
      <c r="F141" s="67"/>
      <c r="G141" s="68" t="str">
        <f t="shared" si="101"/>
        <v/>
      </c>
      <c r="H141" s="68" t="str">
        <f t="shared" si="102"/>
        <v/>
      </c>
      <c r="I141" s="68" t="str">
        <f t="shared" si="103"/>
        <v/>
      </c>
      <c r="J141" s="68" t="str">
        <f t="shared" si="104"/>
        <v/>
      </c>
      <c r="K141" s="68" t="str">
        <f t="shared" si="105"/>
        <v/>
      </c>
      <c r="L141" s="69" t="str">
        <f t="shared" si="106"/>
        <v/>
      </c>
      <c r="M141" s="3"/>
      <c r="N141" s="3"/>
    </row>
    <row r="142" ht="15.75" customHeight="1">
      <c r="A142" s="66" t="s">
        <v>297</v>
      </c>
      <c r="B142" s="64"/>
      <c r="C142" s="64"/>
      <c r="D142" s="67"/>
      <c r="E142" s="68" t="str">
        <f t="shared" si="100"/>
        <v/>
      </c>
      <c r="F142" s="67"/>
      <c r="G142" s="68" t="str">
        <f t="shared" si="101"/>
        <v/>
      </c>
      <c r="H142" s="68" t="str">
        <f t="shared" si="102"/>
        <v/>
      </c>
      <c r="I142" s="68" t="str">
        <f t="shared" si="103"/>
        <v/>
      </c>
      <c r="J142" s="68" t="str">
        <f t="shared" si="104"/>
        <v/>
      </c>
      <c r="K142" s="68" t="str">
        <f t="shared" si="105"/>
        <v/>
      </c>
      <c r="L142" s="69" t="str">
        <f t="shared" si="106"/>
        <v/>
      </c>
      <c r="M142" s="3"/>
      <c r="N142" s="3"/>
    </row>
    <row r="143" ht="15.75" customHeight="1">
      <c r="A143" s="66" t="s">
        <v>665</v>
      </c>
      <c r="B143" s="64"/>
      <c r="C143" s="64"/>
      <c r="D143" s="67"/>
      <c r="E143" s="68" t="str">
        <f t="shared" si="100"/>
        <v/>
      </c>
      <c r="F143" s="67"/>
      <c r="G143" s="68" t="str">
        <f t="shared" si="101"/>
        <v/>
      </c>
      <c r="H143" s="68" t="str">
        <f t="shared" si="102"/>
        <v/>
      </c>
      <c r="I143" s="68" t="str">
        <f t="shared" si="103"/>
        <v/>
      </c>
      <c r="J143" s="68" t="str">
        <f t="shared" si="104"/>
        <v/>
      </c>
      <c r="K143" s="68" t="str">
        <f t="shared" si="105"/>
        <v/>
      </c>
      <c r="L143" s="69" t="str">
        <f t="shared" si="106"/>
        <v/>
      </c>
      <c r="M143" s="3"/>
      <c r="N143" s="3"/>
    </row>
    <row r="144" ht="15.75" customHeight="1">
      <c r="A144" s="70" t="s">
        <v>666</v>
      </c>
      <c r="B144" s="71">
        <f t="shared" ref="B144:C144" si="107">SUM(B137:B143)</f>
        <v>0</v>
      </c>
      <c r="C144" s="71">
        <f t="shared" si="107"/>
        <v>0</v>
      </c>
      <c r="D144" s="72" t="str">
        <f>IF(N(C144)=0,"",E144/C144)</f>
        <v/>
      </c>
      <c r="E144" s="71">
        <f>SUM(E137:E143)</f>
        <v>0</v>
      </c>
      <c r="F144" s="72" t="str">
        <f>IF(N(E144)=0,"",G144/E144)</f>
        <v/>
      </c>
      <c r="G144" s="71">
        <f>SUM(G137:G143)</f>
        <v>0</v>
      </c>
      <c r="H144" s="71" t="str">
        <f t="shared" si="102"/>
        <v/>
      </c>
      <c r="I144" s="71">
        <f>SUM(I137:I143)</f>
        <v>0</v>
      </c>
      <c r="J144" s="71" t="str">
        <f t="shared" si="104"/>
        <v/>
      </c>
      <c r="K144" s="71">
        <f>SUM(K137:K143)</f>
        <v>0</v>
      </c>
      <c r="L144" s="72" t="str">
        <f t="shared" si="106"/>
        <v/>
      </c>
      <c r="M144" s="3"/>
      <c r="N144" s="3"/>
    </row>
    <row r="145" ht="15.75" customHeight="1">
      <c r="A145" s="61" t="s">
        <v>667</v>
      </c>
      <c r="B145" s="73"/>
      <c r="C145" s="73"/>
      <c r="D145" s="74"/>
      <c r="E145" s="73"/>
      <c r="F145" s="75" t="s">
        <v>663</v>
      </c>
      <c r="G145" s="64"/>
      <c r="H145" s="73"/>
      <c r="I145" s="76" t="s">
        <v>664</v>
      </c>
      <c r="J145" s="65"/>
      <c r="K145" s="73"/>
      <c r="L145" s="74"/>
      <c r="M145" s="3"/>
      <c r="N145" s="3"/>
    </row>
    <row r="146" ht="15.75" customHeight="1">
      <c r="A146" s="66" t="s">
        <v>29</v>
      </c>
      <c r="B146" s="64"/>
      <c r="C146" s="64"/>
      <c r="D146" s="67"/>
      <c r="E146" s="68" t="str">
        <f t="shared" ref="E146:E152" si="108">IF(OR(C146="",D146=""),"",ROUND(C146*D146,0))</f>
        <v/>
      </c>
      <c r="F146" s="67"/>
      <c r="G146" s="68" t="str">
        <f t="shared" ref="G146:G152" si="109">IF(OR(E146="",F146=""),"",ROUND(E146*F146,0))</f>
        <v/>
      </c>
      <c r="H146" s="68" t="str">
        <f t="shared" ref="H146:H154" si="110">IF(N(G146)=0,"",ROUND(B146/G146,0))</f>
        <v/>
      </c>
      <c r="I146" s="68" t="str">
        <f t="shared" ref="I146:I152" si="111">IF(OR(N(G146)=0,$J$145=""),"",ROUND(G146*$J$145,0))</f>
        <v/>
      </c>
      <c r="J146" s="68" t="str">
        <f t="shared" ref="J146:J154" si="112">IF(N(I146)=0,"",ROUND(B146/I146,0))</f>
        <v/>
      </c>
      <c r="K146" s="68" t="str">
        <f t="shared" ref="K146:K152" si="113">IF(OR(N(I146)=0,$G$145=""),"",ROUND(I146*$G$145,0))</f>
        <v/>
      </c>
      <c r="L146" s="69" t="str">
        <f t="shared" ref="L146:L154" si="114">IF(N(K146)=0,"",B146/K146)</f>
        <v/>
      </c>
      <c r="M146" s="3"/>
      <c r="N146" s="3"/>
    </row>
    <row r="147" ht="15.75" customHeight="1">
      <c r="A147" s="66" t="s">
        <v>37</v>
      </c>
      <c r="B147" s="64"/>
      <c r="C147" s="64"/>
      <c r="D147" s="67"/>
      <c r="E147" s="68" t="str">
        <f t="shared" si="108"/>
        <v/>
      </c>
      <c r="F147" s="67"/>
      <c r="G147" s="68" t="str">
        <f t="shared" si="109"/>
        <v/>
      </c>
      <c r="H147" s="68" t="str">
        <f t="shared" si="110"/>
        <v/>
      </c>
      <c r="I147" s="68" t="str">
        <f t="shared" si="111"/>
        <v/>
      </c>
      <c r="J147" s="68" t="str">
        <f t="shared" si="112"/>
        <v/>
      </c>
      <c r="K147" s="68" t="str">
        <f t="shared" si="113"/>
        <v/>
      </c>
      <c r="L147" s="69" t="str">
        <f t="shared" si="114"/>
        <v/>
      </c>
      <c r="M147" s="3"/>
      <c r="N147" s="3"/>
    </row>
    <row r="148" ht="15.75" customHeight="1">
      <c r="A148" s="66" t="s">
        <v>244</v>
      </c>
      <c r="B148" s="64"/>
      <c r="C148" s="64"/>
      <c r="D148" s="67"/>
      <c r="E148" s="68" t="str">
        <f t="shared" si="108"/>
        <v/>
      </c>
      <c r="F148" s="67"/>
      <c r="G148" s="68" t="str">
        <f t="shared" si="109"/>
        <v/>
      </c>
      <c r="H148" s="68" t="str">
        <f t="shared" si="110"/>
        <v/>
      </c>
      <c r="I148" s="68" t="str">
        <f t="shared" si="111"/>
        <v/>
      </c>
      <c r="J148" s="68" t="str">
        <f t="shared" si="112"/>
        <v/>
      </c>
      <c r="K148" s="68" t="str">
        <f t="shared" si="113"/>
        <v/>
      </c>
      <c r="L148" s="69" t="str">
        <f t="shared" si="114"/>
        <v/>
      </c>
      <c r="M148" s="3"/>
      <c r="N148" s="3"/>
    </row>
    <row r="149" ht="15.75" customHeight="1">
      <c r="A149" s="66" t="s">
        <v>24</v>
      </c>
      <c r="B149" s="64"/>
      <c r="C149" s="64"/>
      <c r="D149" s="67"/>
      <c r="E149" s="68" t="str">
        <f t="shared" si="108"/>
        <v/>
      </c>
      <c r="F149" s="67"/>
      <c r="G149" s="68" t="str">
        <f t="shared" si="109"/>
        <v/>
      </c>
      <c r="H149" s="68" t="str">
        <f t="shared" si="110"/>
        <v/>
      </c>
      <c r="I149" s="68" t="str">
        <f t="shared" si="111"/>
        <v/>
      </c>
      <c r="J149" s="68" t="str">
        <f t="shared" si="112"/>
        <v/>
      </c>
      <c r="K149" s="68" t="str">
        <f t="shared" si="113"/>
        <v/>
      </c>
      <c r="L149" s="69" t="str">
        <f t="shared" si="114"/>
        <v/>
      </c>
      <c r="M149" s="3"/>
      <c r="N149" s="3"/>
    </row>
    <row r="150" ht="15.75" customHeight="1">
      <c r="A150" s="66" t="s">
        <v>120</v>
      </c>
      <c r="B150" s="64"/>
      <c r="C150" s="64"/>
      <c r="D150" s="67"/>
      <c r="E150" s="68" t="str">
        <f t="shared" si="108"/>
        <v/>
      </c>
      <c r="F150" s="67"/>
      <c r="G150" s="68" t="str">
        <f t="shared" si="109"/>
        <v/>
      </c>
      <c r="H150" s="68" t="str">
        <f t="shared" si="110"/>
        <v/>
      </c>
      <c r="I150" s="68" t="str">
        <f t="shared" si="111"/>
        <v/>
      </c>
      <c r="J150" s="68" t="str">
        <f t="shared" si="112"/>
        <v/>
      </c>
      <c r="K150" s="68" t="str">
        <f t="shared" si="113"/>
        <v/>
      </c>
      <c r="L150" s="69" t="str">
        <f t="shared" si="114"/>
        <v/>
      </c>
      <c r="M150" s="3"/>
      <c r="N150" s="3"/>
    </row>
    <row r="151" ht="25.5" customHeight="1">
      <c r="A151" s="66" t="s">
        <v>297</v>
      </c>
      <c r="B151" s="64"/>
      <c r="C151" s="64"/>
      <c r="D151" s="67"/>
      <c r="E151" s="68" t="str">
        <f t="shared" si="108"/>
        <v/>
      </c>
      <c r="F151" s="67"/>
      <c r="G151" s="68" t="str">
        <f t="shared" si="109"/>
        <v/>
      </c>
      <c r="H151" s="68" t="str">
        <f t="shared" si="110"/>
        <v/>
      </c>
      <c r="I151" s="68" t="str">
        <f t="shared" si="111"/>
        <v/>
      </c>
      <c r="J151" s="68" t="str">
        <f t="shared" si="112"/>
        <v/>
      </c>
      <c r="K151" s="68" t="str">
        <f t="shared" si="113"/>
        <v/>
      </c>
      <c r="L151" s="69" t="str">
        <f t="shared" si="114"/>
        <v/>
      </c>
      <c r="M151" s="3"/>
      <c r="N151" s="3"/>
    </row>
    <row r="152" ht="15.75" customHeight="1">
      <c r="A152" s="66" t="s">
        <v>665</v>
      </c>
      <c r="B152" s="64"/>
      <c r="C152" s="64"/>
      <c r="D152" s="67"/>
      <c r="E152" s="68" t="str">
        <f t="shared" si="108"/>
        <v/>
      </c>
      <c r="F152" s="67"/>
      <c r="G152" s="68" t="str">
        <f t="shared" si="109"/>
        <v/>
      </c>
      <c r="H152" s="68" t="str">
        <f t="shared" si="110"/>
        <v/>
      </c>
      <c r="I152" s="68" t="str">
        <f t="shared" si="111"/>
        <v/>
      </c>
      <c r="J152" s="68" t="str">
        <f t="shared" si="112"/>
        <v/>
      </c>
      <c r="K152" s="68" t="str">
        <f t="shared" si="113"/>
        <v/>
      </c>
      <c r="L152" s="69" t="str">
        <f t="shared" si="114"/>
        <v/>
      </c>
      <c r="M152" s="3"/>
      <c r="N152" s="3"/>
    </row>
    <row r="153" ht="15.75" customHeight="1">
      <c r="A153" s="70" t="s">
        <v>668</v>
      </c>
      <c r="B153" s="71">
        <f t="shared" ref="B153:C153" si="115">SUM(B146:B152)</f>
        <v>0</v>
      </c>
      <c r="C153" s="71">
        <f t="shared" si="115"/>
        <v>0</v>
      </c>
      <c r="D153" s="72" t="str">
        <f t="shared" ref="D153:D154" si="117">IF(N(C153)=0,"",E153/C153)</f>
        <v/>
      </c>
      <c r="E153" s="71">
        <f>SUM(E146:E152)</f>
        <v>0</v>
      </c>
      <c r="F153" s="72" t="str">
        <f t="shared" ref="F153:F154" si="118">IF(N(E153)=0,"",G153/E153)</f>
        <v/>
      </c>
      <c r="G153" s="71">
        <f>SUM(G146:G152)</f>
        <v>0</v>
      </c>
      <c r="H153" s="71" t="str">
        <f t="shared" si="110"/>
        <v/>
      </c>
      <c r="I153" s="71">
        <f>SUM(I146:I152)</f>
        <v>0</v>
      </c>
      <c r="J153" s="71" t="str">
        <f t="shared" si="112"/>
        <v/>
      </c>
      <c r="K153" s="71">
        <f>SUM(K146:K152)</f>
        <v>0</v>
      </c>
      <c r="L153" s="72" t="str">
        <f t="shared" si="114"/>
        <v/>
      </c>
      <c r="M153" s="3"/>
      <c r="N153" s="3"/>
    </row>
    <row r="154" ht="15.75" customHeight="1">
      <c r="A154" s="56" t="s">
        <v>669</v>
      </c>
      <c r="B154" s="77">
        <f t="shared" ref="B154:C154" si="116">B144+B153</f>
        <v>0</v>
      </c>
      <c r="C154" s="77">
        <f t="shared" si="116"/>
        <v>0</v>
      </c>
      <c r="D154" s="78" t="str">
        <f t="shared" si="117"/>
        <v/>
      </c>
      <c r="E154" s="77">
        <f>E144+E153</f>
        <v>0</v>
      </c>
      <c r="F154" s="78" t="str">
        <f t="shared" si="118"/>
        <v/>
      </c>
      <c r="G154" s="77">
        <f>G144+G153</f>
        <v>0</v>
      </c>
      <c r="H154" s="77" t="str">
        <f t="shared" si="110"/>
        <v/>
      </c>
      <c r="I154" s="77">
        <f>I144+I153</f>
        <v>0</v>
      </c>
      <c r="J154" s="77" t="str">
        <f t="shared" si="112"/>
        <v/>
      </c>
      <c r="K154" s="77">
        <f>K144+K153</f>
        <v>0</v>
      </c>
      <c r="L154" s="78" t="str">
        <f t="shared" si="114"/>
        <v/>
      </c>
      <c r="M154" s="3"/>
      <c r="N154" s="3"/>
    </row>
    <row r="155" ht="15.75" customHeight="1">
      <c r="A155" s="79" t="s">
        <v>670</v>
      </c>
      <c r="B155" s="80" t="str">
        <f>IF(OR(N(K154)=0,N($D$134)=0),"— заполни бюджеты и параметры —",IF(L154&lt;=$D$134,"В цель: DRR "&amp;TEXT(L154,"0.0%")&amp;" ≤ "&amp;TEXT($D$134,"0.0%"),"Выше цели: DRR "&amp;TEXT(L154,"0.0%")&amp;" &gt; "&amp;TEXT($D$134,"0.0%")))</f>
        <v>— заполни бюджеты и параметры —</v>
      </c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3"/>
      <c r="N155" s="3"/>
    </row>
    <row r="156" ht="15.75" customHeight="1">
      <c r="A156" s="55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</row>
    <row r="157" ht="15.75" customHeight="1">
      <c r="A157" s="55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</row>
    <row r="158" ht="15.75" customHeight="1">
      <c r="A158" s="55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</row>
    <row r="159" ht="15.75" customHeight="1">
      <c r="A159" s="55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</row>
    <row r="160" ht="15.75" customHeight="1">
      <c r="A160" s="55" t="s">
        <v>703</v>
      </c>
      <c r="M160" s="3"/>
      <c r="N160" s="3"/>
    </row>
    <row r="161" ht="15.75" customHeight="1">
      <c r="A161" s="55"/>
      <c r="B161" s="3"/>
      <c r="N161" s="3"/>
    </row>
    <row r="162" ht="15.75" customHeight="1">
      <c r="A162" s="55" t="s">
        <v>1</v>
      </c>
      <c r="B162" s="3" t="s">
        <v>651</v>
      </c>
      <c r="C162" s="3" t="s">
        <v>704</v>
      </c>
      <c r="D162" s="3" t="s">
        <v>705</v>
      </c>
      <c r="E162" s="3" t="s">
        <v>706</v>
      </c>
      <c r="F162" s="3" t="s">
        <v>707</v>
      </c>
      <c r="G162" s="3" t="s">
        <v>708</v>
      </c>
      <c r="H162" s="3"/>
      <c r="I162" s="3"/>
      <c r="J162" s="3"/>
      <c r="K162" s="3"/>
      <c r="L162" s="3"/>
      <c r="M162" s="3"/>
      <c r="N162" s="3"/>
    </row>
    <row r="163" ht="15.75" customHeight="1">
      <c r="A163" s="55" t="s">
        <v>29</v>
      </c>
      <c r="B163" s="3">
        <v>270000.0</v>
      </c>
      <c r="C163" s="3">
        <f>H209</f>
        <v>59.72754911</v>
      </c>
      <c r="D163" s="3">
        <f>ROUNDDOWN(B163/C163,0)</f>
        <v>4520</v>
      </c>
      <c r="E163" s="3">
        <v>4500.0</v>
      </c>
      <c r="F163" s="3">
        <f t="shared" ref="F163:F165" si="119">B163/E163</f>
        <v>60</v>
      </c>
      <c r="G163" s="3" t="s">
        <v>709</v>
      </c>
      <c r="H163" s="3"/>
      <c r="I163" s="3"/>
      <c r="J163" s="3"/>
      <c r="K163" s="3"/>
      <c r="L163" s="3"/>
      <c r="M163" s="3"/>
      <c r="N163" s="3"/>
    </row>
    <row r="164" ht="15.75" customHeight="1">
      <c r="A164" s="55" t="s">
        <v>37</v>
      </c>
      <c r="B164" s="3">
        <v>30000.0</v>
      </c>
      <c r="C164" s="3">
        <v>60.0</v>
      </c>
      <c r="D164" s="3"/>
      <c r="E164" s="3">
        <v>500.0</v>
      </c>
      <c r="F164" s="3">
        <f t="shared" si="119"/>
        <v>60</v>
      </c>
      <c r="G164" s="3" t="s">
        <v>710</v>
      </c>
      <c r="H164" s="3"/>
      <c r="I164" s="3"/>
      <c r="J164" s="3"/>
      <c r="K164" s="3"/>
      <c r="L164" s="3"/>
      <c r="M164" s="3"/>
      <c r="N164" s="3"/>
    </row>
    <row r="165" ht="15.75" customHeight="1">
      <c r="A165" s="55" t="s">
        <v>711</v>
      </c>
      <c r="B165" s="3">
        <f>SUM(B163:B164)</f>
        <v>300000</v>
      </c>
      <c r="C165" s="3">
        <f>B165/D165</f>
        <v>66.37168142</v>
      </c>
      <c r="D165" s="3">
        <f t="shared" ref="D165:E165" si="120">SUM(D163:D164)</f>
        <v>4520</v>
      </c>
      <c r="E165" s="3">
        <f t="shared" si="120"/>
        <v>5000</v>
      </c>
      <c r="F165" s="3">
        <f t="shared" si="119"/>
        <v>60</v>
      </c>
      <c r="G165" s="3" t="s">
        <v>712</v>
      </c>
      <c r="H165" s="3"/>
      <c r="I165" s="3"/>
      <c r="J165" s="3"/>
      <c r="K165" s="3"/>
      <c r="L165" s="3"/>
      <c r="M165" s="3"/>
      <c r="N165" s="3"/>
    </row>
    <row r="166" ht="15.75" customHeight="1">
      <c r="A166" s="55" t="s">
        <v>713</v>
      </c>
      <c r="B166" s="3">
        <f>D165-E165</f>
        <v>-480</v>
      </c>
      <c r="C166" s="3" t="s">
        <v>714</v>
      </c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</row>
    <row r="167" ht="15.75" customHeight="1">
      <c r="A167" s="55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</row>
    <row r="168" ht="15.75" customHeight="1">
      <c r="A168" s="55" t="s">
        <v>715</v>
      </c>
      <c r="B168" s="100">
        <f>B106+B165</f>
        <v>630000</v>
      </c>
      <c r="C168" s="100">
        <f>B86-B168</f>
        <v>0</v>
      </c>
      <c r="D168" s="3" t="s">
        <v>716</v>
      </c>
      <c r="E168" s="3"/>
      <c r="F168" s="3"/>
      <c r="G168" s="3"/>
      <c r="H168" s="3"/>
      <c r="I168" s="3"/>
      <c r="J168" s="3"/>
      <c r="K168" s="3"/>
      <c r="L168" s="3"/>
      <c r="M168" s="3"/>
      <c r="N168" s="3"/>
    </row>
    <row r="169" ht="15.75" customHeight="1">
      <c r="A169" s="55" t="s">
        <v>717</v>
      </c>
      <c r="B169" s="3" t="s">
        <v>29</v>
      </c>
      <c r="C169" s="3" t="s">
        <v>37</v>
      </c>
      <c r="D169" s="3" t="s">
        <v>244</v>
      </c>
      <c r="E169" s="3" t="s">
        <v>120</v>
      </c>
      <c r="F169" s="3" t="s">
        <v>297</v>
      </c>
      <c r="G169" s="3" t="s">
        <v>24</v>
      </c>
      <c r="H169" s="3"/>
      <c r="I169" s="3"/>
      <c r="J169" s="3"/>
      <c r="K169" s="3"/>
      <c r="L169" s="3"/>
      <c r="M169" s="3"/>
      <c r="N169" s="3"/>
    </row>
    <row r="170" ht="15.75" customHeight="1">
      <c r="A170" s="55" t="s">
        <v>651</v>
      </c>
      <c r="B170" s="100">
        <f>B89+B98+B163</f>
        <v>308000</v>
      </c>
      <c r="C170" s="100">
        <f>B90+B99+B164</f>
        <v>155000</v>
      </c>
      <c r="D170" s="100">
        <f>B91+B100</f>
        <v>40000</v>
      </c>
      <c r="E170" s="100">
        <f>B93+B102</f>
        <v>60000</v>
      </c>
      <c r="F170" s="100">
        <f>B94+B103</f>
        <v>10000</v>
      </c>
      <c r="G170" s="100">
        <f>B92+B101</f>
        <v>57000</v>
      </c>
      <c r="H170" s="3"/>
      <c r="I170" s="3"/>
      <c r="J170" s="3"/>
      <c r="K170" s="3"/>
      <c r="L170" s="3"/>
      <c r="M170" s="3"/>
      <c r="N170" s="3"/>
    </row>
    <row r="171" ht="15.75" customHeight="1">
      <c r="A171" s="55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</row>
    <row r="172" ht="31.5" customHeight="1">
      <c r="A172" s="55" t="s">
        <v>718</v>
      </c>
      <c r="M172" s="3"/>
      <c r="N172" s="3"/>
    </row>
    <row r="173" ht="31.5" customHeight="1">
      <c r="A173" s="55" t="s">
        <v>719</v>
      </c>
      <c r="M173" s="3"/>
      <c r="N173" s="3"/>
    </row>
    <row r="174" ht="31.5" customHeight="1">
      <c r="A174" s="55" t="s">
        <v>720</v>
      </c>
      <c r="M174" s="3"/>
      <c r="N174" s="3"/>
    </row>
    <row r="175" ht="31.5" customHeight="1">
      <c r="A175" s="55" t="s">
        <v>721</v>
      </c>
      <c r="M175" s="3"/>
      <c r="N175" s="3"/>
    </row>
    <row r="176" ht="31.5" customHeight="1">
      <c r="A176" s="55" t="s">
        <v>722</v>
      </c>
      <c r="M176" s="3"/>
      <c r="N176" s="3"/>
    </row>
    <row r="177" ht="31.5" customHeight="1">
      <c r="A177" s="55" t="s">
        <v>723</v>
      </c>
      <c r="M177" s="3"/>
      <c r="N177" s="3"/>
    </row>
    <row r="178" ht="31.5" customHeight="1">
      <c r="A178" s="55" t="s">
        <v>724</v>
      </c>
      <c r="M178" s="3"/>
      <c r="N178" s="3"/>
    </row>
    <row r="179" ht="15.75" customHeight="1">
      <c r="A179" s="55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</row>
    <row r="180" ht="15.75" customHeight="1">
      <c r="A180" s="55" t="s">
        <v>725</v>
      </c>
      <c r="M180" s="3"/>
      <c r="N180" s="3"/>
    </row>
    <row r="181" ht="15.75" customHeight="1">
      <c r="A181" s="55" t="s">
        <v>726</v>
      </c>
      <c r="B181" s="3" t="s">
        <v>1</v>
      </c>
      <c r="C181" s="3" t="s">
        <v>727</v>
      </c>
      <c r="D181" s="3" t="s">
        <v>728</v>
      </c>
      <c r="E181" s="3" t="s">
        <v>729</v>
      </c>
      <c r="F181" s="3" t="s">
        <v>730</v>
      </c>
      <c r="G181" s="3" t="s">
        <v>731</v>
      </c>
      <c r="H181" s="3" t="s">
        <v>656</v>
      </c>
      <c r="I181" s="3" t="s">
        <v>657</v>
      </c>
      <c r="J181" s="3" t="s">
        <v>732</v>
      </c>
      <c r="K181" s="3" t="s">
        <v>733</v>
      </c>
      <c r="L181" s="3" t="s">
        <v>734</v>
      </c>
      <c r="M181" s="3"/>
      <c r="N181" s="3"/>
    </row>
    <row r="182" ht="15.75" customHeight="1">
      <c r="A182" s="55" t="s">
        <v>735</v>
      </c>
      <c r="B182" s="3" t="s">
        <v>244</v>
      </c>
      <c r="C182" s="3">
        <v>24.0</v>
      </c>
      <c r="D182" s="100">
        <f>'Сентябрь'!L7+'Сентябрь'!L8+'Сентябрь'!L10+'Сентябрь'!L11+'Сентябрь'!L21+'Сентябрь'!L25+'Сентябрь'!L26+'Сентябрь'!L27+'Сентябрь'!L33+'Сентябрь'!L36+'Сентябрь'!L37+'Сентябрь'!L38+'Сентябрь'!L40+'Сентябрь'!L45+'Сентябрь'!L46+'Сентябрь'!L47+'Сентябрь'!L48+'Сентябрь'!L63+'Сентябрь'!L88+'Сентябрь'!L89+'Сентябрь'!L141+'Сентябрь'!L148+'Сентябрь'!L153+'Сентябрь'!L157</f>
        <v>277693</v>
      </c>
      <c r="E182" s="100">
        <f>'Сентябрь'!T7+'Сентябрь'!T8+'Сентябрь'!T10+'Сентябрь'!T11+'Сентябрь'!T21+'Сентябрь'!T25+'Сентябрь'!T26+'Сентябрь'!T27+'Сентябрь'!T33+'Сентябрь'!T36+'Сентябрь'!T37+'Сентябрь'!T38+'Сентябрь'!T40+'Сентябрь'!T45+'Сентябрь'!T46+'Сентябрь'!T47+'Сентябрь'!T48+'Сентябрь'!T63+'Сентябрь'!T88+'Сентябрь'!T89+'Сентябрь'!T141+'Сентябрь'!T148+'Сентябрь'!T153+'Сентябрь'!T157</f>
        <v>484137</v>
      </c>
      <c r="F182" s="100">
        <f>'Сентябрь'!V7+'Сентябрь'!V8+'Сентябрь'!V10+'Сентябрь'!V11+'Сентябрь'!V21+'Сентябрь'!V25+'Сентябрь'!V26+'Сентябрь'!V27+'Сентябрь'!V33+'Сентябрь'!V36+'Сентябрь'!V37+'Сентябрь'!V38+'Сентябрь'!V40+'Сентябрь'!V45+'Сентябрь'!V46+'Сентябрь'!V47+'Сентябрь'!V48+'Сентябрь'!V63+'Сентябрь'!V88+'Сентябрь'!V89+'Сентябрь'!V141+'Сентябрь'!V148+'Сентябрь'!V153+'Сентябрь'!V157</f>
        <v>844</v>
      </c>
      <c r="G182" s="100">
        <f>'Сентябрь'!X7+'Сентябрь'!X8+'Сентябрь'!X10+'Сентябрь'!X11+'Сентябрь'!X21+'Сентябрь'!X25+'Сентябрь'!X26+'Сентябрь'!X27+'Сентябрь'!X33+'Сентябрь'!X36+'Сентябрь'!X37+'Сентябрь'!X38+'Сентябрь'!X40+'Сентябрь'!X45+'Сентябрь'!X46+'Сентябрь'!X47+'Сентябрь'!X48+'Сентябрь'!X63+'Сентябрь'!X88+'Сентябрь'!X89+'Сентябрь'!X141+'Сентябрь'!X148+'Сентябрь'!X153+'Сентябрь'!X157</f>
        <v>0</v>
      </c>
      <c r="H182" s="100">
        <f>'Сентябрь'!AB7+'Сентябрь'!AB8+'Сентябрь'!AB10+'Сентябрь'!AB11+'Сентябрь'!AB21+'Сентябрь'!AB25+'Сентябрь'!AB26+'Сентябрь'!AB27+'Сентябрь'!AB33+'Сентябрь'!AB36+'Сентябрь'!AB37+'Сентябрь'!AB38+'Сентябрь'!AB40+'Сентябрь'!AB45+'Сентябрь'!AB46+'Сентябрь'!AB47+'Сентябрь'!AB48+'Сентябрь'!AB63+'Сентябрь'!AB88+'Сентябрь'!AB89+'Сентябрь'!AB141+'Сентябрь'!AB148+'Сентябрь'!AB153+'Сентябрь'!AB157</f>
        <v>64</v>
      </c>
      <c r="I182" s="3">
        <f t="shared" ref="I182:I190" si="121">IF(H182&gt;0,D182/H182,0)</f>
        <v>4338.953125</v>
      </c>
      <c r="J182" s="3">
        <f t="shared" ref="J182:J190" si="122">IF(G182&gt;0,D182/G182,0)</f>
        <v>0</v>
      </c>
      <c r="K182" s="3">
        <v>1.0</v>
      </c>
      <c r="L182" s="3">
        <v>0.0</v>
      </c>
      <c r="M182" s="3"/>
      <c r="N182" s="3"/>
    </row>
    <row r="183" ht="15.75" customHeight="1">
      <c r="A183" s="55" t="s">
        <v>735</v>
      </c>
      <c r="B183" s="3" t="s">
        <v>37</v>
      </c>
      <c r="C183" s="3">
        <v>59.0</v>
      </c>
      <c r="D183" s="100">
        <f>'Сентябрь'!L9+'Сентябрь'!L12+'Сентябрь'!L13+'Сентябрь'!L14+'Сентябрь'!L16+'Сентябрь'!L17+'Сентябрь'!L18+'Сентябрь'!L19+'Сентябрь'!L20+'Сентябрь'!L22+'Сентябрь'!L23+'Сентябрь'!L24+'Сентябрь'!L34+'Сентябрь'!L35+'Сентябрь'!L39+'Сентябрь'!L92+'Сентябрь'!L93+'Сентябрь'!L94+'Сентябрь'!L95+'Сентябрь'!L96+'Сентябрь'!L97+'Сентябрь'!L98+'Сентябрь'!L99+'Сентябрь'!L100+'Сентябрь'!L101+'Сентябрь'!L102+'Сентябрь'!L103+'Сентябрь'!L104+'Сентябрь'!L108+'Сентябрь'!L109+'Сентябрь'!L110+'Сентябрь'!L111+'Сентябрь'!L112+'Сентябрь'!L113+'Сентябрь'!L114+'Сентябрь'!L115+'Сентябрь'!L116+'Сентябрь'!L117+'Сентябрь'!L118+'Сентябрь'!L119+'Сентябрь'!L120+'Сентябрь'!L121+'Сентябрь'!L122+'Сентябрь'!L123+'Сентябрь'!L144+'Сентябрь'!L145+'Сентябрь'!L146+'Сентябрь'!L147+'Сентябрь'!L149+'Сентябрь'!L150+'Сентябрь'!L186+'Сентябрь'!L187+'Сентябрь'!L188+'Сентябрь'!L189+'Сентябрь'!L190+'Сентябрь'!L191+'Сентябрь'!L192+'Сентябрь'!L193+'Сентябрь'!L194</f>
        <v>218547</v>
      </c>
      <c r="E183" s="100">
        <f>'Сентябрь'!T9+'Сентябрь'!T12+'Сентябрь'!T13+'Сентябрь'!T14+'Сентябрь'!T16+'Сентябрь'!T17+'Сентябрь'!T18+'Сентябрь'!T19+'Сентябрь'!T20+'Сентябрь'!T22+'Сентябрь'!T23+'Сентябрь'!T24+'Сентябрь'!T34+'Сентябрь'!T35+'Сентябрь'!T39+'Сентябрь'!T92+'Сентябрь'!T93+'Сентябрь'!T94+'Сентябрь'!T95+'Сентябрь'!T96+'Сентябрь'!T97+'Сентябрь'!T98+'Сентябрь'!T99+'Сентябрь'!T100+'Сентябрь'!T101+'Сентябрь'!T102+'Сентябрь'!T103+'Сентябрь'!T104+'Сентябрь'!T108+'Сентябрь'!T109+'Сентябрь'!T110+'Сентябрь'!T111+'Сентябрь'!T112+'Сентябрь'!T113+'Сентябрь'!T114+'Сентябрь'!T115+'Сентябрь'!T116+'Сентябрь'!T117+'Сентябрь'!T118+'Сентябрь'!T119+'Сентябрь'!T120+'Сентябрь'!T121+'Сентябрь'!T122+'Сентябрь'!T123+'Сентябрь'!T144+'Сентябрь'!T145+'Сентябрь'!T146+'Сентябрь'!T147+'Сентябрь'!T149+'Сентябрь'!T150+'Сентябрь'!T186+'Сентябрь'!T187+'Сентябрь'!T188+'Сентябрь'!T189+'Сентябрь'!T190+'Сентябрь'!T191+'Сентябрь'!T192+'Сентябрь'!T193+'Сентябрь'!T194</f>
        <v>260674</v>
      </c>
      <c r="F183" s="100">
        <f>'Сентябрь'!V9+'Сентябрь'!V12+'Сентябрь'!V13+'Сентябрь'!V14+'Сентябрь'!V16+'Сентябрь'!V17+'Сентябрь'!V18+'Сентябрь'!V19+'Сентябрь'!V20+'Сентябрь'!V22+'Сентябрь'!V23+'Сентябрь'!V24+'Сентябрь'!V34+'Сентябрь'!V35+'Сентябрь'!V39+'Сентябрь'!V92+'Сентябрь'!V93+'Сентябрь'!V94+'Сентябрь'!V95+'Сентябрь'!V96+'Сентябрь'!V97+'Сентябрь'!V98+'Сентябрь'!V99+'Сентябрь'!V100+'Сентябрь'!V101+'Сентябрь'!V102+'Сентябрь'!V103+'Сентябрь'!V104+'Сентябрь'!V108+'Сентябрь'!V109+'Сентябрь'!V110+'Сентябрь'!V111+'Сентябрь'!V112+'Сентябрь'!V113+'Сентябрь'!V114+'Сентябрь'!V115+'Сентябрь'!V116+'Сентябрь'!V117+'Сентябрь'!V118+'Сентябрь'!V119+'Сентябрь'!V120+'Сентябрь'!V121+'Сентябрь'!V122+'Сентябрь'!V123+'Сентябрь'!V144+'Сентябрь'!V145+'Сентябрь'!V146+'Сентябрь'!V147+'Сентябрь'!V149+'Сентябрь'!V150+'Сентябрь'!V186+'Сентябрь'!V187+'Сентябрь'!V188+'Сентябрь'!V189+'Сентябрь'!V190+'Сентябрь'!V191+'Сентябрь'!V192+'Сентябрь'!V193+'Сентябрь'!V194</f>
        <v>2637</v>
      </c>
      <c r="G183" s="100">
        <f>'Сентябрь'!X9+'Сентябрь'!X12+'Сентябрь'!X13+'Сентябрь'!X14+'Сентябрь'!X16+'Сентябрь'!X17+'Сентябрь'!X18+'Сентябрь'!X19+'Сентябрь'!X20+'Сентябрь'!X22+'Сентябрь'!X23+'Сентябрь'!X24+'Сентябрь'!X34+'Сентябрь'!X35+'Сентябрь'!X39+'Сентябрь'!X92+'Сентябрь'!X93+'Сентябрь'!X94+'Сентябрь'!X95+'Сентябрь'!X96+'Сентябрь'!X97+'Сентябрь'!X98+'Сентябрь'!X99+'Сентябрь'!X100+'Сентябрь'!X101+'Сентябрь'!X102+'Сентябрь'!X103+'Сентябрь'!X104+'Сентябрь'!X108+'Сентябрь'!X109+'Сентябрь'!X110+'Сентябрь'!X111+'Сентябрь'!X112+'Сентябрь'!X113+'Сентябрь'!X114+'Сентябрь'!X115+'Сентябрь'!X116+'Сентябрь'!X117+'Сентябрь'!X118+'Сентябрь'!X119+'Сентябрь'!X120+'Сентябрь'!X121+'Сентябрь'!X122+'Сентябрь'!X123+'Сентябрь'!X144+'Сентябрь'!X145+'Сентябрь'!X146+'Сентябрь'!X147+'Сентябрь'!X149+'Сентябрь'!X150+'Сентябрь'!X186+'Сентябрь'!X187+'Сентябрь'!X188+'Сентябрь'!X189+'Сентябрь'!X190+'Сентябрь'!X191+'Сентябрь'!X192+'Сентябрь'!X193+'Сентябрь'!X194</f>
        <v>0</v>
      </c>
      <c r="H183" s="100">
        <f>'Сентябрь'!AB9+'Сентябрь'!AB12+'Сентябрь'!AB13+'Сентябрь'!AB14+'Сентябрь'!AB16+'Сентябрь'!AB17+'Сентябрь'!AB18+'Сентябрь'!AB19+'Сентябрь'!AB20+'Сентябрь'!AB22+'Сентябрь'!AB23+'Сентябрь'!AB24+'Сентябрь'!AB34+'Сентябрь'!AB35+'Сентябрь'!AB39+'Сентябрь'!AB92+'Сентябрь'!AB93+'Сентябрь'!AB94+'Сентябрь'!AB95+'Сентябрь'!AB96+'Сентябрь'!AB97+'Сентябрь'!AB98+'Сентябрь'!AB99+'Сентябрь'!AB100+'Сентябрь'!AB101+'Сентябрь'!AB102+'Сентябрь'!AB103+'Сентябрь'!AB104+'Сентябрь'!AB108+'Сентябрь'!AB109+'Сентябрь'!AB110+'Сентябрь'!AB111+'Сентябрь'!AB112+'Сентябрь'!AB113+'Сентябрь'!AB114+'Сентябрь'!AB115+'Сентябрь'!AB116+'Сентябрь'!AB117+'Сентябрь'!AB118+'Сентябрь'!AB119+'Сентябрь'!AB120+'Сентябрь'!AB121+'Сентябрь'!AB122+'Сентябрь'!AB123+'Сентябрь'!AB144+'Сентябрь'!AB145+'Сентябрь'!AB146+'Сентябрь'!AB147+'Сентябрь'!AB149+'Сентябрь'!AB150+'Сентябрь'!AB186+'Сентябрь'!AB187+'Сентябрь'!AB188+'Сентябрь'!AB189+'Сентябрь'!AB190+'Сентябрь'!AB191+'Сентябрь'!AB192+'Сентябрь'!AB193+'Сентябрь'!AB194</f>
        <v>96</v>
      </c>
      <c r="I183" s="3">
        <f t="shared" si="121"/>
        <v>2276.53125</v>
      </c>
      <c r="J183" s="3">
        <f t="shared" si="122"/>
        <v>0</v>
      </c>
      <c r="K183" s="3">
        <v>1.0</v>
      </c>
      <c r="L183" s="3">
        <v>0.0</v>
      </c>
      <c r="M183" s="3"/>
      <c r="N183" s="3"/>
    </row>
    <row r="184" ht="15.75" customHeight="1">
      <c r="A184" s="55" t="s">
        <v>735</v>
      </c>
      <c r="B184" s="3" t="s">
        <v>24</v>
      </c>
      <c r="C184" s="3">
        <v>4.0</v>
      </c>
      <c r="D184" s="100">
        <f>'Сентябрь'!L15+'Сентябрь'!L86+'Сентябрь'!L152+'Сентябрь'!L156</f>
        <v>64150</v>
      </c>
      <c r="E184" s="100">
        <f>'Сентябрь'!T15+'Сентябрь'!T86+'Сентябрь'!T152+'Сентябрь'!T156</f>
        <v>48901</v>
      </c>
      <c r="F184" s="100">
        <f>'Сентябрь'!V15+'Сентябрь'!V86+'Сентябрь'!V152+'Сентябрь'!V156</f>
        <v>203</v>
      </c>
      <c r="G184" s="100">
        <f>'Сентябрь'!X15+'Сентябрь'!X86+'Сентябрь'!X152+'Сентябрь'!X156</f>
        <v>0</v>
      </c>
      <c r="H184" s="100">
        <f>'Сентябрь'!AB15+'Сентябрь'!AB86+'Сентябрь'!AB152+'Сентябрь'!AB156</f>
        <v>5</v>
      </c>
      <c r="I184" s="3">
        <f t="shared" si="121"/>
        <v>12830</v>
      </c>
      <c r="J184" s="3">
        <f t="shared" si="122"/>
        <v>0</v>
      </c>
      <c r="K184" s="3">
        <v>0.0</v>
      </c>
      <c r="L184" s="3">
        <v>1.0</v>
      </c>
      <c r="M184" s="3"/>
      <c r="N184" s="3"/>
    </row>
    <row r="185" ht="15.75" customHeight="1">
      <c r="A185" s="55" t="s">
        <v>735</v>
      </c>
      <c r="B185" s="3" t="s">
        <v>29</v>
      </c>
      <c r="C185" s="3">
        <v>9.0</v>
      </c>
      <c r="D185" s="100">
        <f>'Сентябрь'!L30+'Сентябрь'!L31+'Сентябрь'!L32+'Сентябрь'!L105+'Сентябрь'!L106+'Сентябрь'!L107+'Сентябрь'!L183+'Сентябрь'!L184+'Сентябрь'!L185</f>
        <v>52864</v>
      </c>
      <c r="E185" s="100">
        <f>'Сентябрь'!T30+'Сентябрь'!T31+'Сентябрь'!T32+'Сентябрь'!T105+'Сентябрь'!T106+'Сентябрь'!T107+'Сентябрь'!T183+'Сентябрь'!T184+'Сентябрь'!T185</f>
        <v>49309</v>
      </c>
      <c r="F185" s="100">
        <f>'Сентябрь'!V30+'Сентябрь'!V31+'Сентябрь'!V32+'Сентябрь'!V105+'Сентябрь'!V106+'Сентябрь'!V107+'Сентябрь'!V183+'Сентябрь'!V184+'Сентябрь'!V185</f>
        <v>182</v>
      </c>
      <c r="G185" s="100">
        <f>'Сентябрь'!X30+'Сентябрь'!X31+'Сентябрь'!X32+'Сентябрь'!X105+'Сентябрь'!X106+'Сентябрь'!X107+'Сентябрь'!X183+'Сентябрь'!X184+'Сентябрь'!X185</f>
        <v>0</v>
      </c>
      <c r="H185" s="100">
        <f>'Сентябрь'!AB30+'Сентябрь'!AB31+'Сентябрь'!AB32+'Сентябрь'!AB105+'Сентябрь'!AB106+'Сентябрь'!AB107+'Сентябрь'!AB183+'Сентябрь'!AB184+'Сентябрь'!AB185</f>
        <v>9</v>
      </c>
      <c r="I185" s="3">
        <f t="shared" si="121"/>
        <v>5873.777778</v>
      </c>
      <c r="J185" s="3">
        <f t="shared" si="122"/>
        <v>0</v>
      </c>
      <c r="K185" s="3">
        <v>0.0</v>
      </c>
      <c r="L185" s="3">
        <v>0.0</v>
      </c>
      <c r="M185" s="3"/>
      <c r="N185" s="3"/>
    </row>
    <row r="186" ht="15.75" customHeight="1">
      <c r="A186" s="55" t="s">
        <v>736</v>
      </c>
      <c r="B186" s="3" t="s">
        <v>29</v>
      </c>
      <c r="C186" s="3">
        <v>58.0</v>
      </c>
      <c r="D186" s="100">
        <f>'Сентябрь'!L41+'Сентябрь'!L42+'Сентябрь'!L43+'Сентябрь'!L44+'Сентябрь'!L49+'Сентябрь'!L50+'Сентябрь'!L51+'Сентябрь'!L52+'Сентябрь'!L53+'Сентябрь'!L54+'Сентябрь'!L55+'Сентябрь'!L56+'Сентябрь'!L57+'Сентябрь'!L58+'Сентябрь'!L59+'Сентябрь'!L60+'Сентябрь'!L62+'Сентябрь'!L64+'Сентябрь'!L68+'Сентябрь'!L69+'Сентябрь'!L76+'Сентябрь'!L77+'Сентябрь'!L78+'Сентябрь'!L79+'Сентябрь'!L80+'Сентябрь'!L81+'Сентябрь'!L82+'Сентябрь'!L83+'Сентябрь'!L84+'Сентябрь'!L85+'Сентябрь'!L87+'Сентябрь'!L124+'Сентябрь'!L125+'Сентябрь'!L126+'Сентябрь'!L127+'Сентябрь'!L128+'Сентябрь'!L129+'Сентябрь'!L159+'Сентябрь'!L160+'Сентябрь'!L161+'Сентябрь'!L162+'Сентябрь'!L163+'Сентябрь'!L164+'Сентябрь'!L165+'Сентябрь'!L166+'Сентябрь'!L167+'Сентябрь'!L168+'Сентябрь'!L169+'Сентябрь'!L170+'Сентябрь'!L171+'Сентябрь'!L172+'Сентябрь'!L173+'Сентябрь'!L174+'Сентябрь'!L175+'Сентябрь'!L176+'Сентябрь'!L177+'Сентябрь'!L178+'Сентябрь'!L179</f>
        <v>116860</v>
      </c>
      <c r="E186" s="100">
        <f>'Сентябрь'!T41+'Сентябрь'!T42+'Сентябрь'!T43+'Сентябрь'!T44+'Сентябрь'!T49+'Сентябрь'!T50+'Сентябрь'!T51+'Сентябрь'!T52+'Сентябрь'!T53+'Сентябрь'!T54+'Сентябрь'!T55+'Сентябрь'!T56+'Сентябрь'!T57+'Сентябрь'!T58+'Сентябрь'!T59+'Сентябрь'!T60+'Сентябрь'!T62+'Сентябрь'!T64+'Сентябрь'!T68+'Сентябрь'!T69+'Сентябрь'!T76+'Сентябрь'!T77+'Сентябрь'!T78+'Сентябрь'!T79+'Сентябрь'!T80+'Сентябрь'!T81+'Сентябрь'!T82+'Сентябрь'!T83+'Сентябрь'!T84+'Сентябрь'!T85+'Сентябрь'!T87+'Сентябрь'!T124+'Сентябрь'!T125+'Сентябрь'!T126+'Сентябрь'!T127+'Сентябрь'!T128+'Сентябрь'!T129+'Сентябрь'!T159+'Сентябрь'!T160+'Сентябрь'!T161+'Сентябрь'!T162+'Сентябрь'!T163+'Сентябрь'!T164+'Сентябрь'!T165+'Сентябрь'!T166+'Сентябрь'!T167+'Сентябрь'!T168+'Сентябрь'!T169+'Сентябрь'!T170+'Сентябрь'!T171+'Сентябрь'!T172+'Сентябрь'!T173+'Сентябрь'!T174+'Сентябрь'!T175+'Сентябрь'!T176+'Сентябрь'!T177+'Сентябрь'!T178+'Сентябрь'!T179</f>
        <v>123739</v>
      </c>
      <c r="F186" s="100">
        <f>'Сентябрь'!V41+'Сентябрь'!V42+'Сентябрь'!V43+'Сентябрь'!V44+'Сентябрь'!V49+'Сентябрь'!V50+'Сентябрь'!V51+'Сентябрь'!V52+'Сентябрь'!V53+'Сентябрь'!V54+'Сентябрь'!V55+'Сентябрь'!V56+'Сентябрь'!V57+'Сентябрь'!V58+'Сентябрь'!V59+'Сентябрь'!V60+'Сентябрь'!V62+'Сентябрь'!V64+'Сентябрь'!V68+'Сентябрь'!V69+'Сентябрь'!V76+'Сентябрь'!V77+'Сентябрь'!V78+'Сентябрь'!V79+'Сентябрь'!V80+'Сентябрь'!V81+'Сентябрь'!V82+'Сентябрь'!V83+'Сентябрь'!V84+'Сентябрь'!V85+'Сентябрь'!V87+'Сентябрь'!V124+'Сентябрь'!V125+'Сентябрь'!V126+'Сентябрь'!V127+'Сентябрь'!V128+'Сентябрь'!V129+'Сентябрь'!V159+'Сентябрь'!V160+'Сентябрь'!V161+'Сентябрь'!V162+'Сентябрь'!V163+'Сентябрь'!V164+'Сентябрь'!V165+'Сентябрь'!V166+'Сентябрь'!V167+'Сентябрь'!V168+'Сентябрь'!V169+'Сентябрь'!V170+'Сентябрь'!V171+'Сентябрь'!V172+'Сентябрь'!V173+'Сентябрь'!V174+'Сентябрь'!V175+'Сентябрь'!V176+'Сентябрь'!V177+'Сентябрь'!V178+'Сентябрь'!V179</f>
        <v>0</v>
      </c>
      <c r="G186" s="100">
        <f>'Сентябрь'!X41+'Сентябрь'!X42+'Сентябрь'!X43+'Сентябрь'!X44+'Сентябрь'!X49+'Сентябрь'!X50+'Сентябрь'!X51+'Сентябрь'!X52+'Сентябрь'!X53+'Сентябрь'!X54+'Сентябрь'!X55+'Сентябрь'!X56+'Сентябрь'!X57+'Сентябрь'!X58+'Сентябрь'!X59+'Сентябрь'!X60+'Сентябрь'!X62+'Сентябрь'!X64+'Сентябрь'!X68+'Сентябрь'!X69+'Сентябрь'!X76+'Сентябрь'!X77+'Сентябрь'!X78+'Сентябрь'!X79+'Сентябрь'!X80+'Сентябрь'!X81+'Сентябрь'!X82+'Сентябрь'!X83+'Сентябрь'!X84+'Сентябрь'!X85+'Сентябрь'!X87+'Сентябрь'!X124+'Сентябрь'!X125+'Сентябрь'!X126+'Сентябрь'!X127+'Сентябрь'!X128+'Сентябрь'!X129+'Сентябрь'!X159+'Сентябрь'!X160+'Сентябрь'!X161+'Сентябрь'!X162+'Сентябрь'!X163+'Сентябрь'!X164+'Сентябрь'!X165+'Сентябрь'!X166+'Сентябрь'!X167+'Сентябрь'!X168+'Сентябрь'!X169+'Сентябрь'!X170+'Сентябрь'!X171+'Сентябрь'!X172+'Сентябрь'!X173+'Сентябрь'!X174+'Сентябрь'!X175+'Сентябрь'!X176+'Сентябрь'!X177+'Сентябрь'!X178+'Сентябрь'!X179</f>
        <v>1626</v>
      </c>
      <c r="H186" s="100">
        <f>'Сентябрь'!AB41+'Сентябрь'!AB42+'Сентябрь'!AB43+'Сентябрь'!AB44+'Сентябрь'!AB49+'Сентябрь'!AB50+'Сентябрь'!AB51+'Сентябрь'!AB52+'Сентябрь'!AB53+'Сентябрь'!AB54+'Сентябрь'!AB55+'Сентябрь'!AB56+'Сентябрь'!AB57+'Сентябрь'!AB58+'Сентябрь'!AB59+'Сентябрь'!AB60+'Сентябрь'!AB62+'Сентябрь'!AB64+'Сентябрь'!AB68+'Сентябрь'!AB69+'Сентябрь'!AB76+'Сентябрь'!AB77+'Сентябрь'!AB78+'Сентябрь'!AB79+'Сентябрь'!AB80+'Сентябрь'!AB81+'Сентябрь'!AB82+'Сентябрь'!AB83+'Сентябрь'!AB84+'Сентябрь'!AB85+'Сентябрь'!AB87+'Сентябрь'!AB124+'Сентябрь'!AB125+'Сентябрь'!AB126+'Сентябрь'!AB127+'Сентябрь'!AB128+'Сентябрь'!AB129+'Сентябрь'!AB159+'Сентябрь'!AB160+'Сентябрь'!AB161+'Сентябрь'!AB162+'Сентябрь'!AB163+'Сентябрь'!AB164+'Сентябрь'!AB165+'Сентябрь'!AB166+'Сентябрь'!AB167+'Сентябрь'!AB168+'Сентябрь'!AB169+'Сентябрь'!AB170+'Сентябрь'!AB171+'Сентябрь'!AB172+'Сентябрь'!AB173+'Сентябрь'!AB174+'Сентябрь'!AB175+'Сентябрь'!AB176+'Сентябрь'!AB177+'Сентябрь'!AB178+'Сентябрь'!AB179</f>
        <v>0</v>
      </c>
      <c r="I186" s="3">
        <f t="shared" si="121"/>
        <v>0</v>
      </c>
      <c r="J186" s="3">
        <f t="shared" si="122"/>
        <v>71.8696187</v>
      </c>
      <c r="K186" s="3">
        <v>0.0</v>
      </c>
      <c r="L186" s="3">
        <v>0.0</v>
      </c>
      <c r="M186" s="3"/>
      <c r="N186" s="3"/>
    </row>
    <row r="187" ht="15.75" customHeight="1">
      <c r="A187" s="55" t="s">
        <v>737</v>
      </c>
      <c r="B187" s="3" t="s">
        <v>29</v>
      </c>
      <c r="C187" s="3">
        <v>20.0</v>
      </c>
      <c r="D187" s="100">
        <f>'Сентябрь'!L61+'Сентябрь'!L65+'Сентябрь'!L66+'Сентябрь'!L67+'Сентябрь'!L70+'Сентябрь'!L71+'Сентябрь'!L72+'Сентябрь'!L73+'Сентябрь'!L74+'Сентябрь'!L75+'Сентябрь'!L130+'Сентябрь'!L131+'Сентябрь'!L132+'Сентябрь'!L133+'Сентябрь'!L134+'Сентябрь'!L135+'Сентябрь'!L136+'Сентябрь'!L137+'Сентябрь'!L138+'Сентябрь'!L139</f>
        <v>30242</v>
      </c>
      <c r="E187" s="100">
        <f>'Сентябрь'!T61+'Сентябрь'!T65+'Сентябрь'!T66+'Сентябрь'!T67+'Сентябрь'!T70+'Сентябрь'!T71+'Сентябрь'!T72+'Сентябрь'!T73+'Сентябрь'!T74+'Сентябрь'!T75+'Сентябрь'!T130+'Сентябрь'!T131+'Сентябрь'!T132+'Сентябрь'!T133+'Сентябрь'!T134+'Сентябрь'!T135+'Сентябрь'!T136+'Сентябрь'!T137+'Сентябрь'!T138+'Сентябрь'!T139</f>
        <v>31996</v>
      </c>
      <c r="F187" s="100">
        <f>'Сентябрь'!V61+'Сентябрь'!V65+'Сентябрь'!V66+'Сентябрь'!V67+'Сентябрь'!V70+'Сентябрь'!V71+'Сентябрь'!V72+'Сентябрь'!V73+'Сентябрь'!V74+'Сентябрь'!V75+'Сентябрь'!V130+'Сентябрь'!V131+'Сентябрь'!V132+'Сентябрь'!V133+'Сентябрь'!V134+'Сентябрь'!V135+'Сентябрь'!V136+'Сентябрь'!V137+'Сентябрь'!V138+'Сентябрь'!V139</f>
        <v>0</v>
      </c>
      <c r="G187" s="100">
        <f>'Сентябрь'!X61+'Сентябрь'!X65+'Сентябрь'!X66+'Сентябрь'!X67+'Сентябрь'!X70+'Сентябрь'!X71+'Сентябрь'!X72+'Сентябрь'!X73+'Сентябрь'!X74+'Сентябрь'!X75+'Сентябрь'!X130+'Сентябрь'!X131+'Сентябрь'!X132+'Сентябрь'!X133+'Сентябрь'!X134+'Сентябрь'!X135+'Сентябрь'!X136+'Сентябрь'!X137+'Сентябрь'!X138+'Сентябрь'!X139</f>
        <v>268</v>
      </c>
      <c r="H187" s="100">
        <f>'Сентябрь'!AB61+'Сентябрь'!AB65+'Сентябрь'!AB66+'Сентябрь'!AB67+'Сентябрь'!AB70+'Сентябрь'!AB71+'Сентябрь'!AB72+'Сентябрь'!AB73+'Сентябрь'!AB74+'Сентябрь'!AB75+'Сентябрь'!AB130+'Сентябрь'!AB131+'Сентябрь'!AB132+'Сентябрь'!AB133+'Сентябрь'!AB134+'Сентябрь'!AB135+'Сентябрь'!AB136+'Сентябрь'!AB137+'Сентябрь'!AB138+'Сентябрь'!AB139</f>
        <v>0</v>
      </c>
      <c r="I187" s="3">
        <f t="shared" si="121"/>
        <v>0</v>
      </c>
      <c r="J187" s="3">
        <f t="shared" si="122"/>
        <v>112.8432836</v>
      </c>
      <c r="K187" s="3">
        <v>0.0</v>
      </c>
      <c r="L187" s="3">
        <v>0.0</v>
      </c>
      <c r="M187" s="3"/>
      <c r="N187" s="3"/>
    </row>
    <row r="188" ht="15.75" customHeight="1">
      <c r="A188" s="55" t="s">
        <v>735</v>
      </c>
      <c r="B188" s="3" t="s">
        <v>120</v>
      </c>
      <c r="C188" s="3">
        <v>3.0</v>
      </c>
      <c r="D188" s="100">
        <f>'Сентябрь'!L140+'Сентябрь'!L158+'Сентябрь'!L182</f>
        <v>106000</v>
      </c>
      <c r="E188" s="100">
        <f>'Сентябрь'!T140+'Сентябрь'!T158+'Сентябрь'!T182</f>
        <v>1456100</v>
      </c>
      <c r="F188" s="100">
        <f>'Сентябрь'!V140+'Сентябрь'!V158+'Сентябрь'!V182</f>
        <v>1885</v>
      </c>
      <c r="G188" s="100">
        <f>'Сентябрь'!X140+'Сентябрь'!X158+'Сентябрь'!X182</f>
        <v>0</v>
      </c>
      <c r="H188" s="100">
        <f>'Сентябрь'!AB140+'Сентябрь'!AB158+'Сентябрь'!AB182</f>
        <v>42</v>
      </c>
      <c r="I188" s="3">
        <f t="shared" si="121"/>
        <v>2523.809524</v>
      </c>
      <c r="J188" s="3">
        <f t="shared" si="122"/>
        <v>0</v>
      </c>
      <c r="K188" s="3">
        <v>0.0</v>
      </c>
      <c r="L188" s="3">
        <v>0.0</v>
      </c>
      <c r="M188" s="3"/>
      <c r="N188" s="3"/>
    </row>
    <row r="189" ht="15.75" customHeight="1">
      <c r="A189" s="55" t="s">
        <v>735</v>
      </c>
      <c r="B189" s="3" t="s">
        <v>738</v>
      </c>
      <c r="C189" s="3">
        <v>2.0</v>
      </c>
      <c r="D189" s="100">
        <f>'Сентябрь'!L151+'Сентябрь'!L155</f>
        <v>0</v>
      </c>
      <c r="E189" s="100">
        <f>'Сентябрь'!T151+'Сентябрь'!T155</f>
        <v>40</v>
      </c>
      <c r="F189" s="100">
        <f>'Сентябрь'!V151+'Сентябрь'!V155</f>
        <v>0</v>
      </c>
      <c r="G189" s="100">
        <f>'Сентябрь'!X151+'Сентябрь'!X155</f>
        <v>0</v>
      </c>
      <c r="H189" s="100">
        <f>'Сентябрь'!AB151+'Сентябрь'!AB155</f>
        <v>0</v>
      </c>
      <c r="I189" s="3">
        <f t="shared" si="121"/>
        <v>0</v>
      </c>
      <c r="J189" s="3">
        <f t="shared" si="122"/>
        <v>0</v>
      </c>
      <c r="K189" s="3">
        <v>0.0</v>
      </c>
      <c r="L189" s="3">
        <v>0.0</v>
      </c>
      <c r="M189" s="3"/>
      <c r="N189" s="3"/>
    </row>
    <row r="190" ht="15.75" customHeight="1">
      <c r="A190" s="55" t="s">
        <v>735</v>
      </c>
      <c r="B190" s="3" t="s">
        <v>297</v>
      </c>
      <c r="C190" s="3">
        <v>1.0</v>
      </c>
      <c r="D190" s="100">
        <f>'Сентябрь'!L154</f>
        <v>5300</v>
      </c>
      <c r="E190" s="100">
        <f>'Сентябрь'!T154</f>
        <v>765</v>
      </c>
      <c r="F190" s="100">
        <f>'Сентябрь'!V154</f>
        <v>60</v>
      </c>
      <c r="G190" s="100" t="str">
        <f>'Сентябрь'!X154</f>
        <v/>
      </c>
      <c r="H190" s="100">
        <f>'Сентябрь'!AB154</f>
        <v>13</v>
      </c>
      <c r="I190" s="3">
        <f t="shared" si="121"/>
        <v>407.6923077</v>
      </c>
      <c r="J190" s="3">
        <f t="shared" si="122"/>
        <v>0</v>
      </c>
      <c r="K190" s="3">
        <v>0.0</v>
      </c>
      <c r="L190" s="3">
        <v>0.0</v>
      </c>
      <c r="M190" s="3"/>
      <c r="N190" s="3"/>
    </row>
    <row r="191" ht="15.75" customHeight="1">
      <c r="A191" s="55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</row>
    <row r="192" ht="15.75" customHeight="1">
      <c r="A192" s="55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</row>
    <row r="193" ht="31.5" customHeight="1">
      <c r="A193" s="55" t="s">
        <v>739</v>
      </c>
      <c r="M193" s="3"/>
      <c r="N193" s="3"/>
    </row>
    <row r="194" ht="31.5" customHeight="1">
      <c r="A194" s="55" t="s">
        <v>740</v>
      </c>
      <c r="M194" s="3"/>
      <c r="N194" s="3"/>
    </row>
    <row r="195" ht="31.5" customHeight="1">
      <c r="A195" s="55" t="s">
        <v>741</v>
      </c>
      <c r="M195" s="3"/>
      <c r="N195" s="3"/>
    </row>
    <row r="196" ht="15.75" customHeight="1">
      <c r="A196" s="55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</row>
    <row r="197" ht="15.75" customHeight="1">
      <c r="A197" s="55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</row>
    <row r="198" ht="15.75" customHeight="1">
      <c r="A198" s="55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</row>
    <row r="199" ht="15.75" customHeight="1">
      <c r="A199" s="55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ht="36.0" customHeight="1">
      <c r="A200" s="55" t="s">
        <v>742</v>
      </c>
      <c r="J200" s="3"/>
      <c r="K200" s="3"/>
      <c r="L200" s="3"/>
      <c r="M200" s="3"/>
      <c r="N200" s="3"/>
    </row>
    <row r="201" ht="48.0" customHeight="1">
      <c r="A201" s="55" t="s">
        <v>743</v>
      </c>
      <c r="J201" s="3"/>
      <c r="K201" s="3"/>
      <c r="L201" s="3"/>
      <c r="M201" s="3"/>
      <c r="N201" s="3"/>
    </row>
    <row r="202" ht="48.0" customHeight="1">
      <c r="A202" s="55" t="s">
        <v>744</v>
      </c>
      <c r="B202" s="3" t="s">
        <v>745</v>
      </c>
      <c r="C202" s="3" t="s">
        <v>746</v>
      </c>
      <c r="D202" s="3" t="s">
        <v>747</v>
      </c>
      <c r="E202" s="3" t="s">
        <v>748</v>
      </c>
      <c r="F202" s="3" t="s">
        <v>749</v>
      </c>
      <c r="G202" s="3" t="s">
        <v>750</v>
      </c>
      <c r="H202" s="3" t="s">
        <v>751</v>
      </c>
      <c r="I202" s="3" t="s">
        <v>752</v>
      </c>
      <c r="J202" s="3"/>
      <c r="K202" s="3"/>
      <c r="L202" s="3"/>
      <c r="M202" s="3"/>
      <c r="N202" s="3"/>
    </row>
    <row r="203" ht="36.0" customHeight="1">
      <c r="A203" s="55" t="s">
        <v>753</v>
      </c>
      <c r="B203" s="100">
        <f>'Сентябрь'!L107</f>
        <v>13986</v>
      </c>
      <c r="C203" s="100">
        <f>'Сентябрь'!T107</f>
        <v>23500</v>
      </c>
      <c r="D203" s="100">
        <f>'Сентябрь'!V107</f>
        <v>55</v>
      </c>
      <c r="E203" s="100">
        <f>'Сентябрь'!AB107</f>
        <v>6</v>
      </c>
      <c r="F203" s="3">
        <f t="shared" ref="F203:F209" si="123">B203/E203</f>
        <v>2331</v>
      </c>
      <c r="G203" s="3">
        <v>1.5</v>
      </c>
      <c r="H203" s="3">
        <f t="shared" ref="H203:H209" si="124">F203*G203</f>
        <v>3496.5</v>
      </c>
      <c r="I203" s="3" t="s">
        <v>754</v>
      </c>
      <c r="J203" s="3"/>
      <c r="K203" s="3"/>
      <c r="L203" s="3"/>
      <c r="M203" s="3"/>
      <c r="N203" s="3"/>
    </row>
    <row r="204" ht="36.0" customHeight="1">
      <c r="A204" s="55" t="s">
        <v>755</v>
      </c>
      <c r="B204" s="100">
        <f>'Сентябрь'!L34+'Сентябрь'!L39+'Сентябрь'!L95+'Сентябрь'!L113</f>
        <v>29318</v>
      </c>
      <c r="C204" s="100">
        <f>'Сентябрь'!T34+'Сентябрь'!T39+'Сентябрь'!T95+'Сентябрь'!T113</f>
        <v>36166</v>
      </c>
      <c r="D204" s="100">
        <f>'Сентябрь'!V34+'Сентябрь'!V39+'Сентябрь'!V95+'Сентябрь'!V113</f>
        <v>461</v>
      </c>
      <c r="E204" s="100">
        <f>'Сентябрь'!AB34+'Сентябрь'!AB39+'Сентябрь'!AB95+'Сентябрь'!AB113</f>
        <v>41</v>
      </c>
      <c r="F204" s="3">
        <f t="shared" si="123"/>
        <v>715.0731707</v>
      </c>
      <c r="G204" s="3">
        <v>1.5</v>
      </c>
      <c r="H204" s="3">
        <f t="shared" si="124"/>
        <v>1072.609756</v>
      </c>
      <c r="I204" s="3" t="s">
        <v>756</v>
      </c>
      <c r="J204" s="3"/>
      <c r="K204" s="3"/>
      <c r="L204" s="3"/>
      <c r="M204" s="3"/>
      <c r="N204" s="3"/>
    </row>
    <row r="205" ht="36.0" customHeight="1">
      <c r="A205" s="55" t="s">
        <v>757</v>
      </c>
      <c r="B205" s="100">
        <f>'Сентябрь'!L153+'Сентябрь'!L148</f>
        <v>37100</v>
      </c>
      <c r="C205" s="100">
        <f>'Сентябрь'!T153+'Сентябрь'!T148</f>
        <v>100000</v>
      </c>
      <c r="D205" s="100">
        <f>'Сентябрь'!V153+'Сентябрь'!V148</f>
        <v>357</v>
      </c>
      <c r="E205" s="100">
        <f>'Сентябрь'!AB153+'Сентябрь'!AB148</f>
        <v>33</v>
      </c>
      <c r="F205" s="3">
        <f t="shared" si="123"/>
        <v>1124.242424</v>
      </c>
      <c r="G205" s="3">
        <v>1.5</v>
      </c>
      <c r="H205" s="3">
        <f t="shared" si="124"/>
        <v>1686.363636</v>
      </c>
      <c r="I205" s="3" t="s">
        <v>758</v>
      </c>
      <c r="J205" s="3"/>
      <c r="K205" s="3"/>
      <c r="L205" s="3"/>
      <c r="M205" s="3"/>
      <c r="N205" s="3"/>
    </row>
    <row r="206" ht="36.0" customHeight="1">
      <c r="A206" s="55" t="s">
        <v>759</v>
      </c>
      <c r="B206" s="100">
        <f>'Сентябрь'!L86</f>
        <v>28750</v>
      </c>
      <c r="C206" s="100">
        <f>'Сентябрь'!T86</f>
        <v>20000</v>
      </c>
      <c r="D206" s="100">
        <f>'Сентябрь'!V86</f>
        <v>157</v>
      </c>
      <c r="E206" s="100">
        <f>'Сентябрь'!AB86</f>
        <v>5</v>
      </c>
      <c r="F206" s="3">
        <f t="shared" si="123"/>
        <v>5750</v>
      </c>
      <c r="G206" s="3">
        <v>1.5</v>
      </c>
      <c r="H206" s="3">
        <f t="shared" si="124"/>
        <v>8625</v>
      </c>
      <c r="I206" s="3" t="s">
        <v>56</v>
      </c>
      <c r="J206" s="3"/>
      <c r="K206" s="3"/>
      <c r="L206" s="3"/>
      <c r="M206" s="3"/>
      <c r="N206" s="3"/>
    </row>
    <row r="207" ht="36.0" customHeight="1">
      <c r="A207" s="55" t="s">
        <v>760</v>
      </c>
      <c r="B207" s="100">
        <f>'Сентябрь'!L140</f>
        <v>63600</v>
      </c>
      <c r="C207" s="100">
        <f>'Сентябрь'!T140</f>
        <v>1400000</v>
      </c>
      <c r="D207" s="100">
        <f>'Сентябрь'!V140</f>
        <v>1869</v>
      </c>
      <c r="E207" s="100">
        <f>'Сентябрь'!AB140</f>
        <v>41</v>
      </c>
      <c r="F207" s="3">
        <f t="shared" si="123"/>
        <v>1551.219512</v>
      </c>
      <c r="G207" s="3">
        <v>1.5</v>
      </c>
      <c r="H207" s="3">
        <f t="shared" si="124"/>
        <v>2326.829268</v>
      </c>
      <c r="I207" s="3" t="s">
        <v>294</v>
      </c>
      <c r="J207" s="3"/>
      <c r="K207" s="3"/>
      <c r="L207" s="3"/>
      <c r="M207" s="3"/>
      <c r="N207" s="3"/>
    </row>
    <row r="208" ht="36.0" customHeight="1">
      <c r="A208" s="55" t="s">
        <v>761</v>
      </c>
      <c r="B208" s="100">
        <f>'Сентябрь'!L154</f>
        <v>5300</v>
      </c>
      <c r="C208" s="100">
        <f>'Сентябрь'!T154</f>
        <v>765</v>
      </c>
      <c r="D208" s="100">
        <f>'Сентябрь'!V154</f>
        <v>60</v>
      </c>
      <c r="E208" s="100">
        <f>'Сентябрь'!AB154</f>
        <v>13</v>
      </c>
      <c r="F208" s="3">
        <f t="shared" si="123"/>
        <v>407.6923077</v>
      </c>
      <c r="G208" s="3">
        <v>1.5</v>
      </c>
      <c r="H208" s="3">
        <f t="shared" si="124"/>
        <v>611.5384615</v>
      </c>
      <c r="I208" s="3" t="s">
        <v>351</v>
      </c>
      <c r="J208" s="3"/>
      <c r="K208" s="3"/>
      <c r="L208" s="3"/>
      <c r="M208" s="3"/>
      <c r="N208" s="3"/>
    </row>
    <row r="209" ht="48.0" customHeight="1">
      <c r="A209" s="55" t="s">
        <v>762</v>
      </c>
      <c r="B209" s="100">
        <f>'Сентябрь'!L42+'Сентябрь'!L53+'Сентябрь'!L54+'Сентябрь'!L57+'Сентябрь'!L58+'Сентябрь'!L59+'Сентябрь'!L60+'Сентябрь'!L68+'Сентябрь'!L76+'Сентябрь'!L77+'Сентябрь'!L84+'Сентябрь'!L87+'Сентябрь'!L125+'Сентябрь'!L126+'Сентябрь'!L164+'Сентябрь'!L165+'Сентябрь'!L172+'Сентябрь'!L177</f>
        <v>36485</v>
      </c>
      <c r="C209" s="100">
        <f>'Сентябрь'!T42+'Сентябрь'!T53+'Сентябрь'!T54+'Сентябрь'!T57+'Сентябрь'!T58+'Сентябрь'!T59+'Сентябрь'!T60+'Сентябрь'!T68+'Сентябрь'!T76+'Сентябрь'!T77+'Сентябрь'!T84+'Сентябрь'!T87+'Сентябрь'!T125+'Сентябрь'!T126+'Сентябрь'!T164+'Сентябрь'!T165+'Сентябрь'!T172+'Сентябрь'!T177</f>
        <v>40082</v>
      </c>
      <c r="D209" s="100">
        <f>'Сентябрь'!V42+'Сентябрь'!V53+'Сентябрь'!V54+'Сентябрь'!V57+'Сентябрь'!V58+'Сентябрь'!V59+'Сентябрь'!V60+'Сентябрь'!V68+'Сентябрь'!V76+'Сентябрь'!V77+'Сентябрь'!V84+'Сентябрь'!V87+'Сентябрь'!V125+'Сентябрь'!V126+'Сентябрь'!V164+'Сентябрь'!V165+'Сентябрь'!V172+'Сентябрь'!V177</f>
        <v>0</v>
      </c>
      <c r="E209" s="100">
        <f>'Сентябрь'!X42+'Сентябрь'!X53+'Сентябрь'!X54+'Сентябрь'!X57+'Сентябрь'!X58+'Сентябрь'!X59+'Сентябрь'!X60+'Сентябрь'!X68+'Сентябрь'!X76+'Сентябрь'!X77+'Сентябрь'!X84+'Сентябрь'!X87+'Сентябрь'!X125+'Сентябрь'!X126+'Сентябрь'!X164+'Сентябрь'!X165+'Сентябрь'!X172+'Сентябрь'!X177</f>
        <v>1069</v>
      </c>
      <c r="F209" s="3">
        <f t="shared" si="123"/>
        <v>34.13002806</v>
      </c>
      <c r="G209" s="3">
        <v>1.75</v>
      </c>
      <c r="H209" s="3">
        <f t="shared" si="124"/>
        <v>59.72754911</v>
      </c>
      <c r="I209" s="3" t="s">
        <v>763</v>
      </c>
      <c r="J209" s="3"/>
      <c r="K209" s="3"/>
      <c r="L209" s="3"/>
      <c r="M209" s="3"/>
      <c r="N209" s="3"/>
    </row>
    <row r="210" ht="36.0" customHeight="1">
      <c r="A210" s="55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</row>
    <row r="211" ht="36.0" customHeight="1">
      <c r="A211" s="55" t="s">
        <v>764</v>
      </c>
      <c r="J211" s="3"/>
      <c r="K211" s="3"/>
      <c r="L211" s="3"/>
      <c r="M211" s="3"/>
      <c r="N211" s="3"/>
    </row>
    <row r="212" ht="48.0" customHeight="1">
      <c r="A212" s="55" t="s">
        <v>765</v>
      </c>
      <c r="B212" s="3" t="s">
        <v>766</v>
      </c>
      <c r="J212" s="3"/>
      <c r="K212" s="3"/>
      <c r="L212" s="3"/>
      <c r="M212" s="3"/>
      <c r="N212" s="3"/>
    </row>
    <row r="213" ht="48.0" customHeight="1">
      <c r="A213" s="55" t="s">
        <v>755</v>
      </c>
      <c r="B213" s="3" t="s">
        <v>767</v>
      </c>
      <c r="J213" s="3"/>
      <c r="K213" s="3"/>
      <c r="L213" s="3"/>
      <c r="M213" s="3"/>
      <c r="N213" s="3"/>
    </row>
    <row r="214" ht="48.0" customHeight="1">
      <c r="A214" s="55" t="s">
        <v>768</v>
      </c>
      <c r="B214" s="3" t="s">
        <v>769</v>
      </c>
      <c r="J214" s="3"/>
      <c r="K214" s="3"/>
      <c r="L214" s="3"/>
      <c r="M214" s="3"/>
      <c r="N214" s="3"/>
    </row>
    <row r="215" ht="48.0" customHeight="1">
      <c r="A215" s="55" t="s">
        <v>760</v>
      </c>
      <c r="B215" s="3" t="s">
        <v>770</v>
      </c>
      <c r="J215" s="3"/>
      <c r="K215" s="3"/>
      <c r="L215" s="3"/>
      <c r="M215" s="3"/>
      <c r="N215" s="3"/>
    </row>
    <row r="216" ht="48.0" customHeight="1">
      <c r="A216" s="55" t="s">
        <v>771</v>
      </c>
      <c r="B216" s="3" t="s">
        <v>772</v>
      </c>
      <c r="J216" s="3"/>
      <c r="K216" s="3"/>
      <c r="L216" s="3"/>
      <c r="M216" s="3"/>
      <c r="N216" s="3"/>
    </row>
    <row r="217" ht="48.0" customHeight="1">
      <c r="A217" s="55" t="s">
        <v>773</v>
      </c>
      <c r="B217" s="3" t="s">
        <v>774</v>
      </c>
      <c r="J217" s="3"/>
      <c r="K217" s="3"/>
      <c r="L217" s="3"/>
      <c r="M217" s="3"/>
      <c r="N217" s="3"/>
    </row>
    <row r="218" ht="48.0" customHeight="1">
      <c r="A218" s="55" t="s">
        <v>775</v>
      </c>
      <c r="B218" s="3" t="s">
        <v>776</v>
      </c>
      <c r="J218" s="3"/>
      <c r="K218" s="3"/>
      <c r="L218" s="3"/>
      <c r="M218" s="3"/>
      <c r="N218" s="3"/>
    </row>
    <row r="219" ht="36.0" customHeight="1">
      <c r="A219" s="55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</row>
    <row r="220" ht="36.0" customHeight="1">
      <c r="A220" s="55" t="s">
        <v>777</v>
      </c>
      <c r="J220" s="3"/>
      <c r="K220" s="3"/>
      <c r="L220" s="3"/>
      <c r="M220" s="3"/>
      <c r="N220" s="3"/>
    </row>
    <row r="221" ht="48.0" customHeight="1">
      <c r="A221" s="55" t="s">
        <v>726</v>
      </c>
      <c r="B221" s="3" t="s">
        <v>1</v>
      </c>
      <c r="C221" s="3" t="s">
        <v>778</v>
      </c>
      <c r="D221" s="3" t="s">
        <v>779</v>
      </c>
      <c r="E221" s="3" t="s">
        <v>728</v>
      </c>
      <c r="F221" s="3" t="s">
        <v>780</v>
      </c>
      <c r="G221" s="3" t="s">
        <v>676</v>
      </c>
      <c r="H221" s="3" t="s">
        <v>781</v>
      </c>
      <c r="I221" s="3"/>
      <c r="J221" s="3"/>
      <c r="K221" s="3"/>
      <c r="L221" s="3"/>
      <c r="M221" s="3"/>
      <c r="N221" s="3"/>
    </row>
    <row r="222" ht="36.0" customHeight="1">
      <c r="A222" s="55" t="s">
        <v>782</v>
      </c>
      <c r="B222" s="3" t="s">
        <v>783</v>
      </c>
      <c r="C222" s="3" t="s">
        <v>754</v>
      </c>
      <c r="D222" s="3" t="s">
        <v>784</v>
      </c>
      <c r="E222" s="100">
        <f>'Сентябрь'!L107</f>
        <v>13986</v>
      </c>
      <c r="F222" s="100">
        <f>'Сентябрь'!AB107</f>
        <v>6</v>
      </c>
      <c r="G222" s="3">
        <f t="shared" ref="G222:G249" si="125">E222/F222</f>
        <v>2331</v>
      </c>
      <c r="H222" s="3">
        <v>107.0</v>
      </c>
      <c r="I222" s="3"/>
      <c r="J222" s="3"/>
      <c r="K222" s="3"/>
      <c r="L222" s="3"/>
      <c r="M222" s="3"/>
      <c r="N222" s="3"/>
    </row>
    <row r="223" ht="36.0" customHeight="1">
      <c r="A223" s="55" t="s">
        <v>782</v>
      </c>
      <c r="B223" s="3" t="s">
        <v>37</v>
      </c>
      <c r="C223" s="3" t="s">
        <v>151</v>
      </c>
      <c r="D223" s="3" t="s">
        <v>785</v>
      </c>
      <c r="E223" s="100">
        <f>'Сентябрь'!L34</f>
        <v>15000</v>
      </c>
      <c r="F223" s="100">
        <f>'Сентябрь'!AB34</f>
        <v>21</v>
      </c>
      <c r="G223" s="3">
        <f t="shared" si="125"/>
        <v>714.2857143</v>
      </c>
      <c r="H223" s="3">
        <v>34.0</v>
      </c>
      <c r="I223" s="3"/>
      <c r="J223" s="3"/>
      <c r="K223" s="3"/>
      <c r="L223" s="3"/>
      <c r="M223" s="3"/>
      <c r="N223" s="3"/>
    </row>
    <row r="224" ht="36.0" customHeight="1">
      <c r="A224" s="55" t="s">
        <v>782</v>
      </c>
      <c r="B224" s="3" t="s">
        <v>786</v>
      </c>
      <c r="C224" s="3" t="s">
        <v>787</v>
      </c>
      <c r="D224" s="3" t="s">
        <v>788</v>
      </c>
      <c r="E224" s="100">
        <f>'Сентябрь'!L39</f>
        <v>3200</v>
      </c>
      <c r="F224" s="100">
        <f>'Сентябрь'!AB39</f>
        <v>6</v>
      </c>
      <c r="G224" s="3">
        <f t="shared" si="125"/>
        <v>533.3333333</v>
      </c>
      <c r="H224" s="3">
        <v>39.0</v>
      </c>
      <c r="I224" s="3"/>
      <c r="J224" s="3"/>
      <c r="K224" s="3"/>
      <c r="L224" s="3"/>
      <c r="M224" s="3"/>
      <c r="N224" s="3"/>
    </row>
    <row r="225" ht="36.0" customHeight="1">
      <c r="A225" s="55" t="s">
        <v>782</v>
      </c>
      <c r="B225" s="3" t="s">
        <v>786</v>
      </c>
      <c r="C225" s="3" t="s">
        <v>789</v>
      </c>
      <c r="D225" s="3" t="s">
        <v>790</v>
      </c>
      <c r="E225" s="100">
        <f>'Сентябрь'!L95</f>
        <v>629</v>
      </c>
      <c r="F225" s="100">
        <f>'Сентябрь'!AB95</f>
        <v>5</v>
      </c>
      <c r="G225" s="3">
        <f t="shared" si="125"/>
        <v>125.8</v>
      </c>
      <c r="H225" s="3">
        <v>95.0</v>
      </c>
      <c r="I225" s="3"/>
      <c r="J225" s="3"/>
      <c r="K225" s="3"/>
      <c r="L225" s="3"/>
      <c r="M225" s="3"/>
      <c r="N225" s="3"/>
    </row>
    <row r="226" ht="36.0" customHeight="1">
      <c r="A226" s="55" t="s">
        <v>782</v>
      </c>
      <c r="B226" s="3" t="s">
        <v>786</v>
      </c>
      <c r="C226" s="3" t="s">
        <v>791</v>
      </c>
      <c r="D226" s="3" t="s">
        <v>792</v>
      </c>
      <c r="E226" s="100">
        <f>'Сентябрь'!L113</f>
        <v>10489</v>
      </c>
      <c r="F226" s="100">
        <f>'Сентябрь'!AB113</f>
        <v>9</v>
      </c>
      <c r="G226" s="3">
        <f t="shared" si="125"/>
        <v>1165.444444</v>
      </c>
      <c r="H226" s="3">
        <v>113.0</v>
      </c>
      <c r="I226" s="3"/>
      <c r="J226" s="3"/>
      <c r="K226" s="3"/>
      <c r="L226" s="3"/>
      <c r="M226" s="3"/>
      <c r="N226" s="3"/>
    </row>
    <row r="227" ht="36.0" customHeight="1">
      <c r="A227" s="55" t="s">
        <v>782</v>
      </c>
      <c r="B227" s="3" t="s">
        <v>793</v>
      </c>
      <c r="C227" s="3" t="s">
        <v>351</v>
      </c>
      <c r="D227" s="3" t="s">
        <v>794</v>
      </c>
      <c r="E227" s="100">
        <f>'Сентябрь'!L153</f>
        <v>5300</v>
      </c>
      <c r="F227" s="100">
        <f>'Сентябрь'!AB153</f>
        <v>20</v>
      </c>
      <c r="G227" s="3">
        <f t="shared" si="125"/>
        <v>265</v>
      </c>
      <c r="H227" s="3">
        <v>153.0</v>
      </c>
      <c r="I227" s="3"/>
      <c r="J227" s="3"/>
      <c r="K227" s="3"/>
      <c r="L227" s="3"/>
      <c r="M227" s="3"/>
      <c r="N227" s="3"/>
    </row>
    <row r="228" ht="36.0" customHeight="1">
      <c r="A228" s="55" t="s">
        <v>782</v>
      </c>
      <c r="B228" s="3" t="s">
        <v>244</v>
      </c>
      <c r="C228" s="3" t="s">
        <v>472</v>
      </c>
      <c r="D228" s="3" t="s">
        <v>795</v>
      </c>
      <c r="E228" s="100">
        <f>'Сентябрь'!L148</f>
        <v>31800</v>
      </c>
      <c r="F228" s="100">
        <f>'Сентябрь'!AB148</f>
        <v>13</v>
      </c>
      <c r="G228" s="3">
        <f t="shared" si="125"/>
        <v>2446.153846</v>
      </c>
      <c r="H228" s="3">
        <v>148.0</v>
      </c>
      <c r="I228" s="3"/>
      <c r="J228" s="3"/>
      <c r="K228" s="3"/>
      <c r="L228" s="3"/>
      <c r="M228" s="3"/>
      <c r="N228" s="3"/>
    </row>
    <row r="229" ht="36.0" customHeight="1">
      <c r="A229" s="55" t="s">
        <v>782</v>
      </c>
      <c r="B229" s="3" t="s">
        <v>24</v>
      </c>
      <c r="C229" s="3" t="s">
        <v>56</v>
      </c>
      <c r="D229" s="3" t="s">
        <v>796</v>
      </c>
      <c r="E229" s="100">
        <f>'Сентябрь'!L86</f>
        <v>28750</v>
      </c>
      <c r="F229" s="100">
        <f>'Сентябрь'!AB86</f>
        <v>5</v>
      </c>
      <c r="G229" s="3">
        <f t="shared" si="125"/>
        <v>5750</v>
      </c>
      <c r="H229" s="3">
        <v>86.0</v>
      </c>
      <c r="I229" s="3"/>
      <c r="J229" s="3"/>
      <c r="K229" s="3"/>
      <c r="L229" s="3"/>
      <c r="M229" s="3"/>
      <c r="N229" s="3"/>
    </row>
    <row r="230" ht="36.0" customHeight="1">
      <c r="A230" s="55" t="s">
        <v>782</v>
      </c>
      <c r="B230" s="3" t="s">
        <v>292</v>
      </c>
      <c r="C230" s="3" t="s">
        <v>294</v>
      </c>
      <c r="D230" s="3" t="s">
        <v>797</v>
      </c>
      <c r="E230" s="100">
        <f>'Сентябрь'!L140</f>
        <v>63600</v>
      </c>
      <c r="F230" s="100">
        <f>'Сентябрь'!AB140</f>
        <v>41</v>
      </c>
      <c r="G230" s="3">
        <f t="shared" si="125"/>
        <v>1551.219512</v>
      </c>
      <c r="H230" s="3">
        <v>140.0</v>
      </c>
      <c r="I230" s="3"/>
      <c r="J230" s="3"/>
      <c r="K230" s="3"/>
      <c r="L230" s="3"/>
      <c r="M230" s="3"/>
      <c r="N230" s="3"/>
    </row>
    <row r="231" ht="36.0" customHeight="1">
      <c r="A231" s="55" t="s">
        <v>782</v>
      </c>
      <c r="B231" s="3" t="s">
        <v>297</v>
      </c>
      <c r="C231" s="3" t="s">
        <v>351</v>
      </c>
      <c r="D231" s="3" t="s">
        <v>798</v>
      </c>
      <c r="E231" s="100">
        <f>'Сентябрь'!L154</f>
        <v>5300</v>
      </c>
      <c r="F231" s="100">
        <f>'Сентябрь'!AB154</f>
        <v>13</v>
      </c>
      <c r="G231" s="3">
        <f t="shared" si="125"/>
        <v>407.6923077</v>
      </c>
      <c r="H231" s="3">
        <v>154.0</v>
      </c>
      <c r="I231" s="3"/>
      <c r="J231" s="3"/>
      <c r="K231" s="3"/>
      <c r="L231" s="3"/>
      <c r="M231" s="3"/>
      <c r="N231" s="3"/>
    </row>
    <row r="232" ht="36.0" customHeight="1">
      <c r="A232" s="55" t="s">
        <v>736</v>
      </c>
      <c r="B232" s="3" t="s">
        <v>783</v>
      </c>
      <c r="C232" s="3" t="s">
        <v>799</v>
      </c>
      <c r="D232" s="3" t="s">
        <v>800</v>
      </c>
      <c r="E232" s="100">
        <f>'Сентябрь'!L42</f>
        <v>5594</v>
      </c>
      <c r="F232" s="100">
        <f>'Сентябрь'!X42</f>
        <v>168</v>
      </c>
      <c r="G232" s="3">
        <f t="shared" si="125"/>
        <v>33.29761905</v>
      </c>
      <c r="H232" s="3">
        <v>42.0</v>
      </c>
      <c r="I232" s="3"/>
      <c r="J232" s="3"/>
      <c r="K232" s="3"/>
      <c r="L232" s="3"/>
      <c r="M232" s="3"/>
      <c r="N232" s="3"/>
    </row>
    <row r="233" ht="36.0" customHeight="1">
      <c r="A233" s="55" t="s">
        <v>736</v>
      </c>
      <c r="B233" s="3" t="s">
        <v>783</v>
      </c>
      <c r="C233" s="3" t="s">
        <v>801</v>
      </c>
      <c r="D233" s="3" t="s">
        <v>802</v>
      </c>
      <c r="E233" s="100">
        <f>'Сентябрь'!L53</f>
        <v>4895</v>
      </c>
      <c r="F233" s="100">
        <f>'Сентябрь'!X53</f>
        <v>83</v>
      </c>
      <c r="G233" s="3">
        <f t="shared" si="125"/>
        <v>58.97590361</v>
      </c>
      <c r="H233" s="3">
        <v>53.0</v>
      </c>
      <c r="I233" s="3"/>
      <c r="J233" s="3"/>
      <c r="K233" s="3"/>
      <c r="L233" s="3"/>
      <c r="M233" s="3"/>
      <c r="N233" s="3"/>
    </row>
    <row r="234" ht="36.0" customHeight="1">
      <c r="A234" s="55" t="s">
        <v>736</v>
      </c>
      <c r="B234" s="3" t="s">
        <v>783</v>
      </c>
      <c r="C234" s="3" t="s">
        <v>803</v>
      </c>
      <c r="D234" s="3" t="s">
        <v>804</v>
      </c>
      <c r="E234" s="100">
        <f>'Сентябрь'!L54</f>
        <v>1538</v>
      </c>
      <c r="F234" s="100">
        <f>'Сентябрь'!X54</f>
        <v>36</v>
      </c>
      <c r="G234" s="3">
        <f t="shared" si="125"/>
        <v>42.72222222</v>
      </c>
      <c r="H234" s="3">
        <v>54.0</v>
      </c>
      <c r="I234" s="3"/>
      <c r="J234" s="3"/>
      <c r="K234" s="3"/>
      <c r="L234" s="3"/>
      <c r="M234" s="3"/>
      <c r="N234" s="3"/>
    </row>
    <row r="235" ht="36.0" customHeight="1">
      <c r="A235" s="55" t="s">
        <v>736</v>
      </c>
      <c r="B235" s="3" t="s">
        <v>783</v>
      </c>
      <c r="C235" s="3" t="s">
        <v>149</v>
      </c>
      <c r="D235" s="3" t="s">
        <v>805</v>
      </c>
      <c r="E235" s="100">
        <f>'Сентябрь'!L57</f>
        <v>1398</v>
      </c>
      <c r="F235" s="100">
        <f>'Сентябрь'!X57</f>
        <v>36</v>
      </c>
      <c r="G235" s="3">
        <f t="shared" si="125"/>
        <v>38.83333333</v>
      </c>
      <c r="H235" s="3">
        <v>57.0</v>
      </c>
      <c r="I235" s="3"/>
      <c r="J235" s="3"/>
      <c r="K235" s="3"/>
      <c r="L235" s="3"/>
      <c r="M235" s="3"/>
      <c r="N235" s="3"/>
    </row>
    <row r="236" ht="36.0" customHeight="1">
      <c r="A236" s="55" t="s">
        <v>736</v>
      </c>
      <c r="B236" s="3" t="s">
        <v>783</v>
      </c>
      <c r="C236" s="3" t="s">
        <v>127</v>
      </c>
      <c r="D236" s="3" t="s">
        <v>806</v>
      </c>
      <c r="E236" s="100">
        <f>'Сентябрь'!L58</f>
        <v>699</v>
      </c>
      <c r="F236" s="100">
        <f>'Сентябрь'!X58</f>
        <v>19</v>
      </c>
      <c r="G236" s="3">
        <f t="shared" si="125"/>
        <v>36.78947368</v>
      </c>
      <c r="H236" s="3">
        <v>58.0</v>
      </c>
      <c r="I236" s="3"/>
      <c r="J236" s="3"/>
      <c r="K236" s="3"/>
      <c r="L236" s="3"/>
      <c r="M236" s="3"/>
      <c r="N236" s="3"/>
    </row>
    <row r="237" ht="36.0" customHeight="1">
      <c r="A237" s="55" t="s">
        <v>736</v>
      </c>
      <c r="B237" s="3" t="s">
        <v>783</v>
      </c>
      <c r="C237" s="3" t="s">
        <v>161</v>
      </c>
      <c r="D237" s="3" t="s">
        <v>807</v>
      </c>
      <c r="E237" s="100">
        <f>'Сентябрь'!L59</f>
        <v>692</v>
      </c>
      <c r="F237" s="100">
        <f>'Сентябрь'!X59</f>
        <v>85</v>
      </c>
      <c r="G237" s="3">
        <f t="shared" si="125"/>
        <v>8.141176471</v>
      </c>
      <c r="H237" s="3">
        <v>59.0</v>
      </c>
      <c r="I237" s="3"/>
      <c r="J237" s="3"/>
      <c r="K237" s="3"/>
      <c r="L237" s="3"/>
      <c r="M237" s="3"/>
      <c r="N237" s="3"/>
    </row>
    <row r="238" ht="36.0" customHeight="1">
      <c r="A238" s="55" t="s">
        <v>736</v>
      </c>
      <c r="B238" s="3" t="s">
        <v>783</v>
      </c>
      <c r="C238" s="3" t="s">
        <v>808</v>
      </c>
      <c r="D238" s="3" t="s">
        <v>809</v>
      </c>
      <c r="E238" s="100">
        <f>'Сентябрь'!L60</f>
        <v>2265</v>
      </c>
      <c r="F238" s="100">
        <f>'Сентябрь'!X60</f>
        <v>44</v>
      </c>
      <c r="G238" s="3">
        <f t="shared" si="125"/>
        <v>51.47727273</v>
      </c>
      <c r="H238" s="3">
        <v>60.0</v>
      </c>
      <c r="I238" s="3"/>
      <c r="J238" s="3"/>
      <c r="K238" s="3"/>
      <c r="L238" s="3"/>
      <c r="M238" s="3"/>
      <c r="N238" s="3"/>
    </row>
    <row r="239" ht="36.0" customHeight="1">
      <c r="A239" s="55" t="s">
        <v>736</v>
      </c>
      <c r="B239" s="3" t="s">
        <v>783</v>
      </c>
      <c r="C239" s="3" t="s">
        <v>152</v>
      </c>
      <c r="D239" s="3" t="s">
        <v>810</v>
      </c>
      <c r="E239" s="100">
        <f>'Сентябрь'!L68</f>
        <v>990</v>
      </c>
      <c r="F239" s="100">
        <f>'Сентябрь'!X68</f>
        <v>47</v>
      </c>
      <c r="G239" s="3">
        <f t="shared" si="125"/>
        <v>21.06382979</v>
      </c>
      <c r="H239" s="3">
        <v>68.0</v>
      </c>
      <c r="I239" s="3"/>
      <c r="J239" s="3"/>
      <c r="K239" s="3"/>
      <c r="L239" s="3"/>
      <c r="M239" s="3"/>
      <c r="N239" s="3"/>
    </row>
    <row r="240" ht="36.0" customHeight="1">
      <c r="A240" s="55" t="s">
        <v>736</v>
      </c>
      <c r="B240" s="3" t="s">
        <v>783</v>
      </c>
      <c r="C240" s="3" t="s">
        <v>811</v>
      </c>
      <c r="D240" s="3" t="s">
        <v>812</v>
      </c>
      <c r="E240" s="100">
        <f>'Сентябрь'!L76</f>
        <v>1818</v>
      </c>
      <c r="F240" s="100">
        <f>'Сентябрь'!X76</f>
        <v>47</v>
      </c>
      <c r="G240" s="3">
        <f t="shared" si="125"/>
        <v>38.68085106</v>
      </c>
      <c r="H240" s="3">
        <v>76.0</v>
      </c>
      <c r="I240" s="3"/>
      <c r="J240" s="3"/>
      <c r="K240" s="3"/>
      <c r="L240" s="3"/>
      <c r="M240" s="3"/>
      <c r="N240" s="3"/>
    </row>
    <row r="241" ht="36.0" customHeight="1">
      <c r="A241" s="55" t="s">
        <v>736</v>
      </c>
      <c r="B241" s="3" t="s">
        <v>783</v>
      </c>
      <c r="C241" s="3" t="s">
        <v>813</v>
      </c>
      <c r="D241" s="3" t="s">
        <v>814</v>
      </c>
      <c r="E241" s="100">
        <f>'Сентябрь'!L77</f>
        <v>559</v>
      </c>
      <c r="F241" s="100">
        <f>'Сентябрь'!X77</f>
        <v>15</v>
      </c>
      <c r="G241" s="3">
        <f t="shared" si="125"/>
        <v>37.26666667</v>
      </c>
      <c r="H241" s="3">
        <v>77.0</v>
      </c>
      <c r="I241" s="3"/>
      <c r="J241" s="3"/>
      <c r="K241" s="3"/>
      <c r="L241" s="3"/>
      <c r="M241" s="3"/>
      <c r="N241" s="3"/>
    </row>
    <row r="242" ht="36.0" customHeight="1">
      <c r="A242" s="55" t="s">
        <v>736</v>
      </c>
      <c r="B242" s="3" t="s">
        <v>783</v>
      </c>
      <c r="C242" s="3" t="s">
        <v>815</v>
      </c>
      <c r="D242" s="3" t="s">
        <v>816</v>
      </c>
      <c r="E242" s="100">
        <f>'Сентябрь'!L84</f>
        <v>377</v>
      </c>
      <c r="F242" s="100">
        <f>'Сентябрь'!X84</f>
        <v>24</v>
      </c>
      <c r="G242" s="3">
        <f t="shared" si="125"/>
        <v>15.70833333</v>
      </c>
      <c r="H242" s="3">
        <v>84.0</v>
      </c>
      <c r="I242" s="3"/>
      <c r="J242" s="3"/>
      <c r="K242" s="3"/>
      <c r="L242" s="3"/>
      <c r="M242" s="3"/>
      <c r="N242" s="3"/>
    </row>
    <row r="243" ht="36.0" customHeight="1">
      <c r="A243" s="55" t="s">
        <v>736</v>
      </c>
      <c r="B243" s="3" t="s">
        <v>783</v>
      </c>
      <c r="C243" s="3" t="s">
        <v>817</v>
      </c>
      <c r="D243" s="3" t="s">
        <v>818</v>
      </c>
      <c r="E243" s="100">
        <f>'Сентябрь'!L87</f>
        <v>2097</v>
      </c>
      <c r="F243" s="100">
        <f>'Сентябрь'!X87</f>
        <v>122</v>
      </c>
      <c r="G243" s="3">
        <f t="shared" si="125"/>
        <v>17.18852459</v>
      </c>
      <c r="H243" s="3">
        <v>87.0</v>
      </c>
      <c r="I243" s="3"/>
      <c r="J243" s="3"/>
      <c r="K243" s="3"/>
      <c r="L243" s="3"/>
      <c r="M243" s="3"/>
      <c r="N243" s="3"/>
    </row>
    <row r="244" ht="36.0" customHeight="1">
      <c r="A244" s="55" t="s">
        <v>736</v>
      </c>
      <c r="B244" s="3" t="s">
        <v>783</v>
      </c>
      <c r="C244" s="3" t="s">
        <v>819</v>
      </c>
      <c r="D244" s="3" t="s">
        <v>820</v>
      </c>
      <c r="E244" s="100">
        <f>'Сентябрь'!L125</f>
        <v>839</v>
      </c>
      <c r="F244" s="100">
        <f>'Сентябрь'!X125</f>
        <v>21</v>
      </c>
      <c r="G244" s="3">
        <f t="shared" si="125"/>
        <v>39.95238095</v>
      </c>
      <c r="H244" s="3">
        <v>125.0</v>
      </c>
      <c r="I244" s="3"/>
      <c r="J244" s="3"/>
      <c r="K244" s="3"/>
      <c r="L244" s="3"/>
      <c r="M244" s="3"/>
      <c r="N244" s="3"/>
    </row>
    <row r="245" ht="36.0" customHeight="1">
      <c r="A245" s="55" t="s">
        <v>736</v>
      </c>
      <c r="B245" s="3" t="s">
        <v>783</v>
      </c>
      <c r="C245" s="3" t="s">
        <v>821</v>
      </c>
      <c r="D245" s="3" t="s">
        <v>822</v>
      </c>
      <c r="E245" s="100">
        <f>'Сентябрь'!L126</f>
        <v>3356</v>
      </c>
      <c r="F245" s="100">
        <f>'Сентябрь'!X126</f>
        <v>91</v>
      </c>
      <c r="G245" s="3">
        <f t="shared" si="125"/>
        <v>36.87912088</v>
      </c>
      <c r="H245" s="3">
        <v>126.0</v>
      </c>
      <c r="I245" s="3"/>
      <c r="J245" s="3"/>
      <c r="K245" s="3"/>
      <c r="L245" s="3"/>
      <c r="M245" s="3"/>
      <c r="N245" s="3"/>
    </row>
    <row r="246" ht="36.0" customHeight="1">
      <c r="A246" s="55" t="s">
        <v>736</v>
      </c>
      <c r="B246" s="3" t="s">
        <v>783</v>
      </c>
      <c r="C246" s="3" t="s">
        <v>823</v>
      </c>
      <c r="D246" s="3" t="s">
        <v>824</v>
      </c>
      <c r="E246" s="100">
        <f>'Сентябрь'!L164</f>
        <v>6153</v>
      </c>
      <c r="F246" s="100">
        <f>'Сентябрь'!X164</f>
        <v>122</v>
      </c>
      <c r="G246" s="3">
        <f t="shared" si="125"/>
        <v>50.43442623</v>
      </c>
      <c r="H246" s="3">
        <v>164.0</v>
      </c>
      <c r="I246" s="3"/>
      <c r="J246" s="3"/>
      <c r="K246" s="3"/>
      <c r="L246" s="3"/>
      <c r="M246" s="3"/>
      <c r="N246" s="3"/>
    </row>
    <row r="247" ht="36.0" customHeight="1">
      <c r="A247" s="55" t="s">
        <v>736</v>
      </c>
      <c r="B247" s="3" t="s">
        <v>783</v>
      </c>
      <c r="C247" s="3" t="s">
        <v>825</v>
      </c>
      <c r="D247" s="3" t="s">
        <v>826</v>
      </c>
      <c r="E247" s="100">
        <f>'Сентябрь'!L165</f>
        <v>839</v>
      </c>
      <c r="F247" s="100">
        <f>'Сентябрь'!X165</f>
        <v>19</v>
      </c>
      <c r="G247" s="3">
        <f t="shared" si="125"/>
        <v>44.15789474</v>
      </c>
      <c r="H247" s="3">
        <v>165.0</v>
      </c>
      <c r="I247" s="3"/>
      <c r="J247" s="3"/>
      <c r="K247" s="3"/>
      <c r="L247" s="3"/>
      <c r="M247" s="3"/>
      <c r="N247" s="3"/>
    </row>
    <row r="248" ht="36.0" customHeight="1">
      <c r="A248" s="55" t="s">
        <v>736</v>
      </c>
      <c r="B248" s="3" t="s">
        <v>783</v>
      </c>
      <c r="C248" s="3" t="s">
        <v>827</v>
      </c>
      <c r="D248" s="3" t="s">
        <v>828</v>
      </c>
      <c r="E248" s="100">
        <f>'Сентябрь'!L172</f>
        <v>1258</v>
      </c>
      <c r="F248" s="100">
        <f>'Сентябрь'!X172</f>
        <v>36</v>
      </c>
      <c r="G248" s="3">
        <f t="shared" si="125"/>
        <v>34.94444444</v>
      </c>
      <c r="H248" s="3">
        <v>172.0</v>
      </c>
      <c r="I248" s="3"/>
      <c r="J248" s="3"/>
      <c r="K248" s="3"/>
      <c r="L248" s="3"/>
      <c r="M248" s="3"/>
      <c r="N248" s="3"/>
    </row>
    <row r="249" ht="36.0" customHeight="1">
      <c r="A249" s="55" t="s">
        <v>736</v>
      </c>
      <c r="B249" s="3" t="s">
        <v>783</v>
      </c>
      <c r="C249" s="3" t="s">
        <v>829</v>
      </c>
      <c r="D249" s="3" t="s">
        <v>830</v>
      </c>
      <c r="E249" s="100">
        <f>'Сентябрь'!L177</f>
        <v>1118</v>
      </c>
      <c r="F249" s="100">
        <f>'Сентябрь'!X177</f>
        <v>54</v>
      </c>
      <c r="G249" s="3">
        <f t="shared" si="125"/>
        <v>20.7037037</v>
      </c>
      <c r="H249" s="3">
        <v>177.0</v>
      </c>
      <c r="I249" s="3"/>
      <c r="J249" s="3"/>
      <c r="K249" s="3"/>
      <c r="L249" s="3"/>
      <c r="M249" s="3"/>
      <c r="N249" s="3"/>
    </row>
    <row r="250" ht="15.75" customHeight="1">
      <c r="A250" s="55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</row>
    <row r="251" ht="15.75" customHeight="1">
      <c r="A251" s="55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</row>
    <row r="252" ht="15.75" customHeight="1">
      <c r="A252" s="55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</row>
    <row r="253" ht="15.75" customHeight="1">
      <c r="A253" s="55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ht="15.75" customHeight="1">
      <c r="A254" s="55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</row>
    <row r="255" ht="15.75" customHeight="1">
      <c r="A255" s="55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</row>
    <row r="256" ht="15.75" customHeight="1">
      <c r="A256" s="55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</row>
    <row r="257" ht="15.75" customHeight="1">
      <c r="A257" s="55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</row>
    <row r="258" ht="15.75" customHeight="1">
      <c r="A258" s="55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</row>
    <row r="259" ht="15.75" customHeight="1">
      <c r="A259" s="55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</row>
    <row r="260" ht="15.75" customHeight="1">
      <c r="A260" s="55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</row>
    <row r="261" ht="15.75" customHeight="1">
      <c r="A261" s="55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</row>
    <row r="262" ht="15.75" customHeight="1">
      <c r="A262" s="55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ht="15.75" customHeight="1">
      <c r="A263" s="55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</row>
    <row r="264" ht="15.75" customHeight="1">
      <c r="A264" s="55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</row>
    <row r="265" ht="15.75" customHeight="1">
      <c r="A265" s="55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</row>
    <row r="266" ht="15.75" customHeight="1">
      <c r="A266" s="55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</row>
    <row r="267" ht="15.75" customHeight="1">
      <c r="A267" s="55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</row>
    <row r="268" ht="15.75" customHeight="1">
      <c r="A268" s="55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</row>
    <row r="269" ht="15.75" customHeight="1">
      <c r="A269" s="55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</row>
    <row r="270" ht="15.75" customHeight="1">
      <c r="A270" s="55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</row>
    <row r="271" ht="15.75" customHeight="1">
      <c r="A271" s="55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ht="15.75" customHeight="1">
      <c r="A272" s="55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</row>
    <row r="273" ht="15.75" customHeight="1">
      <c r="A273" s="55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</row>
    <row r="274" ht="15.75" customHeight="1">
      <c r="A274" s="55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</row>
    <row r="275" ht="15.75" customHeight="1">
      <c r="A275" s="55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</row>
    <row r="276" ht="15.75" customHeight="1">
      <c r="A276" s="55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</row>
    <row r="277" ht="15.75" customHeight="1">
      <c r="A277" s="55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</row>
    <row r="278" ht="15.75" customHeight="1">
      <c r="A278" s="55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</row>
    <row r="279" ht="15.75" customHeight="1">
      <c r="A279" s="55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</row>
    <row r="280" ht="15.75" customHeight="1">
      <c r="A280" s="55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ht="15.75" customHeight="1">
      <c r="A281" s="55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</row>
    <row r="282" ht="15.75" customHeight="1">
      <c r="A282" s="55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</row>
    <row r="283" ht="15.75" customHeight="1">
      <c r="A283" s="55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</row>
    <row r="284" ht="15.75" customHeight="1">
      <c r="A284" s="55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</row>
    <row r="285" ht="15.75" customHeight="1">
      <c r="A285" s="55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</row>
    <row r="286" ht="15.75" customHeight="1">
      <c r="A286" s="55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</row>
    <row r="287" ht="15.75" customHeight="1">
      <c r="A287" s="55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</row>
    <row r="288" ht="15.75" customHeight="1">
      <c r="A288" s="55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</row>
    <row r="289" ht="15.75" customHeight="1">
      <c r="A289" s="55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ht="15.75" customHeight="1">
      <c r="A290" s="55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</row>
    <row r="291" ht="15.75" customHeight="1">
      <c r="A291" s="55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ht="15.75" customHeight="1">
      <c r="A292" s="55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</row>
    <row r="293" ht="15.75" customHeight="1">
      <c r="A293" s="55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</row>
    <row r="294" ht="15.75" customHeight="1">
      <c r="A294" s="55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</row>
    <row r="295" ht="15.75" customHeight="1">
      <c r="A295" s="55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</row>
    <row r="296" ht="15.75" customHeight="1">
      <c r="A296" s="55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</row>
    <row r="297" ht="15.75" customHeight="1">
      <c r="A297" s="55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</row>
    <row r="298" ht="15.75" customHeight="1">
      <c r="A298" s="55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ht="15.75" customHeight="1">
      <c r="A299" s="55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</row>
    <row r="300" ht="15.75" customHeight="1">
      <c r="A300" s="55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</row>
    <row r="301" ht="15.75" customHeight="1">
      <c r="A301" s="55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</row>
    <row r="302" ht="15.75" customHeight="1">
      <c r="A302" s="55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</row>
    <row r="303" ht="15.75" customHeight="1">
      <c r="A303" s="55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</row>
    <row r="304" ht="15.75" customHeight="1">
      <c r="A304" s="55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</row>
    <row r="305" ht="15.75" customHeight="1">
      <c r="A305" s="55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</row>
    <row r="306" ht="15.75" customHeight="1">
      <c r="A306" s="55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</row>
    <row r="307" ht="15.75" customHeight="1">
      <c r="A307" s="55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ht="15.75" customHeight="1">
      <c r="A308" s="55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</row>
    <row r="309" ht="15.75" customHeight="1">
      <c r="A309" s="55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</row>
    <row r="310" ht="15.75" customHeight="1">
      <c r="A310" s="55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</row>
    <row r="311" ht="15.75" customHeight="1">
      <c r="A311" s="55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</row>
    <row r="312" ht="15.75" customHeight="1">
      <c r="A312" s="55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</row>
    <row r="313" ht="15.75" customHeight="1">
      <c r="A313" s="55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</row>
    <row r="314" ht="15.75" customHeight="1">
      <c r="A314" s="55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</row>
    <row r="315" ht="15.75" customHeight="1">
      <c r="A315" s="55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</row>
    <row r="316" ht="15.75" customHeight="1">
      <c r="A316" s="55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ht="15.75" customHeight="1">
      <c r="A317" s="55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</row>
    <row r="318" ht="15.75" customHeight="1">
      <c r="A318" s="55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</row>
    <row r="319" ht="15.75" customHeight="1">
      <c r="A319" s="55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</row>
    <row r="320" ht="15.75" customHeight="1">
      <c r="A320" s="55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ht="15.75" customHeight="1">
      <c r="A321" s="55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</row>
    <row r="322" ht="15.75" customHeight="1">
      <c r="A322" s="55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</row>
    <row r="323" ht="15.75" customHeight="1">
      <c r="A323" s="55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</row>
    <row r="324" ht="15.75" customHeight="1">
      <c r="A324" s="55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</row>
    <row r="325" ht="15.75" customHeight="1">
      <c r="A325" s="55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ht="15.75" customHeight="1">
      <c r="A326" s="55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</row>
    <row r="327" ht="15.75" customHeight="1">
      <c r="A327" s="55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</row>
    <row r="328" ht="15.75" customHeight="1">
      <c r="A328" s="55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</row>
    <row r="329" ht="15.75" customHeight="1">
      <c r="A329" s="55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</row>
    <row r="330" ht="15.75" customHeight="1">
      <c r="A330" s="55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</row>
    <row r="331" ht="15.75" customHeight="1">
      <c r="A331" s="55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</row>
    <row r="332" ht="15.75" customHeight="1">
      <c r="A332" s="55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</row>
    <row r="333" ht="15.75" customHeight="1">
      <c r="A333" s="55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</row>
    <row r="334" ht="15.75" customHeight="1">
      <c r="A334" s="55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ht="15.75" customHeight="1">
      <c r="A335" s="55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</row>
    <row r="336" ht="15.75" customHeight="1">
      <c r="A336" s="55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</row>
    <row r="337" ht="15.75" customHeight="1">
      <c r="A337" s="55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</row>
    <row r="338" ht="15.75" customHeight="1">
      <c r="A338" s="55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</row>
    <row r="339" ht="15.75" customHeight="1">
      <c r="A339" s="55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</row>
    <row r="340" ht="15.75" customHeight="1">
      <c r="A340" s="55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</row>
    <row r="341" ht="15.75" customHeight="1">
      <c r="A341" s="55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</row>
    <row r="342" ht="15.75" customHeight="1">
      <c r="A342" s="55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</row>
    <row r="343" ht="15.75" customHeight="1">
      <c r="A343" s="55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ht="15.75" customHeight="1">
      <c r="A344" s="55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</row>
    <row r="345" ht="15.75" customHeight="1">
      <c r="A345" s="55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</row>
    <row r="346" ht="15.75" customHeight="1">
      <c r="A346" s="55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</row>
    <row r="347" ht="15.75" customHeight="1">
      <c r="A347" s="55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</row>
    <row r="348" ht="15.75" customHeight="1">
      <c r="A348" s="55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</row>
    <row r="349" ht="15.75" customHeight="1">
      <c r="A349" s="55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ht="15.75" customHeight="1">
      <c r="A350" s="55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</row>
    <row r="351" ht="15.75" customHeight="1">
      <c r="A351" s="55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</row>
    <row r="352" ht="15.75" customHeight="1">
      <c r="A352" s="55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ht="15.75" customHeight="1">
      <c r="A353" s="55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</row>
    <row r="354" ht="15.75" customHeight="1">
      <c r="A354" s="55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</row>
    <row r="355" ht="15.75" customHeight="1">
      <c r="A355" s="55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</sheetData>
  <mergeCells count="35">
    <mergeCell ref="B26:L26"/>
    <mergeCell ref="B27:M27"/>
    <mergeCell ref="B50:M50"/>
    <mergeCell ref="B52:M52"/>
    <mergeCell ref="B83:L83"/>
    <mergeCell ref="B86:M86"/>
    <mergeCell ref="B107:L107"/>
    <mergeCell ref="B111:M111"/>
    <mergeCell ref="B131:L131"/>
    <mergeCell ref="B136:M136"/>
    <mergeCell ref="B155:L155"/>
    <mergeCell ref="A160:L160"/>
    <mergeCell ref="B161:M161"/>
    <mergeCell ref="A172:L172"/>
    <mergeCell ref="A173:L173"/>
    <mergeCell ref="A174:L174"/>
    <mergeCell ref="A175:L175"/>
    <mergeCell ref="A176:L176"/>
    <mergeCell ref="A177:L177"/>
    <mergeCell ref="A178:L178"/>
    <mergeCell ref="A180:L180"/>
    <mergeCell ref="B213:I213"/>
    <mergeCell ref="B214:I214"/>
    <mergeCell ref="B215:I215"/>
    <mergeCell ref="B216:I216"/>
    <mergeCell ref="B217:I217"/>
    <mergeCell ref="B218:I218"/>
    <mergeCell ref="A220:I220"/>
    <mergeCell ref="A193:L193"/>
    <mergeCell ref="A194:L194"/>
    <mergeCell ref="A195:L195"/>
    <mergeCell ref="A200:I200"/>
    <mergeCell ref="A201:I201"/>
    <mergeCell ref="A211:I211"/>
    <mergeCell ref="B212:I212"/>
  </mergeCells>
  <conditionalFormatting sqref="B15">
    <cfRule type="expression" dxfId="2" priority="1">
      <formula>ISNUMBER(SEARCH("OK",B15))</formula>
    </cfRule>
  </conditionalFormatting>
  <conditionalFormatting sqref="B15">
    <cfRule type="expression" dxfId="0" priority="2">
      <formula>OR(ISNUMBER(SEARCH("ПРЕВЫШЕН",B15)),ISNUMBER(SEARCH("ВЫШЕ",B15)))</formula>
    </cfRule>
  </conditionalFormatting>
  <conditionalFormatting sqref="B54">
    <cfRule type="expression" dxfId="2" priority="3">
      <formula>ISNUMBER(SEARCH("OK",B54))</formula>
    </cfRule>
  </conditionalFormatting>
  <conditionalFormatting sqref="B54">
    <cfRule type="expression" dxfId="0" priority="4">
      <formula>OR(ISNUMBER(SEARCH("ПРЕВЫШЕН",B54)),ISNUMBER(SEARCH("ВЫШЕ",B54)))</formula>
    </cfRule>
  </conditionalFormatting>
  <conditionalFormatting sqref="B76">
    <cfRule type="expression" dxfId="2" priority="5">
      <formula>ISNUMBER(SEARCH("OK",B76))</formula>
    </cfRule>
  </conditionalFormatting>
  <conditionalFormatting sqref="B76">
    <cfRule type="expression" dxfId="0" priority="6">
      <formula>OR(ISNUMBER(SEARCH("ПРЕВЫШЕН",B76)),ISNUMBER(SEARCH("ВЫШЕ",B76)))</formula>
    </cfRule>
  </conditionalFormatting>
  <conditionalFormatting sqref="B89">
    <cfRule type="expression" dxfId="2" priority="7">
      <formula>ISNUMBER(SEARCH("OK",B89))</formula>
    </cfRule>
  </conditionalFormatting>
  <conditionalFormatting sqref="B89">
    <cfRule type="expression" dxfId="0" priority="8">
      <formula>OR(ISNUMBER(SEARCH("ПРЕВЫШЕН",B89)),ISNUMBER(SEARCH("ВЫШЕ",B89)))</formula>
    </cfRule>
  </conditionalFormatting>
  <conditionalFormatting sqref="B28 B41">
    <cfRule type="expression" dxfId="2" priority="9">
      <formula>ISNUMBER(SEARCH("OK",B28))</formula>
    </cfRule>
  </conditionalFormatting>
  <conditionalFormatting sqref="B28 B41">
    <cfRule type="expression" dxfId="1" priority="10">
      <formula>OR(ISNUMBER(SEARCH("ПРЕВЫШЕН",B28)),ISNUMBER(SEARCH("ВЫШЕ",B28)))</formula>
    </cfRule>
  </conditionalFormatting>
  <printOptions/>
  <pageMargins bottom="0.75" footer="0.0" header="0.0" left="0.7" right="0.7" top="0.75"/>
  <pageSetup paperSize="9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0.0"/>
    <col customWidth="1" min="2" max="3" width="16.0"/>
    <col customWidth="1" min="4" max="4" width="13.0"/>
    <col customWidth="1" hidden="1" min="5" max="6" width="13.0"/>
    <col customWidth="1" min="7" max="10" width="13.0"/>
    <col customWidth="1" min="11" max="12" width="16.0"/>
    <col customWidth="1" hidden="1" min="13" max="15" width="16.0"/>
    <col customWidth="1" hidden="1" min="16" max="18" width="12.0"/>
    <col customWidth="1" min="19" max="19" width="15.0"/>
    <col customWidth="1" min="20" max="20" width="9.0"/>
    <col customWidth="1" min="21" max="21" width="8.0"/>
    <col customWidth="1" min="22" max="22" width="10.0"/>
    <col customWidth="1" min="23" max="23" width="9.0"/>
    <col customWidth="1" min="24" max="25" width="10.0"/>
    <col customWidth="1" min="26" max="26" width="8.0"/>
    <col customWidth="1" min="27" max="28" width="11.0"/>
    <col customWidth="1" min="29" max="29" width="8.0"/>
    <col customWidth="1" min="30" max="30" width="10.0"/>
    <col customWidth="1" min="31" max="31" width="12.0"/>
    <col customWidth="1" min="32" max="32" width="11.0"/>
    <col customWidth="1" min="33" max="33" width="8.0"/>
    <col customWidth="1" min="34" max="34" width="16.0"/>
  </cols>
  <sheetData>
    <row r="1" ht="15.0" customHeight="1">
      <c r="A1" s="114" t="s">
        <v>831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ht="15.0" hidden="1" customHeight="1">
      <c r="A2" s="115" t="s">
        <v>832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</row>
    <row r="3" ht="15.0" hidden="1" customHeight="1">
      <c r="A3" s="115" t="s">
        <v>833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ht="15.0" hidden="1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ht="31.5" customHeight="1">
      <c r="A5" s="116" t="s">
        <v>778</v>
      </c>
      <c r="B5" s="116" t="s">
        <v>834</v>
      </c>
      <c r="C5" s="116" t="s">
        <v>4</v>
      </c>
      <c r="D5" s="116" t="s">
        <v>1</v>
      </c>
      <c r="E5" s="116" t="s">
        <v>835</v>
      </c>
      <c r="F5" s="116" t="s">
        <v>836</v>
      </c>
      <c r="G5" s="116" t="s">
        <v>837</v>
      </c>
      <c r="H5" s="116" t="s">
        <v>838</v>
      </c>
      <c r="I5" s="116" t="s">
        <v>839</v>
      </c>
      <c r="J5" s="116" t="s">
        <v>840</v>
      </c>
      <c r="K5" s="116" t="s">
        <v>841</v>
      </c>
      <c r="L5" s="116" t="s">
        <v>842</v>
      </c>
      <c r="M5" s="116" t="s">
        <v>843</v>
      </c>
      <c r="N5" s="116" t="s">
        <v>844</v>
      </c>
      <c r="O5" s="116" t="s">
        <v>845</v>
      </c>
      <c r="P5" s="116" t="s">
        <v>846</v>
      </c>
      <c r="Q5" s="116" t="s">
        <v>847</v>
      </c>
      <c r="R5" s="116" t="s">
        <v>848</v>
      </c>
      <c r="S5" s="116" t="s">
        <v>779</v>
      </c>
      <c r="T5" s="116" t="s">
        <v>729</v>
      </c>
      <c r="U5" s="116" t="s">
        <v>849</v>
      </c>
      <c r="V5" s="116" t="s">
        <v>850</v>
      </c>
      <c r="W5" s="116" t="s">
        <v>851</v>
      </c>
      <c r="X5" s="116" t="s">
        <v>852</v>
      </c>
      <c r="Y5" s="116" t="s">
        <v>853</v>
      </c>
      <c r="Z5" s="116" t="s">
        <v>656</v>
      </c>
      <c r="AA5" s="116" t="s">
        <v>854</v>
      </c>
      <c r="AB5" s="116" t="s">
        <v>664</v>
      </c>
      <c r="AC5" s="116" t="s">
        <v>658</v>
      </c>
      <c r="AD5" s="116" t="s">
        <v>855</v>
      </c>
      <c r="AE5" s="116" t="s">
        <v>856</v>
      </c>
      <c r="AF5" s="116" t="s">
        <v>659</v>
      </c>
      <c r="AG5" s="116" t="s">
        <v>657</v>
      </c>
      <c r="AH5" s="116" t="s">
        <v>12</v>
      </c>
    </row>
    <row r="6" ht="33.75" customHeight="1">
      <c r="A6" s="117" t="s">
        <v>857</v>
      </c>
      <c r="B6" s="117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</row>
    <row r="7" ht="15.0" customHeight="1">
      <c r="A7" s="118" t="s">
        <v>104</v>
      </c>
      <c r="B7" s="119" t="str">
        <f>IF($A7="","",IFERROR(HYPERLINK(VLOOKUP($A7,'Мои блогеры'!$A$2:$N$673,14,0),"🔗 открыть"),""))</f>
        <v>🔗 открыть</v>
      </c>
      <c r="C7" s="11">
        <f>IFERROR(VLOOKUP($A7,'Мои блогеры'!$A:$N,5,0),"")</f>
        <v>4220</v>
      </c>
      <c r="D7" s="120" t="str">
        <f>IFERROR(VLOOKUP($A7,'Мои блогеры'!$A:$N,2,0),"")</f>
        <v>YouTube</v>
      </c>
      <c r="E7" s="21" t="s">
        <v>858</v>
      </c>
      <c r="F7" s="21"/>
      <c r="G7" s="21"/>
      <c r="H7" s="121">
        <v>46176.0</v>
      </c>
      <c r="I7" s="21" t="s">
        <v>859</v>
      </c>
      <c r="J7" s="11">
        <f>IFERROR(VLOOKUP($A7,'Мои блогеры'!$A$2:$N$673,8,0),"")</f>
        <v>1000</v>
      </c>
      <c r="K7" s="122"/>
      <c r="L7" s="122">
        <v>900.0</v>
      </c>
      <c r="M7" s="11">
        <f t="shared" ref="M7:M21" si="1">IF(N($J7)+N($K7)+N($L7)=0,"",N($J7)+N($K7)+N($L7))</f>
        <v>1900</v>
      </c>
      <c r="N7" s="21"/>
      <c r="O7" s="21"/>
      <c r="P7" s="21"/>
      <c r="Q7" s="120" t="str">
        <f>IFERROR(VLOOKUP($A7,'Мои блогеры'!$A$2:$N$673,10,0)&amp;"-TRG","")</f>
        <v>RIBAK87M-TRG</v>
      </c>
      <c r="R7" s="21"/>
      <c r="S7" s="21"/>
      <c r="T7" s="122">
        <v>14748.0</v>
      </c>
      <c r="U7" s="123">
        <f t="shared" ref="U7:U21" si="2">IF(N($T7)=0,"",$M7/$T7)</f>
        <v>0.1288310279</v>
      </c>
      <c r="V7" s="122">
        <v>27.0</v>
      </c>
      <c r="W7" s="122"/>
      <c r="X7" s="123">
        <f t="shared" ref="X7:X21" si="3">IF(N($V7)=0,"",$M7/$V7)</f>
        <v>70.37037037</v>
      </c>
      <c r="Y7" s="122"/>
      <c r="Z7" s="122">
        <v>9.0</v>
      </c>
      <c r="AA7" s="122">
        <v>8595.0</v>
      </c>
      <c r="AB7" s="124">
        <v>0.9</v>
      </c>
      <c r="AC7" s="11">
        <f t="shared" ref="AC7:AC21" si="4">IF(OR(N($Z7)=0,$AB7=""),"",ROUND($Z7*$AB7,0))</f>
        <v>8</v>
      </c>
      <c r="AD7" s="122">
        <v>850.0</v>
      </c>
      <c r="AE7" s="11">
        <f t="shared" ref="AE7:AE21" si="5">IF(OR(N($AC7)=0,$AD7=""),"",ROUND($AC7*$AD7,0))</f>
        <v>6800</v>
      </c>
      <c r="AF7" s="11">
        <f t="shared" ref="AF7:AF21" si="6">IF(N($AC7)=0,"",ROUND($M7/$AC7,0))</f>
        <v>238</v>
      </c>
      <c r="AG7" s="11">
        <f t="shared" ref="AG7:AG21" si="7">IF(N($Z7)=0,"",ROUND($M7/$Z7,0))</f>
        <v>211</v>
      </c>
      <c r="AH7" s="21"/>
    </row>
    <row r="8" ht="15.0" customHeight="1">
      <c r="A8" s="125" t="s">
        <v>111</v>
      </c>
      <c r="B8" s="119" t="str">
        <f>IF($A8="","",IFERROR(HYPERLINK(VLOOKUP($A8,'Мои блогеры'!$A$2:$N$673,14,0),"🔗 открыть"),""))</f>
        <v>🔗 открыть</v>
      </c>
      <c r="C8" s="11">
        <f>IFERROR(VLOOKUP($A8,'Мои блогеры'!$A:$N,5,0),"")</f>
        <v>39685</v>
      </c>
      <c r="D8" s="120" t="str">
        <f>IFERROR(VLOOKUP($A8,'Мои блогеры'!$A:$N,2,0),"")</f>
        <v>YouTube</v>
      </c>
      <c r="E8" s="21" t="s">
        <v>860</v>
      </c>
      <c r="F8" s="21"/>
      <c r="G8" s="21"/>
      <c r="H8" s="121">
        <v>46174.0</v>
      </c>
      <c r="I8" s="21" t="s">
        <v>859</v>
      </c>
      <c r="J8" s="11">
        <f>IFERROR(VLOOKUP($A8,'Мои блогеры'!$A$2:$N$673,8,0),"")</f>
        <v>6700</v>
      </c>
      <c r="K8" s="122"/>
      <c r="L8" s="122">
        <v>650.0</v>
      </c>
      <c r="M8" s="11">
        <f t="shared" si="1"/>
        <v>7350</v>
      </c>
      <c r="N8" s="21"/>
      <c r="O8" s="21"/>
      <c r="P8" s="21"/>
      <c r="Q8" s="120" t="str">
        <f>IFERROR(VLOOKUP($A8,'Мои блогеры'!$A$2:$N$673,10,0)&amp;"-TRG","")</f>
        <v>JUSTHOOK-TRG</v>
      </c>
      <c r="R8" s="21"/>
      <c r="S8" s="21"/>
      <c r="T8" s="122">
        <v>18370.0</v>
      </c>
      <c r="U8" s="123">
        <f t="shared" si="2"/>
        <v>0.4001088732</v>
      </c>
      <c r="V8" s="122">
        <v>83.0</v>
      </c>
      <c r="W8" s="122"/>
      <c r="X8" s="123">
        <f t="shared" si="3"/>
        <v>88.55421687</v>
      </c>
      <c r="Y8" s="122"/>
      <c r="Z8" s="122">
        <v>8.0</v>
      </c>
      <c r="AA8" s="122">
        <v>10048.0</v>
      </c>
      <c r="AB8" s="124">
        <v>0.8</v>
      </c>
      <c r="AC8" s="11">
        <f t="shared" si="4"/>
        <v>6</v>
      </c>
      <c r="AD8" s="122">
        <v>1300.0</v>
      </c>
      <c r="AE8" s="11">
        <f t="shared" si="5"/>
        <v>7800</v>
      </c>
      <c r="AF8" s="11">
        <f t="shared" si="6"/>
        <v>1225</v>
      </c>
      <c r="AG8" s="11">
        <f t="shared" si="7"/>
        <v>919</v>
      </c>
      <c r="AH8" s="21"/>
    </row>
    <row r="9" ht="15.0" customHeight="1">
      <c r="A9" s="125" t="s">
        <v>116</v>
      </c>
      <c r="B9" s="119" t="str">
        <f>IF($A9="","",IFERROR(HYPERLINK(VLOOKUP($A9,'Мои блогеры'!$A$2:$N$673,14,0),"🔗 открыть"),""))</f>
        <v>🔗 открыть</v>
      </c>
      <c r="C9" s="11">
        <f>IFERROR(VLOOKUP($A9,'Мои блогеры'!$A:$N,5,0),"")</f>
        <v>33516</v>
      </c>
      <c r="D9" s="120" t="str">
        <f>IFERROR(VLOOKUP($A9,'Мои блогеры'!$A:$N,2,0),"")</f>
        <v>Telegram</v>
      </c>
      <c r="E9" s="21" t="s">
        <v>860</v>
      </c>
      <c r="F9" s="21"/>
      <c r="G9" s="21"/>
      <c r="H9" s="121">
        <v>46174.0</v>
      </c>
      <c r="I9" s="21" t="s">
        <v>859</v>
      </c>
      <c r="J9" s="11">
        <f>IFERROR(VLOOKUP($A9,'Мои блогеры'!$A$2:$N$673,8,0),"")</f>
        <v>6700</v>
      </c>
      <c r="K9" s="122"/>
      <c r="L9" s="122">
        <v>900.0</v>
      </c>
      <c r="M9" s="11">
        <f t="shared" si="1"/>
        <v>7600</v>
      </c>
      <c r="N9" s="21"/>
      <c r="O9" s="21"/>
      <c r="P9" s="21"/>
      <c r="Q9" s="120" t="str">
        <f>IFERROR(VLOOKUP($A9,'Мои блогеры'!$A$2:$N$673,10,0)&amp;"-TRG","")</f>
        <v>JUSTHOOK-TRG</v>
      </c>
      <c r="R9" s="21"/>
      <c r="S9" s="21"/>
      <c r="T9" s="122">
        <v>10101.0</v>
      </c>
      <c r="U9" s="123">
        <f t="shared" si="2"/>
        <v>0.7524007524</v>
      </c>
      <c r="V9" s="122">
        <v>124.0</v>
      </c>
      <c r="W9" s="122"/>
      <c r="X9" s="123">
        <f t="shared" si="3"/>
        <v>61.29032258</v>
      </c>
      <c r="Y9" s="122"/>
      <c r="Z9" s="122">
        <v>6.0</v>
      </c>
      <c r="AA9" s="122">
        <v>5316.0</v>
      </c>
      <c r="AB9" s="124">
        <v>0.85</v>
      </c>
      <c r="AC9" s="11">
        <f t="shared" si="4"/>
        <v>5</v>
      </c>
      <c r="AD9" s="122">
        <v>850.0</v>
      </c>
      <c r="AE9" s="11">
        <f t="shared" si="5"/>
        <v>4250</v>
      </c>
      <c r="AF9" s="11">
        <f t="shared" si="6"/>
        <v>1520</v>
      </c>
      <c r="AG9" s="11">
        <f t="shared" si="7"/>
        <v>1267</v>
      </c>
      <c r="AH9" s="21"/>
    </row>
    <row r="10" ht="15.0" customHeight="1">
      <c r="A10" s="125" t="s">
        <v>119</v>
      </c>
      <c r="B10" s="119" t="str">
        <f>IF($A10="","",IFERROR(HYPERLINK(VLOOKUP($A10,'Мои блогеры'!$A$2:$N$673,14,0),"🔗 открыть"),""))</f>
        <v>🔗 открыть</v>
      </c>
      <c r="C10" s="11">
        <f>IFERROR(VLOOKUP($A10,'Мои блогеры'!$A:$N,5,0),"")</f>
        <v>41494</v>
      </c>
      <c r="D10" s="120" t="str">
        <f>IFERROR(VLOOKUP($A10,'Мои блогеры'!$A:$N,2,0),"")</f>
        <v>TikTok</v>
      </c>
      <c r="E10" s="21" t="s">
        <v>860</v>
      </c>
      <c r="F10" s="21"/>
      <c r="G10" s="21"/>
      <c r="H10" s="121">
        <v>46175.0</v>
      </c>
      <c r="I10" s="21" t="s">
        <v>859</v>
      </c>
      <c r="J10" s="11">
        <f>IFERROR(VLOOKUP($A10,'Мои блогеры'!$A$2:$N$673,8,0),"")</f>
        <v>6700</v>
      </c>
      <c r="K10" s="122"/>
      <c r="L10" s="122">
        <v>900.0</v>
      </c>
      <c r="M10" s="11">
        <f t="shared" si="1"/>
        <v>7600</v>
      </c>
      <c r="N10" s="21"/>
      <c r="O10" s="21"/>
      <c r="P10" s="21"/>
      <c r="Q10" s="120" t="str">
        <f>IFERROR(VLOOKUP($A10,'Мои блогеры'!$A$2:$N$673,10,0)&amp;"-TRG","")</f>
        <v>JUSTHOOK-TRG</v>
      </c>
      <c r="R10" s="21"/>
      <c r="S10" s="21"/>
      <c r="T10" s="122">
        <v>23232.0</v>
      </c>
      <c r="U10" s="123">
        <f t="shared" si="2"/>
        <v>0.3271349862</v>
      </c>
      <c r="V10" s="122">
        <v>133.0</v>
      </c>
      <c r="W10" s="122"/>
      <c r="X10" s="123">
        <f t="shared" si="3"/>
        <v>57.14285714</v>
      </c>
      <c r="Y10" s="122"/>
      <c r="Z10" s="122">
        <v>4.0</v>
      </c>
      <c r="AA10" s="122">
        <v>3340.0</v>
      </c>
      <c r="AB10" s="124">
        <v>0.8</v>
      </c>
      <c r="AC10" s="11">
        <f t="shared" si="4"/>
        <v>3</v>
      </c>
      <c r="AD10" s="122">
        <v>850.0</v>
      </c>
      <c r="AE10" s="11">
        <f t="shared" si="5"/>
        <v>2550</v>
      </c>
      <c r="AF10" s="11">
        <f t="shared" si="6"/>
        <v>2533</v>
      </c>
      <c r="AG10" s="11">
        <f t="shared" si="7"/>
        <v>1900</v>
      </c>
      <c r="AH10" s="21"/>
    </row>
    <row r="11" ht="15.0" customHeight="1">
      <c r="A11" s="125" t="s">
        <v>123</v>
      </c>
      <c r="B11" s="119" t="str">
        <f>IF($A11="","",IFERROR(HYPERLINK(VLOOKUP($A11,'Мои блогеры'!$A$2:$N$673,14,0),"🔗 открыть"),""))</f>
        <v>🔗 открыть</v>
      </c>
      <c r="C11" s="11">
        <f>IFERROR(VLOOKUP($A11,'Мои блогеры'!$A:$N,5,0),"")</f>
        <v>36548</v>
      </c>
      <c r="D11" s="120" t="str">
        <f>IFERROR(VLOOKUP($A11,'Мои блогеры'!$A:$N,2,0),"")</f>
        <v>Telegram</v>
      </c>
      <c r="E11" s="21" t="s">
        <v>860</v>
      </c>
      <c r="F11" s="21"/>
      <c r="G11" s="21"/>
      <c r="H11" s="121">
        <v>46180.0</v>
      </c>
      <c r="I11" s="21" t="s">
        <v>859</v>
      </c>
      <c r="J11" s="11">
        <f>IFERROR(VLOOKUP($A11,'Мои блогеры'!$A$2:$N$673,8,0),"")</f>
        <v>3356</v>
      </c>
      <c r="K11" s="122"/>
      <c r="L11" s="122">
        <v>0.0</v>
      </c>
      <c r="M11" s="11">
        <f t="shared" si="1"/>
        <v>3356</v>
      </c>
      <c r="N11" s="21"/>
      <c r="O11" s="21"/>
      <c r="P11" s="21"/>
      <c r="Q11" s="120" t="str">
        <f>IFERROR(VLOOKUP($A11,'Мои блогеры'!$A$2:$N$673,10,0)&amp;"-TRG","")</f>
        <v>RYBOLOVN-TRG</v>
      </c>
      <c r="R11" s="21"/>
      <c r="S11" s="21"/>
      <c r="T11" s="122">
        <v>8434.0</v>
      </c>
      <c r="U11" s="123">
        <f t="shared" si="2"/>
        <v>0.3979132084</v>
      </c>
      <c r="V11" s="122">
        <v>62.0</v>
      </c>
      <c r="W11" s="122"/>
      <c r="X11" s="123">
        <f t="shared" si="3"/>
        <v>54.12903226</v>
      </c>
      <c r="Y11" s="122"/>
      <c r="Z11" s="122">
        <v>6.0</v>
      </c>
      <c r="AA11" s="122">
        <v>6126.0</v>
      </c>
      <c r="AB11" s="124">
        <v>0.8</v>
      </c>
      <c r="AC11" s="11">
        <f t="shared" si="4"/>
        <v>5</v>
      </c>
      <c r="AD11" s="122">
        <v>1300.0</v>
      </c>
      <c r="AE11" s="11">
        <f t="shared" si="5"/>
        <v>6500</v>
      </c>
      <c r="AF11" s="11">
        <f t="shared" si="6"/>
        <v>671</v>
      </c>
      <c r="AG11" s="11">
        <f t="shared" si="7"/>
        <v>559</v>
      </c>
      <c r="AH11" s="21"/>
    </row>
    <row r="12" ht="15.0" customHeight="1">
      <c r="A12" s="125" t="s">
        <v>127</v>
      </c>
      <c r="B12" s="119" t="str">
        <f>IF($A12="","",IFERROR(HYPERLINK(VLOOKUP($A12,'Мои блогеры'!$A$2:$N$673,14,0),"🔗 открыть"),""))</f>
        <v>🔗 открыть</v>
      </c>
      <c r="C12" s="11">
        <f>IFERROR(VLOOKUP($A12,'Мои блогеры'!$A:$N,5,0),"")</f>
        <v>43236</v>
      </c>
      <c r="D12" s="120" t="str">
        <f>IFERROR(VLOOKUP($A12,'Мои блогеры'!$A:$N,2,0),"")</f>
        <v>MAX</v>
      </c>
      <c r="E12" s="21" t="s">
        <v>858</v>
      </c>
      <c r="F12" s="21"/>
      <c r="G12" s="21"/>
      <c r="H12" s="121">
        <v>46179.0</v>
      </c>
      <c r="I12" s="21" t="s">
        <v>859</v>
      </c>
      <c r="J12" s="11">
        <f>IFERROR(VLOOKUP($A12,'Мои блогеры'!$A$2:$N$673,8,0),"")</f>
        <v>699</v>
      </c>
      <c r="K12" s="122"/>
      <c r="L12" s="122">
        <v>0.0</v>
      </c>
      <c r="M12" s="11">
        <f t="shared" si="1"/>
        <v>699</v>
      </c>
      <c r="N12" s="21"/>
      <c r="O12" s="21"/>
      <c r="P12" s="21"/>
      <c r="Q12" s="120" t="str">
        <f>IFERROR(VLOOKUP($A12,'Мои блогеры'!$A$2:$N$673,10,0)&amp;"-TRG","")</f>
        <v>RYBAKIKU-TRG</v>
      </c>
      <c r="R12" s="21"/>
      <c r="S12" s="21"/>
      <c r="T12" s="122">
        <v>8952.0</v>
      </c>
      <c r="U12" s="123">
        <f t="shared" si="2"/>
        <v>0.07808310992</v>
      </c>
      <c r="V12" s="122">
        <v>70.0</v>
      </c>
      <c r="W12" s="122"/>
      <c r="X12" s="123">
        <f t="shared" si="3"/>
        <v>9.985714286</v>
      </c>
      <c r="Y12" s="122"/>
      <c r="Z12" s="122">
        <v>8.0</v>
      </c>
      <c r="AA12" s="122">
        <v>8040.0</v>
      </c>
      <c r="AB12" s="124">
        <v>0.8</v>
      </c>
      <c r="AC12" s="11">
        <f t="shared" si="4"/>
        <v>6</v>
      </c>
      <c r="AD12" s="122">
        <v>1100.0</v>
      </c>
      <c r="AE12" s="11">
        <f t="shared" si="5"/>
        <v>6600</v>
      </c>
      <c r="AF12" s="11">
        <f t="shared" si="6"/>
        <v>117</v>
      </c>
      <c r="AG12" s="11">
        <f t="shared" si="7"/>
        <v>87</v>
      </c>
      <c r="AH12" s="21"/>
    </row>
    <row r="13" ht="15.0" customHeight="1">
      <c r="A13" s="125" t="s">
        <v>131</v>
      </c>
      <c r="B13" s="119" t="str">
        <f>IF($A13="","",IFERROR(HYPERLINK(VLOOKUP($A13,'Мои блогеры'!$A$2:$N$673,14,0),"🔗 открыть"),""))</f>
        <v>🔗 открыть</v>
      </c>
      <c r="C13" s="11">
        <f>IFERROR(VLOOKUP($A13,'Мои блогеры'!$A:$N,5,0),"")</f>
        <v>9168</v>
      </c>
      <c r="D13" s="120" t="str">
        <f>IFERROR(VLOOKUP($A13,'Мои блогеры'!$A:$N,2,0),"")</f>
        <v>Telegram</v>
      </c>
      <c r="E13" s="21" t="s">
        <v>861</v>
      </c>
      <c r="F13" s="21"/>
      <c r="G13" s="21"/>
      <c r="H13" s="121">
        <v>46175.0</v>
      </c>
      <c r="I13" s="21" t="s">
        <v>859</v>
      </c>
      <c r="J13" s="11">
        <f>IFERROR(VLOOKUP($A13,'Мои блогеры'!$A$2:$N$673,8,0),"")</f>
        <v>629</v>
      </c>
      <c r="K13" s="122"/>
      <c r="L13" s="122">
        <v>0.0</v>
      </c>
      <c r="M13" s="11">
        <f t="shared" si="1"/>
        <v>629</v>
      </c>
      <c r="N13" s="21"/>
      <c r="O13" s="21"/>
      <c r="P13" s="21"/>
      <c r="Q13" s="120" t="str">
        <f>IFERROR(VLOOKUP($A13,'Мои блогеры'!$A$2:$N$673,10,0)&amp;"-TRG","")</f>
        <v>RYBAKIST-TRG</v>
      </c>
      <c r="R13" s="21"/>
      <c r="S13" s="21"/>
      <c r="T13" s="122">
        <v>11644.0</v>
      </c>
      <c r="U13" s="123">
        <f t="shared" si="2"/>
        <v>0.05401923738</v>
      </c>
      <c r="V13" s="122">
        <v>36.0</v>
      </c>
      <c r="W13" s="122"/>
      <c r="X13" s="123">
        <f t="shared" si="3"/>
        <v>17.47222222</v>
      </c>
      <c r="Y13" s="122"/>
      <c r="Z13" s="122">
        <v>7.0</v>
      </c>
      <c r="AA13" s="122">
        <v>7056.0</v>
      </c>
      <c r="AB13" s="124">
        <v>0.9</v>
      </c>
      <c r="AC13" s="11">
        <f t="shared" si="4"/>
        <v>6</v>
      </c>
      <c r="AD13" s="122">
        <v>1300.0</v>
      </c>
      <c r="AE13" s="11">
        <f t="shared" si="5"/>
        <v>7800</v>
      </c>
      <c r="AF13" s="11">
        <f t="shared" si="6"/>
        <v>105</v>
      </c>
      <c r="AG13" s="11">
        <f t="shared" si="7"/>
        <v>90</v>
      </c>
      <c r="AH13" s="21"/>
    </row>
    <row r="14" ht="15.0" customHeight="1">
      <c r="A14" s="125" t="s">
        <v>135</v>
      </c>
      <c r="B14" s="119" t="str">
        <f>IF($A14="","",IFERROR(HYPERLINK(VLOOKUP($A14,'Мои блогеры'!$A$2:$N$673,14,0),"🔗 открыть"),""))</f>
        <v>🔗 открыть</v>
      </c>
      <c r="C14" s="11">
        <f>IFERROR(VLOOKUP($A14,'Мои блогеры'!$A:$N,5,0),"")</f>
        <v>12292</v>
      </c>
      <c r="D14" s="120" t="str">
        <f>IFERROR(VLOOKUP($A14,'Мои блогеры'!$A:$N,2,0),"")</f>
        <v>MAX</v>
      </c>
      <c r="E14" s="21" t="s">
        <v>860</v>
      </c>
      <c r="F14" s="21"/>
      <c r="G14" s="21"/>
      <c r="H14" s="121">
        <v>46178.0</v>
      </c>
      <c r="I14" s="21" t="s">
        <v>859</v>
      </c>
      <c r="J14" s="11">
        <f>IFERROR(VLOOKUP($A14,'Мои блогеры'!$A$2:$N$673,8,0),"")</f>
        <v>620</v>
      </c>
      <c r="K14" s="122"/>
      <c r="L14" s="122">
        <v>900.0</v>
      </c>
      <c r="M14" s="11">
        <f t="shared" si="1"/>
        <v>1520</v>
      </c>
      <c r="N14" s="21"/>
      <c r="O14" s="21"/>
      <c r="P14" s="21"/>
      <c r="Q14" s="120" t="str">
        <f>IFERROR(VLOOKUP($A14,'Мои блогеры'!$A$2:$N$673,10,0)&amp;"-TRG","")</f>
        <v>RYBALKAR-TRG</v>
      </c>
      <c r="R14" s="21"/>
      <c r="S14" s="21"/>
      <c r="T14" s="122">
        <v>14072.0</v>
      </c>
      <c r="U14" s="123">
        <f t="shared" si="2"/>
        <v>0.1080159181</v>
      </c>
      <c r="V14" s="122">
        <v>36.0</v>
      </c>
      <c r="W14" s="122"/>
      <c r="X14" s="123">
        <f t="shared" si="3"/>
        <v>42.22222222</v>
      </c>
      <c r="Y14" s="122"/>
      <c r="Z14" s="122">
        <v>6.0</v>
      </c>
      <c r="AA14" s="122">
        <v>6378.0</v>
      </c>
      <c r="AB14" s="124">
        <v>0.85</v>
      </c>
      <c r="AC14" s="11">
        <f t="shared" si="4"/>
        <v>5</v>
      </c>
      <c r="AD14" s="122">
        <v>1100.0</v>
      </c>
      <c r="AE14" s="11">
        <f t="shared" si="5"/>
        <v>5500</v>
      </c>
      <c r="AF14" s="11">
        <f t="shared" si="6"/>
        <v>304</v>
      </c>
      <c r="AG14" s="11">
        <f t="shared" si="7"/>
        <v>253</v>
      </c>
      <c r="AH14" s="21"/>
    </row>
    <row r="15" ht="15.0" customHeight="1">
      <c r="A15" s="125" t="s">
        <v>139</v>
      </c>
      <c r="B15" s="119" t="str">
        <f>IF($A15="","",IFERROR(HYPERLINK(VLOOKUP($A15,'Мои блогеры'!$A$2:$N$673,14,0),"🔗 открыть"),""))</f>
        <v>🔗 открыть</v>
      </c>
      <c r="C15" s="11">
        <f>IFERROR(VLOOKUP($A15,'Мои блогеры'!$A:$N,5,0),"")</f>
        <v>44579</v>
      </c>
      <c r="D15" s="120" t="str">
        <f>IFERROR(VLOOKUP($A15,'Мои блогеры'!$A:$N,2,0),"")</f>
        <v>MAX</v>
      </c>
      <c r="E15" s="21" t="s">
        <v>858</v>
      </c>
      <c r="F15" s="21"/>
      <c r="G15" s="21"/>
      <c r="H15" s="121">
        <v>46176.0</v>
      </c>
      <c r="I15" s="21" t="s">
        <v>859</v>
      </c>
      <c r="J15" s="11">
        <f>IFERROR(VLOOKUP($A15,'Мои блогеры'!$A$2:$N$673,8,0),"")</f>
        <v>699</v>
      </c>
      <c r="K15" s="122"/>
      <c r="L15" s="122">
        <v>0.0</v>
      </c>
      <c r="M15" s="11">
        <f t="shared" si="1"/>
        <v>699</v>
      </c>
      <c r="N15" s="21"/>
      <c r="O15" s="21"/>
      <c r="P15" s="21"/>
      <c r="Q15" s="120" t="str">
        <f>IFERROR(VLOOKUP($A15,'Мои блогеры'!$A$2:$N$673,10,0)&amp;"-TRG","")</f>
        <v>RYBAKIMA-TRG</v>
      </c>
      <c r="R15" s="21"/>
      <c r="S15" s="21"/>
      <c r="T15" s="122">
        <v>18768.0</v>
      </c>
      <c r="U15" s="123">
        <f t="shared" si="2"/>
        <v>0.03724424552</v>
      </c>
      <c r="V15" s="122">
        <v>140.0</v>
      </c>
      <c r="W15" s="122"/>
      <c r="X15" s="123">
        <f t="shared" si="3"/>
        <v>4.992857143</v>
      </c>
      <c r="Y15" s="122"/>
      <c r="Z15" s="122">
        <v>4.0</v>
      </c>
      <c r="AA15" s="122">
        <v>3032.0</v>
      </c>
      <c r="AB15" s="124">
        <v>0.85</v>
      </c>
      <c r="AC15" s="11">
        <f t="shared" si="4"/>
        <v>3</v>
      </c>
      <c r="AD15" s="122">
        <v>850.0</v>
      </c>
      <c r="AE15" s="11">
        <f t="shared" si="5"/>
        <v>2550</v>
      </c>
      <c r="AF15" s="11">
        <f t="shared" si="6"/>
        <v>233</v>
      </c>
      <c r="AG15" s="11">
        <f t="shared" si="7"/>
        <v>175</v>
      </c>
      <c r="AH15" s="21"/>
    </row>
    <row r="16" ht="15.0" customHeight="1">
      <c r="A16" s="125" t="s">
        <v>142</v>
      </c>
      <c r="B16" s="119" t="str">
        <f>IF($A16="","",IFERROR(HYPERLINK(VLOOKUP($A16,'Мои блогеры'!$A$2:$N$673,14,0),"🔗 открыть"),""))</f>
        <v>🔗 открыть</v>
      </c>
      <c r="C16" s="11">
        <f>IFERROR(VLOOKUP($A16,'Мои блогеры'!$A:$N,5,0),"")</f>
        <v>28962</v>
      </c>
      <c r="D16" s="120" t="str">
        <f>IFERROR(VLOOKUP($A16,'Мои блогеры'!$A:$N,2,0),"")</f>
        <v>MAX</v>
      </c>
      <c r="E16" s="21" t="s">
        <v>858</v>
      </c>
      <c r="F16" s="21"/>
      <c r="G16" s="21"/>
      <c r="H16" s="121">
        <v>46176.0</v>
      </c>
      <c r="I16" s="21" t="s">
        <v>859</v>
      </c>
      <c r="J16" s="11">
        <f>IFERROR(VLOOKUP($A16,'Мои блогеры'!$A$2:$N$673,8,0),"")</f>
        <v>1398</v>
      </c>
      <c r="K16" s="122"/>
      <c r="L16" s="122">
        <v>650.0</v>
      </c>
      <c r="M16" s="11">
        <f t="shared" si="1"/>
        <v>2048</v>
      </c>
      <c r="N16" s="21"/>
      <c r="O16" s="21"/>
      <c r="P16" s="21"/>
      <c r="Q16" s="120" t="str">
        <f>IFERROR(VLOOKUP($A16,'Мои блогеры'!$A$2:$N$673,10,0)&amp;"-TRG","")</f>
        <v>RYBAKIDV-TRG</v>
      </c>
      <c r="R16" s="21"/>
      <c r="S16" s="21"/>
      <c r="T16" s="122">
        <v>3592.0</v>
      </c>
      <c r="U16" s="123">
        <f t="shared" si="2"/>
        <v>0.570155902</v>
      </c>
      <c r="V16" s="122">
        <v>127.0</v>
      </c>
      <c r="W16" s="122"/>
      <c r="X16" s="123">
        <f t="shared" si="3"/>
        <v>16.12598425</v>
      </c>
      <c r="Y16" s="122"/>
      <c r="Z16" s="122">
        <v>7.0</v>
      </c>
      <c r="AA16" s="122">
        <v>7595.0</v>
      </c>
      <c r="AB16" s="124">
        <v>0.9</v>
      </c>
      <c r="AC16" s="11">
        <f t="shared" si="4"/>
        <v>6</v>
      </c>
      <c r="AD16" s="122">
        <v>850.0</v>
      </c>
      <c r="AE16" s="11">
        <f t="shared" si="5"/>
        <v>5100</v>
      </c>
      <c r="AF16" s="11">
        <f t="shared" si="6"/>
        <v>341</v>
      </c>
      <c r="AG16" s="11">
        <f t="shared" si="7"/>
        <v>293</v>
      </c>
      <c r="AH16" s="21"/>
    </row>
    <row r="17" ht="15.0" customHeight="1">
      <c r="A17" s="21"/>
      <c r="B17" s="120" t="str">
        <f>IF($A17="","",IFERROR(HYPERLINK(VLOOKUP($A17,'Мои блогеры'!$A$2:$N$673,14,0),"🔗 открыть"),""))</f>
        <v/>
      </c>
      <c r="C17" s="11" t="str">
        <f>IFERROR(VLOOKUP($A17,'Мои блогеры'!$A:$N,5,0),"")</f>
        <v/>
      </c>
      <c r="D17" s="120" t="str">
        <f>IFERROR(VLOOKUP($A17,'Мои блогеры'!$A:$N,2,0),"")</f>
        <v/>
      </c>
      <c r="E17" s="21"/>
      <c r="F17" s="21"/>
      <c r="G17" s="21"/>
      <c r="H17" s="121"/>
      <c r="I17" s="21"/>
      <c r="J17" s="11" t="str">
        <f>IFERROR(VLOOKUP($A17,'Мои блогеры'!$A$2:$N$673,8,0),"")</f>
        <v/>
      </c>
      <c r="K17" s="122"/>
      <c r="L17" s="122"/>
      <c r="M17" s="11" t="str">
        <f t="shared" si="1"/>
        <v/>
      </c>
      <c r="N17" s="21"/>
      <c r="O17" s="21"/>
      <c r="P17" s="21"/>
      <c r="Q17" s="120" t="str">
        <f>IFERROR(VLOOKUP($A17,'Мои блогеры'!$A$2:$N$673,10,0)&amp;"-TRG","")</f>
        <v/>
      </c>
      <c r="R17" s="21"/>
      <c r="S17" s="21"/>
      <c r="T17" s="122"/>
      <c r="U17" s="123" t="str">
        <f t="shared" si="2"/>
        <v/>
      </c>
      <c r="V17" s="122"/>
      <c r="W17" s="122"/>
      <c r="X17" s="123" t="str">
        <f t="shared" si="3"/>
        <v/>
      </c>
      <c r="Y17" s="122"/>
      <c r="Z17" s="122"/>
      <c r="AA17" s="122"/>
      <c r="AB17" s="124"/>
      <c r="AC17" s="11" t="str">
        <f t="shared" si="4"/>
        <v/>
      </c>
      <c r="AD17" s="122"/>
      <c r="AE17" s="11" t="str">
        <f t="shared" si="5"/>
        <v/>
      </c>
      <c r="AF17" s="11" t="str">
        <f t="shared" si="6"/>
        <v/>
      </c>
      <c r="AG17" s="11" t="str">
        <f t="shared" si="7"/>
        <v/>
      </c>
      <c r="AH17" s="21"/>
    </row>
    <row r="18" ht="15.0" customHeight="1">
      <c r="A18" s="21"/>
      <c r="B18" s="120" t="str">
        <f>IF($A18="","",IFERROR(HYPERLINK(VLOOKUP($A18,'Мои блогеры'!$A$2:$N$673,14,0),"🔗 открыть"),""))</f>
        <v/>
      </c>
      <c r="C18" s="11" t="str">
        <f>IFERROR(VLOOKUP($A18,'Мои блогеры'!$A:$N,5,0),"")</f>
        <v/>
      </c>
      <c r="D18" s="120" t="str">
        <f>IFERROR(VLOOKUP($A18,'Мои блогеры'!$A:$N,2,0),"")</f>
        <v/>
      </c>
      <c r="E18" s="21"/>
      <c r="F18" s="21"/>
      <c r="G18" s="21"/>
      <c r="H18" s="121"/>
      <c r="I18" s="21"/>
      <c r="J18" s="11" t="str">
        <f>IFERROR(VLOOKUP($A18,'Мои блогеры'!$A$2:$N$673,8,0),"")</f>
        <v/>
      </c>
      <c r="K18" s="122"/>
      <c r="L18" s="122"/>
      <c r="M18" s="11" t="str">
        <f t="shared" si="1"/>
        <v/>
      </c>
      <c r="N18" s="21"/>
      <c r="O18" s="21"/>
      <c r="P18" s="21"/>
      <c r="Q18" s="120" t="str">
        <f>IFERROR(VLOOKUP($A18,'Мои блогеры'!$A$2:$N$673,10,0)&amp;"-TRG","")</f>
        <v/>
      </c>
      <c r="R18" s="21"/>
      <c r="S18" s="21"/>
      <c r="T18" s="122"/>
      <c r="U18" s="123" t="str">
        <f t="shared" si="2"/>
        <v/>
      </c>
      <c r="V18" s="122"/>
      <c r="W18" s="122"/>
      <c r="X18" s="123" t="str">
        <f t="shared" si="3"/>
        <v/>
      </c>
      <c r="Y18" s="122"/>
      <c r="Z18" s="122"/>
      <c r="AA18" s="122"/>
      <c r="AB18" s="124"/>
      <c r="AC18" s="11" t="str">
        <f t="shared" si="4"/>
        <v/>
      </c>
      <c r="AD18" s="122"/>
      <c r="AE18" s="11" t="str">
        <f t="shared" si="5"/>
        <v/>
      </c>
      <c r="AF18" s="11" t="str">
        <f t="shared" si="6"/>
        <v/>
      </c>
      <c r="AG18" s="11" t="str">
        <f t="shared" si="7"/>
        <v/>
      </c>
      <c r="AH18" s="21"/>
    </row>
    <row r="19" ht="15.0" customHeight="1">
      <c r="A19" s="21"/>
      <c r="B19" s="120" t="str">
        <f>IF($A19="","",IFERROR(HYPERLINK(VLOOKUP($A19,'Мои блогеры'!$A$2:$N$673,14,0),"🔗 открыть"),""))</f>
        <v/>
      </c>
      <c r="C19" s="11" t="str">
        <f>IFERROR(VLOOKUP($A19,'Мои блогеры'!$A:$N,5,0),"")</f>
        <v/>
      </c>
      <c r="D19" s="120" t="str">
        <f>IFERROR(VLOOKUP($A19,'Мои блогеры'!$A:$N,2,0),"")</f>
        <v/>
      </c>
      <c r="E19" s="21"/>
      <c r="F19" s="21"/>
      <c r="G19" s="21"/>
      <c r="H19" s="121"/>
      <c r="I19" s="21"/>
      <c r="J19" s="11" t="str">
        <f>IFERROR(VLOOKUP($A19,'Мои блогеры'!$A$2:$N$673,8,0),"")</f>
        <v/>
      </c>
      <c r="K19" s="122"/>
      <c r="L19" s="122"/>
      <c r="M19" s="11" t="str">
        <f t="shared" si="1"/>
        <v/>
      </c>
      <c r="N19" s="21"/>
      <c r="O19" s="21"/>
      <c r="P19" s="21"/>
      <c r="Q19" s="120" t="str">
        <f>IFERROR(VLOOKUP($A19,'Мои блогеры'!$A$2:$N$673,10,0)&amp;"-TRG","")</f>
        <v/>
      </c>
      <c r="R19" s="21"/>
      <c r="S19" s="21"/>
      <c r="T19" s="122"/>
      <c r="U19" s="123" t="str">
        <f t="shared" si="2"/>
        <v/>
      </c>
      <c r="V19" s="122"/>
      <c r="W19" s="122"/>
      <c r="X19" s="123" t="str">
        <f t="shared" si="3"/>
        <v/>
      </c>
      <c r="Y19" s="122"/>
      <c r="Z19" s="122"/>
      <c r="AA19" s="122"/>
      <c r="AB19" s="124"/>
      <c r="AC19" s="11" t="str">
        <f t="shared" si="4"/>
        <v/>
      </c>
      <c r="AD19" s="122"/>
      <c r="AE19" s="11" t="str">
        <f t="shared" si="5"/>
        <v/>
      </c>
      <c r="AF19" s="11" t="str">
        <f t="shared" si="6"/>
        <v/>
      </c>
      <c r="AG19" s="11" t="str">
        <f t="shared" si="7"/>
        <v/>
      </c>
      <c r="AH19" s="21"/>
    </row>
    <row r="20">
      <c r="A20" s="21"/>
      <c r="B20" s="120" t="str">
        <f>IF($A20="","",IFERROR(HYPERLINK(VLOOKUP($A20,'Мои блогеры'!$A$2:$N$673,14,0),"🔗 открыть"),""))</f>
        <v/>
      </c>
      <c r="C20" s="11" t="str">
        <f>IFERROR(VLOOKUP($A20,'Мои блогеры'!$A:$N,5,0),"")</f>
        <v/>
      </c>
      <c r="D20" s="120" t="str">
        <f>IFERROR(VLOOKUP($A20,'Мои блогеры'!$A:$N,2,0),"")</f>
        <v/>
      </c>
      <c r="E20" s="21"/>
      <c r="F20" s="21"/>
      <c r="G20" s="21"/>
      <c r="H20" s="121"/>
      <c r="I20" s="21"/>
      <c r="J20" s="11" t="str">
        <f>IFERROR(VLOOKUP($A20,'Мои блогеры'!$A$2:$N$673,8,0),"")</f>
        <v/>
      </c>
      <c r="K20" s="122"/>
      <c r="L20" s="122"/>
      <c r="M20" s="11" t="str">
        <f t="shared" si="1"/>
        <v/>
      </c>
      <c r="N20" s="21"/>
      <c r="O20" s="21"/>
      <c r="P20" s="21"/>
      <c r="Q20" s="120" t="str">
        <f>IFERROR(VLOOKUP($A20,'Мои блогеры'!$A$2:$N$673,10,0)&amp;"-TRG","")</f>
        <v/>
      </c>
      <c r="R20" s="21"/>
      <c r="S20" s="21"/>
      <c r="T20" s="122"/>
      <c r="U20" s="123" t="str">
        <f t="shared" si="2"/>
        <v/>
      </c>
      <c r="V20" s="122"/>
      <c r="W20" s="122"/>
      <c r="X20" s="123" t="str">
        <f t="shared" si="3"/>
        <v/>
      </c>
      <c r="Y20" s="122"/>
      <c r="Z20" s="122"/>
      <c r="AA20" s="122"/>
      <c r="AB20" s="124"/>
      <c r="AC20" s="11" t="str">
        <f t="shared" si="4"/>
        <v/>
      </c>
      <c r="AD20" s="122"/>
      <c r="AE20" s="11" t="str">
        <f t="shared" si="5"/>
        <v/>
      </c>
      <c r="AF20" s="11" t="str">
        <f t="shared" si="6"/>
        <v/>
      </c>
      <c r="AG20" s="11" t="str">
        <f t="shared" si="7"/>
        <v/>
      </c>
      <c r="AH20" s="21"/>
    </row>
    <row r="21" ht="15.0" customHeight="1">
      <c r="A21" s="21"/>
      <c r="B21" s="120" t="str">
        <f>IF($A21="","",IFERROR(HYPERLINK(VLOOKUP($A21,'Мои блогеры'!$A$2:$N$673,14,0),"🔗 открыть"),""))</f>
        <v/>
      </c>
      <c r="C21" s="11" t="str">
        <f>IFERROR(VLOOKUP($A21,'Мои блогеры'!$A:$N,5,0),"")</f>
        <v/>
      </c>
      <c r="D21" s="120" t="str">
        <f>IFERROR(VLOOKUP($A21,'Мои блогеры'!$A:$N,2,0),"")</f>
        <v/>
      </c>
      <c r="E21" s="21"/>
      <c r="F21" s="21"/>
      <c r="G21" s="21"/>
      <c r="H21" s="121"/>
      <c r="I21" s="21"/>
      <c r="J21" s="11" t="str">
        <f>IFERROR(VLOOKUP($A21,'Мои блогеры'!$A$2:$N$673,8,0),"")</f>
        <v/>
      </c>
      <c r="K21" s="122"/>
      <c r="L21" s="122"/>
      <c r="M21" s="11" t="str">
        <f t="shared" si="1"/>
        <v/>
      </c>
      <c r="N21" s="21"/>
      <c r="O21" s="21"/>
      <c r="P21" s="21"/>
      <c r="Q21" s="120" t="str">
        <f>IFERROR(VLOOKUP($A21,'Мои блогеры'!$A$2:$N$673,10,0)&amp;"-TRG","")</f>
        <v/>
      </c>
      <c r="R21" s="21"/>
      <c r="S21" s="21"/>
      <c r="T21" s="122"/>
      <c r="U21" s="123" t="str">
        <f t="shared" si="2"/>
        <v/>
      </c>
      <c r="V21" s="122"/>
      <c r="W21" s="122"/>
      <c r="X21" s="123" t="str">
        <f t="shared" si="3"/>
        <v/>
      </c>
      <c r="Y21" s="122"/>
      <c r="Z21" s="122"/>
      <c r="AA21" s="122"/>
      <c r="AB21" s="124"/>
      <c r="AC21" s="11" t="str">
        <f t="shared" si="4"/>
        <v/>
      </c>
      <c r="AD21" s="122"/>
      <c r="AE21" s="11" t="str">
        <f t="shared" si="5"/>
        <v/>
      </c>
      <c r="AF21" s="11" t="str">
        <f t="shared" si="6"/>
        <v/>
      </c>
      <c r="AG21" s="11" t="str">
        <f t="shared" si="7"/>
        <v/>
      </c>
      <c r="AH21" s="21"/>
    </row>
    <row r="22" ht="15.0" customHeight="1">
      <c r="A22" s="126" t="s">
        <v>862</v>
      </c>
      <c r="B22" s="126"/>
      <c r="C22" s="127"/>
      <c r="D22" s="126"/>
      <c r="E22" s="126"/>
      <c r="F22" s="126"/>
      <c r="G22" s="126"/>
      <c r="H22" s="126"/>
      <c r="I22" s="126" t="str">
        <f>COUNTIF(I7:I21,"Вышло")&amp;" / "&amp;COUNTA(A7:A21)</f>
        <v>10 / 10</v>
      </c>
      <c r="J22" s="127">
        <f t="shared" ref="J22:M22" si="8">SUM(J7:J21)</f>
        <v>28501</v>
      </c>
      <c r="K22" s="127">
        <f t="shared" si="8"/>
        <v>0</v>
      </c>
      <c r="L22" s="127">
        <f t="shared" si="8"/>
        <v>4900</v>
      </c>
      <c r="M22" s="127">
        <f t="shared" si="8"/>
        <v>33401</v>
      </c>
      <c r="N22" s="126"/>
      <c r="O22" s="126"/>
      <c r="P22" s="126"/>
      <c r="Q22" s="126"/>
      <c r="R22" s="126"/>
      <c r="S22" s="126"/>
      <c r="T22" s="127">
        <f>SUM(T7:T21)</f>
        <v>131913</v>
      </c>
      <c r="U22" s="128">
        <f>IF(N(T22)=0,"",M22/T22)</f>
        <v>0.2532047637</v>
      </c>
      <c r="V22" s="127">
        <f t="shared" ref="V22:W22" si="9">SUM(V7:V21)</f>
        <v>838</v>
      </c>
      <c r="W22" s="127">
        <f t="shared" si="9"/>
        <v>0</v>
      </c>
      <c r="X22" s="128">
        <f>IF(N(V22)=0,"",M22/V22)</f>
        <v>39.85799523</v>
      </c>
      <c r="Y22" s="127">
        <f t="shared" ref="Y22:AA22" si="10">SUM(Y7:Y21)</f>
        <v>0</v>
      </c>
      <c r="Z22" s="127">
        <f t="shared" si="10"/>
        <v>65</v>
      </c>
      <c r="AA22" s="127">
        <f t="shared" si="10"/>
        <v>65526</v>
      </c>
      <c r="AB22" s="129"/>
      <c r="AC22" s="127">
        <f>SUM(AC7:AC21)</f>
        <v>53</v>
      </c>
      <c r="AD22" s="127"/>
      <c r="AE22" s="127">
        <f>SUM(AE7:AE21)</f>
        <v>55450</v>
      </c>
      <c r="AF22" s="127">
        <f>IF(N(AC22)=0,"—",ROUND(M22/AC22,0))</f>
        <v>630</v>
      </c>
      <c r="AG22" s="127">
        <f>IF(N(Z22)=0,"—",ROUND(M22/Z22,0))</f>
        <v>514</v>
      </c>
      <c r="AH22" s="126"/>
    </row>
    <row r="23" ht="15.0" customHeight="1">
      <c r="A23" s="117" t="s">
        <v>863</v>
      </c>
      <c r="B23" s="117"/>
      <c r="C23" s="130"/>
      <c r="D23" s="117"/>
      <c r="E23" s="117"/>
      <c r="F23" s="117"/>
      <c r="G23" s="117"/>
      <c r="H23" s="117"/>
      <c r="I23" s="117"/>
      <c r="J23" s="130"/>
      <c r="K23" s="130"/>
      <c r="L23" s="130"/>
      <c r="M23" s="130"/>
      <c r="N23" s="117"/>
      <c r="O23" s="117"/>
      <c r="P23" s="117"/>
      <c r="Q23" s="117"/>
      <c r="R23" s="117"/>
      <c r="S23" s="117"/>
      <c r="T23" s="130"/>
      <c r="U23" s="131"/>
      <c r="V23" s="130"/>
      <c r="W23" s="130"/>
      <c r="X23" s="131"/>
      <c r="Y23" s="130"/>
      <c r="Z23" s="130"/>
      <c r="AA23" s="130"/>
      <c r="AB23" s="132"/>
      <c r="AC23" s="130"/>
      <c r="AD23" s="130"/>
      <c r="AE23" s="130"/>
      <c r="AF23" s="130"/>
      <c r="AG23" s="130"/>
      <c r="AH23" s="117"/>
    </row>
    <row r="24" ht="15.0" customHeight="1">
      <c r="A24" s="21"/>
      <c r="B24" s="120" t="str">
        <f>IF($A24="","",IFERROR(HYPERLINK(VLOOKUP($A24,'Мои блогеры'!$A$2:$N$673,14,0),"🔗 открыть"),""))</f>
        <v/>
      </c>
      <c r="C24" s="11" t="str">
        <f>IFERROR(VLOOKUP($A24,'Мои блогеры'!$A:$N,5,0),"")</f>
        <v/>
      </c>
      <c r="D24" s="120" t="str">
        <f>IFERROR(VLOOKUP($A24,'Мои блогеры'!$A:$N,2,0),"")</f>
        <v/>
      </c>
      <c r="E24" s="21"/>
      <c r="F24" s="21"/>
      <c r="G24" s="21"/>
      <c r="H24" s="121"/>
      <c r="I24" s="21"/>
      <c r="J24" s="11" t="str">
        <f>IFERROR(VLOOKUP($A24,'Мои блогеры'!$A$2:$N$673,8,0),"")</f>
        <v/>
      </c>
      <c r="K24" s="122"/>
      <c r="L24" s="122"/>
      <c r="M24" s="11" t="str">
        <f t="shared" ref="M24:M38" si="11">IF(N($J24)+N($K24)+N($L24)=0,"",N($J24)+N($K24)+N($L24))</f>
        <v/>
      </c>
      <c r="N24" s="21"/>
      <c r="O24" s="21"/>
      <c r="P24" s="21"/>
      <c r="Q24" s="120" t="str">
        <f>IFERROR(VLOOKUP($A24,'Мои блогеры'!$A$2:$N$673,10,0)&amp;"-TRG","")</f>
        <v/>
      </c>
      <c r="R24" s="21"/>
      <c r="S24" s="21"/>
      <c r="T24" s="122"/>
      <c r="U24" s="123" t="str">
        <f t="shared" ref="U24:U38" si="12">IF(N($T24)=0,"",$M24/$T24)</f>
        <v/>
      </c>
      <c r="V24" s="122"/>
      <c r="W24" s="122"/>
      <c r="X24" s="123" t="str">
        <f t="shared" ref="X24:X38" si="13">IF(N($V24)=0,"",$M24/$V24)</f>
        <v/>
      </c>
      <c r="Y24" s="122"/>
      <c r="Z24" s="122"/>
      <c r="AA24" s="122"/>
      <c r="AB24" s="124"/>
      <c r="AC24" s="11" t="str">
        <f t="shared" ref="AC24:AC38" si="14">IF(OR(N($Z24)=0,$AB24=""),"",ROUND($Z24*$AB24,0))</f>
        <v/>
      </c>
      <c r="AD24" s="122"/>
      <c r="AE24" s="11" t="str">
        <f t="shared" ref="AE24:AE38" si="15">IF(OR(N($AC24)=0,$AD24=""),"",ROUND($AC24*$AD24,0))</f>
        <v/>
      </c>
      <c r="AF24" s="11" t="str">
        <f t="shared" ref="AF24:AF38" si="16">IF(N($AC24)=0,"",ROUND($M24/$AC24,0))</f>
        <v/>
      </c>
      <c r="AG24" s="11" t="str">
        <f t="shared" ref="AG24:AG38" si="17">IF(N($Z24)=0,"",ROUND($M24/$Z24,0))</f>
        <v/>
      </c>
      <c r="AH24" s="21"/>
    </row>
    <row r="25" ht="15.0" customHeight="1">
      <c r="A25" s="21"/>
      <c r="B25" s="120" t="str">
        <f>IF($A25="","",IFERROR(HYPERLINK(VLOOKUP($A25,'Мои блогеры'!$A$2:$N$673,14,0),"🔗 открыть"),""))</f>
        <v/>
      </c>
      <c r="C25" s="11" t="str">
        <f>IFERROR(VLOOKUP($A25,'Мои блогеры'!$A:$N,5,0),"")</f>
        <v/>
      </c>
      <c r="D25" s="120" t="str">
        <f>IFERROR(VLOOKUP($A25,'Мои блогеры'!$A:$N,2,0),"")</f>
        <v/>
      </c>
      <c r="E25" s="21"/>
      <c r="F25" s="21"/>
      <c r="G25" s="21"/>
      <c r="H25" s="121"/>
      <c r="I25" s="21"/>
      <c r="J25" s="11" t="str">
        <f>IFERROR(VLOOKUP($A25,'Мои блогеры'!$A$2:$N$673,8,0),"")</f>
        <v/>
      </c>
      <c r="K25" s="122"/>
      <c r="L25" s="122"/>
      <c r="M25" s="11" t="str">
        <f t="shared" si="11"/>
        <v/>
      </c>
      <c r="N25" s="21"/>
      <c r="O25" s="21"/>
      <c r="P25" s="21"/>
      <c r="Q25" s="120" t="str">
        <f>IFERROR(VLOOKUP($A25,'Мои блогеры'!$A$2:$N$673,10,0)&amp;"-TRG","")</f>
        <v/>
      </c>
      <c r="R25" s="21"/>
      <c r="S25" s="21"/>
      <c r="T25" s="122"/>
      <c r="U25" s="123" t="str">
        <f t="shared" si="12"/>
        <v/>
      </c>
      <c r="V25" s="122"/>
      <c r="W25" s="122"/>
      <c r="X25" s="123" t="str">
        <f t="shared" si="13"/>
        <v/>
      </c>
      <c r="Y25" s="122"/>
      <c r="Z25" s="122"/>
      <c r="AA25" s="122"/>
      <c r="AB25" s="124"/>
      <c r="AC25" s="11" t="str">
        <f t="shared" si="14"/>
        <v/>
      </c>
      <c r="AD25" s="122"/>
      <c r="AE25" s="11" t="str">
        <f t="shared" si="15"/>
        <v/>
      </c>
      <c r="AF25" s="11" t="str">
        <f t="shared" si="16"/>
        <v/>
      </c>
      <c r="AG25" s="11" t="str">
        <f t="shared" si="17"/>
        <v/>
      </c>
      <c r="AH25" s="21"/>
    </row>
    <row r="26" ht="15.0" customHeight="1">
      <c r="A26" s="21"/>
      <c r="B26" s="120" t="str">
        <f>IF($A26="","",IFERROR(HYPERLINK(VLOOKUP($A26,'Мои блогеры'!$A$2:$N$673,14,0),"🔗 открыть"),""))</f>
        <v/>
      </c>
      <c r="C26" s="11" t="str">
        <f>IFERROR(VLOOKUP($A26,'Мои блогеры'!$A:$N,5,0),"")</f>
        <v/>
      </c>
      <c r="D26" s="120" t="str">
        <f>IFERROR(VLOOKUP($A26,'Мои блогеры'!$A:$N,2,0),"")</f>
        <v/>
      </c>
      <c r="E26" s="21"/>
      <c r="F26" s="21"/>
      <c r="G26" s="21"/>
      <c r="H26" s="121"/>
      <c r="I26" s="21"/>
      <c r="J26" s="11" t="str">
        <f>IFERROR(VLOOKUP($A26,'Мои блогеры'!$A$2:$N$673,8,0),"")</f>
        <v/>
      </c>
      <c r="K26" s="122"/>
      <c r="L26" s="122"/>
      <c r="M26" s="11" t="str">
        <f t="shared" si="11"/>
        <v/>
      </c>
      <c r="N26" s="21"/>
      <c r="O26" s="21"/>
      <c r="P26" s="21"/>
      <c r="Q26" s="120" t="str">
        <f>IFERROR(VLOOKUP($A26,'Мои блогеры'!$A$2:$N$673,10,0)&amp;"-TRG","")</f>
        <v/>
      </c>
      <c r="R26" s="21"/>
      <c r="S26" s="21"/>
      <c r="T26" s="122"/>
      <c r="U26" s="123" t="str">
        <f t="shared" si="12"/>
        <v/>
      </c>
      <c r="V26" s="122"/>
      <c r="W26" s="122"/>
      <c r="X26" s="123" t="str">
        <f t="shared" si="13"/>
        <v/>
      </c>
      <c r="Y26" s="122"/>
      <c r="Z26" s="122"/>
      <c r="AA26" s="122"/>
      <c r="AB26" s="124"/>
      <c r="AC26" s="11" t="str">
        <f t="shared" si="14"/>
        <v/>
      </c>
      <c r="AD26" s="122"/>
      <c r="AE26" s="11" t="str">
        <f t="shared" si="15"/>
        <v/>
      </c>
      <c r="AF26" s="11" t="str">
        <f t="shared" si="16"/>
        <v/>
      </c>
      <c r="AG26" s="11" t="str">
        <f t="shared" si="17"/>
        <v/>
      </c>
      <c r="AH26" s="21"/>
    </row>
    <row r="27" ht="15.0" customHeight="1">
      <c r="A27" s="21"/>
      <c r="B27" s="120" t="str">
        <f>IF($A27="","",IFERROR(HYPERLINK(VLOOKUP($A27,'Мои блогеры'!$A$2:$N$673,14,0),"🔗 открыть"),""))</f>
        <v/>
      </c>
      <c r="C27" s="11" t="str">
        <f>IFERROR(VLOOKUP($A27,'Мои блогеры'!$A:$N,5,0),"")</f>
        <v/>
      </c>
      <c r="D27" s="120" t="str">
        <f>IFERROR(VLOOKUP($A27,'Мои блогеры'!$A:$N,2,0),"")</f>
        <v/>
      </c>
      <c r="E27" s="21"/>
      <c r="F27" s="21"/>
      <c r="G27" s="21"/>
      <c r="H27" s="121"/>
      <c r="I27" s="21"/>
      <c r="J27" s="11" t="str">
        <f>IFERROR(VLOOKUP($A27,'Мои блогеры'!$A$2:$N$673,8,0),"")</f>
        <v/>
      </c>
      <c r="K27" s="122"/>
      <c r="L27" s="122"/>
      <c r="M27" s="11" t="str">
        <f t="shared" si="11"/>
        <v/>
      </c>
      <c r="N27" s="21"/>
      <c r="O27" s="21"/>
      <c r="P27" s="21"/>
      <c r="Q27" s="120" t="str">
        <f>IFERROR(VLOOKUP($A27,'Мои блогеры'!$A$2:$N$673,10,0)&amp;"-TRG","")</f>
        <v/>
      </c>
      <c r="R27" s="21"/>
      <c r="S27" s="21"/>
      <c r="T27" s="122"/>
      <c r="U27" s="123" t="str">
        <f t="shared" si="12"/>
        <v/>
      </c>
      <c r="V27" s="122"/>
      <c r="W27" s="122"/>
      <c r="X27" s="123" t="str">
        <f t="shared" si="13"/>
        <v/>
      </c>
      <c r="Y27" s="122"/>
      <c r="Z27" s="122"/>
      <c r="AA27" s="122"/>
      <c r="AB27" s="124"/>
      <c r="AC27" s="11" t="str">
        <f t="shared" si="14"/>
        <v/>
      </c>
      <c r="AD27" s="122"/>
      <c r="AE27" s="11" t="str">
        <f t="shared" si="15"/>
        <v/>
      </c>
      <c r="AF27" s="11" t="str">
        <f t="shared" si="16"/>
        <v/>
      </c>
      <c r="AG27" s="11" t="str">
        <f t="shared" si="17"/>
        <v/>
      </c>
      <c r="AH27" s="21"/>
    </row>
    <row r="28" ht="15.0" customHeight="1">
      <c r="A28" s="21"/>
      <c r="B28" s="120" t="str">
        <f>IF($A28="","",IFERROR(HYPERLINK(VLOOKUP($A28,'Мои блогеры'!$A$2:$N$673,14,0),"🔗 открыть"),""))</f>
        <v/>
      </c>
      <c r="C28" s="11" t="str">
        <f>IFERROR(VLOOKUP($A28,'Мои блогеры'!$A:$N,5,0),"")</f>
        <v/>
      </c>
      <c r="D28" s="120" t="str">
        <f>IFERROR(VLOOKUP($A28,'Мои блогеры'!$A:$N,2,0),"")</f>
        <v/>
      </c>
      <c r="E28" s="21"/>
      <c r="F28" s="21"/>
      <c r="G28" s="21"/>
      <c r="H28" s="121"/>
      <c r="I28" s="21"/>
      <c r="J28" s="11" t="str">
        <f>IFERROR(VLOOKUP($A28,'Мои блогеры'!$A$2:$N$673,8,0),"")</f>
        <v/>
      </c>
      <c r="K28" s="122"/>
      <c r="L28" s="122"/>
      <c r="M28" s="11" t="str">
        <f t="shared" si="11"/>
        <v/>
      </c>
      <c r="N28" s="21"/>
      <c r="O28" s="21"/>
      <c r="P28" s="21"/>
      <c r="Q28" s="120" t="str">
        <f>IFERROR(VLOOKUP($A28,'Мои блогеры'!$A$2:$N$673,10,0)&amp;"-TRG","")</f>
        <v/>
      </c>
      <c r="R28" s="21"/>
      <c r="S28" s="21"/>
      <c r="T28" s="122"/>
      <c r="U28" s="123" t="str">
        <f t="shared" si="12"/>
        <v/>
      </c>
      <c r="V28" s="122"/>
      <c r="W28" s="122"/>
      <c r="X28" s="123" t="str">
        <f t="shared" si="13"/>
        <v/>
      </c>
      <c r="Y28" s="122"/>
      <c r="Z28" s="122"/>
      <c r="AA28" s="122"/>
      <c r="AB28" s="124"/>
      <c r="AC28" s="11" t="str">
        <f t="shared" si="14"/>
        <v/>
      </c>
      <c r="AD28" s="122"/>
      <c r="AE28" s="11" t="str">
        <f t="shared" si="15"/>
        <v/>
      </c>
      <c r="AF28" s="11" t="str">
        <f t="shared" si="16"/>
        <v/>
      </c>
      <c r="AG28" s="11" t="str">
        <f t="shared" si="17"/>
        <v/>
      </c>
      <c r="AH28" s="21"/>
    </row>
    <row r="29" ht="15.0" customHeight="1">
      <c r="A29" s="21"/>
      <c r="B29" s="120" t="str">
        <f>IF($A29="","",IFERROR(HYPERLINK(VLOOKUP($A29,'Мои блогеры'!$A$2:$N$673,14,0),"🔗 открыть"),""))</f>
        <v/>
      </c>
      <c r="C29" s="11" t="str">
        <f>IFERROR(VLOOKUP($A29,'Мои блогеры'!$A:$N,5,0),"")</f>
        <v/>
      </c>
      <c r="D29" s="120" t="str">
        <f>IFERROR(VLOOKUP($A29,'Мои блогеры'!$A:$N,2,0),"")</f>
        <v/>
      </c>
      <c r="E29" s="21"/>
      <c r="F29" s="21"/>
      <c r="G29" s="21"/>
      <c r="H29" s="121"/>
      <c r="I29" s="21"/>
      <c r="J29" s="11" t="str">
        <f>IFERROR(VLOOKUP($A29,'Мои блогеры'!$A$2:$N$673,8,0),"")</f>
        <v/>
      </c>
      <c r="K29" s="122"/>
      <c r="L29" s="122"/>
      <c r="M29" s="11" t="str">
        <f t="shared" si="11"/>
        <v/>
      </c>
      <c r="N29" s="21"/>
      <c r="O29" s="21"/>
      <c r="P29" s="21"/>
      <c r="Q29" s="120" t="str">
        <f>IFERROR(VLOOKUP($A29,'Мои блогеры'!$A$2:$N$673,10,0)&amp;"-TRG","")</f>
        <v/>
      </c>
      <c r="R29" s="21"/>
      <c r="S29" s="21"/>
      <c r="T29" s="122"/>
      <c r="U29" s="123" t="str">
        <f t="shared" si="12"/>
        <v/>
      </c>
      <c r="V29" s="122"/>
      <c r="W29" s="122"/>
      <c r="X29" s="123" t="str">
        <f t="shared" si="13"/>
        <v/>
      </c>
      <c r="Y29" s="122"/>
      <c r="Z29" s="122"/>
      <c r="AA29" s="122"/>
      <c r="AB29" s="124"/>
      <c r="AC29" s="11" t="str">
        <f t="shared" si="14"/>
        <v/>
      </c>
      <c r="AD29" s="122"/>
      <c r="AE29" s="11" t="str">
        <f t="shared" si="15"/>
        <v/>
      </c>
      <c r="AF29" s="11" t="str">
        <f t="shared" si="16"/>
        <v/>
      </c>
      <c r="AG29" s="11" t="str">
        <f t="shared" si="17"/>
        <v/>
      </c>
      <c r="AH29" s="21"/>
    </row>
    <row r="30" ht="15.75" customHeight="1">
      <c r="A30" s="21"/>
      <c r="B30" s="120" t="str">
        <f>IF($A30="","",IFERROR(HYPERLINK(VLOOKUP($A30,'Мои блогеры'!$A$2:$N$673,14,0),"🔗 открыть"),""))</f>
        <v/>
      </c>
      <c r="C30" s="11" t="str">
        <f>IFERROR(VLOOKUP($A30,'Мои блогеры'!$A:$N,5,0),"")</f>
        <v/>
      </c>
      <c r="D30" s="120" t="str">
        <f>IFERROR(VLOOKUP($A30,'Мои блогеры'!$A:$N,2,0),"")</f>
        <v/>
      </c>
      <c r="E30" s="21"/>
      <c r="F30" s="21"/>
      <c r="G30" s="21"/>
      <c r="H30" s="121"/>
      <c r="I30" s="21"/>
      <c r="J30" s="11" t="str">
        <f>IFERROR(VLOOKUP($A30,'Мои блогеры'!$A$2:$N$673,8,0),"")</f>
        <v/>
      </c>
      <c r="K30" s="122"/>
      <c r="L30" s="122"/>
      <c r="M30" s="11" t="str">
        <f t="shared" si="11"/>
        <v/>
      </c>
      <c r="N30" s="21"/>
      <c r="O30" s="21"/>
      <c r="P30" s="21"/>
      <c r="Q30" s="120" t="str">
        <f>IFERROR(VLOOKUP($A30,'Мои блогеры'!$A$2:$N$673,10,0)&amp;"-TRG","")</f>
        <v/>
      </c>
      <c r="R30" s="21"/>
      <c r="S30" s="21"/>
      <c r="T30" s="122"/>
      <c r="U30" s="123" t="str">
        <f t="shared" si="12"/>
        <v/>
      </c>
      <c r="V30" s="122"/>
      <c r="W30" s="122"/>
      <c r="X30" s="123" t="str">
        <f t="shared" si="13"/>
        <v/>
      </c>
      <c r="Y30" s="122"/>
      <c r="Z30" s="122"/>
      <c r="AA30" s="122"/>
      <c r="AB30" s="124"/>
      <c r="AC30" s="11" t="str">
        <f t="shared" si="14"/>
        <v/>
      </c>
      <c r="AD30" s="122"/>
      <c r="AE30" s="11" t="str">
        <f t="shared" si="15"/>
        <v/>
      </c>
      <c r="AF30" s="11" t="str">
        <f t="shared" si="16"/>
        <v/>
      </c>
      <c r="AG30" s="11" t="str">
        <f t="shared" si="17"/>
        <v/>
      </c>
      <c r="AH30" s="21"/>
    </row>
    <row r="31" ht="15.0" customHeight="1">
      <c r="A31" s="21"/>
      <c r="B31" s="120" t="str">
        <f>IF($A31="","",IFERROR(HYPERLINK(VLOOKUP($A31,'Мои блогеры'!$A$2:$N$673,14,0),"🔗 открыть"),""))</f>
        <v/>
      </c>
      <c r="C31" s="11" t="str">
        <f>IFERROR(VLOOKUP($A31,'Мои блогеры'!$A:$N,5,0),"")</f>
        <v/>
      </c>
      <c r="D31" s="120" t="str">
        <f>IFERROR(VLOOKUP($A31,'Мои блогеры'!$A:$N,2,0),"")</f>
        <v/>
      </c>
      <c r="E31" s="21"/>
      <c r="F31" s="21"/>
      <c r="G31" s="21"/>
      <c r="H31" s="121"/>
      <c r="I31" s="21"/>
      <c r="J31" s="11" t="str">
        <f>IFERROR(VLOOKUP($A31,'Мои блогеры'!$A$2:$N$673,8,0),"")</f>
        <v/>
      </c>
      <c r="K31" s="122"/>
      <c r="L31" s="122"/>
      <c r="M31" s="11" t="str">
        <f t="shared" si="11"/>
        <v/>
      </c>
      <c r="N31" s="21"/>
      <c r="O31" s="21"/>
      <c r="P31" s="21"/>
      <c r="Q31" s="120" t="str">
        <f>IFERROR(VLOOKUP($A31,'Мои блогеры'!$A$2:$N$673,10,0)&amp;"-TRG","")</f>
        <v/>
      </c>
      <c r="R31" s="21"/>
      <c r="S31" s="21"/>
      <c r="T31" s="122"/>
      <c r="U31" s="123" t="str">
        <f t="shared" si="12"/>
        <v/>
      </c>
      <c r="V31" s="122"/>
      <c r="W31" s="122"/>
      <c r="X31" s="123" t="str">
        <f t="shared" si="13"/>
        <v/>
      </c>
      <c r="Y31" s="122"/>
      <c r="Z31" s="122"/>
      <c r="AA31" s="122"/>
      <c r="AB31" s="124"/>
      <c r="AC31" s="11" t="str">
        <f t="shared" si="14"/>
        <v/>
      </c>
      <c r="AD31" s="122"/>
      <c r="AE31" s="11" t="str">
        <f t="shared" si="15"/>
        <v/>
      </c>
      <c r="AF31" s="11" t="str">
        <f t="shared" si="16"/>
        <v/>
      </c>
      <c r="AG31" s="11" t="str">
        <f t="shared" si="17"/>
        <v/>
      </c>
      <c r="AH31" s="21"/>
    </row>
    <row r="32" ht="15.0" customHeight="1">
      <c r="A32" s="21"/>
      <c r="B32" s="120" t="str">
        <f>IF($A32="","",IFERROR(HYPERLINK(VLOOKUP($A32,'Мои блогеры'!$A$2:$N$673,14,0),"🔗 открыть"),""))</f>
        <v/>
      </c>
      <c r="C32" s="11" t="str">
        <f>IFERROR(VLOOKUP($A32,'Мои блогеры'!$A:$N,5,0),"")</f>
        <v/>
      </c>
      <c r="D32" s="120" t="str">
        <f>IFERROR(VLOOKUP($A32,'Мои блогеры'!$A:$N,2,0),"")</f>
        <v/>
      </c>
      <c r="E32" s="21"/>
      <c r="F32" s="21"/>
      <c r="G32" s="21"/>
      <c r="H32" s="121"/>
      <c r="I32" s="21"/>
      <c r="J32" s="11" t="str">
        <f>IFERROR(VLOOKUP($A32,'Мои блогеры'!$A$2:$N$673,8,0),"")</f>
        <v/>
      </c>
      <c r="K32" s="122"/>
      <c r="L32" s="122"/>
      <c r="M32" s="11" t="str">
        <f t="shared" si="11"/>
        <v/>
      </c>
      <c r="N32" s="21"/>
      <c r="O32" s="21"/>
      <c r="P32" s="21"/>
      <c r="Q32" s="120" t="str">
        <f>IFERROR(VLOOKUP($A32,'Мои блогеры'!$A$2:$N$673,10,0)&amp;"-TRG","")</f>
        <v/>
      </c>
      <c r="R32" s="21"/>
      <c r="S32" s="21"/>
      <c r="T32" s="122"/>
      <c r="U32" s="123" t="str">
        <f t="shared" si="12"/>
        <v/>
      </c>
      <c r="V32" s="122"/>
      <c r="W32" s="122"/>
      <c r="X32" s="123" t="str">
        <f t="shared" si="13"/>
        <v/>
      </c>
      <c r="Y32" s="122"/>
      <c r="Z32" s="122"/>
      <c r="AA32" s="122"/>
      <c r="AB32" s="124"/>
      <c r="AC32" s="11" t="str">
        <f t="shared" si="14"/>
        <v/>
      </c>
      <c r="AD32" s="122"/>
      <c r="AE32" s="11" t="str">
        <f t="shared" si="15"/>
        <v/>
      </c>
      <c r="AF32" s="11" t="str">
        <f t="shared" si="16"/>
        <v/>
      </c>
      <c r="AG32" s="11" t="str">
        <f t="shared" si="17"/>
        <v/>
      </c>
      <c r="AH32" s="21"/>
    </row>
    <row r="33" ht="15.0" customHeight="1">
      <c r="A33" s="21"/>
      <c r="B33" s="120" t="str">
        <f>IF($A33="","",IFERROR(HYPERLINK(VLOOKUP($A33,'Мои блогеры'!$A$2:$N$673,14,0),"🔗 открыть"),""))</f>
        <v/>
      </c>
      <c r="C33" s="11" t="str">
        <f>IFERROR(VLOOKUP($A33,'Мои блогеры'!$A:$N,5,0),"")</f>
        <v/>
      </c>
      <c r="D33" s="120" t="str">
        <f>IFERROR(VLOOKUP($A33,'Мои блогеры'!$A:$N,2,0),"")</f>
        <v/>
      </c>
      <c r="E33" s="21"/>
      <c r="F33" s="21"/>
      <c r="G33" s="21"/>
      <c r="H33" s="121"/>
      <c r="I33" s="21"/>
      <c r="J33" s="11" t="str">
        <f>IFERROR(VLOOKUP($A33,'Мои блогеры'!$A$2:$N$673,8,0),"")</f>
        <v/>
      </c>
      <c r="K33" s="122"/>
      <c r="L33" s="122"/>
      <c r="M33" s="11" t="str">
        <f t="shared" si="11"/>
        <v/>
      </c>
      <c r="N33" s="21"/>
      <c r="O33" s="21"/>
      <c r="P33" s="21"/>
      <c r="Q33" s="120" t="str">
        <f>IFERROR(VLOOKUP($A33,'Мои блогеры'!$A$2:$N$673,10,0)&amp;"-TRG","")</f>
        <v/>
      </c>
      <c r="R33" s="21"/>
      <c r="S33" s="21"/>
      <c r="T33" s="122"/>
      <c r="U33" s="123" t="str">
        <f t="shared" si="12"/>
        <v/>
      </c>
      <c r="V33" s="122"/>
      <c r="W33" s="122"/>
      <c r="X33" s="123" t="str">
        <f t="shared" si="13"/>
        <v/>
      </c>
      <c r="Y33" s="122"/>
      <c r="Z33" s="122"/>
      <c r="AA33" s="122"/>
      <c r="AB33" s="124"/>
      <c r="AC33" s="11" t="str">
        <f t="shared" si="14"/>
        <v/>
      </c>
      <c r="AD33" s="122"/>
      <c r="AE33" s="11" t="str">
        <f t="shared" si="15"/>
        <v/>
      </c>
      <c r="AF33" s="11" t="str">
        <f t="shared" si="16"/>
        <v/>
      </c>
      <c r="AG33" s="11" t="str">
        <f t="shared" si="17"/>
        <v/>
      </c>
      <c r="AH33" s="21"/>
    </row>
    <row r="34" ht="15.0" customHeight="1">
      <c r="A34" s="21"/>
      <c r="B34" s="120" t="str">
        <f>IF($A34="","",IFERROR(HYPERLINK(VLOOKUP($A34,'Мои блогеры'!$A$2:$N$673,14,0),"🔗 открыть"),""))</f>
        <v/>
      </c>
      <c r="C34" s="11" t="str">
        <f>IFERROR(VLOOKUP($A34,'Мои блогеры'!$A:$N,5,0),"")</f>
        <v/>
      </c>
      <c r="D34" s="120" t="str">
        <f>IFERROR(VLOOKUP($A34,'Мои блогеры'!$A:$N,2,0),"")</f>
        <v/>
      </c>
      <c r="E34" s="21"/>
      <c r="F34" s="21"/>
      <c r="G34" s="21"/>
      <c r="H34" s="121"/>
      <c r="I34" s="21"/>
      <c r="J34" s="11" t="str">
        <f>IFERROR(VLOOKUP($A34,'Мои блогеры'!$A$2:$N$673,8,0),"")</f>
        <v/>
      </c>
      <c r="K34" s="122"/>
      <c r="L34" s="122"/>
      <c r="M34" s="11" t="str">
        <f t="shared" si="11"/>
        <v/>
      </c>
      <c r="N34" s="21"/>
      <c r="O34" s="21"/>
      <c r="P34" s="21"/>
      <c r="Q34" s="120" t="str">
        <f>IFERROR(VLOOKUP($A34,'Мои блогеры'!$A$2:$N$673,10,0)&amp;"-TRG","")</f>
        <v/>
      </c>
      <c r="R34" s="21"/>
      <c r="S34" s="21"/>
      <c r="T34" s="122"/>
      <c r="U34" s="123" t="str">
        <f t="shared" si="12"/>
        <v/>
      </c>
      <c r="V34" s="122"/>
      <c r="W34" s="122"/>
      <c r="X34" s="123" t="str">
        <f t="shared" si="13"/>
        <v/>
      </c>
      <c r="Y34" s="122"/>
      <c r="Z34" s="122"/>
      <c r="AA34" s="122"/>
      <c r="AB34" s="124"/>
      <c r="AC34" s="11" t="str">
        <f t="shared" si="14"/>
        <v/>
      </c>
      <c r="AD34" s="122"/>
      <c r="AE34" s="11" t="str">
        <f t="shared" si="15"/>
        <v/>
      </c>
      <c r="AF34" s="11" t="str">
        <f t="shared" si="16"/>
        <v/>
      </c>
      <c r="AG34" s="11" t="str">
        <f t="shared" si="17"/>
        <v/>
      </c>
      <c r="AH34" s="21"/>
    </row>
    <row r="35" ht="15.0" customHeight="1">
      <c r="A35" s="21"/>
      <c r="B35" s="120" t="str">
        <f>IF($A35="","",IFERROR(HYPERLINK(VLOOKUP($A35,'Мои блогеры'!$A$2:$N$673,14,0),"🔗 открыть"),""))</f>
        <v/>
      </c>
      <c r="C35" s="11" t="str">
        <f>IFERROR(VLOOKUP($A35,'Мои блогеры'!$A:$N,5,0),"")</f>
        <v/>
      </c>
      <c r="D35" s="120" t="str">
        <f>IFERROR(VLOOKUP($A35,'Мои блогеры'!$A:$N,2,0),"")</f>
        <v/>
      </c>
      <c r="E35" s="21"/>
      <c r="F35" s="21"/>
      <c r="G35" s="21"/>
      <c r="H35" s="121"/>
      <c r="I35" s="21"/>
      <c r="J35" s="11" t="str">
        <f>IFERROR(VLOOKUP($A35,'Мои блогеры'!$A$2:$N$673,8,0),"")</f>
        <v/>
      </c>
      <c r="K35" s="122"/>
      <c r="L35" s="122"/>
      <c r="M35" s="11" t="str">
        <f t="shared" si="11"/>
        <v/>
      </c>
      <c r="N35" s="21"/>
      <c r="O35" s="21"/>
      <c r="P35" s="21"/>
      <c r="Q35" s="120" t="str">
        <f>IFERROR(VLOOKUP($A35,'Мои блогеры'!$A$2:$N$673,10,0)&amp;"-TRG","")</f>
        <v/>
      </c>
      <c r="R35" s="21"/>
      <c r="S35" s="21"/>
      <c r="T35" s="122"/>
      <c r="U35" s="123" t="str">
        <f t="shared" si="12"/>
        <v/>
      </c>
      <c r="V35" s="122"/>
      <c r="W35" s="122"/>
      <c r="X35" s="123" t="str">
        <f t="shared" si="13"/>
        <v/>
      </c>
      <c r="Y35" s="122"/>
      <c r="Z35" s="122"/>
      <c r="AA35" s="122"/>
      <c r="AB35" s="124"/>
      <c r="AC35" s="11" t="str">
        <f t="shared" si="14"/>
        <v/>
      </c>
      <c r="AD35" s="122"/>
      <c r="AE35" s="11" t="str">
        <f t="shared" si="15"/>
        <v/>
      </c>
      <c r="AF35" s="11" t="str">
        <f t="shared" si="16"/>
        <v/>
      </c>
      <c r="AG35" s="11" t="str">
        <f t="shared" si="17"/>
        <v/>
      </c>
      <c r="AH35" s="21"/>
    </row>
    <row r="36" ht="15.0" customHeight="1">
      <c r="A36" s="21"/>
      <c r="B36" s="120" t="str">
        <f>IF($A36="","",IFERROR(HYPERLINK(VLOOKUP($A36,'Мои блогеры'!$A$2:$N$673,14,0),"🔗 открыть"),""))</f>
        <v/>
      </c>
      <c r="C36" s="11" t="str">
        <f>IFERROR(VLOOKUP($A36,'Мои блогеры'!$A:$N,5,0),"")</f>
        <v/>
      </c>
      <c r="D36" s="120" t="str">
        <f>IFERROR(VLOOKUP($A36,'Мои блогеры'!$A:$N,2,0),"")</f>
        <v/>
      </c>
      <c r="E36" s="21"/>
      <c r="F36" s="21"/>
      <c r="G36" s="21"/>
      <c r="H36" s="121"/>
      <c r="I36" s="21"/>
      <c r="J36" s="11" t="str">
        <f>IFERROR(VLOOKUP($A36,'Мои блогеры'!$A$2:$N$673,8,0),"")</f>
        <v/>
      </c>
      <c r="K36" s="122"/>
      <c r="L36" s="122"/>
      <c r="M36" s="11" t="str">
        <f t="shared" si="11"/>
        <v/>
      </c>
      <c r="N36" s="21"/>
      <c r="O36" s="21"/>
      <c r="P36" s="21"/>
      <c r="Q36" s="120" t="str">
        <f>IFERROR(VLOOKUP($A36,'Мои блогеры'!$A$2:$N$673,10,0)&amp;"-TRG","")</f>
        <v/>
      </c>
      <c r="R36" s="21"/>
      <c r="S36" s="21"/>
      <c r="T36" s="122"/>
      <c r="U36" s="123" t="str">
        <f t="shared" si="12"/>
        <v/>
      </c>
      <c r="V36" s="122"/>
      <c r="W36" s="122"/>
      <c r="X36" s="123" t="str">
        <f t="shared" si="13"/>
        <v/>
      </c>
      <c r="Y36" s="122"/>
      <c r="Z36" s="122"/>
      <c r="AA36" s="122"/>
      <c r="AB36" s="124"/>
      <c r="AC36" s="11" t="str">
        <f t="shared" si="14"/>
        <v/>
      </c>
      <c r="AD36" s="122"/>
      <c r="AE36" s="11" t="str">
        <f t="shared" si="15"/>
        <v/>
      </c>
      <c r="AF36" s="11" t="str">
        <f t="shared" si="16"/>
        <v/>
      </c>
      <c r="AG36" s="11" t="str">
        <f t="shared" si="17"/>
        <v/>
      </c>
      <c r="AH36" s="21"/>
    </row>
    <row r="37" ht="15.0" customHeight="1">
      <c r="A37" s="21"/>
      <c r="B37" s="120" t="str">
        <f>IF($A37="","",IFERROR(HYPERLINK(VLOOKUP($A37,'Мои блогеры'!$A$2:$N$673,14,0),"🔗 открыть"),""))</f>
        <v/>
      </c>
      <c r="C37" s="11" t="str">
        <f>IFERROR(VLOOKUP($A37,'Мои блогеры'!$A:$N,5,0),"")</f>
        <v/>
      </c>
      <c r="D37" s="120" t="str">
        <f>IFERROR(VLOOKUP($A37,'Мои блогеры'!$A:$N,2,0),"")</f>
        <v/>
      </c>
      <c r="E37" s="21"/>
      <c r="F37" s="21"/>
      <c r="G37" s="21"/>
      <c r="H37" s="121"/>
      <c r="I37" s="21"/>
      <c r="J37" s="11" t="str">
        <f>IFERROR(VLOOKUP($A37,'Мои блогеры'!$A$2:$N$673,8,0),"")</f>
        <v/>
      </c>
      <c r="K37" s="122"/>
      <c r="L37" s="122"/>
      <c r="M37" s="11" t="str">
        <f t="shared" si="11"/>
        <v/>
      </c>
      <c r="N37" s="21"/>
      <c r="O37" s="21"/>
      <c r="P37" s="21"/>
      <c r="Q37" s="120" t="str">
        <f>IFERROR(VLOOKUP($A37,'Мои блогеры'!$A$2:$N$673,10,0)&amp;"-TRG","")</f>
        <v/>
      </c>
      <c r="R37" s="21"/>
      <c r="S37" s="21"/>
      <c r="T37" s="122"/>
      <c r="U37" s="123" t="str">
        <f t="shared" si="12"/>
        <v/>
      </c>
      <c r="V37" s="122"/>
      <c r="W37" s="122"/>
      <c r="X37" s="123" t="str">
        <f t="shared" si="13"/>
        <v/>
      </c>
      <c r="Y37" s="122"/>
      <c r="Z37" s="122"/>
      <c r="AA37" s="122"/>
      <c r="AB37" s="124"/>
      <c r="AC37" s="11" t="str">
        <f t="shared" si="14"/>
        <v/>
      </c>
      <c r="AD37" s="122"/>
      <c r="AE37" s="11" t="str">
        <f t="shared" si="15"/>
        <v/>
      </c>
      <c r="AF37" s="11" t="str">
        <f t="shared" si="16"/>
        <v/>
      </c>
      <c r="AG37" s="11" t="str">
        <f t="shared" si="17"/>
        <v/>
      </c>
      <c r="AH37" s="21"/>
    </row>
    <row r="38" ht="15.0" customHeight="1">
      <c r="A38" s="21"/>
      <c r="B38" s="120" t="str">
        <f>IF($A38="","",IFERROR(HYPERLINK(VLOOKUP($A38,'Мои блогеры'!$A$2:$N$673,14,0),"🔗 открыть"),""))</f>
        <v/>
      </c>
      <c r="C38" s="11" t="str">
        <f>IFERROR(VLOOKUP($A38,'Мои блогеры'!$A:$N,5,0),"")</f>
        <v/>
      </c>
      <c r="D38" s="120" t="str">
        <f>IFERROR(VLOOKUP($A38,'Мои блогеры'!$A:$N,2,0),"")</f>
        <v/>
      </c>
      <c r="E38" s="21"/>
      <c r="F38" s="21"/>
      <c r="G38" s="21"/>
      <c r="H38" s="121"/>
      <c r="I38" s="21"/>
      <c r="J38" s="11" t="str">
        <f>IFERROR(VLOOKUP($A38,'Мои блогеры'!$A$2:$N$673,8,0),"")</f>
        <v/>
      </c>
      <c r="K38" s="122"/>
      <c r="L38" s="122"/>
      <c r="M38" s="11" t="str">
        <f t="shared" si="11"/>
        <v/>
      </c>
      <c r="N38" s="21"/>
      <c r="O38" s="21"/>
      <c r="P38" s="21"/>
      <c r="Q38" s="120" t="str">
        <f>IFERROR(VLOOKUP($A38,'Мои блогеры'!$A$2:$N$673,10,0)&amp;"-TRG","")</f>
        <v/>
      </c>
      <c r="R38" s="21"/>
      <c r="S38" s="21"/>
      <c r="T38" s="122"/>
      <c r="U38" s="123" t="str">
        <f t="shared" si="12"/>
        <v/>
      </c>
      <c r="V38" s="122"/>
      <c r="W38" s="122"/>
      <c r="X38" s="123" t="str">
        <f t="shared" si="13"/>
        <v/>
      </c>
      <c r="Y38" s="122"/>
      <c r="Z38" s="122"/>
      <c r="AA38" s="122"/>
      <c r="AB38" s="124"/>
      <c r="AC38" s="11" t="str">
        <f t="shared" si="14"/>
        <v/>
      </c>
      <c r="AD38" s="122"/>
      <c r="AE38" s="11" t="str">
        <f t="shared" si="15"/>
        <v/>
      </c>
      <c r="AF38" s="11" t="str">
        <f t="shared" si="16"/>
        <v/>
      </c>
      <c r="AG38" s="11" t="str">
        <f t="shared" si="17"/>
        <v/>
      </c>
      <c r="AH38" s="21"/>
    </row>
    <row r="39" ht="15.0" customHeight="1">
      <c r="A39" s="126" t="s">
        <v>864</v>
      </c>
      <c r="B39" s="126"/>
      <c r="C39" s="127"/>
      <c r="D39" s="126"/>
      <c r="E39" s="126"/>
      <c r="F39" s="126"/>
      <c r="G39" s="126"/>
      <c r="H39" s="126"/>
      <c r="I39" s="126" t="str">
        <f>COUNTIF(I24:I38,"Вышло")&amp;" / "&amp;COUNTA(A24:A38)</f>
        <v>0 / 0</v>
      </c>
      <c r="J39" s="127">
        <f t="shared" ref="J39:M39" si="18">SUM(J24:J38)</f>
        <v>0</v>
      </c>
      <c r="K39" s="127">
        <f t="shared" si="18"/>
        <v>0</v>
      </c>
      <c r="L39" s="127">
        <f t="shared" si="18"/>
        <v>0</v>
      </c>
      <c r="M39" s="127">
        <f t="shared" si="18"/>
        <v>0</v>
      </c>
      <c r="N39" s="126"/>
      <c r="O39" s="126"/>
      <c r="P39" s="126"/>
      <c r="Q39" s="126"/>
      <c r="R39" s="126"/>
      <c r="S39" s="126"/>
      <c r="T39" s="127">
        <f>SUM(T24:T38)</f>
        <v>0</v>
      </c>
      <c r="U39" s="128" t="str">
        <f>IF(N(T39)=0,"",M39/T39)</f>
        <v/>
      </c>
      <c r="V39" s="127">
        <f t="shared" ref="V39:W39" si="19">SUM(V24:V38)</f>
        <v>0</v>
      </c>
      <c r="W39" s="127">
        <f t="shared" si="19"/>
        <v>0</v>
      </c>
      <c r="X39" s="128" t="str">
        <f>IF(N(V39)=0,"",M39/V39)</f>
        <v/>
      </c>
      <c r="Y39" s="127">
        <f t="shared" ref="Y39:AA39" si="20">SUM(Y24:Y38)</f>
        <v>0</v>
      </c>
      <c r="Z39" s="127">
        <f t="shared" si="20"/>
        <v>0</v>
      </c>
      <c r="AA39" s="127">
        <f t="shared" si="20"/>
        <v>0</v>
      </c>
      <c r="AB39" s="129"/>
      <c r="AC39" s="127">
        <f>SUM(AC24:AC38)</f>
        <v>0</v>
      </c>
      <c r="AD39" s="127"/>
      <c r="AE39" s="127">
        <f>SUM(AE24:AE38)</f>
        <v>0</v>
      </c>
      <c r="AF39" s="127" t="str">
        <f>IF(N(AC39)=0,"—",ROUND(M39/AC39,0))</f>
        <v>—</v>
      </c>
      <c r="AG39" s="127" t="str">
        <f>IF(N(Z39)=0,"—",ROUND(M39/Z39,0))</f>
        <v>—</v>
      </c>
      <c r="AH39" s="126"/>
    </row>
    <row r="40" ht="15.75" customHeight="1">
      <c r="A40" s="117" t="s">
        <v>865</v>
      </c>
      <c r="B40" s="117"/>
      <c r="C40" s="130"/>
      <c r="D40" s="117"/>
      <c r="E40" s="117"/>
      <c r="F40" s="117"/>
      <c r="G40" s="117"/>
      <c r="H40" s="117"/>
      <c r="I40" s="117"/>
      <c r="J40" s="130"/>
      <c r="K40" s="130"/>
      <c r="L40" s="130"/>
      <c r="M40" s="130"/>
      <c r="N40" s="117"/>
      <c r="O40" s="117"/>
      <c r="P40" s="117"/>
      <c r="Q40" s="117"/>
      <c r="R40" s="117"/>
      <c r="S40" s="117"/>
      <c r="T40" s="130"/>
      <c r="U40" s="131"/>
      <c r="V40" s="130"/>
      <c r="W40" s="130"/>
      <c r="X40" s="131"/>
      <c r="Y40" s="130"/>
      <c r="Z40" s="130"/>
      <c r="AA40" s="130"/>
      <c r="AB40" s="132"/>
      <c r="AC40" s="130"/>
      <c r="AD40" s="130"/>
      <c r="AE40" s="130"/>
      <c r="AF40" s="130"/>
      <c r="AG40" s="130"/>
      <c r="AH40" s="117"/>
    </row>
    <row r="41" ht="15.0" customHeight="1">
      <c r="A41" s="21"/>
      <c r="B41" s="120" t="str">
        <f>IF($A41="","",IFERROR(HYPERLINK(VLOOKUP($A41,'Мои блогеры'!$A$2:$N$673,14,0),"🔗 открыть"),""))</f>
        <v/>
      </c>
      <c r="C41" s="11" t="str">
        <f>IFERROR(VLOOKUP($A41,'Мои блогеры'!$A:$N,5,0),"")</f>
        <v/>
      </c>
      <c r="D41" s="120" t="str">
        <f>IFERROR(VLOOKUP($A41,'Мои блогеры'!$A:$N,2,0),"")</f>
        <v/>
      </c>
      <c r="E41" s="21"/>
      <c r="F41" s="21"/>
      <c r="G41" s="21"/>
      <c r="H41" s="121"/>
      <c r="I41" s="21"/>
      <c r="J41" s="11" t="str">
        <f>IFERROR(VLOOKUP($A41,'Мои блогеры'!$A$2:$N$673,8,0),"")</f>
        <v/>
      </c>
      <c r="K41" s="122"/>
      <c r="L41" s="122"/>
      <c r="M41" s="11" t="str">
        <f t="shared" ref="M41:M55" si="21">IF(N($J41)+N($K41)+N($L41)=0,"",N($J41)+N($K41)+N($L41))</f>
        <v/>
      </c>
      <c r="N41" s="21"/>
      <c r="O41" s="21"/>
      <c r="P41" s="21"/>
      <c r="Q41" s="120" t="str">
        <f>IFERROR(VLOOKUP($A41,'Мои блогеры'!$A$2:$N$673,10,0)&amp;"-TRG","")</f>
        <v/>
      </c>
      <c r="R41" s="21"/>
      <c r="S41" s="21"/>
      <c r="T41" s="122"/>
      <c r="U41" s="123" t="str">
        <f t="shared" ref="U41:U55" si="22">IF(N($T41)=0,"",$M41/$T41)</f>
        <v/>
      </c>
      <c r="V41" s="122"/>
      <c r="W41" s="122"/>
      <c r="X41" s="123" t="str">
        <f t="shared" ref="X41:X55" si="23">IF(N($V41)=0,"",$M41/$V41)</f>
        <v/>
      </c>
      <c r="Y41" s="122"/>
      <c r="Z41" s="122"/>
      <c r="AA41" s="122"/>
      <c r="AB41" s="124"/>
      <c r="AC41" s="11" t="str">
        <f t="shared" ref="AC41:AC55" si="24">IF(OR(N($Z41)=0,$AB41=""),"",ROUND($Z41*$AB41,0))</f>
        <v/>
      </c>
      <c r="AD41" s="122"/>
      <c r="AE41" s="11" t="str">
        <f t="shared" ref="AE41:AE55" si="25">IF(OR(N($AC41)=0,$AD41=""),"",ROUND($AC41*$AD41,0))</f>
        <v/>
      </c>
      <c r="AF41" s="11" t="str">
        <f t="shared" ref="AF41:AF55" si="26">IF(N($AC41)=0,"",ROUND($M41/$AC41,0))</f>
        <v/>
      </c>
      <c r="AG41" s="11" t="str">
        <f t="shared" ref="AG41:AG55" si="27">IF(N($Z41)=0,"",ROUND($M41/$Z41,0))</f>
        <v/>
      </c>
      <c r="AH41" s="21"/>
    </row>
    <row r="42" ht="15.0" customHeight="1">
      <c r="A42" s="21"/>
      <c r="B42" s="120" t="str">
        <f>IF($A42="","",IFERROR(HYPERLINK(VLOOKUP($A42,'Мои блогеры'!$A$2:$N$673,14,0),"🔗 открыть"),""))</f>
        <v/>
      </c>
      <c r="C42" s="11" t="str">
        <f>IFERROR(VLOOKUP($A42,'Мои блогеры'!$A:$N,5,0),"")</f>
        <v/>
      </c>
      <c r="D42" s="120" t="str">
        <f>IFERROR(VLOOKUP($A42,'Мои блогеры'!$A:$N,2,0),"")</f>
        <v/>
      </c>
      <c r="E42" s="21"/>
      <c r="F42" s="21"/>
      <c r="G42" s="21"/>
      <c r="H42" s="121"/>
      <c r="I42" s="21"/>
      <c r="J42" s="11" t="str">
        <f>IFERROR(VLOOKUP($A42,'Мои блогеры'!$A$2:$N$673,8,0),"")</f>
        <v/>
      </c>
      <c r="K42" s="122"/>
      <c r="L42" s="122"/>
      <c r="M42" s="11" t="str">
        <f t="shared" si="21"/>
        <v/>
      </c>
      <c r="N42" s="21"/>
      <c r="O42" s="21"/>
      <c r="P42" s="21"/>
      <c r="Q42" s="120" t="str">
        <f>IFERROR(VLOOKUP($A42,'Мои блогеры'!$A$2:$N$673,10,0)&amp;"-TRG","")</f>
        <v/>
      </c>
      <c r="R42" s="21"/>
      <c r="S42" s="21"/>
      <c r="T42" s="122"/>
      <c r="U42" s="123" t="str">
        <f t="shared" si="22"/>
        <v/>
      </c>
      <c r="V42" s="122"/>
      <c r="W42" s="122"/>
      <c r="X42" s="123" t="str">
        <f t="shared" si="23"/>
        <v/>
      </c>
      <c r="Y42" s="122"/>
      <c r="Z42" s="122"/>
      <c r="AA42" s="122"/>
      <c r="AB42" s="124"/>
      <c r="AC42" s="11" t="str">
        <f t="shared" si="24"/>
        <v/>
      </c>
      <c r="AD42" s="122"/>
      <c r="AE42" s="11" t="str">
        <f t="shared" si="25"/>
        <v/>
      </c>
      <c r="AF42" s="11" t="str">
        <f t="shared" si="26"/>
        <v/>
      </c>
      <c r="AG42" s="11" t="str">
        <f t="shared" si="27"/>
        <v/>
      </c>
      <c r="AH42" s="21"/>
    </row>
    <row r="43" ht="15.0" customHeight="1">
      <c r="A43" s="21"/>
      <c r="B43" s="120" t="str">
        <f>IF($A43="","",IFERROR(HYPERLINK(VLOOKUP($A43,'Мои блогеры'!$A$2:$N$673,14,0),"🔗 открыть"),""))</f>
        <v/>
      </c>
      <c r="C43" s="11" t="str">
        <f>IFERROR(VLOOKUP($A43,'Мои блогеры'!$A:$N,5,0),"")</f>
        <v/>
      </c>
      <c r="D43" s="120" t="str">
        <f>IFERROR(VLOOKUP($A43,'Мои блогеры'!$A:$N,2,0),"")</f>
        <v/>
      </c>
      <c r="E43" s="21"/>
      <c r="F43" s="21"/>
      <c r="G43" s="21"/>
      <c r="H43" s="121"/>
      <c r="I43" s="21"/>
      <c r="J43" s="11" t="str">
        <f>IFERROR(VLOOKUP($A43,'Мои блогеры'!$A$2:$N$673,8,0),"")</f>
        <v/>
      </c>
      <c r="K43" s="122"/>
      <c r="L43" s="122"/>
      <c r="M43" s="11" t="str">
        <f t="shared" si="21"/>
        <v/>
      </c>
      <c r="N43" s="21"/>
      <c r="O43" s="21"/>
      <c r="P43" s="21"/>
      <c r="Q43" s="120" t="str">
        <f>IFERROR(VLOOKUP($A43,'Мои блогеры'!$A$2:$N$673,10,0)&amp;"-TRG","")</f>
        <v/>
      </c>
      <c r="R43" s="21"/>
      <c r="S43" s="21"/>
      <c r="T43" s="122"/>
      <c r="U43" s="123" t="str">
        <f t="shared" si="22"/>
        <v/>
      </c>
      <c r="V43" s="122"/>
      <c r="W43" s="122"/>
      <c r="X43" s="123" t="str">
        <f t="shared" si="23"/>
        <v/>
      </c>
      <c r="Y43" s="122"/>
      <c r="Z43" s="122"/>
      <c r="AA43" s="122"/>
      <c r="AB43" s="124"/>
      <c r="AC43" s="11" t="str">
        <f t="shared" si="24"/>
        <v/>
      </c>
      <c r="AD43" s="122"/>
      <c r="AE43" s="11" t="str">
        <f t="shared" si="25"/>
        <v/>
      </c>
      <c r="AF43" s="11" t="str">
        <f t="shared" si="26"/>
        <v/>
      </c>
      <c r="AG43" s="11" t="str">
        <f t="shared" si="27"/>
        <v/>
      </c>
      <c r="AH43" s="21"/>
    </row>
    <row r="44" ht="15.0" customHeight="1">
      <c r="A44" s="21"/>
      <c r="B44" s="120" t="str">
        <f>IF($A44="","",IFERROR(HYPERLINK(VLOOKUP($A44,'Мои блогеры'!$A$2:$N$673,14,0),"🔗 открыть"),""))</f>
        <v/>
      </c>
      <c r="C44" s="11" t="str">
        <f>IFERROR(VLOOKUP($A44,'Мои блогеры'!$A:$N,5,0),"")</f>
        <v/>
      </c>
      <c r="D44" s="120" t="str">
        <f>IFERROR(VLOOKUP($A44,'Мои блогеры'!$A:$N,2,0),"")</f>
        <v/>
      </c>
      <c r="E44" s="21"/>
      <c r="F44" s="21"/>
      <c r="G44" s="21"/>
      <c r="H44" s="121"/>
      <c r="I44" s="21"/>
      <c r="J44" s="11" t="str">
        <f>IFERROR(VLOOKUP($A44,'Мои блогеры'!$A$2:$N$673,8,0),"")</f>
        <v/>
      </c>
      <c r="K44" s="122"/>
      <c r="L44" s="122"/>
      <c r="M44" s="11" t="str">
        <f t="shared" si="21"/>
        <v/>
      </c>
      <c r="N44" s="21"/>
      <c r="O44" s="21"/>
      <c r="P44" s="21"/>
      <c r="Q44" s="120" t="str">
        <f>IFERROR(VLOOKUP($A44,'Мои блогеры'!$A$2:$N$673,10,0)&amp;"-TRG","")</f>
        <v/>
      </c>
      <c r="R44" s="21"/>
      <c r="S44" s="21"/>
      <c r="T44" s="122"/>
      <c r="U44" s="123" t="str">
        <f t="shared" si="22"/>
        <v/>
      </c>
      <c r="V44" s="122"/>
      <c r="W44" s="122"/>
      <c r="X44" s="123" t="str">
        <f t="shared" si="23"/>
        <v/>
      </c>
      <c r="Y44" s="122"/>
      <c r="Z44" s="122"/>
      <c r="AA44" s="122"/>
      <c r="AB44" s="124"/>
      <c r="AC44" s="11" t="str">
        <f t="shared" si="24"/>
        <v/>
      </c>
      <c r="AD44" s="122"/>
      <c r="AE44" s="11" t="str">
        <f t="shared" si="25"/>
        <v/>
      </c>
      <c r="AF44" s="11" t="str">
        <f t="shared" si="26"/>
        <v/>
      </c>
      <c r="AG44" s="11" t="str">
        <f t="shared" si="27"/>
        <v/>
      </c>
      <c r="AH44" s="21"/>
    </row>
    <row r="45" ht="15.0" customHeight="1">
      <c r="A45" s="21"/>
      <c r="B45" s="120" t="str">
        <f>IF($A45="","",IFERROR(HYPERLINK(VLOOKUP($A45,'Мои блогеры'!$A$2:$N$673,14,0),"🔗 открыть"),""))</f>
        <v/>
      </c>
      <c r="C45" s="11" t="str">
        <f>IFERROR(VLOOKUP($A45,'Мои блогеры'!$A:$N,5,0),"")</f>
        <v/>
      </c>
      <c r="D45" s="120" t="str">
        <f>IFERROR(VLOOKUP($A45,'Мои блогеры'!$A:$N,2,0),"")</f>
        <v/>
      </c>
      <c r="E45" s="21"/>
      <c r="F45" s="21"/>
      <c r="G45" s="21"/>
      <c r="H45" s="121"/>
      <c r="I45" s="21"/>
      <c r="J45" s="11" t="str">
        <f>IFERROR(VLOOKUP($A45,'Мои блогеры'!$A$2:$N$673,8,0),"")</f>
        <v/>
      </c>
      <c r="K45" s="122"/>
      <c r="L45" s="122"/>
      <c r="M45" s="11" t="str">
        <f t="shared" si="21"/>
        <v/>
      </c>
      <c r="N45" s="21"/>
      <c r="O45" s="21"/>
      <c r="P45" s="21"/>
      <c r="Q45" s="120" t="str">
        <f>IFERROR(VLOOKUP($A45,'Мои блогеры'!$A$2:$N$673,10,0)&amp;"-TRG","")</f>
        <v/>
      </c>
      <c r="R45" s="21"/>
      <c r="S45" s="21"/>
      <c r="T45" s="122"/>
      <c r="U45" s="123" t="str">
        <f t="shared" si="22"/>
        <v/>
      </c>
      <c r="V45" s="122"/>
      <c r="W45" s="122"/>
      <c r="X45" s="123" t="str">
        <f t="shared" si="23"/>
        <v/>
      </c>
      <c r="Y45" s="122"/>
      <c r="Z45" s="122"/>
      <c r="AA45" s="122"/>
      <c r="AB45" s="124"/>
      <c r="AC45" s="11" t="str">
        <f t="shared" si="24"/>
        <v/>
      </c>
      <c r="AD45" s="122"/>
      <c r="AE45" s="11" t="str">
        <f t="shared" si="25"/>
        <v/>
      </c>
      <c r="AF45" s="11" t="str">
        <f t="shared" si="26"/>
        <v/>
      </c>
      <c r="AG45" s="11" t="str">
        <f t="shared" si="27"/>
        <v/>
      </c>
      <c r="AH45" s="21"/>
    </row>
    <row r="46" ht="15.0" customHeight="1">
      <c r="A46" s="21"/>
      <c r="B46" s="120" t="str">
        <f>IF($A46="","",IFERROR(HYPERLINK(VLOOKUP($A46,'Мои блогеры'!$A$2:$N$673,14,0),"🔗 открыть"),""))</f>
        <v/>
      </c>
      <c r="C46" s="11" t="str">
        <f>IFERROR(VLOOKUP($A46,'Мои блогеры'!$A:$N,5,0),"")</f>
        <v/>
      </c>
      <c r="D46" s="120" t="str">
        <f>IFERROR(VLOOKUP($A46,'Мои блогеры'!$A:$N,2,0),"")</f>
        <v/>
      </c>
      <c r="E46" s="21"/>
      <c r="F46" s="21"/>
      <c r="G46" s="21"/>
      <c r="H46" s="121"/>
      <c r="I46" s="21"/>
      <c r="J46" s="11" t="str">
        <f>IFERROR(VLOOKUP($A46,'Мои блогеры'!$A$2:$N$673,8,0),"")</f>
        <v/>
      </c>
      <c r="K46" s="122"/>
      <c r="L46" s="122"/>
      <c r="M46" s="11" t="str">
        <f t="shared" si="21"/>
        <v/>
      </c>
      <c r="N46" s="21"/>
      <c r="O46" s="21"/>
      <c r="P46" s="21"/>
      <c r="Q46" s="120" t="str">
        <f>IFERROR(VLOOKUP($A46,'Мои блогеры'!$A$2:$N$673,10,0)&amp;"-TRG","")</f>
        <v/>
      </c>
      <c r="R46" s="21"/>
      <c r="S46" s="21"/>
      <c r="T46" s="122"/>
      <c r="U46" s="123" t="str">
        <f t="shared" si="22"/>
        <v/>
      </c>
      <c r="V46" s="122"/>
      <c r="W46" s="122"/>
      <c r="X46" s="123" t="str">
        <f t="shared" si="23"/>
        <v/>
      </c>
      <c r="Y46" s="122"/>
      <c r="Z46" s="122"/>
      <c r="AA46" s="122"/>
      <c r="AB46" s="124"/>
      <c r="AC46" s="11" t="str">
        <f t="shared" si="24"/>
        <v/>
      </c>
      <c r="AD46" s="122"/>
      <c r="AE46" s="11" t="str">
        <f t="shared" si="25"/>
        <v/>
      </c>
      <c r="AF46" s="11" t="str">
        <f t="shared" si="26"/>
        <v/>
      </c>
      <c r="AG46" s="11" t="str">
        <f t="shared" si="27"/>
        <v/>
      </c>
      <c r="AH46" s="21"/>
    </row>
    <row r="47" ht="15.0" customHeight="1">
      <c r="A47" s="21"/>
      <c r="B47" s="120" t="str">
        <f>IF($A47="","",IFERROR(HYPERLINK(VLOOKUP($A47,'Мои блогеры'!$A$2:$N$673,14,0),"🔗 открыть"),""))</f>
        <v/>
      </c>
      <c r="C47" s="11" t="str">
        <f>IFERROR(VLOOKUP($A47,'Мои блогеры'!$A:$N,5,0),"")</f>
        <v/>
      </c>
      <c r="D47" s="120" t="str">
        <f>IFERROR(VLOOKUP($A47,'Мои блогеры'!$A:$N,2,0),"")</f>
        <v/>
      </c>
      <c r="E47" s="21"/>
      <c r="F47" s="21"/>
      <c r="G47" s="21"/>
      <c r="H47" s="121"/>
      <c r="I47" s="21"/>
      <c r="J47" s="11" t="str">
        <f>IFERROR(VLOOKUP($A47,'Мои блогеры'!$A$2:$N$673,8,0),"")</f>
        <v/>
      </c>
      <c r="K47" s="122"/>
      <c r="L47" s="122"/>
      <c r="M47" s="11" t="str">
        <f t="shared" si="21"/>
        <v/>
      </c>
      <c r="N47" s="21"/>
      <c r="O47" s="21"/>
      <c r="P47" s="21"/>
      <c r="Q47" s="120" t="str">
        <f>IFERROR(VLOOKUP($A47,'Мои блогеры'!$A$2:$N$673,10,0)&amp;"-TRG","")</f>
        <v/>
      </c>
      <c r="R47" s="21"/>
      <c r="S47" s="21"/>
      <c r="T47" s="122"/>
      <c r="U47" s="123" t="str">
        <f t="shared" si="22"/>
        <v/>
      </c>
      <c r="V47" s="122"/>
      <c r="W47" s="122"/>
      <c r="X47" s="123" t="str">
        <f t="shared" si="23"/>
        <v/>
      </c>
      <c r="Y47" s="122"/>
      <c r="Z47" s="122"/>
      <c r="AA47" s="122"/>
      <c r="AB47" s="124"/>
      <c r="AC47" s="11" t="str">
        <f t="shared" si="24"/>
        <v/>
      </c>
      <c r="AD47" s="122"/>
      <c r="AE47" s="11" t="str">
        <f t="shared" si="25"/>
        <v/>
      </c>
      <c r="AF47" s="11" t="str">
        <f t="shared" si="26"/>
        <v/>
      </c>
      <c r="AG47" s="11" t="str">
        <f t="shared" si="27"/>
        <v/>
      </c>
      <c r="AH47" s="21"/>
    </row>
    <row r="48" ht="15.0" customHeight="1">
      <c r="A48" s="21"/>
      <c r="B48" s="120" t="str">
        <f>IF($A48="","",IFERROR(HYPERLINK(VLOOKUP($A48,'Мои блогеры'!$A$2:$N$673,14,0),"🔗 открыть"),""))</f>
        <v/>
      </c>
      <c r="C48" s="11" t="str">
        <f>IFERROR(VLOOKUP($A48,'Мои блогеры'!$A:$N,5,0),"")</f>
        <v/>
      </c>
      <c r="D48" s="120" t="str">
        <f>IFERROR(VLOOKUP($A48,'Мои блогеры'!$A:$N,2,0),"")</f>
        <v/>
      </c>
      <c r="E48" s="21"/>
      <c r="F48" s="21"/>
      <c r="G48" s="21"/>
      <c r="H48" s="121"/>
      <c r="I48" s="21"/>
      <c r="J48" s="11" t="str">
        <f>IFERROR(VLOOKUP($A48,'Мои блогеры'!$A$2:$N$673,8,0),"")</f>
        <v/>
      </c>
      <c r="K48" s="122"/>
      <c r="L48" s="122"/>
      <c r="M48" s="11" t="str">
        <f t="shared" si="21"/>
        <v/>
      </c>
      <c r="N48" s="21"/>
      <c r="O48" s="21"/>
      <c r="P48" s="21"/>
      <c r="Q48" s="120" t="str">
        <f>IFERROR(VLOOKUP($A48,'Мои блогеры'!$A$2:$N$673,10,0)&amp;"-TRG","")</f>
        <v/>
      </c>
      <c r="R48" s="21"/>
      <c r="S48" s="21"/>
      <c r="T48" s="122"/>
      <c r="U48" s="123" t="str">
        <f t="shared" si="22"/>
        <v/>
      </c>
      <c r="V48" s="122"/>
      <c r="W48" s="122"/>
      <c r="X48" s="123" t="str">
        <f t="shared" si="23"/>
        <v/>
      </c>
      <c r="Y48" s="122"/>
      <c r="Z48" s="122"/>
      <c r="AA48" s="122"/>
      <c r="AB48" s="124"/>
      <c r="AC48" s="11" t="str">
        <f t="shared" si="24"/>
        <v/>
      </c>
      <c r="AD48" s="122"/>
      <c r="AE48" s="11" t="str">
        <f t="shared" si="25"/>
        <v/>
      </c>
      <c r="AF48" s="11" t="str">
        <f t="shared" si="26"/>
        <v/>
      </c>
      <c r="AG48" s="11" t="str">
        <f t="shared" si="27"/>
        <v/>
      </c>
      <c r="AH48" s="21"/>
    </row>
    <row r="49" ht="15.0" customHeight="1">
      <c r="A49" s="21"/>
      <c r="B49" s="120" t="str">
        <f>IF($A49="","",IFERROR(HYPERLINK(VLOOKUP($A49,'Мои блогеры'!$A$2:$N$673,14,0),"🔗 открыть"),""))</f>
        <v/>
      </c>
      <c r="C49" s="11" t="str">
        <f>IFERROR(VLOOKUP($A49,'Мои блогеры'!$A:$N,5,0),"")</f>
        <v/>
      </c>
      <c r="D49" s="120" t="str">
        <f>IFERROR(VLOOKUP($A49,'Мои блогеры'!$A:$N,2,0),"")</f>
        <v/>
      </c>
      <c r="E49" s="21"/>
      <c r="F49" s="21"/>
      <c r="G49" s="21"/>
      <c r="H49" s="121"/>
      <c r="I49" s="21"/>
      <c r="J49" s="11" t="str">
        <f>IFERROR(VLOOKUP($A49,'Мои блогеры'!$A$2:$N$673,8,0),"")</f>
        <v/>
      </c>
      <c r="K49" s="122"/>
      <c r="L49" s="122"/>
      <c r="M49" s="11" t="str">
        <f t="shared" si="21"/>
        <v/>
      </c>
      <c r="N49" s="21"/>
      <c r="O49" s="21"/>
      <c r="P49" s="21"/>
      <c r="Q49" s="120" t="str">
        <f>IFERROR(VLOOKUP($A49,'Мои блогеры'!$A$2:$N$673,10,0)&amp;"-TRG","")</f>
        <v/>
      </c>
      <c r="R49" s="21"/>
      <c r="S49" s="21"/>
      <c r="T49" s="122"/>
      <c r="U49" s="123" t="str">
        <f t="shared" si="22"/>
        <v/>
      </c>
      <c r="V49" s="122"/>
      <c r="W49" s="122"/>
      <c r="X49" s="123" t="str">
        <f t="shared" si="23"/>
        <v/>
      </c>
      <c r="Y49" s="122"/>
      <c r="Z49" s="122"/>
      <c r="AA49" s="122"/>
      <c r="AB49" s="124"/>
      <c r="AC49" s="11" t="str">
        <f t="shared" si="24"/>
        <v/>
      </c>
      <c r="AD49" s="122"/>
      <c r="AE49" s="11" t="str">
        <f t="shared" si="25"/>
        <v/>
      </c>
      <c r="AF49" s="11" t="str">
        <f t="shared" si="26"/>
        <v/>
      </c>
      <c r="AG49" s="11" t="str">
        <f t="shared" si="27"/>
        <v/>
      </c>
      <c r="AH49" s="21"/>
    </row>
    <row r="50" ht="15.75" customHeight="1">
      <c r="A50" s="21"/>
      <c r="B50" s="120" t="str">
        <f>IF($A50="","",IFERROR(HYPERLINK(VLOOKUP($A50,'Мои блогеры'!$A$2:$N$673,14,0),"🔗 открыть"),""))</f>
        <v/>
      </c>
      <c r="C50" s="11" t="str">
        <f>IFERROR(VLOOKUP($A50,'Мои блогеры'!$A:$N,5,0),"")</f>
        <v/>
      </c>
      <c r="D50" s="120" t="str">
        <f>IFERROR(VLOOKUP($A50,'Мои блогеры'!$A:$N,2,0),"")</f>
        <v/>
      </c>
      <c r="E50" s="21"/>
      <c r="F50" s="21"/>
      <c r="G50" s="21"/>
      <c r="H50" s="121"/>
      <c r="I50" s="21"/>
      <c r="J50" s="11" t="str">
        <f>IFERROR(VLOOKUP($A50,'Мои блогеры'!$A$2:$N$673,8,0),"")</f>
        <v/>
      </c>
      <c r="K50" s="122"/>
      <c r="L50" s="122"/>
      <c r="M50" s="11" t="str">
        <f t="shared" si="21"/>
        <v/>
      </c>
      <c r="N50" s="21"/>
      <c r="O50" s="21"/>
      <c r="P50" s="21"/>
      <c r="Q50" s="120" t="str">
        <f>IFERROR(VLOOKUP($A50,'Мои блогеры'!$A$2:$N$673,10,0)&amp;"-TRG","")</f>
        <v/>
      </c>
      <c r="R50" s="21"/>
      <c r="S50" s="21"/>
      <c r="T50" s="122"/>
      <c r="U50" s="123" t="str">
        <f t="shared" si="22"/>
        <v/>
      </c>
      <c r="V50" s="122"/>
      <c r="W50" s="122"/>
      <c r="X50" s="123" t="str">
        <f t="shared" si="23"/>
        <v/>
      </c>
      <c r="Y50" s="122"/>
      <c r="Z50" s="122"/>
      <c r="AA50" s="122"/>
      <c r="AB50" s="124"/>
      <c r="AC50" s="11" t="str">
        <f t="shared" si="24"/>
        <v/>
      </c>
      <c r="AD50" s="122"/>
      <c r="AE50" s="11" t="str">
        <f t="shared" si="25"/>
        <v/>
      </c>
      <c r="AF50" s="11" t="str">
        <f t="shared" si="26"/>
        <v/>
      </c>
      <c r="AG50" s="11" t="str">
        <f t="shared" si="27"/>
        <v/>
      </c>
      <c r="AH50" s="21"/>
    </row>
    <row r="51" ht="15.0" customHeight="1">
      <c r="A51" s="21"/>
      <c r="B51" s="120" t="str">
        <f>IF($A51="","",IFERROR(HYPERLINK(VLOOKUP($A51,'Мои блогеры'!$A$2:$N$673,14,0),"🔗 открыть"),""))</f>
        <v/>
      </c>
      <c r="C51" s="11" t="str">
        <f>IFERROR(VLOOKUP($A51,'Мои блогеры'!$A:$N,5,0),"")</f>
        <v/>
      </c>
      <c r="D51" s="120" t="str">
        <f>IFERROR(VLOOKUP($A51,'Мои блогеры'!$A:$N,2,0),"")</f>
        <v/>
      </c>
      <c r="E51" s="21"/>
      <c r="F51" s="21"/>
      <c r="G51" s="21"/>
      <c r="H51" s="121"/>
      <c r="I51" s="21"/>
      <c r="J51" s="11" t="str">
        <f>IFERROR(VLOOKUP($A51,'Мои блогеры'!$A$2:$N$673,8,0),"")</f>
        <v/>
      </c>
      <c r="K51" s="122"/>
      <c r="L51" s="122"/>
      <c r="M51" s="11" t="str">
        <f t="shared" si="21"/>
        <v/>
      </c>
      <c r="N51" s="21"/>
      <c r="O51" s="21"/>
      <c r="P51" s="21"/>
      <c r="Q51" s="120" t="str">
        <f>IFERROR(VLOOKUP($A51,'Мои блогеры'!$A$2:$N$673,10,0)&amp;"-TRG","")</f>
        <v/>
      </c>
      <c r="R51" s="21"/>
      <c r="S51" s="21"/>
      <c r="T51" s="122"/>
      <c r="U51" s="123" t="str">
        <f t="shared" si="22"/>
        <v/>
      </c>
      <c r="V51" s="122"/>
      <c r="W51" s="122"/>
      <c r="X51" s="123" t="str">
        <f t="shared" si="23"/>
        <v/>
      </c>
      <c r="Y51" s="122"/>
      <c r="Z51" s="122"/>
      <c r="AA51" s="122"/>
      <c r="AB51" s="124"/>
      <c r="AC51" s="11" t="str">
        <f t="shared" si="24"/>
        <v/>
      </c>
      <c r="AD51" s="122"/>
      <c r="AE51" s="11" t="str">
        <f t="shared" si="25"/>
        <v/>
      </c>
      <c r="AF51" s="11" t="str">
        <f t="shared" si="26"/>
        <v/>
      </c>
      <c r="AG51" s="11" t="str">
        <f t="shared" si="27"/>
        <v/>
      </c>
      <c r="AH51" s="21"/>
    </row>
    <row r="52" ht="15.0" customHeight="1">
      <c r="A52" s="21"/>
      <c r="B52" s="120" t="str">
        <f>IF($A52="","",IFERROR(HYPERLINK(VLOOKUP($A52,'Мои блогеры'!$A$2:$N$673,14,0),"🔗 открыть"),""))</f>
        <v/>
      </c>
      <c r="C52" s="11" t="str">
        <f>IFERROR(VLOOKUP($A52,'Мои блогеры'!$A:$N,5,0),"")</f>
        <v/>
      </c>
      <c r="D52" s="120" t="str">
        <f>IFERROR(VLOOKUP($A52,'Мои блогеры'!$A:$N,2,0),"")</f>
        <v/>
      </c>
      <c r="E52" s="21"/>
      <c r="F52" s="21"/>
      <c r="G52" s="21"/>
      <c r="H52" s="121"/>
      <c r="I52" s="21"/>
      <c r="J52" s="11" t="str">
        <f>IFERROR(VLOOKUP($A52,'Мои блогеры'!$A$2:$N$673,8,0),"")</f>
        <v/>
      </c>
      <c r="K52" s="122"/>
      <c r="L52" s="122"/>
      <c r="M52" s="11" t="str">
        <f t="shared" si="21"/>
        <v/>
      </c>
      <c r="N52" s="21"/>
      <c r="O52" s="21"/>
      <c r="P52" s="21"/>
      <c r="Q52" s="120" t="str">
        <f>IFERROR(VLOOKUP($A52,'Мои блогеры'!$A$2:$N$673,10,0)&amp;"-TRG","")</f>
        <v/>
      </c>
      <c r="R52" s="21"/>
      <c r="S52" s="21"/>
      <c r="T52" s="122"/>
      <c r="U52" s="123" t="str">
        <f t="shared" si="22"/>
        <v/>
      </c>
      <c r="V52" s="122"/>
      <c r="W52" s="122"/>
      <c r="X52" s="123" t="str">
        <f t="shared" si="23"/>
        <v/>
      </c>
      <c r="Y52" s="122"/>
      <c r="Z52" s="122"/>
      <c r="AA52" s="122"/>
      <c r="AB52" s="124"/>
      <c r="AC52" s="11" t="str">
        <f t="shared" si="24"/>
        <v/>
      </c>
      <c r="AD52" s="122"/>
      <c r="AE52" s="11" t="str">
        <f t="shared" si="25"/>
        <v/>
      </c>
      <c r="AF52" s="11" t="str">
        <f t="shared" si="26"/>
        <v/>
      </c>
      <c r="AG52" s="11" t="str">
        <f t="shared" si="27"/>
        <v/>
      </c>
      <c r="AH52" s="21"/>
    </row>
    <row r="53" ht="15.0" customHeight="1">
      <c r="A53" s="21"/>
      <c r="B53" s="120" t="str">
        <f>IF($A53="","",IFERROR(HYPERLINK(VLOOKUP($A53,'Мои блогеры'!$A$2:$N$673,14,0),"🔗 открыть"),""))</f>
        <v/>
      </c>
      <c r="C53" s="11" t="str">
        <f>IFERROR(VLOOKUP($A53,'Мои блогеры'!$A:$N,5,0),"")</f>
        <v/>
      </c>
      <c r="D53" s="120" t="str">
        <f>IFERROR(VLOOKUP($A53,'Мои блогеры'!$A:$N,2,0),"")</f>
        <v/>
      </c>
      <c r="E53" s="21"/>
      <c r="F53" s="21"/>
      <c r="G53" s="21"/>
      <c r="H53" s="121"/>
      <c r="I53" s="21"/>
      <c r="J53" s="11" t="str">
        <f>IFERROR(VLOOKUP($A53,'Мои блогеры'!$A$2:$N$673,8,0),"")</f>
        <v/>
      </c>
      <c r="K53" s="122"/>
      <c r="L53" s="122"/>
      <c r="M53" s="11" t="str">
        <f t="shared" si="21"/>
        <v/>
      </c>
      <c r="N53" s="21"/>
      <c r="O53" s="21"/>
      <c r="P53" s="21"/>
      <c r="Q53" s="120" t="str">
        <f>IFERROR(VLOOKUP($A53,'Мои блогеры'!$A$2:$N$673,10,0)&amp;"-TRG","")</f>
        <v/>
      </c>
      <c r="R53" s="21"/>
      <c r="S53" s="21"/>
      <c r="T53" s="122"/>
      <c r="U53" s="123" t="str">
        <f t="shared" si="22"/>
        <v/>
      </c>
      <c r="V53" s="122"/>
      <c r="W53" s="122"/>
      <c r="X53" s="123" t="str">
        <f t="shared" si="23"/>
        <v/>
      </c>
      <c r="Y53" s="122"/>
      <c r="Z53" s="122"/>
      <c r="AA53" s="122"/>
      <c r="AB53" s="124"/>
      <c r="AC53" s="11" t="str">
        <f t="shared" si="24"/>
        <v/>
      </c>
      <c r="AD53" s="122"/>
      <c r="AE53" s="11" t="str">
        <f t="shared" si="25"/>
        <v/>
      </c>
      <c r="AF53" s="11" t="str">
        <f t="shared" si="26"/>
        <v/>
      </c>
      <c r="AG53" s="11" t="str">
        <f t="shared" si="27"/>
        <v/>
      </c>
      <c r="AH53" s="21"/>
    </row>
    <row r="54" ht="15.0" customHeight="1">
      <c r="A54" s="21"/>
      <c r="B54" s="120" t="str">
        <f>IF($A54="","",IFERROR(HYPERLINK(VLOOKUP($A54,'Мои блогеры'!$A$2:$N$673,14,0),"🔗 открыть"),""))</f>
        <v/>
      </c>
      <c r="C54" s="11" t="str">
        <f>IFERROR(VLOOKUP($A54,'Мои блогеры'!$A:$N,5,0),"")</f>
        <v/>
      </c>
      <c r="D54" s="120" t="str">
        <f>IFERROR(VLOOKUP($A54,'Мои блогеры'!$A:$N,2,0),"")</f>
        <v/>
      </c>
      <c r="E54" s="21"/>
      <c r="F54" s="21"/>
      <c r="G54" s="21"/>
      <c r="H54" s="121"/>
      <c r="I54" s="21"/>
      <c r="J54" s="11" t="str">
        <f>IFERROR(VLOOKUP($A54,'Мои блогеры'!$A$2:$N$673,8,0),"")</f>
        <v/>
      </c>
      <c r="K54" s="122"/>
      <c r="L54" s="122"/>
      <c r="M54" s="11" t="str">
        <f t="shared" si="21"/>
        <v/>
      </c>
      <c r="N54" s="21"/>
      <c r="O54" s="21"/>
      <c r="P54" s="21"/>
      <c r="Q54" s="120" t="str">
        <f>IFERROR(VLOOKUP($A54,'Мои блогеры'!$A$2:$N$673,10,0)&amp;"-TRG","")</f>
        <v/>
      </c>
      <c r="R54" s="21"/>
      <c r="S54" s="21"/>
      <c r="T54" s="122"/>
      <c r="U54" s="123" t="str">
        <f t="shared" si="22"/>
        <v/>
      </c>
      <c r="V54" s="122"/>
      <c r="W54" s="122"/>
      <c r="X54" s="123" t="str">
        <f t="shared" si="23"/>
        <v/>
      </c>
      <c r="Y54" s="122"/>
      <c r="Z54" s="122"/>
      <c r="AA54" s="122"/>
      <c r="AB54" s="124"/>
      <c r="AC54" s="11" t="str">
        <f t="shared" si="24"/>
        <v/>
      </c>
      <c r="AD54" s="122"/>
      <c r="AE54" s="11" t="str">
        <f t="shared" si="25"/>
        <v/>
      </c>
      <c r="AF54" s="11" t="str">
        <f t="shared" si="26"/>
        <v/>
      </c>
      <c r="AG54" s="11" t="str">
        <f t="shared" si="27"/>
        <v/>
      </c>
      <c r="AH54" s="21"/>
    </row>
    <row r="55" ht="15.0" customHeight="1">
      <c r="A55" s="21"/>
      <c r="B55" s="120" t="str">
        <f>IF($A55="","",IFERROR(HYPERLINK(VLOOKUP($A55,'Мои блогеры'!$A$2:$N$673,14,0),"🔗 открыть"),""))</f>
        <v/>
      </c>
      <c r="C55" s="11" t="str">
        <f>IFERROR(VLOOKUP($A55,'Мои блогеры'!$A:$N,5,0),"")</f>
        <v/>
      </c>
      <c r="D55" s="120" t="str">
        <f>IFERROR(VLOOKUP($A55,'Мои блогеры'!$A:$N,2,0),"")</f>
        <v/>
      </c>
      <c r="E55" s="21"/>
      <c r="F55" s="21"/>
      <c r="G55" s="21"/>
      <c r="H55" s="121"/>
      <c r="I55" s="21"/>
      <c r="J55" s="11" t="str">
        <f>IFERROR(VLOOKUP($A55,'Мои блогеры'!$A$2:$N$673,8,0),"")</f>
        <v/>
      </c>
      <c r="K55" s="122"/>
      <c r="L55" s="122"/>
      <c r="M55" s="11" t="str">
        <f t="shared" si="21"/>
        <v/>
      </c>
      <c r="N55" s="21"/>
      <c r="O55" s="21"/>
      <c r="P55" s="21"/>
      <c r="Q55" s="120" t="str">
        <f>IFERROR(VLOOKUP($A55,'Мои блогеры'!$A$2:$N$673,10,0)&amp;"-TRG","")</f>
        <v/>
      </c>
      <c r="R55" s="21"/>
      <c r="S55" s="21"/>
      <c r="T55" s="122"/>
      <c r="U55" s="123" t="str">
        <f t="shared" si="22"/>
        <v/>
      </c>
      <c r="V55" s="122"/>
      <c r="W55" s="122"/>
      <c r="X55" s="123" t="str">
        <f t="shared" si="23"/>
        <v/>
      </c>
      <c r="Y55" s="122"/>
      <c r="Z55" s="122"/>
      <c r="AA55" s="122"/>
      <c r="AB55" s="124"/>
      <c r="AC55" s="11" t="str">
        <f t="shared" si="24"/>
        <v/>
      </c>
      <c r="AD55" s="122"/>
      <c r="AE55" s="11" t="str">
        <f t="shared" si="25"/>
        <v/>
      </c>
      <c r="AF55" s="11" t="str">
        <f t="shared" si="26"/>
        <v/>
      </c>
      <c r="AG55" s="11" t="str">
        <f t="shared" si="27"/>
        <v/>
      </c>
      <c r="AH55" s="21"/>
    </row>
    <row r="56" ht="15.0" customHeight="1">
      <c r="A56" s="126" t="s">
        <v>866</v>
      </c>
      <c r="B56" s="126"/>
      <c r="C56" s="127"/>
      <c r="D56" s="126"/>
      <c r="E56" s="126"/>
      <c r="F56" s="126"/>
      <c r="G56" s="126"/>
      <c r="H56" s="126"/>
      <c r="I56" s="126" t="str">
        <f>COUNTIF(I41:I55,"Вышло")&amp;" / "&amp;COUNTA(A41:A55)</f>
        <v>0 / 0</v>
      </c>
      <c r="J56" s="127">
        <f t="shared" ref="J56:M56" si="28">SUM(J41:J55)</f>
        <v>0</v>
      </c>
      <c r="K56" s="127">
        <f t="shared" si="28"/>
        <v>0</v>
      </c>
      <c r="L56" s="127">
        <f t="shared" si="28"/>
        <v>0</v>
      </c>
      <c r="M56" s="127">
        <f t="shared" si="28"/>
        <v>0</v>
      </c>
      <c r="N56" s="126"/>
      <c r="O56" s="126"/>
      <c r="P56" s="126"/>
      <c r="Q56" s="126"/>
      <c r="R56" s="126"/>
      <c r="S56" s="126"/>
      <c r="T56" s="127">
        <f>SUM(T41:T55)</f>
        <v>0</v>
      </c>
      <c r="U56" s="128" t="str">
        <f>IF(N(T56)=0,"",M56/T56)</f>
        <v/>
      </c>
      <c r="V56" s="127">
        <f t="shared" ref="V56:W56" si="29">SUM(V41:V55)</f>
        <v>0</v>
      </c>
      <c r="W56" s="127">
        <f t="shared" si="29"/>
        <v>0</v>
      </c>
      <c r="X56" s="128" t="str">
        <f>IF(N(V56)=0,"",M56/V56)</f>
        <v/>
      </c>
      <c r="Y56" s="127">
        <f t="shared" ref="Y56:AA56" si="30">SUM(Y41:Y55)</f>
        <v>0</v>
      </c>
      <c r="Z56" s="127">
        <f t="shared" si="30"/>
        <v>0</v>
      </c>
      <c r="AA56" s="127">
        <f t="shared" si="30"/>
        <v>0</v>
      </c>
      <c r="AB56" s="129"/>
      <c r="AC56" s="127">
        <f>SUM(AC41:AC55)</f>
        <v>0</v>
      </c>
      <c r="AD56" s="127"/>
      <c r="AE56" s="127">
        <f>SUM(AE41:AE55)</f>
        <v>0</v>
      </c>
      <c r="AF56" s="127" t="str">
        <f>IF(N(AC56)=0,"—",ROUND(M56/AC56,0))</f>
        <v>—</v>
      </c>
      <c r="AG56" s="127" t="str">
        <f>IF(N(Z56)=0,"—",ROUND(M56/Z56,0))</f>
        <v>—</v>
      </c>
      <c r="AH56" s="126"/>
    </row>
    <row r="57" ht="15.0" customHeight="1">
      <c r="A57" s="117" t="s">
        <v>867</v>
      </c>
      <c r="B57" s="117"/>
      <c r="C57" s="130"/>
      <c r="D57" s="117"/>
      <c r="E57" s="117"/>
      <c r="F57" s="117"/>
      <c r="G57" s="117"/>
      <c r="H57" s="117"/>
      <c r="I57" s="117"/>
      <c r="J57" s="130"/>
      <c r="K57" s="130"/>
      <c r="L57" s="130"/>
      <c r="M57" s="130"/>
      <c r="N57" s="117"/>
      <c r="O57" s="117"/>
      <c r="P57" s="117"/>
      <c r="Q57" s="117"/>
      <c r="R57" s="117"/>
      <c r="S57" s="117"/>
      <c r="T57" s="130"/>
      <c r="U57" s="131"/>
      <c r="V57" s="130"/>
      <c r="W57" s="130"/>
      <c r="X57" s="131"/>
      <c r="Y57" s="130"/>
      <c r="Z57" s="130"/>
      <c r="AA57" s="130"/>
      <c r="AB57" s="132"/>
      <c r="AC57" s="130"/>
      <c r="AD57" s="130"/>
      <c r="AE57" s="130"/>
      <c r="AF57" s="130"/>
      <c r="AG57" s="130"/>
      <c r="AH57" s="117"/>
    </row>
    <row r="58" ht="15.0" customHeight="1">
      <c r="A58" s="21"/>
      <c r="B58" s="120" t="str">
        <f>IF($A58="","",IFERROR(HYPERLINK(VLOOKUP($A58,'Мои блогеры'!$A$2:$N$673,14,0),"🔗 открыть"),""))</f>
        <v/>
      </c>
      <c r="C58" s="11" t="str">
        <f>IFERROR(VLOOKUP($A58,'Мои блогеры'!$A:$N,5,0),"")</f>
        <v/>
      </c>
      <c r="D58" s="120" t="str">
        <f>IFERROR(VLOOKUP($A58,'Мои блогеры'!$A:$N,2,0),"")</f>
        <v/>
      </c>
      <c r="E58" s="21"/>
      <c r="F58" s="21"/>
      <c r="G58" s="21"/>
      <c r="H58" s="121"/>
      <c r="I58" s="21"/>
      <c r="J58" s="11" t="str">
        <f>IFERROR(VLOOKUP($A58,'Мои блогеры'!$A$2:$N$673,8,0),"")</f>
        <v/>
      </c>
      <c r="K58" s="122"/>
      <c r="L58" s="122"/>
      <c r="M58" s="11" t="str">
        <f t="shared" ref="M58:M72" si="31">IF(N($J58)+N($K58)+N($L58)=0,"",N($J58)+N($K58)+N($L58))</f>
        <v/>
      </c>
      <c r="N58" s="21"/>
      <c r="O58" s="21"/>
      <c r="P58" s="21"/>
      <c r="Q58" s="120" t="str">
        <f>IFERROR(VLOOKUP($A58,'Мои блогеры'!$A$2:$N$673,10,0)&amp;"-TRG","")</f>
        <v/>
      </c>
      <c r="R58" s="21"/>
      <c r="S58" s="21"/>
      <c r="T58" s="122"/>
      <c r="U58" s="123" t="str">
        <f t="shared" ref="U58:U72" si="32">IF(N($T58)=0,"",$M58/$T58)</f>
        <v/>
      </c>
      <c r="V58" s="122"/>
      <c r="W58" s="122"/>
      <c r="X58" s="123" t="str">
        <f t="shared" ref="X58:X72" si="33">IF(N($V58)=0,"",$M58/$V58)</f>
        <v/>
      </c>
      <c r="Y58" s="122"/>
      <c r="Z58" s="122"/>
      <c r="AA58" s="122"/>
      <c r="AB58" s="124"/>
      <c r="AC58" s="11" t="str">
        <f t="shared" ref="AC58:AC72" si="34">IF(OR(N($Z58)=0,$AB58=""),"",ROUND($Z58*$AB58,0))</f>
        <v/>
      </c>
      <c r="AD58" s="122"/>
      <c r="AE58" s="11" t="str">
        <f t="shared" ref="AE58:AE72" si="35">IF(OR(N($AC58)=0,$AD58=""),"",ROUND($AC58*$AD58,0))</f>
        <v/>
      </c>
      <c r="AF58" s="11" t="str">
        <f t="shared" ref="AF58:AF72" si="36">IF(N($AC58)=0,"",ROUND($M58/$AC58,0))</f>
        <v/>
      </c>
      <c r="AG58" s="11" t="str">
        <f t="shared" ref="AG58:AG72" si="37">IF(N($Z58)=0,"",ROUND($M58/$Z58,0))</f>
        <v/>
      </c>
      <c r="AH58" s="21"/>
    </row>
    <row r="59" ht="15.0" hidden="1" customHeight="1">
      <c r="A59" s="21"/>
      <c r="B59" s="120" t="str">
        <f>IF($A59="","",IFERROR(HYPERLINK(VLOOKUP($A59,'Мои блогеры'!$A$2:$N$673,14,0),"🔗 открыть"),""))</f>
        <v/>
      </c>
      <c r="C59" s="11" t="str">
        <f>IFERROR(VLOOKUP($A59,'Мои блогеры'!$A:$N,5,0),"")</f>
        <v/>
      </c>
      <c r="D59" s="120" t="str">
        <f>IFERROR(VLOOKUP($A59,'Мои блогеры'!$A:$N,2,0),"")</f>
        <v/>
      </c>
      <c r="E59" s="21"/>
      <c r="F59" s="21"/>
      <c r="G59" s="21"/>
      <c r="H59" s="121"/>
      <c r="I59" s="21"/>
      <c r="J59" s="11" t="str">
        <f>IFERROR(VLOOKUP($A59,'Мои блогеры'!$A$2:$N$673,8,0),"")</f>
        <v/>
      </c>
      <c r="K59" s="122"/>
      <c r="L59" s="122"/>
      <c r="M59" s="11" t="str">
        <f t="shared" si="31"/>
        <v/>
      </c>
      <c r="N59" s="21"/>
      <c r="O59" s="21"/>
      <c r="P59" s="21"/>
      <c r="Q59" s="120" t="str">
        <f>IFERROR(VLOOKUP($A59,'Мои блогеры'!$A$2:$N$673,10,0)&amp;"-TRG","")</f>
        <v/>
      </c>
      <c r="R59" s="21"/>
      <c r="S59" s="21"/>
      <c r="T59" s="122"/>
      <c r="U59" s="123" t="str">
        <f t="shared" si="32"/>
        <v/>
      </c>
      <c r="V59" s="122"/>
      <c r="W59" s="122"/>
      <c r="X59" s="123" t="str">
        <f t="shared" si="33"/>
        <v/>
      </c>
      <c r="Y59" s="122"/>
      <c r="Z59" s="122"/>
      <c r="AA59" s="122"/>
      <c r="AB59" s="124"/>
      <c r="AC59" s="11" t="str">
        <f t="shared" si="34"/>
        <v/>
      </c>
      <c r="AD59" s="122"/>
      <c r="AE59" s="11" t="str">
        <f t="shared" si="35"/>
        <v/>
      </c>
      <c r="AF59" s="11" t="str">
        <f t="shared" si="36"/>
        <v/>
      </c>
      <c r="AG59" s="11" t="str">
        <f t="shared" si="37"/>
        <v/>
      </c>
      <c r="AH59" s="21"/>
    </row>
    <row r="60" ht="15.75" hidden="1" customHeight="1">
      <c r="A60" s="21"/>
      <c r="B60" s="120" t="str">
        <f>IF($A60="","",IFERROR(HYPERLINK(VLOOKUP($A60,'Мои блогеры'!$A$2:$N$673,14,0),"🔗 открыть"),""))</f>
        <v/>
      </c>
      <c r="C60" s="11" t="str">
        <f>IFERROR(VLOOKUP($A60,'Мои блогеры'!$A:$N,5,0),"")</f>
        <v/>
      </c>
      <c r="D60" s="120" t="str">
        <f>IFERROR(VLOOKUP($A60,'Мои блогеры'!$A:$N,2,0),"")</f>
        <v/>
      </c>
      <c r="E60" s="21"/>
      <c r="F60" s="21"/>
      <c r="G60" s="21"/>
      <c r="H60" s="121"/>
      <c r="I60" s="21"/>
      <c r="J60" s="11" t="str">
        <f>IFERROR(VLOOKUP($A60,'Мои блогеры'!$A$2:$N$673,8,0),"")</f>
        <v/>
      </c>
      <c r="K60" s="122"/>
      <c r="L60" s="122"/>
      <c r="M60" s="11" t="str">
        <f t="shared" si="31"/>
        <v/>
      </c>
      <c r="N60" s="21"/>
      <c r="O60" s="21"/>
      <c r="P60" s="21"/>
      <c r="Q60" s="120" t="str">
        <f>IFERROR(VLOOKUP($A60,'Мои блогеры'!$A$2:$N$673,10,0)&amp;"-TRG","")</f>
        <v/>
      </c>
      <c r="R60" s="21"/>
      <c r="S60" s="21"/>
      <c r="T60" s="122"/>
      <c r="U60" s="123" t="str">
        <f t="shared" si="32"/>
        <v/>
      </c>
      <c r="V60" s="122"/>
      <c r="W60" s="122"/>
      <c r="X60" s="123" t="str">
        <f t="shared" si="33"/>
        <v/>
      </c>
      <c r="Y60" s="122"/>
      <c r="Z60" s="122"/>
      <c r="AA60" s="122"/>
      <c r="AB60" s="124"/>
      <c r="AC60" s="11" t="str">
        <f t="shared" si="34"/>
        <v/>
      </c>
      <c r="AD60" s="122"/>
      <c r="AE60" s="11" t="str">
        <f t="shared" si="35"/>
        <v/>
      </c>
      <c r="AF60" s="11" t="str">
        <f t="shared" si="36"/>
        <v/>
      </c>
      <c r="AG60" s="11" t="str">
        <f t="shared" si="37"/>
        <v/>
      </c>
      <c r="AH60" s="21"/>
    </row>
    <row r="61" ht="15.0" hidden="1" customHeight="1">
      <c r="A61" s="21"/>
      <c r="B61" s="120" t="str">
        <f>IF($A61="","",IFERROR(HYPERLINK(VLOOKUP($A61,'Мои блогеры'!$A$2:$N$673,14,0),"🔗 открыть"),""))</f>
        <v/>
      </c>
      <c r="C61" s="11" t="str">
        <f>IFERROR(VLOOKUP($A61,'Мои блогеры'!$A:$N,5,0),"")</f>
        <v/>
      </c>
      <c r="D61" s="120" t="str">
        <f>IFERROR(VLOOKUP($A61,'Мои блогеры'!$A:$N,2,0),"")</f>
        <v/>
      </c>
      <c r="E61" s="21"/>
      <c r="F61" s="21"/>
      <c r="G61" s="21"/>
      <c r="H61" s="121"/>
      <c r="I61" s="21"/>
      <c r="J61" s="11" t="str">
        <f>IFERROR(VLOOKUP($A61,'Мои блогеры'!$A$2:$N$673,8,0),"")</f>
        <v/>
      </c>
      <c r="K61" s="122"/>
      <c r="L61" s="122"/>
      <c r="M61" s="11" t="str">
        <f t="shared" si="31"/>
        <v/>
      </c>
      <c r="N61" s="21"/>
      <c r="O61" s="21"/>
      <c r="P61" s="21"/>
      <c r="Q61" s="120" t="str">
        <f>IFERROR(VLOOKUP($A61,'Мои блогеры'!$A$2:$N$673,10,0)&amp;"-TRG","")</f>
        <v/>
      </c>
      <c r="R61" s="21"/>
      <c r="S61" s="21"/>
      <c r="T61" s="122"/>
      <c r="U61" s="123" t="str">
        <f t="shared" si="32"/>
        <v/>
      </c>
      <c r="V61" s="122"/>
      <c r="W61" s="122"/>
      <c r="X61" s="123" t="str">
        <f t="shared" si="33"/>
        <v/>
      </c>
      <c r="Y61" s="122"/>
      <c r="Z61" s="122"/>
      <c r="AA61" s="122"/>
      <c r="AB61" s="124"/>
      <c r="AC61" s="11" t="str">
        <f t="shared" si="34"/>
        <v/>
      </c>
      <c r="AD61" s="122"/>
      <c r="AE61" s="11" t="str">
        <f t="shared" si="35"/>
        <v/>
      </c>
      <c r="AF61" s="11" t="str">
        <f t="shared" si="36"/>
        <v/>
      </c>
      <c r="AG61" s="11" t="str">
        <f t="shared" si="37"/>
        <v/>
      </c>
      <c r="AH61" s="21"/>
    </row>
    <row r="62" ht="15.75" hidden="1" customHeight="1">
      <c r="A62" s="21"/>
      <c r="B62" s="120" t="str">
        <f>IF($A62="","",IFERROR(HYPERLINK(VLOOKUP($A62,'Мои блогеры'!$A$2:$N$673,14,0),"🔗 открыть"),""))</f>
        <v/>
      </c>
      <c r="C62" s="11" t="str">
        <f>IFERROR(VLOOKUP($A62,'Мои блогеры'!$A:$N,5,0),"")</f>
        <v/>
      </c>
      <c r="D62" s="120" t="str">
        <f>IFERROR(VLOOKUP($A62,'Мои блогеры'!$A:$N,2,0),"")</f>
        <v/>
      </c>
      <c r="E62" s="21"/>
      <c r="F62" s="21"/>
      <c r="G62" s="21"/>
      <c r="H62" s="121"/>
      <c r="I62" s="21"/>
      <c r="J62" s="11" t="str">
        <f>IFERROR(VLOOKUP($A62,'Мои блогеры'!$A$2:$N$673,8,0),"")</f>
        <v/>
      </c>
      <c r="K62" s="122"/>
      <c r="L62" s="122"/>
      <c r="M62" s="11" t="str">
        <f t="shared" si="31"/>
        <v/>
      </c>
      <c r="N62" s="21"/>
      <c r="O62" s="21"/>
      <c r="P62" s="21"/>
      <c r="Q62" s="120" t="str">
        <f>IFERROR(VLOOKUP($A62,'Мои блогеры'!$A$2:$N$673,10,0)&amp;"-TRG","")</f>
        <v/>
      </c>
      <c r="R62" s="21"/>
      <c r="S62" s="21"/>
      <c r="T62" s="122"/>
      <c r="U62" s="123" t="str">
        <f t="shared" si="32"/>
        <v/>
      </c>
      <c r="V62" s="122"/>
      <c r="W62" s="122"/>
      <c r="X62" s="123" t="str">
        <f t="shared" si="33"/>
        <v/>
      </c>
      <c r="Y62" s="122"/>
      <c r="Z62" s="122"/>
      <c r="AA62" s="122"/>
      <c r="AB62" s="124"/>
      <c r="AC62" s="11" t="str">
        <f t="shared" si="34"/>
        <v/>
      </c>
      <c r="AD62" s="122"/>
      <c r="AE62" s="11" t="str">
        <f t="shared" si="35"/>
        <v/>
      </c>
      <c r="AF62" s="11" t="str">
        <f t="shared" si="36"/>
        <v/>
      </c>
      <c r="AG62" s="11" t="str">
        <f t="shared" si="37"/>
        <v/>
      </c>
      <c r="AH62" s="21"/>
    </row>
    <row r="63" ht="15.75" hidden="1" customHeight="1">
      <c r="A63" s="21"/>
      <c r="B63" s="120" t="str">
        <f>IF($A63="","",IFERROR(HYPERLINK(VLOOKUP($A63,'Мои блогеры'!$A$2:$N$673,14,0),"🔗 открыть"),""))</f>
        <v/>
      </c>
      <c r="C63" s="11" t="str">
        <f>IFERROR(VLOOKUP($A63,'Мои блогеры'!$A:$N,5,0),"")</f>
        <v/>
      </c>
      <c r="D63" s="120" t="str">
        <f>IFERROR(VLOOKUP($A63,'Мои блогеры'!$A:$N,2,0),"")</f>
        <v/>
      </c>
      <c r="E63" s="21"/>
      <c r="F63" s="21"/>
      <c r="G63" s="21"/>
      <c r="H63" s="121"/>
      <c r="I63" s="21"/>
      <c r="J63" s="11" t="str">
        <f>IFERROR(VLOOKUP($A63,'Мои блогеры'!$A$2:$N$673,8,0),"")</f>
        <v/>
      </c>
      <c r="K63" s="122"/>
      <c r="L63" s="122"/>
      <c r="M63" s="11" t="str">
        <f t="shared" si="31"/>
        <v/>
      </c>
      <c r="N63" s="21"/>
      <c r="O63" s="21"/>
      <c r="P63" s="21"/>
      <c r="Q63" s="120" t="str">
        <f>IFERROR(VLOOKUP($A63,'Мои блогеры'!$A$2:$N$673,10,0)&amp;"-TRG","")</f>
        <v/>
      </c>
      <c r="R63" s="21"/>
      <c r="S63" s="21"/>
      <c r="T63" s="122"/>
      <c r="U63" s="123" t="str">
        <f t="shared" si="32"/>
        <v/>
      </c>
      <c r="V63" s="122"/>
      <c r="W63" s="122"/>
      <c r="X63" s="123" t="str">
        <f t="shared" si="33"/>
        <v/>
      </c>
      <c r="Y63" s="122"/>
      <c r="Z63" s="122"/>
      <c r="AA63" s="122"/>
      <c r="AB63" s="124"/>
      <c r="AC63" s="11" t="str">
        <f t="shared" si="34"/>
        <v/>
      </c>
      <c r="AD63" s="122"/>
      <c r="AE63" s="11" t="str">
        <f t="shared" si="35"/>
        <v/>
      </c>
      <c r="AF63" s="11" t="str">
        <f t="shared" si="36"/>
        <v/>
      </c>
      <c r="AG63" s="11" t="str">
        <f t="shared" si="37"/>
        <v/>
      </c>
      <c r="AH63" s="21"/>
    </row>
    <row r="64" ht="15.75" hidden="1" customHeight="1">
      <c r="A64" s="21"/>
      <c r="B64" s="120" t="str">
        <f>IF($A64="","",IFERROR(HYPERLINK(VLOOKUP($A64,'Мои блогеры'!$A$2:$N$673,14,0),"🔗 открыть"),""))</f>
        <v/>
      </c>
      <c r="C64" s="11" t="str">
        <f>IFERROR(VLOOKUP($A64,'Мои блогеры'!$A:$N,5,0),"")</f>
        <v/>
      </c>
      <c r="D64" s="120" t="str">
        <f>IFERROR(VLOOKUP($A64,'Мои блогеры'!$A:$N,2,0),"")</f>
        <v/>
      </c>
      <c r="E64" s="21"/>
      <c r="F64" s="21"/>
      <c r="G64" s="21"/>
      <c r="H64" s="121"/>
      <c r="I64" s="21"/>
      <c r="J64" s="11" t="str">
        <f>IFERROR(VLOOKUP($A64,'Мои блогеры'!$A$2:$N$673,8,0),"")</f>
        <v/>
      </c>
      <c r="K64" s="122"/>
      <c r="L64" s="122"/>
      <c r="M64" s="11" t="str">
        <f t="shared" si="31"/>
        <v/>
      </c>
      <c r="N64" s="21"/>
      <c r="O64" s="21"/>
      <c r="P64" s="21"/>
      <c r="Q64" s="120" t="str">
        <f>IFERROR(VLOOKUP($A64,'Мои блогеры'!$A$2:$N$673,10,0)&amp;"-TRG","")</f>
        <v/>
      </c>
      <c r="R64" s="21"/>
      <c r="S64" s="21"/>
      <c r="T64" s="122"/>
      <c r="U64" s="123" t="str">
        <f t="shared" si="32"/>
        <v/>
      </c>
      <c r="V64" s="122"/>
      <c r="W64" s="122"/>
      <c r="X64" s="123" t="str">
        <f t="shared" si="33"/>
        <v/>
      </c>
      <c r="Y64" s="122"/>
      <c r="Z64" s="122"/>
      <c r="AA64" s="122"/>
      <c r="AB64" s="124"/>
      <c r="AC64" s="11" t="str">
        <f t="shared" si="34"/>
        <v/>
      </c>
      <c r="AD64" s="122"/>
      <c r="AE64" s="11" t="str">
        <f t="shared" si="35"/>
        <v/>
      </c>
      <c r="AF64" s="11" t="str">
        <f t="shared" si="36"/>
        <v/>
      </c>
      <c r="AG64" s="11" t="str">
        <f t="shared" si="37"/>
        <v/>
      </c>
      <c r="AH64" s="21"/>
    </row>
    <row r="65" ht="15.75" hidden="1" customHeight="1">
      <c r="A65" s="21"/>
      <c r="B65" s="120" t="str">
        <f>IF($A65="","",IFERROR(HYPERLINK(VLOOKUP($A65,'Мои блогеры'!$A$2:$N$673,14,0),"🔗 открыть"),""))</f>
        <v/>
      </c>
      <c r="C65" s="11" t="str">
        <f>IFERROR(VLOOKUP($A65,'Мои блогеры'!$A:$N,5,0),"")</f>
        <v/>
      </c>
      <c r="D65" s="120" t="str">
        <f>IFERROR(VLOOKUP($A65,'Мои блогеры'!$A:$N,2,0),"")</f>
        <v/>
      </c>
      <c r="E65" s="21"/>
      <c r="F65" s="21"/>
      <c r="G65" s="21"/>
      <c r="H65" s="121"/>
      <c r="I65" s="21"/>
      <c r="J65" s="11" t="str">
        <f>IFERROR(VLOOKUP($A65,'Мои блогеры'!$A$2:$N$673,8,0),"")</f>
        <v/>
      </c>
      <c r="K65" s="122"/>
      <c r="L65" s="122"/>
      <c r="M65" s="11" t="str">
        <f t="shared" si="31"/>
        <v/>
      </c>
      <c r="N65" s="21"/>
      <c r="O65" s="21"/>
      <c r="P65" s="21"/>
      <c r="Q65" s="120" t="str">
        <f>IFERROR(VLOOKUP($A65,'Мои блогеры'!$A$2:$N$673,10,0)&amp;"-TRG","")</f>
        <v/>
      </c>
      <c r="R65" s="21"/>
      <c r="S65" s="21"/>
      <c r="T65" s="122"/>
      <c r="U65" s="123" t="str">
        <f t="shared" si="32"/>
        <v/>
      </c>
      <c r="V65" s="122"/>
      <c r="W65" s="122"/>
      <c r="X65" s="123" t="str">
        <f t="shared" si="33"/>
        <v/>
      </c>
      <c r="Y65" s="122"/>
      <c r="Z65" s="122"/>
      <c r="AA65" s="122"/>
      <c r="AB65" s="124"/>
      <c r="AC65" s="11" t="str">
        <f t="shared" si="34"/>
        <v/>
      </c>
      <c r="AD65" s="122"/>
      <c r="AE65" s="11" t="str">
        <f t="shared" si="35"/>
        <v/>
      </c>
      <c r="AF65" s="11" t="str">
        <f t="shared" si="36"/>
        <v/>
      </c>
      <c r="AG65" s="11" t="str">
        <f t="shared" si="37"/>
        <v/>
      </c>
      <c r="AH65" s="21"/>
    </row>
    <row r="66" ht="15.75" hidden="1" customHeight="1">
      <c r="A66" s="21"/>
      <c r="B66" s="120" t="str">
        <f>IF($A66="","",IFERROR(HYPERLINK(VLOOKUP($A66,'Мои блогеры'!$A$2:$N$673,14,0),"🔗 открыть"),""))</f>
        <v/>
      </c>
      <c r="C66" s="11" t="str">
        <f>IFERROR(VLOOKUP($A66,'Мои блогеры'!$A:$N,5,0),"")</f>
        <v/>
      </c>
      <c r="D66" s="120" t="str">
        <f>IFERROR(VLOOKUP($A66,'Мои блогеры'!$A:$N,2,0),"")</f>
        <v/>
      </c>
      <c r="E66" s="21"/>
      <c r="F66" s="21"/>
      <c r="G66" s="21"/>
      <c r="H66" s="121"/>
      <c r="I66" s="21"/>
      <c r="J66" s="11" t="str">
        <f>IFERROR(VLOOKUP($A66,'Мои блогеры'!$A$2:$N$673,8,0),"")</f>
        <v/>
      </c>
      <c r="K66" s="122"/>
      <c r="L66" s="122"/>
      <c r="M66" s="11" t="str">
        <f t="shared" si="31"/>
        <v/>
      </c>
      <c r="N66" s="21"/>
      <c r="O66" s="21"/>
      <c r="P66" s="21"/>
      <c r="Q66" s="120" t="str">
        <f>IFERROR(VLOOKUP($A66,'Мои блогеры'!$A$2:$N$673,10,0)&amp;"-TRG","")</f>
        <v/>
      </c>
      <c r="R66" s="21"/>
      <c r="S66" s="21"/>
      <c r="T66" s="122"/>
      <c r="U66" s="123" t="str">
        <f t="shared" si="32"/>
        <v/>
      </c>
      <c r="V66" s="122"/>
      <c r="W66" s="122"/>
      <c r="X66" s="123" t="str">
        <f t="shared" si="33"/>
        <v/>
      </c>
      <c r="Y66" s="122"/>
      <c r="Z66" s="122"/>
      <c r="AA66" s="122"/>
      <c r="AB66" s="124"/>
      <c r="AC66" s="11" t="str">
        <f t="shared" si="34"/>
        <v/>
      </c>
      <c r="AD66" s="122"/>
      <c r="AE66" s="11" t="str">
        <f t="shared" si="35"/>
        <v/>
      </c>
      <c r="AF66" s="11" t="str">
        <f t="shared" si="36"/>
        <v/>
      </c>
      <c r="AG66" s="11" t="str">
        <f t="shared" si="37"/>
        <v/>
      </c>
      <c r="AH66" s="21"/>
    </row>
    <row r="67" ht="15.75" hidden="1" customHeight="1">
      <c r="A67" s="21"/>
      <c r="B67" s="120" t="str">
        <f>IF($A67="","",IFERROR(HYPERLINK(VLOOKUP($A67,'Мои блогеры'!$A$2:$N$673,14,0),"🔗 открыть"),""))</f>
        <v/>
      </c>
      <c r="C67" s="11" t="str">
        <f>IFERROR(VLOOKUP($A67,'Мои блогеры'!$A:$N,5,0),"")</f>
        <v/>
      </c>
      <c r="D67" s="120" t="str">
        <f>IFERROR(VLOOKUP($A67,'Мои блогеры'!$A:$N,2,0),"")</f>
        <v/>
      </c>
      <c r="E67" s="21"/>
      <c r="F67" s="21"/>
      <c r="G67" s="21"/>
      <c r="H67" s="121"/>
      <c r="I67" s="21"/>
      <c r="J67" s="11" t="str">
        <f>IFERROR(VLOOKUP($A67,'Мои блогеры'!$A$2:$N$673,8,0),"")</f>
        <v/>
      </c>
      <c r="K67" s="122"/>
      <c r="L67" s="122"/>
      <c r="M67" s="11" t="str">
        <f t="shared" si="31"/>
        <v/>
      </c>
      <c r="N67" s="21"/>
      <c r="O67" s="21"/>
      <c r="P67" s="21"/>
      <c r="Q67" s="120" t="str">
        <f>IFERROR(VLOOKUP($A67,'Мои блогеры'!$A$2:$N$673,10,0)&amp;"-TRG","")</f>
        <v/>
      </c>
      <c r="R67" s="21"/>
      <c r="S67" s="21"/>
      <c r="T67" s="122"/>
      <c r="U67" s="123" t="str">
        <f t="shared" si="32"/>
        <v/>
      </c>
      <c r="V67" s="122"/>
      <c r="W67" s="122"/>
      <c r="X67" s="123" t="str">
        <f t="shared" si="33"/>
        <v/>
      </c>
      <c r="Y67" s="122"/>
      <c r="Z67" s="122"/>
      <c r="AA67" s="122"/>
      <c r="AB67" s="124"/>
      <c r="AC67" s="11" t="str">
        <f t="shared" si="34"/>
        <v/>
      </c>
      <c r="AD67" s="122"/>
      <c r="AE67" s="11" t="str">
        <f t="shared" si="35"/>
        <v/>
      </c>
      <c r="AF67" s="11" t="str">
        <f t="shared" si="36"/>
        <v/>
      </c>
      <c r="AG67" s="11" t="str">
        <f t="shared" si="37"/>
        <v/>
      </c>
      <c r="AH67" s="21"/>
    </row>
    <row r="68" ht="15.75" hidden="1" customHeight="1">
      <c r="A68" s="21"/>
      <c r="B68" s="120" t="str">
        <f>IF($A68="","",IFERROR(HYPERLINK(VLOOKUP($A68,'Мои блогеры'!$A$2:$N$673,14,0),"🔗 открыть"),""))</f>
        <v/>
      </c>
      <c r="C68" s="11" t="str">
        <f>IFERROR(VLOOKUP($A68,'Мои блогеры'!$A:$N,5,0),"")</f>
        <v/>
      </c>
      <c r="D68" s="120" t="str">
        <f>IFERROR(VLOOKUP($A68,'Мои блогеры'!$A:$N,2,0),"")</f>
        <v/>
      </c>
      <c r="E68" s="21"/>
      <c r="F68" s="21"/>
      <c r="G68" s="21"/>
      <c r="H68" s="121"/>
      <c r="I68" s="21"/>
      <c r="J68" s="11" t="str">
        <f>IFERROR(VLOOKUP($A68,'Мои блогеры'!$A$2:$N$673,8,0),"")</f>
        <v/>
      </c>
      <c r="K68" s="122"/>
      <c r="L68" s="122"/>
      <c r="M68" s="11" t="str">
        <f t="shared" si="31"/>
        <v/>
      </c>
      <c r="N68" s="21"/>
      <c r="O68" s="21"/>
      <c r="P68" s="21"/>
      <c r="Q68" s="120" t="str">
        <f>IFERROR(VLOOKUP($A68,'Мои блогеры'!$A$2:$N$673,10,0)&amp;"-TRG","")</f>
        <v/>
      </c>
      <c r="R68" s="21"/>
      <c r="S68" s="21"/>
      <c r="T68" s="122"/>
      <c r="U68" s="123" t="str">
        <f t="shared" si="32"/>
        <v/>
      </c>
      <c r="V68" s="122"/>
      <c r="W68" s="122"/>
      <c r="X68" s="123" t="str">
        <f t="shared" si="33"/>
        <v/>
      </c>
      <c r="Y68" s="122"/>
      <c r="Z68" s="122"/>
      <c r="AA68" s="122"/>
      <c r="AB68" s="124"/>
      <c r="AC68" s="11" t="str">
        <f t="shared" si="34"/>
        <v/>
      </c>
      <c r="AD68" s="122"/>
      <c r="AE68" s="11" t="str">
        <f t="shared" si="35"/>
        <v/>
      </c>
      <c r="AF68" s="11" t="str">
        <f t="shared" si="36"/>
        <v/>
      </c>
      <c r="AG68" s="11" t="str">
        <f t="shared" si="37"/>
        <v/>
      </c>
      <c r="AH68" s="21"/>
    </row>
    <row r="69" ht="15.75" hidden="1" customHeight="1">
      <c r="A69" s="21"/>
      <c r="B69" s="120" t="str">
        <f>IF($A69="","",IFERROR(HYPERLINK(VLOOKUP($A69,'Мои блогеры'!$A$2:$N$673,14,0),"🔗 открыть"),""))</f>
        <v/>
      </c>
      <c r="C69" s="11" t="str">
        <f>IFERROR(VLOOKUP($A69,'Мои блогеры'!$A:$N,5,0),"")</f>
        <v/>
      </c>
      <c r="D69" s="120" t="str">
        <f>IFERROR(VLOOKUP($A69,'Мои блогеры'!$A:$N,2,0),"")</f>
        <v/>
      </c>
      <c r="E69" s="21"/>
      <c r="F69" s="21"/>
      <c r="G69" s="21"/>
      <c r="H69" s="121"/>
      <c r="I69" s="21"/>
      <c r="J69" s="11" t="str">
        <f>IFERROR(VLOOKUP($A69,'Мои блогеры'!$A$2:$N$673,8,0),"")</f>
        <v/>
      </c>
      <c r="K69" s="122"/>
      <c r="L69" s="122"/>
      <c r="M69" s="11" t="str">
        <f t="shared" si="31"/>
        <v/>
      </c>
      <c r="N69" s="21"/>
      <c r="O69" s="21"/>
      <c r="P69" s="21"/>
      <c r="Q69" s="120" t="str">
        <f>IFERROR(VLOOKUP($A69,'Мои блогеры'!$A$2:$N$673,10,0)&amp;"-TRG","")</f>
        <v/>
      </c>
      <c r="R69" s="21"/>
      <c r="S69" s="21"/>
      <c r="T69" s="122"/>
      <c r="U69" s="123" t="str">
        <f t="shared" si="32"/>
        <v/>
      </c>
      <c r="V69" s="122"/>
      <c r="W69" s="122"/>
      <c r="X69" s="123" t="str">
        <f t="shared" si="33"/>
        <v/>
      </c>
      <c r="Y69" s="122"/>
      <c r="Z69" s="122"/>
      <c r="AA69" s="122"/>
      <c r="AB69" s="124"/>
      <c r="AC69" s="11" t="str">
        <f t="shared" si="34"/>
        <v/>
      </c>
      <c r="AD69" s="122"/>
      <c r="AE69" s="11" t="str">
        <f t="shared" si="35"/>
        <v/>
      </c>
      <c r="AF69" s="11" t="str">
        <f t="shared" si="36"/>
        <v/>
      </c>
      <c r="AG69" s="11" t="str">
        <f t="shared" si="37"/>
        <v/>
      </c>
      <c r="AH69" s="21"/>
    </row>
    <row r="70" ht="15.75" hidden="1" customHeight="1">
      <c r="A70" s="21"/>
      <c r="B70" s="120" t="str">
        <f>IF($A70="","",IFERROR(HYPERLINK(VLOOKUP($A70,'Мои блогеры'!$A$2:$N$673,14,0),"🔗 открыть"),""))</f>
        <v/>
      </c>
      <c r="C70" s="11" t="str">
        <f>IFERROR(VLOOKUP($A70,'Мои блогеры'!$A:$N,5,0),"")</f>
        <v/>
      </c>
      <c r="D70" s="120" t="str">
        <f>IFERROR(VLOOKUP($A70,'Мои блогеры'!$A:$N,2,0),"")</f>
        <v/>
      </c>
      <c r="E70" s="21"/>
      <c r="F70" s="21"/>
      <c r="G70" s="21"/>
      <c r="H70" s="121"/>
      <c r="I70" s="21"/>
      <c r="J70" s="11" t="str">
        <f>IFERROR(VLOOKUP($A70,'Мои блогеры'!$A$2:$N$673,8,0),"")</f>
        <v/>
      </c>
      <c r="K70" s="122"/>
      <c r="L70" s="122"/>
      <c r="M70" s="11" t="str">
        <f t="shared" si="31"/>
        <v/>
      </c>
      <c r="N70" s="21"/>
      <c r="O70" s="21"/>
      <c r="P70" s="21"/>
      <c r="Q70" s="120" t="str">
        <f>IFERROR(VLOOKUP($A70,'Мои блогеры'!$A$2:$N$673,10,0)&amp;"-TRG","")</f>
        <v/>
      </c>
      <c r="R70" s="21"/>
      <c r="S70" s="21"/>
      <c r="T70" s="122"/>
      <c r="U70" s="123" t="str">
        <f t="shared" si="32"/>
        <v/>
      </c>
      <c r="V70" s="122"/>
      <c r="W70" s="122"/>
      <c r="X70" s="123" t="str">
        <f t="shared" si="33"/>
        <v/>
      </c>
      <c r="Y70" s="122"/>
      <c r="Z70" s="122"/>
      <c r="AA70" s="122"/>
      <c r="AB70" s="124"/>
      <c r="AC70" s="11" t="str">
        <f t="shared" si="34"/>
        <v/>
      </c>
      <c r="AD70" s="122"/>
      <c r="AE70" s="11" t="str">
        <f t="shared" si="35"/>
        <v/>
      </c>
      <c r="AF70" s="11" t="str">
        <f t="shared" si="36"/>
        <v/>
      </c>
      <c r="AG70" s="11" t="str">
        <f t="shared" si="37"/>
        <v/>
      </c>
      <c r="AH70" s="21"/>
    </row>
    <row r="71" ht="15.75" hidden="1" customHeight="1">
      <c r="A71" s="21"/>
      <c r="B71" s="120" t="str">
        <f>IF($A71="","",IFERROR(HYPERLINK(VLOOKUP($A71,'Мои блогеры'!$A$2:$N$673,14,0),"🔗 открыть"),""))</f>
        <v/>
      </c>
      <c r="C71" s="11" t="str">
        <f>IFERROR(VLOOKUP($A71,'Мои блогеры'!$A:$N,5,0),"")</f>
        <v/>
      </c>
      <c r="D71" s="120" t="str">
        <f>IFERROR(VLOOKUP($A71,'Мои блогеры'!$A:$N,2,0),"")</f>
        <v/>
      </c>
      <c r="E71" s="21"/>
      <c r="F71" s="21"/>
      <c r="G71" s="21"/>
      <c r="H71" s="121"/>
      <c r="I71" s="21"/>
      <c r="J71" s="11" t="str">
        <f>IFERROR(VLOOKUP($A71,'Мои блогеры'!$A$2:$N$673,8,0),"")</f>
        <v/>
      </c>
      <c r="K71" s="122"/>
      <c r="L71" s="122"/>
      <c r="M71" s="11" t="str">
        <f t="shared" si="31"/>
        <v/>
      </c>
      <c r="N71" s="21"/>
      <c r="O71" s="21"/>
      <c r="P71" s="21"/>
      <c r="Q71" s="120" t="str">
        <f>IFERROR(VLOOKUP($A71,'Мои блогеры'!$A$2:$N$673,10,0)&amp;"-TRG","")</f>
        <v/>
      </c>
      <c r="R71" s="21"/>
      <c r="S71" s="21"/>
      <c r="T71" s="122"/>
      <c r="U71" s="123" t="str">
        <f t="shared" si="32"/>
        <v/>
      </c>
      <c r="V71" s="122"/>
      <c r="W71" s="122"/>
      <c r="X71" s="123" t="str">
        <f t="shared" si="33"/>
        <v/>
      </c>
      <c r="Y71" s="122"/>
      <c r="Z71" s="122"/>
      <c r="AA71" s="122"/>
      <c r="AB71" s="124"/>
      <c r="AC71" s="11" t="str">
        <f t="shared" si="34"/>
        <v/>
      </c>
      <c r="AD71" s="122"/>
      <c r="AE71" s="11" t="str">
        <f t="shared" si="35"/>
        <v/>
      </c>
      <c r="AF71" s="11" t="str">
        <f t="shared" si="36"/>
        <v/>
      </c>
      <c r="AG71" s="11" t="str">
        <f t="shared" si="37"/>
        <v/>
      </c>
      <c r="AH71" s="21"/>
    </row>
    <row r="72" ht="15.75" hidden="1" customHeight="1">
      <c r="A72" s="21"/>
      <c r="B72" s="120" t="str">
        <f>IF($A72="","",IFERROR(HYPERLINK(VLOOKUP($A72,'Мои блогеры'!$A$2:$N$673,14,0),"🔗 открыть"),""))</f>
        <v/>
      </c>
      <c r="C72" s="11" t="str">
        <f>IFERROR(VLOOKUP($A72,'Мои блогеры'!$A:$N,5,0),"")</f>
        <v/>
      </c>
      <c r="D72" s="120" t="str">
        <f>IFERROR(VLOOKUP($A72,'Мои блогеры'!$A:$N,2,0),"")</f>
        <v/>
      </c>
      <c r="E72" s="21"/>
      <c r="F72" s="21"/>
      <c r="G72" s="21"/>
      <c r="H72" s="121"/>
      <c r="I72" s="21"/>
      <c r="J72" s="11" t="str">
        <f>IFERROR(VLOOKUP($A72,'Мои блогеры'!$A$2:$N$673,8,0),"")</f>
        <v/>
      </c>
      <c r="K72" s="122"/>
      <c r="L72" s="122"/>
      <c r="M72" s="11" t="str">
        <f t="shared" si="31"/>
        <v/>
      </c>
      <c r="N72" s="21"/>
      <c r="O72" s="21"/>
      <c r="P72" s="21"/>
      <c r="Q72" s="120" t="str">
        <f>IFERROR(VLOOKUP($A72,'Мои блогеры'!$A$2:$N$673,10,0)&amp;"-TRG","")</f>
        <v/>
      </c>
      <c r="R72" s="21"/>
      <c r="S72" s="21"/>
      <c r="T72" s="122"/>
      <c r="U72" s="123" t="str">
        <f t="shared" si="32"/>
        <v/>
      </c>
      <c r="V72" s="122"/>
      <c r="W72" s="122"/>
      <c r="X72" s="123" t="str">
        <f t="shared" si="33"/>
        <v/>
      </c>
      <c r="Y72" s="122"/>
      <c r="Z72" s="122"/>
      <c r="AA72" s="122"/>
      <c r="AB72" s="124"/>
      <c r="AC72" s="11" t="str">
        <f t="shared" si="34"/>
        <v/>
      </c>
      <c r="AD72" s="122"/>
      <c r="AE72" s="11" t="str">
        <f t="shared" si="35"/>
        <v/>
      </c>
      <c r="AF72" s="11" t="str">
        <f t="shared" si="36"/>
        <v/>
      </c>
      <c r="AG72" s="11" t="str">
        <f t="shared" si="37"/>
        <v/>
      </c>
      <c r="AH72" s="21"/>
    </row>
    <row r="73" ht="15.75" hidden="1" customHeight="1">
      <c r="A73" s="126" t="s">
        <v>868</v>
      </c>
      <c r="B73" s="126"/>
      <c r="C73" s="127"/>
      <c r="D73" s="126"/>
      <c r="E73" s="126"/>
      <c r="F73" s="126"/>
      <c r="G73" s="126"/>
      <c r="H73" s="126"/>
      <c r="I73" s="126" t="str">
        <f>COUNTIF(I58:I72,"Вышло")&amp;" / "&amp;COUNTA(A58:A72)</f>
        <v>0 / 0</v>
      </c>
      <c r="J73" s="127">
        <f t="shared" ref="J73:M73" si="38">SUM(J58:J72)</f>
        <v>0</v>
      </c>
      <c r="K73" s="127">
        <f t="shared" si="38"/>
        <v>0</v>
      </c>
      <c r="L73" s="127">
        <f t="shared" si="38"/>
        <v>0</v>
      </c>
      <c r="M73" s="127">
        <f t="shared" si="38"/>
        <v>0</v>
      </c>
      <c r="N73" s="126"/>
      <c r="O73" s="126"/>
      <c r="P73" s="126"/>
      <c r="Q73" s="126"/>
      <c r="R73" s="126"/>
      <c r="S73" s="126"/>
      <c r="T73" s="127">
        <f>SUM(T58:T72)</f>
        <v>0</v>
      </c>
      <c r="U73" s="128" t="str">
        <f>IF(N(T73)=0,"",M73/T73)</f>
        <v/>
      </c>
      <c r="V73" s="127">
        <f t="shared" ref="V73:W73" si="39">SUM(V58:V72)</f>
        <v>0</v>
      </c>
      <c r="W73" s="127">
        <f t="shared" si="39"/>
        <v>0</v>
      </c>
      <c r="X73" s="128" t="str">
        <f>IF(N(V73)=0,"",M73/V73)</f>
        <v/>
      </c>
      <c r="Y73" s="127">
        <f t="shared" ref="Y73:AA73" si="40">SUM(Y58:Y72)</f>
        <v>0</v>
      </c>
      <c r="Z73" s="127">
        <f t="shared" si="40"/>
        <v>0</v>
      </c>
      <c r="AA73" s="127">
        <f t="shared" si="40"/>
        <v>0</v>
      </c>
      <c r="AB73" s="129"/>
      <c r="AC73" s="127">
        <f>SUM(AC58:AC72)</f>
        <v>0</v>
      </c>
      <c r="AD73" s="127"/>
      <c r="AE73" s="127">
        <f>SUM(AE58:AE72)</f>
        <v>0</v>
      </c>
      <c r="AF73" s="127" t="str">
        <f>IF(N(AC73)=0,"—",ROUND(M73/AC73,0))</f>
        <v>—</v>
      </c>
      <c r="AG73" s="127" t="str">
        <f>IF(N(Z73)=0,"—",ROUND(M73/Z73,0))</f>
        <v>—</v>
      </c>
      <c r="AH73" s="126"/>
    </row>
    <row r="74" ht="15.75" customHeight="1">
      <c r="A74" s="117" t="s">
        <v>869</v>
      </c>
      <c r="B74" s="117"/>
      <c r="C74" s="130"/>
      <c r="D74" s="117"/>
      <c r="E74" s="117"/>
      <c r="F74" s="117"/>
      <c r="G74" s="117"/>
      <c r="H74" s="117"/>
      <c r="I74" s="117"/>
      <c r="J74" s="130"/>
      <c r="K74" s="130"/>
      <c r="L74" s="130"/>
      <c r="M74" s="130"/>
      <c r="N74" s="117"/>
      <c r="O74" s="117"/>
      <c r="P74" s="117"/>
      <c r="Q74" s="117"/>
      <c r="R74" s="117"/>
      <c r="S74" s="117"/>
      <c r="T74" s="130"/>
      <c r="U74" s="131"/>
      <c r="V74" s="130"/>
      <c r="W74" s="130"/>
      <c r="X74" s="131"/>
      <c r="Y74" s="130"/>
      <c r="Z74" s="130"/>
      <c r="AA74" s="130"/>
      <c r="AB74" s="132"/>
      <c r="AC74" s="130"/>
      <c r="AD74" s="130"/>
      <c r="AE74" s="130"/>
      <c r="AF74" s="130"/>
      <c r="AG74" s="130"/>
      <c r="AH74" s="117"/>
    </row>
    <row r="75" ht="15.75" customHeight="1">
      <c r="A75" s="21"/>
      <c r="B75" s="120" t="str">
        <f>IF($A75="","",IFERROR(HYPERLINK(VLOOKUP($A75,'Мои блогеры'!$A$2:$N$673,14,0),"🔗 открыть"),""))</f>
        <v/>
      </c>
      <c r="C75" s="11" t="str">
        <f>IFERROR(VLOOKUP($A75,'Мои блогеры'!$A:$N,5,0),"")</f>
        <v/>
      </c>
      <c r="D75" s="120" t="str">
        <f>IFERROR(VLOOKUP($A75,'Мои блогеры'!$A:$N,2,0),"")</f>
        <v/>
      </c>
      <c r="E75" s="21"/>
      <c r="F75" s="21"/>
      <c r="G75" s="21"/>
      <c r="H75" s="121"/>
      <c r="I75" s="21"/>
      <c r="J75" s="11" t="str">
        <f>IFERROR(VLOOKUP($A75,'Мои блогеры'!$A$2:$N$673,8,0),"")</f>
        <v/>
      </c>
      <c r="K75" s="122"/>
      <c r="L75" s="122"/>
      <c r="M75" s="11" t="str">
        <f t="shared" ref="M75:M89" si="41">IF(N($J75)+N($K75)+N($L75)=0,"",N($J75)+N($K75)+N($L75))</f>
        <v/>
      </c>
      <c r="N75" s="21"/>
      <c r="O75" s="21"/>
      <c r="P75" s="21"/>
      <c r="Q75" s="120" t="str">
        <f>IFERROR(VLOOKUP($A75,'Мои блогеры'!$A$2:$N$673,10,0)&amp;"-TRG","")</f>
        <v/>
      </c>
      <c r="R75" s="21"/>
      <c r="S75" s="21"/>
      <c r="T75" s="122"/>
      <c r="U75" s="123" t="str">
        <f t="shared" ref="U75:U89" si="42">IF(N($T75)=0,"",$M75/$T75)</f>
        <v/>
      </c>
      <c r="V75" s="122"/>
      <c r="W75" s="122"/>
      <c r="X75" s="123" t="str">
        <f t="shared" ref="X75:X89" si="43">IF(N($V75)=0,"",$M75/$V75)</f>
        <v/>
      </c>
      <c r="Y75" s="122"/>
      <c r="Z75" s="122"/>
      <c r="AA75" s="122"/>
      <c r="AB75" s="124"/>
      <c r="AC75" s="11" t="str">
        <f t="shared" ref="AC75:AC89" si="44">IF(OR(N($Z75)=0,$AB75=""),"",ROUND($Z75*$AB75,0))</f>
        <v/>
      </c>
      <c r="AD75" s="122"/>
      <c r="AE75" s="11" t="str">
        <f t="shared" ref="AE75:AE89" si="45">IF(OR(N($AC75)=0,$AD75=""),"",ROUND($AC75*$AD75,0))</f>
        <v/>
      </c>
      <c r="AF75" s="11" t="str">
        <f t="shared" ref="AF75:AF89" si="46">IF(N($AC75)=0,"",ROUND($M75/$AC75,0))</f>
        <v/>
      </c>
      <c r="AG75" s="11" t="str">
        <f t="shared" ref="AG75:AG89" si="47">IF(N($Z75)=0,"",ROUND($M75/$Z75,0))</f>
        <v/>
      </c>
      <c r="AH75" s="21"/>
    </row>
    <row r="76" ht="15.75" hidden="1" customHeight="1">
      <c r="A76" s="21"/>
      <c r="B76" s="120" t="str">
        <f>IF($A76="","",IFERROR(HYPERLINK(VLOOKUP($A76,'Мои блогеры'!$A$2:$N$673,14,0),"🔗 открыть"),""))</f>
        <v/>
      </c>
      <c r="C76" s="11" t="str">
        <f>IFERROR(VLOOKUP($A76,'Мои блогеры'!$A:$N,5,0),"")</f>
        <v/>
      </c>
      <c r="D76" s="120" t="str">
        <f>IFERROR(VLOOKUP($A76,'Мои блогеры'!$A:$N,2,0),"")</f>
        <v/>
      </c>
      <c r="E76" s="21"/>
      <c r="F76" s="21"/>
      <c r="G76" s="21"/>
      <c r="H76" s="121"/>
      <c r="I76" s="21"/>
      <c r="J76" s="11" t="str">
        <f>IFERROR(VLOOKUP($A76,'Мои блогеры'!$A$2:$N$673,8,0),"")</f>
        <v/>
      </c>
      <c r="K76" s="122"/>
      <c r="L76" s="122"/>
      <c r="M76" s="11" t="str">
        <f t="shared" si="41"/>
        <v/>
      </c>
      <c r="N76" s="21"/>
      <c r="O76" s="21"/>
      <c r="P76" s="21"/>
      <c r="Q76" s="120" t="str">
        <f>IFERROR(VLOOKUP($A76,'Мои блогеры'!$A$2:$N$673,10,0)&amp;"-TRG","")</f>
        <v/>
      </c>
      <c r="R76" s="21"/>
      <c r="S76" s="21"/>
      <c r="T76" s="122"/>
      <c r="U76" s="123" t="str">
        <f t="shared" si="42"/>
        <v/>
      </c>
      <c r="V76" s="122"/>
      <c r="W76" s="122"/>
      <c r="X76" s="123" t="str">
        <f t="shared" si="43"/>
        <v/>
      </c>
      <c r="Y76" s="122"/>
      <c r="Z76" s="122"/>
      <c r="AA76" s="122"/>
      <c r="AB76" s="124"/>
      <c r="AC76" s="11" t="str">
        <f t="shared" si="44"/>
        <v/>
      </c>
      <c r="AD76" s="122"/>
      <c r="AE76" s="11" t="str">
        <f t="shared" si="45"/>
        <v/>
      </c>
      <c r="AF76" s="11" t="str">
        <f t="shared" si="46"/>
        <v/>
      </c>
      <c r="AG76" s="11" t="str">
        <f t="shared" si="47"/>
        <v/>
      </c>
      <c r="AH76" s="21"/>
    </row>
    <row r="77" ht="15.75" hidden="1" customHeight="1">
      <c r="A77" s="21"/>
      <c r="B77" s="120" t="str">
        <f>IF($A77="","",IFERROR(HYPERLINK(VLOOKUP($A77,'Мои блогеры'!$A$2:$N$673,14,0),"🔗 открыть"),""))</f>
        <v/>
      </c>
      <c r="C77" s="11" t="str">
        <f>IFERROR(VLOOKUP($A77,'Мои блогеры'!$A:$N,5,0),"")</f>
        <v/>
      </c>
      <c r="D77" s="120" t="str">
        <f>IFERROR(VLOOKUP($A77,'Мои блогеры'!$A:$N,2,0),"")</f>
        <v/>
      </c>
      <c r="E77" s="21"/>
      <c r="F77" s="21"/>
      <c r="G77" s="21"/>
      <c r="H77" s="121"/>
      <c r="I77" s="21"/>
      <c r="J77" s="11" t="str">
        <f>IFERROR(VLOOKUP($A77,'Мои блогеры'!$A$2:$N$673,8,0),"")</f>
        <v/>
      </c>
      <c r="K77" s="122"/>
      <c r="L77" s="122"/>
      <c r="M77" s="11" t="str">
        <f t="shared" si="41"/>
        <v/>
      </c>
      <c r="N77" s="21"/>
      <c r="O77" s="21"/>
      <c r="P77" s="21"/>
      <c r="Q77" s="120" t="str">
        <f>IFERROR(VLOOKUP($A77,'Мои блогеры'!$A$2:$N$673,10,0)&amp;"-TRG","")</f>
        <v/>
      </c>
      <c r="R77" s="21"/>
      <c r="S77" s="21"/>
      <c r="T77" s="122"/>
      <c r="U77" s="123" t="str">
        <f t="shared" si="42"/>
        <v/>
      </c>
      <c r="V77" s="122"/>
      <c r="W77" s="122"/>
      <c r="X77" s="123" t="str">
        <f t="shared" si="43"/>
        <v/>
      </c>
      <c r="Y77" s="122"/>
      <c r="Z77" s="122"/>
      <c r="AA77" s="122"/>
      <c r="AB77" s="124"/>
      <c r="AC77" s="11" t="str">
        <f t="shared" si="44"/>
        <v/>
      </c>
      <c r="AD77" s="122"/>
      <c r="AE77" s="11" t="str">
        <f t="shared" si="45"/>
        <v/>
      </c>
      <c r="AF77" s="11" t="str">
        <f t="shared" si="46"/>
        <v/>
      </c>
      <c r="AG77" s="11" t="str">
        <f t="shared" si="47"/>
        <v/>
      </c>
      <c r="AH77" s="21"/>
    </row>
    <row r="78" ht="15.75" hidden="1" customHeight="1">
      <c r="A78" s="21"/>
      <c r="B78" s="120" t="str">
        <f>IF($A78="","",IFERROR(HYPERLINK(VLOOKUP($A78,'Мои блогеры'!$A$2:$N$673,14,0),"🔗 открыть"),""))</f>
        <v/>
      </c>
      <c r="C78" s="11" t="str">
        <f>IFERROR(VLOOKUP($A78,'Мои блогеры'!$A:$N,5,0),"")</f>
        <v/>
      </c>
      <c r="D78" s="120" t="str">
        <f>IFERROR(VLOOKUP($A78,'Мои блогеры'!$A:$N,2,0),"")</f>
        <v/>
      </c>
      <c r="E78" s="21"/>
      <c r="F78" s="21"/>
      <c r="G78" s="21"/>
      <c r="H78" s="121"/>
      <c r="I78" s="21"/>
      <c r="J78" s="11" t="str">
        <f>IFERROR(VLOOKUP($A78,'Мои блогеры'!$A$2:$N$673,8,0),"")</f>
        <v/>
      </c>
      <c r="K78" s="122"/>
      <c r="L78" s="122"/>
      <c r="M78" s="11" t="str">
        <f t="shared" si="41"/>
        <v/>
      </c>
      <c r="N78" s="21"/>
      <c r="O78" s="21"/>
      <c r="P78" s="21"/>
      <c r="Q78" s="120" t="str">
        <f>IFERROR(VLOOKUP($A78,'Мои блогеры'!$A$2:$N$673,10,0)&amp;"-TRG","")</f>
        <v/>
      </c>
      <c r="R78" s="21"/>
      <c r="S78" s="21"/>
      <c r="T78" s="122"/>
      <c r="U78" s="123" t="str">
        <f t="shared" si="42"/>
        <v/>
      </c>
      <c r="V78" s="122"/>
      <c r="W78" s="122"/>
      <c r="X78" s="123" t="str">
        <f t="shared" si="43"/>
        <v/>
      </c>
      <c r="Y78" s="122"/>
      <c r="Z78" s="122"/>
      <c r="AA78" s="122"/>
      <c r="AB78" s="124"/>
      <c r="AC78" s="11" t="str">
        <f t="shared" si="44"/>
        <v/>
      </c>
      <c r="AD78" s="122"/>
      <c r="AE78" s="11" t="str">
        <f t="shared" si="45"/>
        <v/>
      </c>
      <c r="AF78" s="11" t="str">
        <f t="shared" si="46"/>
        <v/>
      </c>
      <c r="AG78" s="11" t="str">
        <f t="shared" si="47"/>
        <v/>
      </c>
      <c r="AH78" s="21"/>
    </row>
    <row r="79" ht="15.75" hidden="1" customHeight="1">
      <c r="A79" s="21"/>
      <c r="B79" s="120" t="str">
        <f>IF($A79="","",IFERROR(HYPERLINK(VLOOKUP($A79,'Мои блогеры'!$A$2:$N$673,14,0),"🔗 открыть"),""))</f>
        <v/>
      </c>
      <c r="C79" s="11" t="str">
        <f>IFERROR(VLOOKUP($A79,'Мои блогеры'!$A:$N,5,0),"")</f>
        <v/>
      </c>
      <c r="D79" s="120" t="str">
        <f>IFERROR(VLOOKUP($A79,'Мои блогеры'!$A:$N,2,0),"")</f>
        <v/>
      </c>
      <c r="E79" s="21"/>
      <c r="F79" s="21"/>
      <c r="G79" s="21"/>
      <c r="H79" s="121"/>
      <c r="I79" s="21"/>
      <c r="J79" s="11" t="str">
        <f>IFERROR(VLOOKUP($A79,'Мои блогеры'!$A$2:$N$673,8,0),"")</f>
        <v/>
      </c>
      <c r="K79" s="122"/>
      <c r="L79" s="122"/>
      <c r="M79" s="11" t="str">
        <f t="shared" si="41"/>
        <v/>
      </c>
      <c r="N79" s="21"/>
      <c r="O79" s="21"/>
      <c r="P79" s="21"/>
      <c r="Q79" s="120" t="str">
        <f>IFERROR(VLOOKUP($A79,'Мои блогеры'!$A$2:$N$673,10,0)&amp;"-TRG","")</f>
        <v/>
      </c>
      <c r="R79" s="21"/>
      <c r="S79" s="21"/>
      <c r="T79" s="122"/>
      <c r="U79" s="123" t="str">
        <f t="shared" si="42"/>
        <v/>
      </c>
      <c r="V79" s="122"/>
      <c r="W79" s="122"/>
      <c r="X79" s="123" t="str">
        <f t="shared" si="43"/>
        <v/>
      </c>
      <c r="Y79" s="122"/>
      <c r="Z79" s="122"/>
      <c r="AA79" s="122"/>
      <c r="AB79" s="124"/>
      <c r="AC79" s="11" t="str">
        <f t="shared" si="44"/>
        <v/>
      </c>
      <c r="AD79" s="122"/>
      <c r="AE79" s="11" t="str">
        <f t="shared" si="45"/>
        <v/>
      </c>
      <c r="AF79" s="11" t="str">
        <f t="shared" si="46"/>
        <v/>
      </c>
      <c r="AG79" s="11" t="str">
        <f t="shared" si="47"/>
        <v/>
      </c>
      <c r="AH79" s="21"/>
    </row>
    <row r="80" ht="15.75" hidden="1" customHeight="1">
      <c r="A80" s="21"/>
      <c r="B80" s="120" t="str">
        <f>IF($A80="","",IFERROR(HYPERLINK(VLOOKUP($A80,'Мои блогеры'!$A$2:$N$673,14,0),"🔗 открыть"),""))</f>
        <v/>
      </c>
      <c r="C80" s="11" t="str">
        <f>IFERROR(VLOOKUP($A80,'Мои блогеры'!$A:$N,5,0),"")</f>
        <v/>
      </c>
      <c r="D80" s="120" t="str">
        <f>IFERROR(VLOOKUP($A80,'Мои блогеры'!$A:$N,2,0),"")</f>
        <v/>
      </c>
      <c r="E80" s="21"/>
      <c r="F80" s="21"/>
      <c r="G80" s="21"/>
      <c r="H80" s="121"/>
      <c r="I80" s="21"/>
      <c r="J80" s="11" t="str">
        <f>IFERROR(VLOOKUP($A80,'Мои блогеры'!$A$2:$N$673,8,0),"")</f>
        <v/>
      </c>
      <c r="K80" s="122"/>
      <c r="L80" s="122"/>
      <c r="M80" s="11" t="str">
        <f t="shared" si="41"/>
        <v/>
      </c>
      <c r="N80" s="21"/>
      <c r="O80" s="21"/>
      <c r="P80" s="21"/>
      <c r="Q80" s="120" t="str">
        <f>IFERROR(VLOOKUP($A80,'Мои блогеры'!$A$2:$N$673,10,0)&amp;"-TRG","")</f>
        <v/>
      </c>
      <c r="R80" s="21"/>
      <c r="S80" s="21"/>
      <c r="T80" s="122"/>
      <c r="U80" s="123" t="str">
        <f t="shared" si="42"/>
        <v/>
      </c>
      <c r="V80" s="122"/>
      <c r="W80" s="122"/>
      <c r="X80" s="123" t="str">
        <f t="shared" si="43"/>
        <v/>
      </c>
      <c r="Y80" s="122"/>
      <c r="Z80" s="122"/>
      <c r="AA80" s="122"/>
      <c r="AB80" s="124"/>
      <c r="AC80" s="11" t="str">
        <f t="shared" si="44"/>
        <v/>
      </c>
      <c r="AD80" s="122"/>
      <c r="AE80" s="11" t="str">
        <f t="shared" si="45"/>
        <v/>
      </c>
      <c r="AF80" s="11" t="str">
        <f t="shared" si="46"/>
        <v/>
      </c>
      <c r="AG80" s="11" t="str">
        <f t="shared" si="47"/>
        <v/>
      </c>
      <c r="AH80" s="21"/>
    </row>
    <row r="81" ht="15.75" hidden="1" customHeight="1">
      <c r="A81" s="21"/>
      <c r="B81" s="120" t="str">
        <f>IF($A81="","",IFERROR(HYPERLINK(VLOOKUP($A81,'Мои блогеры'!$A$2:$N$673,14,0),"🔗 открыть"),""))</f>
        <v/>
      </c>
      <c r="C81" s="11" t="str">
        <f>IFERROR(VLOOKUP($A81,'Мои блогеры'!$A:$N,5,0),"")</f>
        <v/>
      </c>
      <c r="D81" s="120" t="str">
        <f>IFERROR(VLOOKUP($A81,'Мои блогеры'!$A:$N,2,0),"")</f>
        <v/>
      </c>
      <c r="E81" s="21"/>
      <c r="F81" s="21"/>
      <c r="G81" s="21"/>
      <c r="H81" s="121"/>
      <c r="I81" s="21"/>
      <c r="J81" s="11" t="str">
        <f>IFERROR(VLOOKUP($A81,'Мои блогеры'!$A$2:$N$673,8,0),"")</f>
        <v/>
      </c>
      <c r="K81" s="122"/>
      <c r="L81" s="122"/>
      <c r="M81" s="11" t="str">
        <f t="shared" si="41"/>
        <v/>
      </c>
      <c r="N81" s="21"/>
      <c r="O81" s="21"/>
      <c r="P81" s="21"/>
      <c r="Q81" s="120" t="str">
        <f>IFERROR(VLOOKUP($A81,'Мои блогеры'!$A$2:$N$673,10,0)&amp;"-TRG","")</f>
        <v/>
      </c>
      <c r="R81" s="21"/>
      <c r="S81" s="21"/>
      <c r="T81" s="122"/>
      <c r="U81" s="123" t="str">
        <f t="shared" si="42"/>
        <v/>
      </c>
      <c r="V81" s="122"/>
      <c r="W81" s="122"/>
      <c r="X81" s="123" t="str">
        <f t="shared" si="43"/>
        <v/>
      </c>
      <c r="Y81" s="122"/>
      <c r="Z81" s="122"/>
      <c r="AA81" s="122"/>
      <c r="AB81" s="124"/>
      <c r="AC81" s="11" t="str">
        <f t="shared" si="44"/>
        <v/>
      </c>
      <c r="AD81" s="122"/>
      <c r="AE81" s="11" t="str">
        <f t="shared" si="45"/>
        <v/>
      </c>
      <c r="AF81" s="11" t="str">
        <f t="shared" si="46"/>
        <v/>
      </c>
      <c r="AG81" s="11" t="str">
        <f t="shared" si="47"/>
        <v/>
      </c>
      <c r="AH81" s="21"/>
    </row>
    <row r="82" ht="15.75" hidden="1" customHeight="1">
      <c r="A82" s="21"/>
      <c r="B82" s="120" t="str">
        <f>IF($A82="","",IFERROR(HYPERLINK(VLOOKUP($A82,'Мои блогеры'!$A$2:$N$673,14,0),"🔗 открыть"),""))</f>
        <v/>
      </c>
      <c r="C82" s="11" t="str">
        <f>IFERROR(VLOOKUP($A82,'Мои блогеры'!$A:$N,5,0),"")</f>
        <v/>
      </c>
      <c r="D82" s="120" t="str">
        <f>IFERROR(VLOOKUP($A82,'Мои блогеры'!$A:$N,2,0),"")</f>
        <v/>
      </c>
      <c r="E82" s="21"/>
      <c r="F82" s="21"/>
      <c r="G82" s="21"/>
      <c r="H82" s="121"/>
      <c r="I82" s="21"/>
      <c r="J82" s="11" t="str">
        <f>IFERROR(VLOOKUP($A82,'Мои блогеры'!$A$2:$N$673,8,0),"")</f>
        <v/>
      </c>
      <c r="K82" s="122"/>
      <c r="L82" s="122"/>
      <c r="M82" s="11" t="str">
        <f t="shared" si="41"/>
        <v/>
      </c>
      <c r="N82" s="21"/>
      <c r="O82" s="21"/>
      <c r="P82" s="21"/>
      <c r="Q82" s="120" t="str">
        <f>IFERROR(VLOOKUP($A82,'Мои блогеры'!$A$2:$N$673,10,0)&amp;"-TRG","")</f>
        <v/>
      </c>
      <c r="R82" s="21"/>
      <c r="S82" s="21"/>
      <c r="T82" s="122"/>
      <c r="U82" s="123" t="str">
        <f t="shared" si="42"/>
        <v/>
      </c>
      <c r="V82" s="122"/>
      <c r="W82" s="122"/>
      <c r="X82" s="123" t="str">
        <f t="shared" si="43"/>
        <v/>
      </c>
      <c r="Y82" s="122"/>
      <c r="Z82" s="122"/>
      <c r="AA82" s="122"/>
      <c r="AB82" s="124"/>
      <c r="AC82" s="11" t="str">
        <f t="shared" si="44"/>
        <v/>
      </c>
      <c r="AD82" s="122"/>
      <c r="AE82" s="11" t="str">
        <f t="shared" si="45"/>
        <v/>
      </c>
      <c r="AF82" s="11" t="str">
        <f t="shared" si="46"/>
        <v/>
      </c>
      <c r="AG82" s="11" t="str">
        <f t="shared" si="47"/>
        <v/>
      </c>
      <c r="AH82" s="21"/>
    </row>
    <row r="83" ht="15.75" hidden="1" customHeight="1">
      <c r="A83" s="21"/>
      <c r="B83" s="120" t="str">
        <f>IF($A83="","",IFERROR(HYPERLINK(VLOOKUP($A83,'Мои блогеры'!$A$2:$N$673,14,0),"🔗 открыть"),""))</f>
        <v/>
      </c>
      <c r="C83" s="11" t="str">
        <f>IFERROR(VLOOKUP($A83,'Мои блогеры'!$A:$N,5,0),"")</f>
        <v/>
      </c>
      <c r="D83" s="120" t="str">
        <f>IFERROR(VLOOKUP($A83,'Мои блогеры'!$A:$N,2,0),"")</f>
        <v/>
      </c>
      <c r="E83" s="21"/>
      <c r="F83" s="21"/>
      <c r="G83" s="21"/>
      <c r="H83" s="121"/>
      <c r="I83" s="21"/>
      <c r="J83" s="11" t="str">
        <f>IFERROR(VLOOKUP($A83,'Мои блогеры'!$A$2:$N$673,8,0),"")</f>
        <v/>
      </c>
      <c r="K83" s="122"/>
      <c r="L83" s="122"/>
      <c r="M83" s="11" t="str">
        <f t="shared" si="41"/>
        <v/>
      </c>
      <c r="N83" s="21"/>
      <c r="O83" s="21"/>
      <c r="P83" s="21"/>
      <c r="Q83" s="120" t="str">
        <f>IFERROR(VLOOKUP($A83,'Мои блогеры'!$A$2:$N$673,10,0)&amp;"-TRG","")</f>
        <v/>
      </c>
      <c r="R83" s="21"/>
      <c r="S83" s="21"/>
      <c r="T83" s="122"/>
      <c r="U83" s="123" t="str">
        <f t="shared" si="42"/>
        <v/>
      </c>
      <c r="V83" s="122"/>
      <c r="W83" s="122"/>
      <c r="X83" s="123" t="str">
        <f t="shared" si="43"/>
        <v/>
      </c>
      <c r="Y83" s="122"/>
      <c r="Z83" s="122"/>
      <c r="AA83" s="122"/>
      <c r="AB83" s="124"/>
      <c r="AC83" s="11" t="str">
        <f t="shared" si="44"/>
        <v/>
      </c>
      <c r="AD83" s="122"/>
      <c r="AE83" s="11" t="str">
        <f t="shared" si="45"/>
        <v/>
      </c>
      <c r="AF83" s="11" t="str">
        <f t="shared" si="46"/>
        <v/>
      </c>
      <c r="AG83" s="11" t="str">
        <f t="shared" si="47"/>
        <v/>
      </c>
      <c r="AH83" s="21"/>
    </row>
    <row r="84" ht="15.75" hidden="1" customHeight="1">
      <c r="A84" s="21"/>
      <c r="B84" s="120" t="str">
        <f>IF($A84="","",IFERROR(HYPERLINK(VLOOKUP($A84,'Мои блогеры'!$A$2:$N$673,14,0),"🔗 открыть"),""))</f>
        <v/>
      </c>
      <c r="C84" s="11" t="str">
        <f>IFERROR(VLOOKUP($A84,'Мои блогеры'!$A:$N,5,0),"")</f>
        <v/>
      </c>
      <c r="D84" s="120" t="str">
        <f>IFERROR(VLOOKUP($A84,'Мои блогеры'!$A:$N,2,0),"")</f>
        <v/>
      </c>
      <c r="E84" s="21"/>
      <c r="F84" s="21"/>
      <c r="G84" s="21"/>
      <c r="H84" s="121"/>
      <c r="I84" s="21"/>
      <c r="J84" s="11" t="str">
        <f>IFERROR(VLOOKUP($A84,'Мои блогеры'!$A$2:$N$673,8,0),"")</f>
        <v/>
      </c>
      <c r="K84" s="122"/>
      <c r="L84" s="122"/>
      <c r="M84" s="11" t="str">
        <f t="shared" si="41"/>
        <v/>
      </c>
      <c r="N84" s="21"/>
      <c r="O84" s="21"/>
      <c r="P84" s="21"/>
      <c r="Q84" s="120" t="str">
        <f>IFERROR(VLOOKUP($A84,'Мои блогеры'!$A$2:$N$673,10,0)&amp;"-TRG","")</f>
        <v/>
      </c>
      <c r="R84" s="21"/>
      <c r="S84" s="21"/>
      <c r="T84" s="122"/>
      <c r="U84" s="123" t="str">
        <f t="shared" si="42"/>
        <v/>
      </c>
      <c r="V84" s="122"/>
      <c r="W84" s="122"/>
      <c r="X84" s="123" t="str">
        <f t="shared" si="43"/>
        <v/>
      </c>
      <c r="Y84" s="122"/>
      <c r="Z84" s="122"/>
      <c r="AA84" s="122"/>
      <c r="AB84" s="124"/>
      <c r="AC84" s="11" t="str">
        <f t="shared" si="44"/>
        <v/>
      </c>
      <c r="AD84" s="122"/>
      <c r="AE84" s="11" t="str">
        <f t="shared" si="45"/>
        <v/>
      </c>
      <c r="AF84" s="11" t="str">
        <f t="shared" si="46"/>
        <v/>
      </c>
      <c r="AG84" s="11" t="str">
        <f t="shared" si="47"/>
        <v/>
      </c>
      <c r="AH84" s="21"/>
    </row>
    <row r="85" ht="15.75" hidden="1" customHeight="1">
      <c r="A85" s="21"/>
      <c r="B85" s="120" t="str">
        <f>IF($A85="","",IFERROR(HYPERLINK(VLOOKUP($A85,'Мои блогеры'!$A$2:$N$673,14,0),"🔗 открыть"),""))</f>
        <v/>
      </c>
      <c r="C85" s="11" t="str">
        <f>IFERROR(VLOOKUP($A85,'Мои блогеры'!$A:$N,5,0),"")</f>
        <v/>
      </c>
      <c r="D85" s="120" t="str">
        <f>IFERROR(VLOOKUP($A85,'Мои блогеры'!$A:$N,2,0),"")</f>
        <v/>
      </c>
      <c r="E85" s="21"/>
      <c r="F85" s="21"/>
      <c r="G85" s="21"/>
      <c r="H85" s="121"/>
      <c r="I85" s="21"/>
      <c r="J85" s="11" t="str">
        <f>IFERROR(VLOOKUP($A85,'Мои блогеры'!$A$2:$N$673,8,0),"")</f>
        <v/>
      </c>
      <c r="K85" s="122"/>
      <c r="L85" s="122"/>
      <c r="M85" s="11" t="str">
        <f t="shared" si="41"/>
        <v/>
      </c>
      <c r="N85" s="21"/>
      <c r="O85" s="21"/>
      <c r="P85" s="21"/>
      <c r="Q85" s="120" t="str">
        <f>IFERROR(VLOOKUP($A85,'Мои блогеры'!$A$2:$N$673,10,0)&amp;"-TRG","")</f>
        <v/>
      </c>
      <c r="R85" s="21"/>
      <c r="S85" s="21"/>
      <c r="T85" s="122"/>
      <c r="U85" s="123" t="str">
        <f t="shared" si="42"/>
        <v/>
      </c>
      <c r="V85" s="122"/>
      <c r="W85" s="122"/>
      <c r="X85" s="123" t="str">
        <f t="shared" si="43"/>
        <v/>
      </c>
      <c r="Y85" s="122"/>
      <c r="Z85" s="122"/>
      <c r="AA85" s="122"/>
      <c r="AB85" s="124"/>
      <c r="AC85" s="11" t="str">
        <f t="shared" si="44"/>
        <v/>
      </c>
      <c r="AD85" s="122"/>
      <c r="AE85" s="11" t="str">
        <f t="shared" si="45"/>
        <v/>
      </c>
      <c r="AF85" s="11" t="str">
        <f t="shared" si="46"/>
        <v/>
      </c>
      <c r="AG85" s="11" t="str">
        <f t="shared" si="47"/>
        <v/>
      </c>
      <c r="AH85" s="21"/>
    </row>
    <row r="86" ht="15.75" hidden="1" customHeight="1">
      <c r="A86" s="21"/>
      <c r="B86" s="120" t="str">
        <f>IF($A86="","",IFERROR(HYPERLINK(VLOOKUP($A86,'Мои блогеры'!$A$2:$N$673,14,0),"🔗 открыть"),""))</f>
        <v/>
      </c>
      <c r="C86" s="11" t="str">
        <f>IFERROR(VLOOKUP($A86,'Мои блогеры'!$A:$N,5,0),"")</f>
        <v/>
      </c>
      <c r="D86" s="120" t="str">
        <f>IFERROR(VLOOKUP($A86,'Мои блогеры'!$A:$N,2,0),"")</f>
        <v/>
      </c>
      <c r="E86" s="21"/>
      <c r="F86" s="21"/>
      <c r="G86" s="21"/>
      <c r="H86" s="121"/>
      <c r="I86" s="21"/>
      <c r="J86" s="11" t="str">
        <f>IFERROR(VLOOKUP($A86,'Мои блогеры'!$A$2:$N$673,8,0),"")</f>
        <v/>
      </c>
      <c r="K86" s="122"/>
      <c r="L86" s="122"/>
      <c r="M86" s="11" t="str">
        <f t="shared" si="41"/>
        <v/>
      </c>
      <c r="N86" s="21"/>
      <c r="O86" s="21"/>
      <c r="P86" s="21"/>
      <c r="Q86" s="120" t="str">
        <f>IFERROR(VLOOKUP($A86,'Мои блогеры'!$A$2:$N$673,10,0)&amp;"-TRG","")</f>
        <v/>
      </c>
      <c r="R86" s="21"/>
      <c r="S86" s="21"/>
      <c r="T86" s="122"/>
      <c r="U86" s="123" t="str">
        <f t="shared" si="42"/>
        <v/>
      </c>
      <c r="V86" s="122"/>
      <c r="W86" s="122"/>
      <c r="X86" s="123" t="str">
        <f t="shared" si="43"/>
        <v/>
      </c>
      <c r="Y86" s="122"/>
      <c r="Z86" s="122"/>
      <c r="AA86" s="122"/>
      <c r="AB86" s="124"/>
      <c r="AC86" s="11" t="str">
        <f t="shared" si="44"/>
        <v/>
      </c>
      <c r="AD86" s="122"/>
      <c r="AE86" s="11" t="str">
        <f t="shared" si="45"/>
        <v/>
      </c>
      <c r="AF86" s="11" t="str">
        <f t="shared" si="46"/>
        <v/>
      </c>
      <c r="AG86" s="11" t="str">
        <f t="shared" si="47"/>
        <v/>
      </c>
      <c r="AH86" s="21"/>
    </row>
    <row r="87" ht="15.75" hidden="1" customHeight="1">
      <c r="A87" s="21"/>
      <c r="B87" s="120" t="str">
        <f>IF($A87="","",IFERROR(HYPERLINK(VLOOKUP($A87,'Мои блогеры'!$A$2:$N$673,14,0),"🔗 открыть"),""))</f>
        <v/>
      </c>
      <c r="C87" s="11" t="str">
        <f>IFERROR(VLOOKUP($A87,'Мои блогеры'!$A:$N,5,0),"")</f>
        <v/>
      </c>
      <c r="D87" s="120" t="str">
        <f>IFERROR(VLOOKUP($A87,'Мои блогеры'!$A:$N,2,0),"")</f>
        <v/>
      </c>
      <c r="E87" s="21"/>
      <c r="F87" s="21"/>
      <c r="G87" s="21"/>
      <c r="H87" s="121"/>
      <c r="I87" s="21"/>
      <c r="J87" s="11" t="str">
        <f>IFERROR(VLOOKUP($A87,'Мои блогеры'!$A$2:$N$673,8,0),"")</f>
        <v/>
      </c>
      <c r="K87" s="122"/>
      <c r="L87" s="122"/>
      <c r="M87" s="11" t="str">
        <f t="shared" si="41"/>
        <v/>
      </c>
      <c r="N87" s="21"/>
      <c r="O87" s="21"/>
      <c r="P87" s="21"/>
      <c r="Q87" s="120" t="str">
        <f>IFERROR(VLOOKUP($A87,'Мои блогеры'!$A$2:$N$673,10,0)&amp;"-TRG","")</f>
        <v/>
      </c>
      <c r="R87" s="21"/>
      <c r="S87" s="21"/>
      <c r="T87" s="122"/>
      <c r="U87" s="123" t="str">
        <f t="shared" si="42"/>
        <v/>
      </c>
      <c r="V87" s="122"/>
      <c r="W87" s="122"/>
      <c r="X87" s="123" t="str">
        <f t="shared" si="43"/>
        <v/>
      </c>
      <c r="Y87" s="122"/>
      <c r="Z87" s="122"/>
      <c r="AA87" s="122"/>
      <c r="AB87" s="124"/>
      <c r="AC87" s="11" t="str">
        <f t="shared" si="44"/>
        <v/>
      </c>
      <c r="AD87" s="122"/>
      <c r="AE87" s="11" t="str">
        <f t="shared" si="45"/>
        <v/>
      </c>
      <c r="AF87" s="11" t="str">
        <f t="shared" si="46"/>
        <v/>
      </c>
      <c r="AG87" s="11" t="str">
        <f t="shared" si="47"/>
        <v/>
      </c>
      <c r="AH87" s="21"/>
    </row>
    <row r="88" ht="15.75" hidden="1" customHeight="1">
      <c r="A88" s="21"/>
      <c r="B88" s="120" t="str">
        <f>IF($A88="","",IFERROR(HYPERLINK(VLOOKUP($A88,'Мои блогеры'!$A$2:$N$673,14,0),"🔗 открыть"),""))</f>
        <v/>
      </c>
      <c r="C88" s="11" t="str">
        <f>IFERROR(VLOOKUP($A88,'Мои блогеры'!$A:$N,5,0),"")</f>
        <v/>
      </c>
      <c r="D88" s="120" t="str">
        <f>IFERROR(VLOOKUP($A88,'Мои блогеры'!$A:$N,2,0),"")</f>
        <v/>
      </c>
      <c r="E88" s="21"/>
      <c r="F88" s="21"/>
      <c r="G88" s="21"/>
      <c r="H88" s="121"/>
      <c r="I88" s="21"/>
      <c r="J88" s="11" t="str">
        <f>IFERROR(VLOOKUP($A88,'Мои блогеры'!$A$2:$N$673,8,0),"")</f>
        <v/>
      </c>
      <c r="K88" s="122"/>
      <c r="L88" s="122"/>
      <c r="M88" s="11" t="str">
        <f t="shared" si="41"/>
        <v/>
      </c>
      <c r="N88" s="21"/>
      <c r="O88" s="21"/>
      <c r="P88" s="21"/>
      <c r="Q88" s="120" t="str">
        <f>IFERROR(VLOOKUP($A88,'Мои блогеры'!$A$2:$N$673,10,0)&amp;"-TRG","")</f>
        <v/>
      </c>
      <c r="R88" s="21"/>
      <c r="S88" s="21"/>
      <c r="T88" s="122"/>
      <c r="U88" s="123" t="str">
        <f t="shared" si="42"/>
        <v/>
      </c>
      <c r="V88" s="122"/>
      <c r="W88" s="122"/>
      <c r="X88" s="123" t="str">
        <f t="shared" si="43"/>
        <v/>
      </c>
      <c r="Y88" s="122"/>
      <c r="Z88" s="122"/>
      <c r="AA88" s="122"/>
      <c r="AB88" s="124"/>
      <c r="AC88" s="11" t="str">
        <f t="shared" si="44"/>
        <v/>
      </c>
      <c r="AD88" s="122"/>
      <c r="AE88" s="11" t="str">
        <f t="shared" si="45"/>
        <v/>
      </c>
      <c r="AF88" s="11" t="str">
        <f t="shared" si="46"/>
        <v/>
      </c>
      <c r="AG88" s="11" t="str">
        <f t="shared" si="47"/>
        <v/>
      </c>
      <c r="AH88" s="21"/>
    </row>
    <row r="89" ht="15.75" hidden="1" customHeight="1">
      <c r="A89" s="21"/>
      <c r="B89" s="120" t="str">
        <f>IF($A89="","",IFERROR(HYPERLINK(VLOOKUP($A89,'Мои блогеры'!$A$2:$N$673,14,0),"🔗 открыть"),""))</f>
        <v/>
      </c>
      <c r="C89" s="11" t="str">
        <f>IFERROR(VLOOKUP($A89,'Мои блогеры'!$A:$N,5,0),"")</f>
        <v/>
      </c>
      <c r="D89" s="120" t="str">
        <f>IFERROR(VLOOKUP($A89,'Мои блогеры'!$A:$N,2,0),"")</f>
        <v/>
      </c>
      <c r="E89" s="21"/>
      <c r="F89" s="21"/>
      <c r="G89" s="21"/>
      <c r="H89" s="121"/>
      <c r="I89" s="21"/>
      <c r="J89" s="11" t="str">
        <f>IFERROR(VLOOKUP($A89,'Мои блогеры'!$A$2:$N$673,8,0),"")</f>
        <v/>
      </c>
      <c r="K89" s="122"/>
      <c r="L89" s="122"/>
      <c r="M89" s="11" t="str">
        <f t="shared" si="41"/>
        <v/>
      </c>
      <c r="N89" s="21"/>
      <c r="O89" s="21"/>
      <c r="P89" s="21"/>
      <c r="Q89" s="120" t="str">
        <f>IFERROR(VLOOKUP($A89,'Мои блогеры'!$A$2:$N$673,10,0)&amp;"-TRG","")</f>
        <v/>
      </c>
      <c r="R89" s="21"/>
      <c r="S89" s="21"/>
      <c r="T89" s="122"/>
      <c r="U89" s="123" t="str">
        <f t="shared" si="42"/>
        <v/>
      </c>
      <c r="V89" s="122"/>
      <c r="W89" s="122"/>
      <c r="X89" s="123" t="str">
        <f t="shared" si="43"/>
        <v/>
      </c>
      <c r="Y89" s="122"/>
      <c r="Z89" s="122"/>
      <c r="AA89" s="122"/>
      <c r="AB89" s="124"/>
      <c r="AC89" s="11" t="str">
        <f t="shared" si="44"/>
        <v/>
      </c>
      <c r="AD89" s="122"/>
      <c r="AE89" s="11" t="str">
        <f t="shared" si="45"/>
        <v/>
      </c>
      <c r="AF89" s="11" t="str">
        <f t="shared" si="46"/>
        <v/>
      </c>
      <c r="AG89" s="11" t="str">
        <f t="shared" si="47"/>
        <v/>
      </c>
      <c r="AH89" s="21"/>
    </row>
    <row r="90" ht="15.75" hidden="1" customHeight="1">
      <c r="A90" s="126" t="s">
        <v>870</v>
      </c>
      <c r="B90" s="126"/>
      <c r="C90" s="127"/>
      <c r="D90" s="126"/>
      <c r="E90" s="126"/>
      <c r="F90" s="126"/>
      <c r="G90" s="126"/>
      <c r="H90" s="126"/>
      <c r="I90" s="126" t="str">
        <f>COUNTIF(I75:I89,"Вышло")&amp;" / "&amp;COUNTA(A75:A89)</f>
        <v>0 / 0</v>
      </c>
      <c r="J90" s="127">
        <f t="shared" ref="J90:M90" si="48">SUM(J75:J89)</f>
        <v>0</v>
      </c>
      <c r="K90" s="127">
        <f t="shared" si="48"/>
        <v>0</v>
      </c>
      <c r="L90" s="127">
        <f t="shared" si="48"/>
        <v>0</v>
      </c>
      <c r="M90" s="127">
        <f t="shared" si="48"/>
        <v>0</v>
      </c>
      <c r="N90" s="126"/>
      <c r="O90" s="126"/>
      <c r="P90" s="126"/>
      <c r="Q90" s="126"/>
      <c r="R90" s="126"/>
      <c r="S90" s="126"/>
      <c r="T90" s="127">
        <f>SUM(T75:T89)</f>
        <v>0</v>
      </c>
      <c r="U90" s="128" t="str">
        <f t="shared" ref="U90:U91" si="52">IF(N(T90)=0,"",M90/T90)</f>
        <v/>
      </c>
      <c r="V90" s="127">
        <f t="shared" ref="V90:W90" si="49">SUM(V75:V89)</f>
        <v>0</v>
      </c>
      <c r="W90" s="127">
        <f t="shared" si="49"/>
        <v>0</v>
      </c>
      <c r="X90" s="128" t="str">
        <f t="shared" ref="X90:X91" si="54">IF(N(V90)=0,"",M90/V90)</f>
        <v/>
      </c>
      <c r="Y90" s="127">
        <f t="shared" ref="Y90:AA90" si="50">SUM(Y75:Y89)</f>
        <v>0</v>
      </c>
      <c r="Z90" s="127">
        <f t="shared" si="50"/>
        <v>0</v>
      </c>
      <c r="AA90" s="127">
        <f t="shared" si="50"/>
        <v>0</v>
      </c>
      <c r="AB90" s="129"/>
      <c r="AC90" s="127">
        <f>SUM(AC75:AC89)</f>
        <v>0</v>
      </c>
      <c r="AD90" s="127"/>
      <c r="AE90" s="127">
        <f>SUM(AE75:AE89)</f>
        <v>0</v>
      </c>
      <c r="AF90" s="127" t="str">
        <f t="shared" ref="AF90:AF91" si="56">IF(N(AC90)=0,"—",ROUND(M90/AC90,0))</f>
        <v>—</v>
      </c>
      <c r="AG90" s="127" t="str">
        <f t="shared" ref="AG90:AG91" si="57">IF(N(Z90)=0,"—",ROUND(M90/Z90,0))</f>
        <v>—</v>
      </c>
      <c r="AH90" s="126"/>
    </row>
    <row r="91" ht="15.75" customHeight="1">
      <c r="A91" s="133" t="s">
        <v>683</v>
      </c>
      <c r="B91" s="133"/>
      <c r="C91" s="134"/>
      <c r="D91" s="133"/>
      <c r="E91" s="133"/>
      <c r="F91" s="133"/>
      <c r="G91" s="133"/>
      <c r="H91" s="133"/>
      <c r="I91" s="133" t="str">
        <f>SUM(COUNTIF(I7:I21,"Вышло"),COUNTIF(I24:I38,"Вышло"),COUNTIF(I41:I55,"Вышло"),COUNTIF(I58:I72,"Вышло"),COUNTIF(I75:I89,"Вышло"))&amp;" / "&amp;SUM(COUNTA(A7:A21),COUNTA(A24:A38),COUNTA(A41:A55),COUNTA(A58:A72),COUNTA(A75:A89))</f>
        <v>10 / 10</v>
      </c>
      <c r="J91" s="134">
        <f t="shared" ref="J91:M91" si="51">J22+J39+J56+J73+J90</f>
        <v>28501</v>
      </c>
      <c r="K91" s="134">
        <f t="shared" si="51"/>
        <v>0</v>
      </c>
      <c r="L91" s="134">
        <f t="shared" si="51"/>
        <v>4900</v>
      </c>
      <c r="M91" s="134">
        <f t="shared" si="51"/>
        <v>33401</v>
      </c>
      <c r="N91" s="133"/>
      <c r="O91" s="133"/>
      <c r="P91" s="133"/>
      <c r="Q91" s="133"/>
      <c r="R91" s="133"/>
      <c r="S91" s="133"/>
      <c r="T91" s="134">
        <f>T22+T39+T56+T73+T90</f>
        <v>131913</v>
      </c>
      <c r="U91" s="135">
        <f t="shared" si="52"/>
        <v>0.2532047637</v>
      </c>
      <c r="V91" s="134">
        <f t="shared" ref="V91:W91" si="53">V22+V39+V56+V73+V90</f>
        <v>838</v>
      </c>
      <c r="W91" s="134">
        <f t="shared" si="53"/>
        <v>0</v>
      </c>
      <c r="X91" s="135">
        <f t="shared" si="54"/>
        <v>39.85799523</v>
      </c>
      <c r="Y91" s="134">
        <f t="shared" ref="Y91:AA91" si="55">Y22+Y39+Y56+Y73+Y90</f>
        <v>0</v>
      </c>
      <c r="Z91" s="134">
        <f t="shared" si="55"/>
        <v>65</v>
      </c>
      <c r="AA91" s="134">
        <f t="shared" si="55"/>
        <v>65526</v>
      </c>
      <c r="AB91" s="136"/>
      <c r="AC91" s="134">
        <f>AC22+AC39+AC56+AC73+AC90</f>
        <v>53</v>
      </c>
      <c r="AD91" s="134"/>
      <c r="AE91" s="134">
        <f>AE22+AE39+AE56+AE73+AE90</f>
        <v>55450</v>
      </c>
      <c r="AF91" s="134">
        <f t="shared" si="56"/>
        <v>630</v>
      </c>
      <c r="AG91" s="134">
        <f t="shared" si="57"/>
        <v>514</v>
      </c>
      <c r="AH91" s="133"/>
    </row>
    <row r="92" ht="15.75" customHeight="1">
      <c r="A92" s="137" t="s">
        <v>871</v>
      </c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ht="36.0" customHeight="1">
      <c r="A93" s="138" t="s">
        <v>1</v>
      </c>
      <c r="B93" s="138" t="s">
        <v>872</v>
      </c>
      <c r="C93" s="138" t="s">
        <v>873</v>
      </c>
      <c r="D93" s="138" t="s">
        <v>859</v>
      </c>
      <c r="E93" s="138" t="s">
        <v>729</v>
      </c>
      <c r="F93" s="138" t="s">
        <v>730</v>
      </c>
      <c r="G93" s="138" t="s">
        <v>851</v>
      </c>
      <c r="H93" s="138" t="s">
        <v>731</v>
      </c>
      <c r="I93" s="138" t="s">
        <v>853</v>
      </c>
      <c r="J93" s="138" t="s">
        <v>656</v>
      </c>
      <c r="K93" s="138" t="s">
        <v>854</v>
      </c>
      <c r="L93" s="138" t="s">
        <v>874</v>
      </c>
      <c r="M93" s="138" t="s">
        <v>875</v>
      </c>
      <c r="N93" s="138" t="s">
        <v>876</v>
      </c>
      <c r="O93" s="138" t="s">
        <v>657</v>
      </c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ht="15.75" customHeight="1">
      <c r="A94" s="139" t="s">
        <v>29</v>
      </c>
      <c r="B94" s="140">
        <f>SUMIFS($M$6:$M$90,$D$6:$D$90,"Telegram")+SUMIFS($M$6:$M$90,$D$6:$D$90,"Telegram ")+SUMIFS($M$6:$M$90,$D$6:$D$90,"Телеграм")+SUMIFS($M$6:$M$90,$D$6:$D$90,"ТГ")</f>
        <v>11585</v>
      </c>
      <c r="C94" s="140">
        <f>SUMIFS($M$6:$M$90,$I$6:$I$90,"Вышло",$D$6:$D$90,"Telegram")+SUMIFS($M$6:$M$90,$I$6:$I$90,"Вышло",$D$6:$D$90,"Telegram ")+SUMIFS($M$6:$M$90,$I$6:$I$90,"Вышло",$D$6:$D$90,"Телеграм")+SUMIFS($M$6:$M$90,$I$6:$I$90,"Вышло",$D$6:$D$90,"ТГ")</f>
        <v>11585</v>
      </c>
      <c r="D94" s="141">
        <f>COUNTIFS($I$6:$I$90,"Вышло",$D$6:$D$90,"Telegram")+COUNTIFS($I$6:$I$90,"Вышло",$D$6:$D$90,"Telegram ")+COUNTIFS($I$6:$I$90,"Вышло",$D$6:$D$90,"Телеграм")+COUNTIFS($I$6:$I$90,"Вышло",$D$6:$D$90,"ТГ")</f>
        <v>3</v>
      </c>
      <c r="E94" s="141">
        <f>SUMIFS($T$6:$T$90,$I$6:$I$90,"Вышло",$D$6:$D$90,"Telegram")+SUMIFS($T$6:$T$90,$I$6:$I$90,"Вышло",$D$6:$D$90,"Telegram ")+SUMIFS($T$6:$T$90,$I$6:$I$90,"Вышло",$D$6:$D$90,"Телеграм")+SUMIFS($T$6:$T$90,$I$6:$I$90,"Вышло",$D$6:$D$90,"ТГ")</f>
        <v>30179</v>
      </c>
      <c r="F94" s="141">
        <f>SUMIFS($V$6:$V$90,$I$6:$I$90,"Вышло",$D$6:$D$90,"Telegram")+SUMIFS($V$6:$V$90,$I$6:$I$90,"Вышло",$D$6:$D$90,"Telegram ")+SUMIFS($V$6:$V$90,$I$6:$I$90,"Вышло",$D$6:$D$90,"Телеграм")+SUMIFS($V$6:$V$90,$I$6:$I$90,"Вышло",$D$6:$D$90,"ТГ")</f>
        <v>222</v>
      </c>
      <c r="G94" s="141">
        <f>SUMIFS($W$6:$W$90,$I$6:$I$90,"Вышло",$D$6:$D$90,"Telegram")+SUMIFS($W$6:$W$90,$I$6:$I$90,"Вышло",$D$6:$D$90,"Telegram ")+SUMIFS($W$6:$W$90,$I$6:$I$90,"Вышло",$D$6:$D$90,"Телеграм")+SUMIFS($W$6:$W$90,$I$6:$I$90,"Вышло",$D$6:$D$90,"ТГ")</f>
        <v>0</v>
      </c>
      <c r="H94" s="141">
        <f t="shared" ref="H94:H101" si="58">0</f>
        <v>0</v>
      </c>
      <c r="I94" s="141">
        <f>SUMIFS($Y$6:$Y$90,$I$6:$I$90,"Вышло",$D$6:$D$90,"Telegram")+SUMIFS($Y$6:$Y$90,$I$6:$I$90,"Вышло",$D$6:$D$90,"Telegram ")+SUMIFS($Y$6:$Y$90,$I$6:$I$90,"Вышло",$D$6:$D$90,"Телеграм")+SUMIFS($Y$6:$Y$90,$I$6:$I$90,"Вышло",$D$6:$D$90,"ТГ")</f>
        <v>0</v>
      </c>
      <c r="J94" s="141">
        <f>SUMIFS($Z$6:$Z$90,$I$6:$I$90,"Вышло",$D$6:$D$90,"Telegram")+SUMIFS($Z$6:$Z$90,$I$6:$I$90,"Вышло",$D$6:$D$90,"Telegram ")+SUMIFS($Z$6:$Z$90,$I$6:$I$90,"Вышло",$D$6:$D$90,"Телеграм")+SUMIFS($Z$6:$Z$90,$I$6:$I$90,"Вышло",$D$6:$D$90,"ТГ")</f>
        <v>19</v>
      </c>
      <c r="K94" s="140">
        <f>SUMIFS($AA$6:$AA$90,$I$6:$I$90,"Вышло",$D$6:$D$90,"Telegram")+SUMIFS($AA$6:$AA$90,$I$6:$I$90,"Вышло",$D$6:$D$90,"Telegram ")+SUMIFS($AA$6:$AA$90,$I$6:$I$90,"Вышло",$D$6:$D$90,"Телеграм")+SUMIFS($AA$6:$AA$90,$I$6:$I$90,"Вышло",$D$6:$D$90,"ТГ")</f>
        <v>18498</v>
      </c>
      <c r="L94" s="140">
        <f>IF((SUMIFS($V$6:$V$90,$I$6:$I$90,"Вышло",$D$6:$D$90,"Telegram",$E$6:$E$90,"Сайт")+SUMIFS($V$6:$V$90,$I$6:$I$90,"Вышло",$D$6:$D$90,"Telegram",$E$6:$E$90,"сайт")+SUMIFS($V$6:$V$90,$I$6:$I$90,"Вышло",$D$6:$D$90,"Telegram ",$E$6:$E$90,"Сайт")+SUMIFS($V$6:$V$90,$I$6:$I$90,"Вышло",$D$6:$D$90,"Telegram ",$E$6:$E$90,"сайт")+SUMIFS($V$6:$V$90,$I$6:$I$90,"Вышло",$D$6:$D$90,"Телеграм",$E$6:$E$90,"Сайт")+SUMIFS($V$6:$V$90,$I$6:$I$90,"Вышло",$D$6:$D$90,"Телеграм",$E$6:$E$90,"сайт")+SUMIFS($V$6:$V$90,$I$6:$I$90,"Вышло",$D$6:$D$90,"ТГ",$E$6:$E$90,"Сайт")+SUMIFS($V$6:$V$90,$I$6:$I$90,"Вышло",$D$6:$D$90,"ТГ",$E$6:$E$90,"сайт")+SUMIFS($V$6:$V$90,$I$6:$I$90,"Вышло",$D$6:$D$90,"Telegram",$E$6:$E$90,"Ozon")+SUMIFS($V$6:$V$90,$I$6:$I$90,"Вышло",$D$6:$D$90,"Telegram",$E$6:$E$90,"OZON")+SUMIFS($V$6:$V$90,$I$6:$I$90,"Вышло",$D$6:$D$90,"Telegram",$E$6:$E$90,"Озон")+SUMIFS($V$6:$V$90,$I$6:$I$90,"Вышло",$D$6:$D$90,"Telegram",$E$6:$E$90,"озон")+SUMIFS($V$6:$V$90,$I$6:$I$90,"Вышло",$D$6:$D$90,"Telegram ",$E$6:$E$90,"Ozon")+SUMIFS($V$6:$V$90,$I$6:$I$90,"Вышло",$D$6:$D$90,"Telegram ",$E$6:$E$90,"OZON")+SUMIFS($V$6:$V$90,$I$6:$I$90,"Вышло",$D$6:$D$90,"Telegram ",$E$6:$E$90,"Озон")+SUMIFS($V$6:$V$90,$I$6:$I$90,"Вышло",$D$6:$D$90,"Telegram ",$E$6:$E$90,"озон")+SUMIFS($V$6:$V$90,$I$6:$I$90,"Вышло",$D$6:$D$90,"Телеграм",$E$6:$E$90,"Ozon")+SUMIFS($V$6:$V$90,$I$6:$I$90,"Вышло",$D$6:$D$90,"Телеграм",$E$6:$E$90,"OZON")+SUMIFS($V$6:$V$90,$I$6:$I$90,"Вышло",$D$6:$D$90,"Телеграм",$E$6:$E$90,"Озон")+SUMIFS($V$6:$V$90,$I$6:$I$90,"Вышло",$D$6:$D$90,"Телеграм",$E$6:$E$90,"озон")+SUMIFS($V$6:$V$90,$I$6:$I$90,"Вышло",$D$6:$D$90,"ТГ",$E$6:$E$90,"Ozon")+SUMIFS($V$6:$V$90,$I$6:$I$90,"Вышло",$D$6:$D$90,"ТГ",$E$6:$E$90,"OZON")+SUMIFS($V$6:$V$90,$I$6:$I$90,"Вышло",$D$6:$D$90,"ТГ",$E$6:$E$90,"Озон")+SUMIFS($V$6:$V$90,$I$6:$I$90,"Вышло",$D$6:$D$90,"ТГ",$E$6:$E$90,"озон"))=0,"—",ROUND((SUMIFS($M$6:$M$90,$I$6:$I$90,"Вышло",$D$6:$D$90,"Telegram",$E$6:$E$90,"Сайт",$V$6:$V$90,"&gt;0")+SUMIFS($M$6:$M$90,$I$6:$I$90,"Вышло",$D$6:$D$90,"Telegram",$E$6:$E$90,"сайт",$V$6:$V$90,"&gt;0")+SUMIFS($M$6:$M$90,$I$6:$I$90,"Вышло",$D$6:$D$90,"Telegram ",$E$6:$E$90,"Сайт",$V$6:$V$90,"&gt;0")+SUMIFS($M$6:$M$90,$I$6:$I$90,"Вышло",$D$6:$D$90,"Telegram ",$E$6:$E$90,"сайт",$V$6:$V$90,"&gt;0")+SUMIFS($M$6:$M$90,$I$6:$I$90,"Вышло",$D$6:$D$90,"Телеграм",$E$6:$E$90,"Сайт",$V$6:$V$90,"&gt;0")+SUMIFS($M$6:$M$90,$I$6:$I$90,"Вышло",$D$6:$D$90,"Телеграм",$E$6:$E$90,"сайт",$V$6:$V$90,"&gt;0")+SUMIFS($M$6:$M$90,$I$6:$I$90,"Вышло",$D$6:$D$90,"ТГ",$E$6:$E$90,"Сайт",$V$6:$V$90,"&gt;0")+SUMIFS($M$6:$M$90,$I$6:$I$90,"Вышло",$D$6:$D$90,"ТГ",$E$6:$E$90,"сайт",$V$6:$V$90,"&gt;0")+SUMIFS($M$6:$M$90,$I$6:$I$90,"Вышло",$D$6:$D$90,"Telegram",$E$6:$E$90,"Сайт",$V$6:$V$90,"&lt;=0",$P$6:$P$90,"&lt;&gt;")+SUMIFS($M$6:$M$90,$I$6:$I$90,"Вышло",$D$6:$D$90,"Telegram",$E$6:$E$90,"сайт",$V$6:$V$90,"&lt;=0",$P$6:$P$90,"&lt;&gt;")+SUMIFS($M$6:$M$90,$I$6:$I$90,"Вышло",$D$6:$D$90,"Telegram ",$E$6:$E$90,"Сайт",$V$6:$V$90,"&lt;=0",$P$6:$P$90,"&lt;&gt;")+SUMIFS($M$6:$M$90,$I$6:$I$90,"Вышло",$D$6:$D$90,"Telegram ",$E$6:$E$90,"сайт",$V$6:$V$90,"&lt;=0",$P$6:$P$90,"&lt;&gt;")+SUMIFS($M$6:$M$90,$I$6:$I$90,"Вышло",$D$6:$D$90,"Телеграм",$E$6:$E$90,"Сайт",$V$6:$V$90,"&lt;=0",$P$6:$P$90,"&lt;&gt;")+SUMIFS($M$6:$M$90,$I$6:$I$90,"Вышло",$D$6:$D$90,"Телеграм",$E$6:$E$90,"сайт",$V$6:$V$90,"&lt;=0",$P$6:$P$90,"&lt;&gt;")+SUMIFS($M$6:$M$90,$I$6:$I$90,"Вышло",$D$6:$D$90,"ТГ",$E$6:$E$90,"Сайт",$V$6:$V$90,"&lt;=0",$P$6:$P$90,"&lt;&gt;")+SUMIFS($M$6:$M$90,$I$6:$I$90,"Вышло",$D$6:$D$90,"ТГ",$E$6:$E$90,"сайт",$V$6:$V$90,"&lt;=0",$P$6:$P$90,"&lt;&gt;")+SUMIFS($M$6:$M$90,$I$6:$I$90,"Вышло",$D$6:$D$90,"Telegram",$E$6:$E$90,"Ozon",$V$6:$V$90,"&gt;0")+SUMIFS($M$6:$M$90,$I$6:$I$90,"Вышло",$D$6:$D$90,"Telegram",$E$6:$E$90,"OZON",$V$6:$V$90,"&gt;0")+SUMIFS($M$6:$M$90,$I$6:$I$90,"Вышло",$D$6:$D$90,"Telegram",$E$6:$E$90,"Озон",$V$6:$V$90,"&gt;0")+SUMIFS($M$6:$M$90,$I$6:$I$90,"Вышло",$D$6:$D$90,"Telegram",$E$6:$E$90,"озон",$V$6:$V$90,"&gt;0")+SUMIFS($M$6:$M$90,$I$6:$I$90,"Вышло",$D$6:$D$90,"Telegram ",$E$6:$E$90,"Ozon",$V$6:$V$90,"&gt;0")+SUMIFS($M$6:$M$90,$I$6:$I$90,"Вышло",$D$6:$D$90,"Telegram ",$E$6:$E$90,"OZON",$V$6:$V$90,"&gt;0")+SUMIFS($M$6:$M$90,$I$6:$I$90,"Вышло",$D$6:$D$90,"Telegram ",$E$6:$E$90,"Озон",$V$6:$V$90,"&gt;0")+SUMIFS($M$6:$M$90,$I$6:$I$90,"Вышло",$D$6:$D$90,"Telegram ",$E$6:$E$90,"озон",$V$6:$V$90,"&gt;0")+SUMIFS($M$6:$M$90,$I$6:$I$90,"Вышло",$D$6:$D$90,"Телеграм",$E$6:$E$90,"Ozon",$V$6:$V$90,"&gt;0")+SUMIFS($M$6:$M$90,$I$6:$I$90,"Вышло",$D$6:$D$90,"Телеграм",$E$6:$E$90,"OZON",$V$6:$V$90,"&gt;0")+SUMIFS($M$6:$M$90,$I$6:$I$90,"Вышло",$D$6:$D$90,"Телеграм",$E$6:$E$90,"Озон",$V$6:$V$90,"&gt;0")+SUMIFS($M$6:$M$90,$I$6:$I$90,"Вышло",$D$6:$D$90,"Телеграм",$E$6:$E$90,"озон",$V$6:$V$90,"&gt;0")+SUMIFS($M$6:$M$90,$I$6:$I$90,"Вышло",$D$6:$D$90,"ТГ",$E$6:$E$90,"Ozon",$V$6:$V$90,"&gt;0")+SUMIFS($M$6:$M$90,$I$6:$I$90,"Вышло",$D$6:$D$90,"ТГ",$E$6:$E$90,"OZON",$V$6:$V$90,"&gt;0")+SUMIFS($M$6:$M$90,$I$6:$I$90,"Вышло",$D$6:$D$90,"ТГ",$E$6:$E$90,"Озон",$V$6:$V$90,"&gt;0")+SUMIFS($M$6:$M$90,$I$6:$I$90,"Вышло",$D$6:$D$90,"ТГ",$E$6:$E$90,"озон",$V$6:$V$90,"&gt;0")+SUMIFS($M$6:$M$90,$I$6:$I$90,"Вышло",$D$6:$D$90,"Telegram",$E$6:$E$90,"Ozon",$V$6:$V$90,"&lt;=0",$P$6:$P$90,"&lt;&gt;")+SUMIFS($M$6:$M$90,$I$6:$I$90,"Вышло",$D$6:$D$90,"Telegram",$E$6:$E$90,"OZON",$V$6:$V$90,"&lt;=0",$P$6:$P$90,"&lt;&gt;")+SUMIFS($M$6:$M$90,$I$6:$I$90,"Вышло",$D$6:$D$90,"Telegram",$E$6:$E$90,"Озон",$V$6:$V$90,"&lt;=0",$P$6:$P$90,"&lt;&gt;")+SUMIFS($M$6:$M$90,$I$6:$I$90,"Вышло",$D$6:$D$90,"Telegram",$E$6:$E$90,"озон",$V$6:$V$90,"&lt;=0",$P$6:$P$90,"&lt;&gt;")+SUMIFS($M$6:$M$90,$I$6:$I$90,"Вышло",$D$6:$D$90,"Telegram ",$E$6:$E$90,"Ozon",$V$6:$V$90,"&lt;=0",$P$6:$P$90,"&lt;&gt;")+SUMIFS($M$6:$M$90,$I$6:$I$90,"Вышло",$D$6:$D$90,"Telegram ",$E$6:$E$90,"OZON",$V$6:$V$90,"&lt;=0",$P$6:$P$90,"&lt;&gt;")+SUMIFS($M$6:$M$90,$I$6:$I$90,"Вышло",$D$6:$D$90,"Telegram ",$E$6:$E$90,"Озон",$V$6:$V$90,"&lt;=0",$P$6:$P$90,"&lt;&gt;")+SUMIFS($M$6:$M$90,$I$6:$I$90,"Вышло",$D$6:$D$90,"Telegram ",$E$6:$E$90,"озон",$V$6:$V$90,"&lt;=0",$P$6:$P$90,"&lt;&gt;")+SUMIFS($M$6:$M$90,$I$6:$I$90,"Вышло",$D$6:$D$90,"Телеграм",$E$6:$E$90,"Ozon",$V$6:$V$90,"&lt;=0",$P$6:$P$90,"&lt;&gt;")+SUMIFS($M$6:$M$90,$I$6:$I$90,"Вышло",$D$6:$D$90,"Телеграм",$E$6:$E$90,"OZON",$V$6:$V$90,"&lt;=0",$P$6:$P$90,"&lt;&gt;")+SUMIFS($M$6:$M$90,$I$6:$I$90,"Вышло",$D$6:$D$90,"Телеграм",$E$6:$E$90,"Озон",$V$6:$V$90,"&lt;=0",$P$6:$P$90,"&lt;&gt;")+SUMIFS($M$6:$M$90,$I$6:$I$90,"Вышло",$D$6:$D$90,"Телеграм",$E$6:$E$90,"озон",$V$6:$V$90,"&lt;=0",$P$6:$P$90,"&lt;&gt;")+SUMIFS($M$6:$M$90,$I$6:$I$90,"Вышло",$D$6:$D$90,"ТГ",$E$6:$E$90,"Ozon",$V$6:$V$90,"&lt;=0",$P$6:$P$90,"&lt;&gt;")+SUMIFS($M$6:$M$90,$I$6:$I$90,"Вышло",$D$6:$D$90,"ТГ",$E$6:$E$90,"OZON",$V$6:$V$90,"&lt;=0",$P$6:$P$90,"&lt;&gt;")+SUMIFS($M$6:$M$90,$I$6:$I$90,"Вышло",$D$6:$D$90,"ТГ",$E$6:$E$90,"Озон",$V$6:$V$90,"&lt;=0",$P$6:$P$90,"&lt;&gt;")+SUMIFS($M$6:$M$90,$I$6:$I$90,"Вышло",$D$6:$D$90,"ТГ",$E$6:$E$90,"озон",$V$6:$V$90,"&lt;=0",$P$6:$P$90,"&lt;&gt;"))/(SUMIFS($V$6:$V$90,$I$6:$I$90,"Вышло",$D$6:$D$90,"Telegram",$E$6:$E$90,"Сайт")+SUMIFS($V$6:$V$90,$I$6:$I$90,"Вышло",$D$6:$D$90,"Telegram",$E$6:$E$90,"сайт")+SUMIFS($V$6:$V$90,$I$6:$I$90,"Вышло",$D$6:$D$90,"Telegram ",$E$6:$E$90,"Сайт")+SUMIFS($V$6:$V$90,$I$6:$I$90,"Вышло",$D$6:$D$90,"Telegram ",$E$6:$E$90,"сайт")+SUMIFS($V$6:$V$90,$I$6:$I$90,"Вышло",$D$6:$D$90,"Телеграм",$E$6:$E$90,"Сайт")+SUMIFS($V$6:$V$90,$I$6:$I$90,"Вышло",$D$6:$D$90,"Телеграм",$E$6:$E$90,"сайт")+SUMIFS($V$6:$V$90,$I$6:$I$90,"Вышло",$D$6:$D$90,"ТГ",$E$6:$E$90,"Сайт")+SUMIFS($V$6:$V$90,$I$6:$I$90,"Вышло",$D$6:$D$90,"ТГ",$E$6:$E$90,"сайт")+SUMIFS($V$6:$V$90,$I$6:$I$90,"Вышло",$D$6:$D$90,"Telegram",$E$6:$E$90,"Ozon")+SUMIFS($V$6:$V$90,$I$6:$I$90,"Вышло",$D$6:$D$90,"Telegram",$E$6:$E$90,"OZON")+SUMIFS($V$6:$V$90,$I$6:$I$90,"Вышло",$D$6:$D$90,"Telegram",$E$6:$E$90,"Озон")+SUMIFS($V$6:$V$90,$I$6:$I$90,"Вышло",$D$6:$D$90,"Telegram",$E$6:$E$90,"озон")+SUMIFS($V$6:$V$90,$I$6:$I$90,"Вышло",$D$6:$D$90,"Telegram ",$E$6:$E$90,"Ozon")+SUMIFS($V$6:$V$90,$I$6:$I$90,"Вышло",$D$6:$D$90,"Telegram ",$E$6:$E$90,"OZON")+SUMIFS($V$6:$V$90,$I$6:$I$90,"Вышло",$D$6:$D$90,"Telegram ",$E$6:$E$90,"Озон")+SUMIFS($V$6:$V$90,$I$6:$I$90,"Вышло",$D$6:$D$90,"Telegram ",$E$6:$E$90,"озон")+SUMIFS($V$6:$V$90,$I$6:$I$90,"Вышло",$D$6:$D$90,"Телеграм",$E$6:$E$90,"Ozon")+SUMIFS($V$6:$V$90,$I$6:$I$90,"Вышло",$D$6:$D$90,"Телеграм",$E$6:$E$90,"OZON")+SUMIFS($V$6:$V$90,$I$6:$I$90,"Вышло",$D$6:$D$90,"Телеграм",$E$6:$E$90,"Озон")+SUMIFS($V$6:$V$90,$I$6:$I$90,"Вышло",$D$6:$D$90,"Телеграм",$E$6:$E$90,"озон")+SUMIFS($V$6:$V$90,$I$6:$I$90,"Вышло",$D$6:$D$90,"ТГ",$E$6:$E$90,"Ozon")+SUMIFS($V$6:$V$90,$I$6:$I$90,"Вышло",$D$6:$D$90,"ТГ",$E$6:$E$90,"OZON")+SUMIFS($V$6:$V$90,$I$6:$I$90,"Вышло",$D$6:$D$90,"ТГ",$E$6:$E$90,"Озон")+SUMIFS($V$6:$V$90,$I$6:$I$90,"Вышло",$D$6:$D$90,"ТГ",$E$6:$E$90,"озон")),0))</f>
        <v>17</v>
      </c>
      <c r="M94" s="140" t="str">
        <f>IF((SUMIFS($W$6:$W$90,$I$6:$I$90,"Вышло",$D$6:$D$90,"Telegram",$E$6:$E$90,"WB")+SUMIFS($W$6:$W$90,$I$6:$I$90,"Вышло",$D$6:$D$90,"Telegram",$E$6:$E$90,"ВБ")+SUMIFS($W$6:$W$90,$I$6:$I$90,"Вышло",$D$6:$D$90,"Telegram ",$E$6:$E$90,"WB")+SUMIFS($W$6:$W$90,$I$6:$I$90,"Вышло",$D$6:$D$90,"Telegram ",$E$6:$E$90,"ВБ")+SUMIFS($W$6:$W$90,$I$6:$I$90,"Вышло",$D$6:$D$90,"Телеграм",$E$6:$E$90,"WB")+SUMIFS($W$6:$W$90,$I$6:$I$90,"Вышло",$D$6:$D$90,"Телеграм",$E$6:$E$90,"ВБ")+SUMIFS($W$6:$W$90,$I$6:$I$90,"Вышло",$D$6:$D$90,"ТГ",$E$6:$E$90,"WB")+SUMIFS($W$6:$W$90,$I$6:$I$90,"Вышло",$D$6:$D$90,"ТГ",$E$6:$E$90,"ВБ"))=0,"—",ROUND((SUMIFS($M$6:$M$90,$I$6:$I$90,"Вышло",$D$6:$D$90,"Telegram",$E$6:$E$90,"WB")+SUMIFS($M$6:$M$90,$I$6:$I$90,"Вышло",$D$6:$D$90,"Telegram",$E$6:$E$90,"ВБ")+SUMIFS($M$6:$M$90,$I$6:$I$90,"Вышло",$D$6:$D$90,"Telegram ",$E$6:$E$90,"WB")+SUMIFS($M$6:$M$90,$I$6:$I$90,"Вышло",$D$6:$D$90,"Telegram ",$E$6:$E$90,"ВБ")+SUMIFS($M$6:$M$90,$I$6:$I$90,"Вышло",$D$6:$D$90,"Телеграм",$E$6:$E$90,"WB")+SUMIFS($M$6:$M$90,$I$6:$I$90,"Вышло",$D$6:$D$90,"Телеграм",$E$6:$E$90,"ВБ")+SUMIFS($M$6:$M$90,$I$6:$I$90,"Вышло",$D$6:$D$90,"ТГ",$E$6:$E$90,"WB")+SUMIFS($M$6:$M$90,$I$6:$I$90,"Вышло",$D$6:$D$90,"ТГ",$E$6:$E$90,"ВБ")-(SUMIFS($M$6:$M$90,$I$6:$I$90,"Вышло",$D$6:$D$90,"Telegram",$E$6:$E$90,"WB",$W$6:$W$90,"&lt;=0",$V$6:$V$90,"&gt;0")+SUMIFS($M$6:$M$90,$I$6:$I$90,"Вышло",$D$6:$D$90,"Telegram",$E$6:$E$90,"ВБ",$W$6:$W$90,"&lt;=0",$V$6:$V$90,"&gt;0")+SUMIFS($M$6:$M$90,$I$6:$I$90,"Вышло",$D$6:$D$90,"Telegram ",$E$6:$E$90,"WB",$W$6:$W$90,"&lt;=0",$V$6:$V$90,"&gt;0")+SUMIFS($M$6:$M$90,$I$6:$I$90,"Вышло",$D$6:$D$90,"Telegram ",$E$6:$E$90,"ВБ",$W$6:$W$90,"&lt;=0",$V$6:$V$90,"&gt;0")+SUMIFS($M$6:$M$90,$I$6:$I$90,"Вышло",$D$6:$D$90,"Телеграм",$E$6:$E$90,"WB",$W$6:$W$90,"&lt;=0",$V$6:$V$90,"&gt;0")+SUMIFS($M$6:$M$90,$I$6:$I$90,"Вышло",$D$6:$D$90,"Телеграм",$E$6:$E$90,"ВБ",$W$6:$W$90,"&lt;=0",$V$6:$V$90,"&gt;0")+SUMIFS($M$6:$M$90,$I$6:$I$90,"Вышло",$D$6:$D$90,"ТГ",$E$6:$E$90,"WB",$W$6:$W$90,"&lt;=0",$V$6:$V$90,"&gt;0")+SUMIFS($M$6:$M$90,$I$6:$I$90,"Вышло",$D$6:$D$90,"ТГ",$E$6:$E$90,"ВБ",$W$6:$W$90,"&lt;=0",$V$6:$V$90,"&gt;0")))/(SUMIFS($W$6:$W$90,$I$6:$I$90,"Вышло",$D$6:$D$90,"Telegram",$E$6:$E$90,"WB")+SUMIFS($W$6:$W$90,$I$6:$I$90,"Вышло",$D$6:$D$90,"Telegram",$E$6:$E$90,"ВБ")+SUMIFS($W$6:$W$90,$I$6:$I$90,"Вышло",$D$6:$D$90,"Telegram ",$E$6:$E$90,"WB")+SUMIFS($W$6:$W$90,$I$6:$I$90,"Вышло",$D$6:$D$90,"Telegram ",$E$6:$E$90,"ВБ")+SUMIFS($W$6:$W$90,$I$6:$I$90,"Вышло",$D$6:$D$90,"Телеграм",$E$6:$E$90,"WB")+SUMIFS($W$6:$W$90,$I$6:$I$90,"Вышло",$D$6:$D$90,"Телеграм",$E$6:$E$90,"ВБ")+SUMIFS($W$6:$W$90,$I$6:$I$90,"Вышло",$D$6:$D$90,"ТГ",$E$6:$E$90,"WB")+SUMIFS($W$6:$W$90,$I$6:$I$90,"Вышло",$D$6:$D$90,"ТГ",$E$6:$E$90,"ВБ")),0))</f>
        <v>—</v>
      </c>
      <c r="N94" s="140" t="str">
        <f t="shared" ref="N94:N102" si="59">"—"</f>
        <v>—</v>
      </c>
      <c r="O94" s="140">
        <f>IF((SUMIFS($Z$6:$Z$90,$I$6:$I$90,"Вышло",$D$6:$D$90,"Telegram")+SUMIFS($Z$6:$Z$90,$I$6:$I$90,"Вышло",$D$6:$D$90,"Telegram ")+SUMIFS($Z$6:$Z$90,$I$6:$I$90,"Вышло",$D$6:$D$90,"Телеграм")+SUMIFS($Z$6:$Z$90,$I$6:$I$90,"Вышло",$D$6:$D$90,"ТГ"))=0,"—",ROUND((SUMIFS($M$6:$M$90,$I$6:$I$90,"Вышло",$D$6:$D$90,"Telegram")+SUMIFS($M$6:$M$90,$I$6:$I$90,"Вышло",$D$6:$D$90,"Telegram ")+SUMIFS($M$6:$M$90,$I$6:$I$90,"Вышло",$D$6:$D$90,"Телеграм")+SUMIFS($M$6:$M$90,$I$6:$I$90,"Вышло",$D$6:$D$90,"ТГ"))/(SUMIFS($Z$6:$Z$90,$I$6:$I$90,"Вышло",$D$6:$D$90,"Telegram")+SUMIFS($Z$6:$Z$90,$I$6:$I$90,"Вышло",$D$6:$D$90,"Telegram ")+SUMIFS($Z$6:$Z$90,$I$6:$I$90,"Вышло",$D$6:$D$90,"Телеграм")+SUMIFS($Z$6:$Z$90,$I$6:$I$90,"Вышло",$D$6:$D$90,"ТГ")),0))</f>
        <v>610</v>
      </c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ht="15.75" customHeight="1">
      <c r="A95" s="139" t="s">
        <v>37</v>
      </c>
      <c r="B95" s="140">
        <f>SUMIFS($M$6:$M$90,$D$6:$D$90,"MAX")+SUMIFS($M$6:$M$90,$D$6:$D$90,"Макс")+SUMIFS($M$6:$M$90,$D$6:$D$90,"МАКС")</f>
        <v>4966</v>
      </c>
      <c r="C95" s="140">
        <f>SUMIFS($M$6:$M$90,$I$6:$I$90,"Вышло",$D$6:$D$90,"MAX")+SUMIFS($M$6:$M$90,$I$6:$I$90,"Вышло",$D$6:$D$90,"Макс")+SUMIFS($M$6:$M$90,$I$6:$I$90,"Вышло",$D$6:$D$90,"МАКС")</f>
        <v>4966</v>
      </c>
      <c r="D95" s="141">
        <f>COUNTIFS($I$6:$I$90,"Вышло",$D$6:$D$90,"MAX")+COUNTIFS($I$6:$I$90,"Вышло",$D$6:$D$90,"Макс")</f>
        <v>4</v>
      </c>
      <c r="E95" s="141">
        <f>SUMIFS($T$6:$T$90,$I$6:$I$90,"Вышло",$D$6:$D$90,"MAX")+SUMIFS($T$6:$T$90,$I$6:$I$90,"Вышло",$D$6:$D$90,"Макс")+SUMIFS($T$6:$T$90,$I$6:$I$90,"Вышло",$D$6:$D$90,"МАКС")</f>
        <v>45384</v>
      </c>
      <c r="F95" s="141">
        <f>SUMIFS($V$6:$V$90,$I$6:$I$90,"Вышло",$D$6:$D$90,"MAX")+SUMIFS($V$6:$V$90,$I$6:$I$90,"Вышло",$D$6:$D$90,"Макс")+SUMIFS($V$6:$V$90,$I$6:$I$90,"Вышло",$D$6:$D$90,"МАКС")</f>
        <v>373</v>
      </c>
      <c r="G95" s="141">
        <f>SUMIFS($W$6:$W$90,$I$6:$I$90,"Вышло",$D$6:$D$90,"MAX")+SUMIFS($W$6:$W$90,$I$6:$I$90,"Вышло",$D$6:$D$90,"Макс")+SUMIFS($W$6:$W$90,$I$6:$I$90,"Вышло",$D$6:$D$90,"МАКС")</f>
        <v>0</v>
      </c>
      <c r="H95" s="141">
        <f t="shared" si="58"/>
        <v>0</v>
      </c>
      <c r="I95" s="141">
        <f>SUMIFS($Y$6:$Y$90,$I$6:$I$90,"Вышло",$D$6:$D$90,"MAX")+SUMIFS($Y$6:$Y$90,$I$6:$I$90,"Вышло",$D$6:$D$90,"Макс")+SUMIFS($Y$6:$Y$90,$I$6:$I$90,"Вышло",$D$6:$D$90,"МАКС")</f>
        <v>0</v>
      </c>
      <c r="J95" s="141">
        <f>SUMIFS($Z$6:$Z$90,$I$6:$I$90,"Вышло",$D$6:$D$90,"MAX")+SUMIFS($Z$6:$Z$90,$I$6:$I$90,"Вышло",$D$6:$D$90,"Макс")+SUMIFS($Z$6:$Z$90,$I$6:$I$90,"Вышло",$D$6:$D$90,"МАКС")</f>
        <v>25</v>
      </c>
      <c r="K95" s="140">
        <f>SUMIFS($AA$6:$AA$90,$I$6:$I$90,"Вышло",$D$6:$D$90,"MAX")+SUMIFS($AA$6:$AA$90,$I$6:$I$90,"Вышло",$D$6:$D$90,"Макс")+SUMIFS($AA$6:$AA$90,$I$6:$I$90,"Вышло",$D$6:$D$90,"МАКС")</f>
        <v>25045</v>
      </c>
      <c r="L95" s="140">
        <f>IF((SUMIFS($V$6:$V$90,$I$6:$I$90,"Вышло",$D$6:$D$90,"MAX",$E$6:$E$90,"Сайт")+SUMIFS($V$6:$V$90,$I$6:$I$90,"Вышло",$D$6:$D$90,"MAX",$E$6:$E$90,"сайт")+SUMIFS($V$6:$V$90,$I$6:$I$90,"Вышло",$D$6:$D$90,"Макс",$E$6:$E$90,"Сайт")+SUMIFS($V$6:$V$90,$I$6:$I$90,"Вышло",$D$6:$D$90,"Макс",$E$6:$E$90,"сайт")+SUMIFS($V$6:$V$90,$I$6:$I$90,"Вышло",$D$6:$D$90,"МАКС",$E$6:$E$90,"Сайт")+SUMIFS($V$6:$V$90,$I$6:$I$90,"Вышло",$D$6:$D$90,"МАКС",$E$6:$E$90,"сайт")+SUMIFS($V$6:$V$90,$I$6:$I$90,"Вышло",$D$6:$D$90,"MAX",$E$6:$E$90,"Ozon")+SUMIFS($V$6:$V$90,$I$6:$I$90,"Вышло",$D$6:$D$90,"MAX",$E$6:$E$90,"OZON")+SUMIFS($V$6:$V$90,$I$6:$I$90,"Вышло",$D$6:$D$90,"MAX",$E$6:$E$90,"Озон")+SUMIFS($V$6:$V$90,$I$6:$I$90,"Вышло",$D$6:$D$90,"MAX",$E$6:$E$90,"озон")+SUMIFS($V$6:$V$90,$I$6:$I$90,"Вышло",$D$6:$D$90,"Макс",$E$6:$E$90,"Ozon")+SUMIFS($V$6:$V$90,$I$6:$I$90,"Вышло",$D$6:$D$90,"Макс",$E$6:$E$90,"OZON")+SUMIFS($V$6:$V$90,$I$6:$I$90,"Вышло",$D$6:$D$90,"Макс",$E$6:$E$90,"Озон")+SUMIFS($V$6:$V$90,$I$6:$I$90,"Вышло",$D$6:$D$90,"Макс",$E$6:$E$90,"озон")+SUMIFS($V$6:$V$90,$I$6:$I$90,"Вышло",$D$6:$D$90,"МАКС",$E$6:$E$90,"Ozon")+SUMIFS($V$6:$V$90,$I$6:$I$90,"Вышло",$D$6:$D$90,"МАКС",$E$6:$E$90,"OZON")+SUMIFS($V$6:$V$90,$I$6:$I$90,"Вышло",$D$6:$D$90,"МАКС",$E$6:$E$90,"Озон")+SUMIFS($V$6:$V$90,$I$6:$I$90,"Вышло",$D$6:$D$90,"МАКС",$E$6:$E$90,"озон"))=0,"—",ROUND((SUMIFS($M$6:$M$90,$I$6:$I$90,"Вышло",$D$6:$D$90,"MAX",$E$6:$E$90,"Сайт",$V$6:$V$90,"&gt;0")+SUMIFS($M$6:$M$90,$I$6:$I$90,"Вышло",$D$6:$D$90,"MAX",$E$6:$E$90,"сайт",$V$6:$V$90,"&gt;0")+SUMIFS($M$6:$M$90,$I$6:$I$90,"Вышло",$D$6:$D$90,"Макс",$E$6:$E$90,"Сайт",$V$6:$V$90,"&gt;0")+SUMIFS($M$6:$M$90,$I$6:$I$90,"Вышло",$D$6:$D$90,"Макс",$E$6:$E$90,"сайт",$V$6:$V$90,"&gt;0")+SUMIFS($M$6:$M$90,$I$6:$I$90,"Вышло",$D$6:$D$90,"МАКС",$E$6:$E$90,"Сайт",$V$6:$V$90,"&gt;0")+SUMIFS($M$6:$M$90,$I$6:$I$90,"Вышло",$D$6:$D$90,"МАКС",$E$6:$E$90,"сайт",$V$6:$V$90,"&gt;0")+SUMIFS($M$6:$M$90,$I$6:$I$90,"Вышло",$D$6:$D$90,"MAX",$E$6:$E$90,"Сайт",$V$6:$V$90,"&lt;=0",$P$6:$P$90,"&lt;&gt;")+SUMIFS($M$6:$M$90,$I$6:$I$90,"Вышло",$D$6:$D$90,"MAX",$E$6:$E$90,"сайт",$V$6:$V$90,"&lt;=0",$P$6:$P$90,"&lt;&gt;")+SUMIFS($M$6:$M$90,$I$6:$I$90,"Вышло",$D$6:$D$90,"Макс",$E$6:$E$90,"Сайт",$V$6:$V$90,"&lt;=0",$P$6:$P$90,"&lt;&gt;")+SUMIFS($M$6:$M$90,$I$6:$I$90,"Вышло",$D$6:$D$90,"Макс",$E$6:$E$90,"сайт",$V$6:$V$90,"&lt;=0",$P$6:$P$90,"&lt;&gt;")+SUMIFS($M$6:$M$90,$I$6:$I$90,"Вышло",$D$6:$D$90,"МАКС",$E$6:$E$90,"Сайт",$V$6:$V$90,"&lt;=0",$P$6:$P$90,"&lt;&gt;")+SUMIFS($M$6:$M$90,$I$6:$I$90,"Вышло",$D$6:$D$90,"МАКС",$E$6:$E$90,"сайт",$V$6:$V$90,"&lt;=0",$P$6:$P$90,"&lt;&gt;")+SUMIFS($M$6:$M$90,$I$6:$I$90,"Вышло",$D$6:$D$90,"MAX",$E$6:$E$90,"Ozon",$V$6:$V$90,"&gt;0")+SUMIFS($M$6:$M$90,$I$6:$I$90,"Вышло",$D$6:$D$90,"MAX",$E$6:$E$90,"OZON",$V$6:$V$90,"&gt;0")+SUMIFS($M$6:$M$90,$I$6:$I$90,"Вышло",$D$6:$D$90,"MAX",$E$6:$E$90,"Озон",$V$6:$V$90,"&gt;0")+SUMIFS($M$6:$M$90,$I$6:$I$90,"Вышло",$D$6:$D$90,"MAX",$E$6:$E$90,"озон",$V$6:$V$90,"&gt;0")+SUMIFS($M$6:$M$90,$I$6:$I$90,"Вышло",$D$6:$D$90,"Макс",$E$6:$E$90,"Ozon",$V$6:$V$90,"&gt;0")+SUMIFS($M$6:$M$90,$I$6:$I$90,"Вышло",$D$6:$D$90,"Макс",$E$6:$E$90,"OZON",$V$6:$V$90,"&gt;0")+SUMIFS($M$6:$M$90,$I$6:$I$90,"Вышло",$D$6:$D$90,"Макс",$E$6:$E$90,"Озон",$V$6:$V$90,"&gt;0")+SUMIFS($M$6:$M$90,$I$6:$I$90,"Вышло",$D$6:$D$90,"Макс",$E$6:$E$90,"озон",$V$6:$V$90,"&gt;0")+SUMIFS($M$6:$M$90,$I$6:$I$90,"Вышло",$D$6:$D$90,"МАКС",$E$6:$E$90,"Ozon",$V$6:$V$90,"&gt;0")+SUMIFS($M$6:$M$90,$I$6:$I$90,"Вышло",$D$6:$D$90,"МАКС",$E$6:$E$90,"OZON",$V$6:$V$90,"&gt;0")+SUMIFS($M$6:$M$90,$I$6:$I$90,"Вышло",$D$6:$D$90,"МАКС",$E$6:$E$90,"Озон",$V$6:$V$90,"&gt;0")+SUMIFS($M$6:$M$90,$I$6:$I$90,"Вышло",$D$6:$D$90,"МАКС",$E$6:$E$90,"озон",$V$6:$V$90,"&gt;0")+SUMIFS($M$6:$M$90,$I$6:$I$90,"Вышло",$D$6:$D$90,"MAX",$E$6:$E$90,"Ozon",$V$6:$V$90,"&lt;=0",$P$6:$P$90,"&lt;&gt;")+SUMIFS($M$6:$M$90,$I$6:$I$90,"Вышло",$D$6:$D$90,"MAX",$E$6:$E$90,"OZON",$V$6:$V$90,"&lt;=0",$P$6:$P$90,"&lt;&gt;")+SUMIFS($M$6:$M$90,$I$6:$I$90,"Вышло",$D$6:$D$90,"MAX",$E$6:$E$90,"Озон",$V$6:$V$90,"&lt;=0",$P$6:$P$90,"&lt;&gt;")+SUMIFS($M$6:$M$90,$I$6:$I$90,"Вышло",$D$6:$D$90,"MAX",$E$6:$E$90,"озон",$V$6:$V$90,"&lt;=0",$P$6:$P$90,"&lt;&gt;")+SUMIFS($M$6:$M$90,$I$6:$I$90,"Вышло",$D$6:$D$90,"Макс",$E$6:$E$90,"Ozon",$V$6:$V$90,"&lt;=0",$P$6:$P$90,"&lt;&gt;")+SUMIFS($M$6:$M$90,$I$6:$I$90,"Вышло",$D$6:$D$90,"Макс",$E$6:$E$90,"OZON",$V$6:$V$90,"&lt;=0",$P$6:$P$90,"&lt;&gt;")+SUMIFS($M$6:$M$90,$I$6:$I$90,"Вышло",$D$6:$D$90,"Макс",$E$6:$E$90,"Озон",$V$6:$V$90,"&lt;=0",$P$6:$P$90,"&lt;&gt;")+SUMIFS($M$6:$M$90,$I$6:$I$90,"Вышло",$D$6:$D$90,"Макс",$E$6:$E$90,"озон",$V$6:$V$90,"&lt;=0",$P$6:$P$90,"&lt;&gt;")+SUMIFS($M$6:$M$90,$I$6:$I$90,"Вышло",$D$6:$D$90,"МАКС",$E$6:$E$90,"Ozon",$V$6:$V$90,"&lt;=0",$P$6:$P$90,"&lt;&gt;")+SUMIFS($M$6:$M$90,$I$6:$I$90,"Вышло",$D$6:$D$90,"МАКС",$E$6:$E$90,"OZON",$V$6:$V$90,"&lt;=0",$P$6:$P$90,"&lt;&gt;")+SUMIFS($M$6:$M$90,$I$6:$I$90,"Вышло",$D$6:$D$90,"МАКС",$E$6:$E$90,"Озон",$V$6:$V$90,"&lt;=0",$P$6:$P$90,"&lt;&gt;")+SUMIFS($M$6:$M$90,$I$6:$I$90,"Вышло",$D$6:$D$90,"МАКС",$E$6:$E$90,"озон",$V$6:$V$90,"&lt;=0",$P$6:$P$90,"&lt;&gt;"))/(SUMIFS($V$6:$V$90,$I$6:$I$90,"Вышло",$D$6:$D$90,"MAX",$E$6:$E$90,"Сайт")+SUMIFS($V$6:$V$90,$I$6:$I$90,"Вышло",$D$6:$D$90,"MAX",$E$6:$E$90,"сайт")+SUMIFS($V$6:$V$90,$I$6:$I$90,"Вышло",$D$6:$D$90,"Макс",$E$6:$E$90,"Сайт")+SUMIFS($V$6:$V$90,$I$6:$I$90,"Вышло",$D$6:$D$90,"Макс",$E$6:$E$90,"сайт")+SUMIFS($V$6:$V$90,$I$6:$I$90,"Вышло",$D$6:$D$90,"МАКС",$E$6:$E$90,"Сайт")+SUMIFS($V$6:$V$90,$I$6:$I$90,"Вышло",$D$6:$D$90,"МАКС",$E$6:$E$90,"сайт")+SUMIFS($V$6:$V$90,$I$6:$I$90,"Вышло",$D$6:$D$90,"MAX",$E$6:$E$90,"Ozon")+SUMIFS($V$6:$V$90,$I$6:$I$90,"Вышло",$D$6:$D$90,"MAX",$E$6:$E$90,"OZON")+SUMIFS($V$6:$V$90,$I$6:$I$90,"Вышло",$D$6:$D$90,"MAX",$E$6:$E$90,"Озон")+SUMIFS($V$6:$V$90,$I$6:$I$90,"Вышло",$D$6:$D$90,"MAX",$E$6:$E$90,"озон")+SUMIFS($V$6:$V$90,$I$6:$I$90,"Вышло",$D$6:$D$90,"Макс",$E$6:$E$90,"Ozon")+SUMIFS($V$6:$V$90,$I$6:$I$90,"Вышло",$D$6:$D$90,"Макс",$E$6:$E$90,"OZON")+SUMIFS($V$6:$V$90,$I$6:$I$90,"Вышло",$D$6:$D$90,"Макс",$E$6:$E$90,"Озон")+SUMIFS($V$6:$V$90,$I$6:$I$90,"Вышло",$D$6:$D$90,"Макс",$E$6:$E$90,"озон")+SUMIFS($V$6:$V$90,$I$6:$I$90,"Вышло",$D$6:$D$90,"МАКС",$E$6:$E$90,"Ozon")+SUMIFS($V$6:$V$90,$I$6:$I$90,"Вышло",$D$6:$D$90,"МАКС",$E$6:$E$90,"OZON")+SUMIFS($V$6:$V$90,$I$6:$I$90,"Вышло",$D$6:$D$90,"МАКС",$E$6:$E$90,"Озон")+SUMIFS($V$6:$V$90,$I$6:$I$90,"Вышло",$D$6:$D$90,"МАКС",$E$6:$E$90,"озон")),0))</f>
        <v>10</v>
      </c>
      <c r="M95" s="140" t="str">
        <f>IF((SUMIFS($W$6:$W$90,$I$6:$I$90,"Вышло",$D$6:$D$90,"MAX",$E$6:$E$90,"WB")+SUMIFS($W$6:$W$90,$I$6:$I$90,"Вышло",$D$6:$D$90,"MAX",$E$6:$E$90,"ВБ")+SUMIFS($W$6:$W$90,$I$6:$I$90,"Вышло",$D$6:$D$90,"Макс",$E$6:$E$90,"WB")+SUMIFS($W$6:$W$90,$I$6:$I$90,"Вышло",$D$6:$D$90,"Макс",$E$6:$E$90,"ВБ")+SUMIFS($W$6:$W$90,$I$6:$I$90,"Вышло",$D$6:$D$90,"МАКС",$E$6:$E$90,"WB")+SUMIFS($W$6:$W$90,$I$6:$I$90,"Вышло",$D$6:$D$90,"МАКС",$E$6:$E$90,"ВБ"))=0,"—",ROUND((SUMIFS($M$6:$M$90,$I$6:$I$90,"Вышло",$D$6:$D$90,"MAX",$E$6:$E$90,"WB")+SUMIFS($M$6:$M$90,$I$6:$I$90,"Вышло",$D$6:$D$90,"MAX",$E$6:$E$90,"ВБ")+SUMIFS($M$6:$M$90,$I$6:$I$90,"Вышло",$D$6:$D$90,"Макс",$E$6:$E$90,"WB")+SUMIFS($M$6:$M$90,$I$6:$I$90,"Вышло",$D$6:$D$90,"Макс",$E$6:$E$90,"ВБ")+SUMIFS($M$6:$M$90,$I$6:$I$90,"Вышло",$D$6:$D$90,"МАКС",$E$6:$E$90,"WB")+SUMIFS($M$6:$M$90,$I$6:$I$90,"Вышло",$D$6:$D$90,"МАКС",$E$6:$E$90,"ВБ")-(SUMIFS($M$6:$M$90,$I$6:$I$90,"Вышло",$D$6:$D$90,"MAX",$E$6:$E$90,"WB",$W$6:$W$90,"&lt;=0",$V$6:$V$90,"&gt;0")+SUMIFS($M$6:$M$90,$I$6:$I$90,"Вышло",$D$6:$D$90,"MAX",$E$6:$E$90,"ВБ",$W$6:$W$90,"&lt;=0",$V$6:$V$90,"&gt;0")+SUMIFS($M$6:$M$90,$I$6:$I$90,"Вышло",$D$6:$D$90,"Макс",$E$6:$E$90,"WB",$W$6:$W$90,"&lt;=0",$V$6:$V$90,"&gt;0")+SUMIFS($M$6:$M$90,$I$6:$I$90,"Вышло",$D$6:$D$90,"Макс",$E$6:$E$90,"ВБ",$W$6:$W$90,"&lt;=0",$V$6:$V$90,"&gt;0")+SUMIFS($M$6:$M$90,$I$6:$I$90,"Вышло",$D$6:$D$90,"МАКС",$E$6:$E$90,"WB",$W$6:$W$90,"&lt;=0",$V$6:$V$90,"&gt;0")+SUMIFS($M$6:$M$90,$I$6:$I$90,"Вышло",$D$6:$D$90,"МАКС",$E$6:$E$90,"ВБ",$W$6:$W$90,"&lt;=0",$V$6:$V$90,"&gt;0")))/(SUMIFS($W$6:$W$90,$I$6:$I$90,"Вышло",$D$6:$D$90,"MAX",$E$6:$E$90,"WB")+SUMIFS($W$6:$W$90,$I$6:$I$90,"Вышло",$D$6:$D$90,"MAX",$E$6:$E$90,"ВБ")+SUMIFS($W$6:$W$90,$I$6:$I$90,"Вышло",$D$6:$D$90,"Макс",$E$6:$E$90,"WB")+SUMIFS($W$6:$W$90,$I$6:$I$90,"Вышло",$D$6:$D$90,"Макс",$E$6:$E$90,"ВБ")+SUMIFS($W$6:$W$90,$I$6:$I$90,"Вышло",$D$6:$D$90,"МАКС",$E$6:$E$90,"WB")+SUMIFS($W$6:$W$90,$I$6:$I$90,"Вышло",$D$6:$D$90,"МАКС",$E$6:$E$90,"ВБ")),0))</f>
        <v>—</v>
      </c>
      <c r="N95" s="140" t="str">
        <f t="shared" si="59"/>
        <v>—</v>
      </c>
      <c r="O95" s="140">
        <f>IF((SUMIFS($Z$6:$Z$90,$I$6:$I$90,"Вышло",$D$6:$D$90,"MAX")+SUMIFS($Z$6:$Z$90,$I$6:$I$90,"Вышло",$D$6:$D$90,"Макс")+SUMIFS($Z$6:$Z$90,$I$6:$I$90,"Вышло",$D$6:$D$90,"МАКС"))=0,"—",ROUND((SUMIFS($M$6:$M$90,$I$6:$I$90,"Вышло",$D$6:$D$90,"MAX")+SUMIFS($M$6:$M$90,$I$6:$I$90,"Вышло",$D$6:$D$90,"Макс")+SUMIFS($M$6:$M$90,$I$6:$I$90,"Вышло",$D$6:$D$90,"МАКС"))/(SUMIFS($Z$6:$Z$90,$I$6:$I$90,"Вышло",$D$6:$D$90,"MAX")+SUMIFS($Z$6:$Z$90,$I$6:$I$90,"Вышло",$D$6:$D$90,"Макс")+SUMIFS($Z$6:$Z$90,$I$6:$I$90,"Вышло",$D$6:$D$90,"МАКС")),0))</f>
        <v>199</v>
      </c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ht="15.75" customHeight="1">
      <c r="A96" s="139" t="s">
        <v>244</v>
      </c>
      <c r="B96" s="140">
        <f>SUMIFS($M$6:$M$90,$D$6:$D$90,"VK")+SUMIFS($M$6:$M$90,$D$6:$D$90,"Vk")+SUMIFS($M$6:$M$90,$D$6:$D$90,"ВК")</f>
        <v>0</v>
      </c>
      <c r="C96" s="140">
        <f>SUMIFS($M$6:$M$90,$I$6:$I$90,"Вышло",$D$6:$D$90,"VK")+SUMIFS($M$6:$M$90,$I$6:$I$90,"Вышло",$D$6:$D$90,"Vk")+SUMIFS($M$6:$M$90,$I$6:$I$90,"Вышло",$D$6:$D$90,"ВК")</f>
        <v>0</v>
      </c>
      <c r="D96" s="141">
        <f>COUNTIFS($I$6:$I$90,"Вышло",$D$6:$D$90,"VK")+COUNTIFS($I$6:$I$90,"Вышло",$D$6:$D$90,"ВК")</f>
        <v>0</v>
      </c>
      <c r="E96" s="141">
        <f>SUMIFS($T$6:$T$90,$I$6:$I$90,"Вышло",$D$6:$D$90,"VK")+SUMIFS($T$6:$T$90,$I$6:$I$90,"Вышло",$D$6:$D$90,"Vk")+SUMIFS($T$6:$T$90,$I$6:$I$90,"Вышло",$D$6:$D$90,"ВК")</f>
        <v>0</v>
      </c>
      <c r="F96" s="141">
        <f>SUMIFS($V$6:$V$90,$I$6:$I$90,"Вышло",$D$6:$D$90,"VK")+SUMIFS($V$6:$V$90,$I$6:$I$90,"Вышло",$D$6:$D$90,"Vk")+SUMIFS($V$6:$V$90,$I$6:$I$90,"Вышло",$D$6:$D$90,"ВК")</f>
        <v>0</v>
      </c>
      <c r="G96" s="141">
        <f>SUMIFS($W$6:$W$90,$I$6:$I$90,"Вышло",$D$6:$D$90,"VK")+SUMIFS($W$6:$W$90,$I$6:$I$90,"Вышло",$D$6:$D$90,"Vk")+SUMIFS($W$6:$W$90,$I$6:$I$90,"Вышло",$D$6:$D$90,"ВК")</f>
        <v>0</v>
      </c>
      <c r="H96" s="141">
        <f t="shared" si="58"/>
        <v>0</v>
      </c>
      <c r="I96" s="141">
        <f>SUMIFS($Y$6:$Y$90,$I$6:$I$90,"Вышло",$D$6:$D$90,"VK")+SUMIFS($Y$6:$Y$90,$I$6:$I$90,"Вышло",$D$6:$D$90,"Vk")+SUMIFS($Y$6:$Y$90,$I$6:$I$90,"Вышло",$D$6:$D$90,"ВК")</f>
        <v>0</v>
      </c>
      <c r="J96" s="141">
        <f>SUMIFS($Z$6:$Z$90,$I$6:$I$90,"Вышло",$D$6:$D$90,"VK")+SUMIFS($Z$6:$Z$90,$I$6:$I$90,"Вышло",$D$6:$D$90,"Vk")+SUMIFS($Z$6:$Z$90,$I$6:$I$90,"Вышло",$D$6:$D$90,"ВК")</f>
        <v>0</v>
      </c>
      <c r="K96" s="140">
        <f>SUMIFS($AA$6:$AA$90,$I$6:$I$90,"Вышло",$D$6:$D$90,"VK")+SUMIFS($AA$6:$AA$90,$I$6:$I$90,"Вышло",$D$6:$D$90,"Vk")+SUMIFS($AA$6:$AA$90,$I$6:$I$90,"Вышло",$D$6:$D$90,"ВК")</f>
        <v>0</v>
      </c>
      <c r="L96" s="140" t="str">
        <f>IF((SUMIFS($V$6:$V$90,$I$6:$I$90,"Вышло",$D$6:$D$90,"VK",$E$6:$E$90,"Сайт")+SUMIFS($V$6:$V$90,$I$6:$I$90,"Вышло",$D$6:$D$90,"VK",$E$6:$E$90,"сайт")+SUMIFS($V$6:$V$90,$I$6:$I$90,"Вышло",$D$6:$D$90,"Vk",$E$6:$E$90,"Сайт")+SUMIFS($V$6:$V$90,$I$6:$I$90,"Вышло",$D$6:$D$90,"Vk",$E$6:$E$90,"сайт")+SUMIFS($V$6:$V$90,$I$6:$I$90,"Вышло",$D$6:$D$90,"ВК",$E$6:$E$90,"Сайт")+SUMIFS($V$6:$V$90,$I$6:$I$90,"Вышло",$D$6:$D$90,"ВК",$E$6:$E$90,"сайт")+SUMIFS($V$6:$V$90,$I$6:$I$90,"Вышло",$D$6:$D$90,"VK",$E$6:$E$90,"Ozon")+SUMIFS($V$6:$V$90,$I$6:$I$90,"Вышло",$D$6:$D$90,"VK",$E$6:$E$90,"OZON")+SUMIFS($V$6:$V$90,$I$6:$I$90,"Вышло",$D$6:$D$90,"VK",$E$6:$E$90,"Озон")+SUMIFS($V$6:$V$90,$I$6:$I$90,"Вышло",$D$6:$D$90,"VK",$E$6:$E$90,"озон")+SUMIFS($V$6:$V$90,$I$6:$I$90,"Вышло",$D$6:$D$90,"Vk",$E$6:$E$90,"Ozon")+SUMIFS($V$6:$V$90,$I$6:$I$90,"Вышло",$D$6:$D$90,"Vk",$E$6:$E$90,"OZON")+SUMIFS($V$6:$V$90,$I$6:$I$90,"Вышло",$D$6:$D$90,"Vk",$E$6:$E$90,"Озон")+SUMIFS($V$6:$V$90,$I$6:$I$90,"Вышло",$D$6:$D$90,"Vk",$E$6:$E$90,"озон")+SUMIFS($V$6:$V$90,$I$6:$I$90,"Вышло",$D$6:$D$90,"ВК",$E$6:$E$90,"Ozon")+SUMIFS($V$6:$V$90,$I$6:$I$90,"Вышло",$D$6:$D$90,"ВК",$E$6:$E$90,"OZON")+SUMIFS($V$6:$V$90,$I$6:$I$90,"Вышло",$D$6:$D$90,"ВК",$E$6:$E$90,"Озон")+SUMIFS($V$6:$V$90,$I$6:$I$90,"Вышло",$D$6:$D$90,"ВК",$E$6:$E$90,"озон"))=0,"—",ROUND((SUMIFS($M$6:$M$90,$I$6:$I$90,"Вышло",$D$6:$D$90,"VK",$E$6:$E$90,"Сайт",$V$6:$V$90,"&gt;0")+SUMIFS($M$6:$M$90,$I$6:$I$90,"Вышло",$D$6:$D$90,"VK",$E$6:$E$90,"сайт",$V$6:$V$90,"&gt;0")+SUMIFS($M$6:$M$90,$I$6:$I$90,"Вышло",$D$6:$D$90,"Vk",$E$6:$E$90,"Сайт",$V$6:$V$90,"&gt;0")+SUMIFS($M$6:$M$90,$I$6:$I$90,"Вышло",$D$6:$D$90,"Vk",$E$6:$E$90,"сайт",$V$6:$V$90,"&gt;0")+SUMIFS($M$6:$M$90,$I$6:$I$90,"Вышло",$D$6:$D$90,"ВК",$E$6:$E$90,"Сайт",$V$6:$V$90,"&gt;0")+SUMIFS($M$6:$M$90,$I$6:$I$90,"Вышло",$D$6:$D$90,"ВК",$E$6:$E$90,"сайт",$V$6:$V$90,"&gt;0")+SUMIFS($M$6:$M$90,$I$6:$I$90,"Вышло",$D$6:$D$90,"VK",$E$6:$E$90,"Сайт",$V$6:$V$90,"&lt;=0",$P$6:$P$90,"&lt;&gt;")+SUMIFS($M$6:$M$90,$I$6:$I$90,"Вышло",$D$6:$D$90,"VK",$E$6:$E$90,"сайт",$V$6:$V$90,"&lt;=0",$P$6:$P$90,"&lt;&gt;")+SUMIFS($M$6:$M$90,$I$6:$I$90,"Вышло",$D$6:$D$90,"Vk",$E$6:$E$90,"Сайт",$V$6:$V$90,"&lt;=0",$P$6:$P$90,"&lt;&gt;")+SUMIFS($M$6:$M$90,$I$6:$I$90,"Вышло",$D$6:$D$90,"Vk",$E$6:$E$90,"сайт",$V$6:$V$90,"&lt;=0",$P$6:$P$90,"&lt;&gt;")+SUMIFS($M$6:$M$90,$I$6:$I$90,"Вышло",$D$6:$D$90,"ВК",$E$6:$E$90,"Сайт",$V$6:$V$90,"&lt;=0",$P$6:$P$90,"&lt;&gt;")+SUMIFS($M$6:$M$90,$I$6:$I$90,"Вышло",$D$6:$D$90,"ВК",$E$6:$E$90,"сайт",$V$6:$V$90,"&lt;=0",$P$6:$P$90,"&lt;&gt;")+SUMIFS($M$6:$M$90,$I$6:$I$90,"Вышло",$D$6:$D$90,"VK",$E$6:$E$90,"Ozon",$V$6:$V$90,"&gt;0")+SUMIFS($M$6:$M$90,$I$6:$I$90,"Вышло",$D$6:$D$90,"VK",$E$6:$E$90,"OZON",$V$6:$V$90,"&gt;0")+SUMIFS($M$6:$M$90,$I$6:$I$90,"Вышло",$D$6:$D$90,"VK",$E$6:$E$90,"Озон",$V$6:$V$90,"&gt;0")+SUMIFS($M$6:$M$90,$I$6:$I$90,"Вышло",$D$6:$D$90,"VK",$E$6:$E$90,"озон",$V$6:$V$90,"&gt;0")+SUMIFS($M$6:$M$90,$I$6:$I$90,"Вышло",$D$6:$D$90,"Vk",$E$6:$E$90,"Ozon",$V$6:$V$90,"&gt;0")+SUMIFS($M$6:$M$90,$I$6:$I$90,"Вышло",$D$6:$D$90,"Vk",$E$6:$E$90,"OZON",$V$6:$V$90,"&gt;0")+SUMIFS($M$6:$M$90,$I$6:$I$90,"Вышло",$D$6:$D$90,"Vk",$E$6:$E$90,"Озон",$V$6:$V$90,"&gt;0")+SUMIFS($M$6:$M$90,$I$6:$I$90,"Вышло",$D$6:$D$90,"Vk",$E$6:$E$90,"озон",$V$6:$V$90,"&gt;0")+SUMIFS($M$6:$M$90,$I$6:$I$90,"Вышло",$D$6:$D$90,"ВК",$E$6:$E$90,"Ozon",$V$6:$V$90,"&gt;0")+SUMIFS($M$6:$M$90,$I$6:$I$90,"Вышло",$D$6:$D$90,"ВК",$E$6:$E$90,"OZON",$V$6:$V$90,"&gt;0")+SUMIFS($M$6:$M$90,$I$6:$I$90,"Вышло",$D$6:$D$90,"ВК",$E$6:$E$90,"Озон",$V$6:$V$90,"&gt;0")+SUMIFS($M$6:$M$90,$I$6:$I$90,"Вышло",$D$6:$D$90,"ВК",$E$6:$E$90,"озон",$V$6:$V$90,"&gt;0")+SUMIFS($M$6:$M$90,$I$6:$I$90,"Вышло",$D$6:$D$90,"VK",$E$6:$E$90,"Ozon",$V$6:$V$90,"&lt;=0",$P$6:$P$90,"&lt;&gt;")+SUMIFS($M$6:$M$90,$I$6:$I$90,"Вышло",$D$6:$D$90,"VK",$E$6:$E$90,"OZON",$V$6:$V$90,"&lt;=0",$P$6:$P$90,"&lt;&gt;")+SUMIFS($M$6:$M$90,$I$6:$I$90,"Вышло",$D$6:$D$90,"VK",$E$6:$E$90,"Озон",$V$6:$V$90,"&lt;=0",$P$6:$P$90,"&lt;&gt;")+SUMIFS($M$6:$M$90,$I$6:$I$90,"Вышло",$D$6:$D$90,"VK",$E$6:$E$90,"озон",$V$6:$V$90,"&lt;=0",$P$6:$P$90,"&lt;&gt;")+SUMIFS($M$6:$M$90,$I$6:$I$90,"Вышло",$D$6:$D$90,"Vk",$E$6:$E$90,"Ozon",$V$6:$V$90,"&lt;=0",$P$6:$P$90,"&lt;&gt;")+SUMIFS($M$6:$M$90,$I$6:$I$90,"Вышло",$D$6:$D$90,"Vk",$E$6:$E$90,"OZON",$V$6:$V$90,"&lt;=0",$P$6:$P$90,"&lt;&gt;")+SUMIFS($M$6:$M$90,$I$6:$I$90,"Вышло",$D$6:$D$90,"Vk",$E$6:$E$90,"Озон",$V$6:$V$90,"&lt;=0",$P$6:$P$90,"&lt;&gt;")+SUMIFS($M$6:$M$90,$I$6:$I$90,"Вышло",$D$6:$D$90,"Vk",$E$6:$E$90,"озон",$V$6:$V$90,"&lt;=0",$P$6:$P$90,"&lt;&gt;")+SUMIFS($M$6:$M$90,$I$6:$I$90,"Вышло",$D$6:$D$90,"ВК",$E$6:$E$90,"Ozon",$V$6:$V$90,"&lt;=0",$P$6:$P$90,"&lt;&gt;")+SUMIFS($M$6:$M$90,$I$6:$I$90,"Вышло",$D$6:$D$90,"ВК",$E$6:$E$90,"OZON",$V$6:$V$90,"&lt;=0",$P$6:$P$90,"&lt;&gt;")+SUMIFS($M$6:$M$90,$I$6:$I$90,"Вышло",$D$6:$D$90,"ВК",$E$6:$E$90,"Озон",$V$6:$V$90,"&lt;=0",$P$6:$P$90,"&lt;&gt;")+SUMIFS($M$6:$M$90,$I$6:$I$90,"Вышло",$D$6:$D$90,"ВК",$E$6:$E$90,"озон",$V$6:$V$90,"&lt;=0",$P$6:$P$90,"&lt;&gt;"))/(SUMIFS($V$6:$V$90,$I$6:$I$90,"Вышло",$D$6:$D$90,"VK",$E$6:$E$90,"Сайт")+SUMIFS($V$6:$V$90,$I$6:$I$90,"Вышло",$D$6:$D$90,"VK",$E$6:$E$90,"сайт")+SUMIFS($V$6:$V$90,$I$6:$I$90,"Вышло",$D$6:$D$90,"Vk",$E$6:$E$90,"Сайт")+SUMIFS($V$6:$V$90,$I$6:$I$90,"Вышло",$D$6:$D$90,"Vk",$E$6:$E$90,"сайт")+SUMIFS($V$6:$V$90,$I$6:$I$90,"Вышло",$D$6:$D$90,"ВК",$E$6:$E$90,"Сайт")+SUMIFS($V$6:$V$90,$I$6:$I$90,"Вышло",$D$6:$D$90,"ВК",$E$6:$E$90,"сайт")+SUMIFS($V$6:$V$90,$I$6:$I$90,"Вышло",$D$6:$D$90,"VK",$E$6:$E$90,"Ozon")+SUMIFS($V$6:$V$90,$I$6:$I$90,"Вышло",$D$6:$D$90,"VK",$E$6:$E$90,"OZON")+SUMIFS($V$6:$V$90,$I$6:$I$90,"Вышло",$D$6:$D$90,"VK",$E$6:$E$90,"Озон")+SUMIFS($V$6:$V$90,$I$6:$I$90,"Вышло",$D$6:$D$90,"VK",$E$6:$E$90,"озон")+SUMIFS($V$6:$V$90,$I$6:$I$90,"Вышло",$D$6:$D$90,"Vk",$E$6:$E$90,"Ozon")+SUMIFS($V$6:$V$90,$I$6:$I$90,"Вышло",$D$6:$D$90,"Vk",$E$6:$E$90,"OZON")+SUMIFS($V$6:$V$90,$I$6:$I$90,"Вышло",$D$6:$D$90,"Vk",$E$6:$E$90,"Озон")+SUMIFS($V$6:$V$90,$I$6:$I$90,"Вышло",$D$6:$D$90,"Vk",$E$6:$E$90,"озон")+SUMIFS($V$6:$V$90,$I$6:$I$90,"Вышло",$D$6:$D$90,"ВК",$E$6:$E$90,"Ozon")+SUMIFS($V$6:$V$90,$I$6:$I$90,"Вышло",$D$6:$D$90,"ВК",$E$6:$E$90,"OZON")+SUMIFS($V$6:$V$90,$I$6:$I$90,"Вышло",$D$6:$D$90,"ВК",$E$6:$E$90,"Озон")+SUMIFS($V$6:$V$90,$I$6:$I$90,"Вышло",$D$6:$D$90,"ВК",$E$6:$E$90,"озон")),0))</f>
        <v>—</v>
      </c>
      <c r="M96" s="140" t="str">
        <f>IF((SUMIFS($W$6:$W$90,$I$6:$I$90,"Вышло",$D$6:$D$90,"VK",$E$6:$E$90,"WB")+SUMIFS($W$6:$W$90,$I$6:$I$90,"Вышло",$D$6:$D$90,"VK",$E$6:$E$90,"ВБ")+SUMIFS($W$6:$W$90,$I$6:$I$90,"Вышло",$D$6:$D$90,"Vk",$E$6:$E$90,"WB")+SUMIFS($W$6:$W$90,$I$6:$I$90,"Вышло",$D$6:$D$90,"Vk",$E$6:$E$90,"ВБ")+SUMIFS($W$6:$W$90,$I$6:$I$90,"Вышло",$D$6:$D$90,"ВК",$E$6:$E$90,"WB")+SUMIFS($W$6:$W$90,$I$6:$I$90,"Вышло",$D$6:$D$90,"ВК",$E$6:$E$90,"ВБ"))=0,"—",ROUND((SUMIFS($M$6:$M$90,$I$6:$I$90,"Вышло",$D$6:$D$90,"VK",$E$6:$E$90,"WB")+SUMIFS($M$6:$M$90,$I$6:$I$90,"Вышло",$D$6:$D$90,"VK",$E$6:$E$90,"ВБ")+SUMIFS($M$6:$M$90,$I$6:$I$90,"Вышло",$D$6:$D$90,"Vk",$E$6:$E$90,"WB")+SUMIFS($M$6:$M$90,$I$6:$I$90,"Вышло",$D$6:$D$90,"Vk",$E$6:$E$90,"ВБ")+SUMIFS($M$6:$M$90,$I$6:$I$90,"Вышло",$D$6:$D$90,"ВК",$E$6:$E$90,"WB")+SUMIFS($M$6:$M$90,$I$6:$I$90,"Вышло",$D$6:$D$90,"ВК",$E$6:$E$90,"ВБ")-(SUMIFS($M$6:$M$90,$I$6:$I$90,"Вышло",$D$6:$D$90,"VK",$E$6:$E$90,"WB",$W$6:$W$90,"&lt;=0",$V$6:$V$90,"&gt;0")+SUMIFS($M$6:$M$90,$I$6:$I$90,"Вышло",$D$6:$D$90,"VK",$E$6:$E$90,"ВБ",$W$6:$W$90,"&lt;=0",$V$6:$V$90,"&gt;0")+SUMIFS($M$6:$M$90,$I$6:$I$90,"Вышло",$D$6:$D$90,"Vk",$E$6:$E$90,"WB",$W$6:$W$90,"&lt;=0",$V$6:$V$90,"&gt;0")+SUMIFS($M$6:$M$90,$I$6:$I$90,"Вышло",$D$6:$D$90,"Vk",$E$6:$E$90,"ВБ",$W$6:$W$90,"&lt;=0",$V$6:$V$90,"&gt;0")+SUMIFS($M$6:$M$90,$I$6:$I$90,"Вышло",$D$6:$D$90,"ВК",$E$6:$E$90,"WB",$W$6:$W$90,"&lt;=0",$V$6:$V$90,"&gt;0")+SUMIFS($M$6:$M$90,$I$6:$I$90,"Вышло",$D$6:$D$90,"ВК",$E$6:$E$90,"ВБ",$W$6:$W$90,"&lt;=0",$V$6:$V$90,"&gt;0")))/(SUMIFS($W$6:$W$90,$I$6:$I$90,"Вышло",$D$6:$D$90,"VK",$E$6:$E$90,"WB")+SUMIFS($W$6:$W$90,$I$6:$I$90,"Вышло",$D$6:$D$90,"VK",$E$6:$E$90,"ВБ")+SUMIFS($W$6:$W$90,$I$6:$I$90,"Вышло",$D$6:$D$90,"Vk",$E$6:$E$90,"WB")+SUMIFS($W$6:$W$90,$I$6:$I$90,"Вышло",$D$6:$D$90,"Vk",$E$6:$E$90,"ВБ")+SUMIFS($W$6:$W$90,$I$6:$I$90,"Вышло",$D$6:$D$90,"ВК",$E$6:$E$90,"WB")+SUMIFS($W$6:$W$90,$I$6:$I$90,"Вышло",$D$6:$D$90,"ВК",$E$6:$E$90,"ВБ")),0))</f>
        <v>—</v>
      </c>
      <c r="N96" s="140" t="str">
        <f t="shared" si="59"/>
        <v>—</v>
      </c>
      <c r="O96" s="140" t="str">
        <f>IF((SUMIFS($Z$6:$Z$90,$I$6:$I$90,"Вышло",$D$6:$D$90,"VK")+SUMIFS($Z$6:$Z$90,$I$6:$I$90,"Вышло",$D$6:$D$90,"Vk")+SUMIFS($Z$6:$Z$90,$I$6:$I$90,"Вышло",$D$6:$D$90,"ВК"))=0,"—",ROUND((SUMIFS($M$6:$M$90,$I$6:$I$90,"Вышло",$D$6:$D$90,"VK")+SUMIFS($M$6:$M$90,$I$6:$I$90,"Вышло",$D$6:$D$90,"Vk")+SUMIFS($M$6:$M$90,$I$6:$I$90,"Вышло",$D$6:$D$90,"ВК"))/(SUMIFS($Z$6:$Z$90,$I$6:$I$90,"Вышло",$D$6:$D$90,"VK")+SUMIFS($Z$6:$Z$90,$I$6:$I$90,"Вышло",$D$6:$D$90,"Vk")+SUMIFS($Z$6:$Z$90,$I$6:$I$90,"Вышло",$D$6:$D$90,"ВК")),0))</f>
        <v>—</v>
      </c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ht="15.75" customHeight="1">
      <c r="A97" s="139" t="s">
        <v>24</v>
      </c>
      <c r="B97" s="140">
        <f>SUMIFS($M$6:$M$90,$D$6:$D$90,"YouTube")+SUMIFS($M$6:$M$90,$D$6:$D$90,"Youtube")</f>
        <v>18500</v>
      </c>
      <c r="C97" s="140">
        <f>SUMIFS($M$6:$M$90,$I$6:$I$90,"Вышло",$D$6:$D$90,"YouTube")+SUMIFS($M$6:$M$90,$I$6:$I$90,"Вышло",$D$6:$D$90,"Youtube")</f>
        <v>18500</v>
      </c>
      <c r="D97" s="141">
        <f>COUNTIFS($I$6:$I$90,"Вышло",$D$6:$D$90,"YouTube")</f>
        <v>2</v>
      </c>
      <c r="E97" s="141">
        <f>SUMIFS($T$6:$T$90,$I$6:$I$90,"Вышло",$D$6:$D$90,"YouTube")+SUMIFS($T$6:$T$90,$I$6:$I$90,"Вышло",$D$6:$D$90,"Youtube")</f>
        <v>66236</v>
      </c>
      <c r="F97" s="141">
        <f>SUMIFS($V$6:$V$90,$I$6:$I$90,"Вышло",$D$6:$D$90,"YouTube")+SUMIFS($V$6:$V$90,$I$6:$I$90,"Вышло",$D$6:$D$90,"Youtube")</f>
        <v>220</v>
      </c>
      <c r="G97" s="141">
        <f>SUMIFS($W$6:$W$90,$I$6:$I$90,"Вышло",$D$6:$D$90,"YouTube")+SUMIFS($W$6:$W$90,$I$6:$I$90,"Вышло",$D$6:$D$90,"Youtube")</f>
        <v>0</v>
      </c>
      <c r="H97" s="141">
        <f t="shared" si="58"/>
        <v>0</v>
      </c>
      <c r="I97" s="141">
        <f>SUMIFS($Y$6:$Y$90,$I$6:$I$90,"Вышло",$D$6:$D$90,"YouTube")+SUMIFS($Y$6:$Y$90,$I$6:$I$90,"Вышло",$D$6:$D$90,"Youtube")</f>
        <v>0</v>
      </c>
      <c r="J97" s="141">
        <f>SUMIFS($Z$6:$Z$90,$I$6:$I$90,"Вышло",$D$6:$D$90,"YouTube")+SUMIFS($Z$6:$Z$90,$I$6:$I$90,"Вышло",$D$6:$D$90,"Youtube")</f>
        <v>34</v>
      </c>
      <c r="K97" s="140">
        <f>SUMIFS($AA$6:$AA$90,$I$6:$I$90,"Вышло",$D$6:$D$90,"YouTube")+SUMIFS($AA$6:$AA$90,$I$6:$I$90,"Вышло",$D$6:$D$90,"Youtube")</f>
        <v>37286</v>
      </c>
      <c r="L97" s="140">
        <f>IF((SUMIFS($V$6:$V$90,$I$6:$I$90,"Вышло",$D$6:$D$90,"YouTube",$E$6:$E$90,"Сайт")+SUMIFS($V$6:$V$90,$I$6:$I$90,"Вышло",$D$6:$D$90,"YouTube",$E$6:$E$90,"сайт")+SUMIFS($V$6:$V$90,$I$6:$I$90,"Вышло",$D$6:$D$90,"Youtube",$E$6:$E$90,"Сайт")+SUMIFS($V$6:$V$90,$I$6:$I$90,"Вышло",$D$6:$D$90,"Youtube",$E$6:$E$90,"сайт")+SUMIFS($V$6:$V$90,$I$6:$I$90,"Вышло",$D$6:$D$90,"YouTube",$E$6:$E$90,"Ozon")+SUMIFS($V$6:$V$90,$I$6:$I$90,"Вышло",$D$6:$D$90,"YouTube",$E$6:$E$90,"OZON")+SUMIFS($V$6:$V$90,$I$6:$I$90,"Вышло",$D$6:$D$90,"YouTube",$E$6:$E$90,"Озон")+SUMIFS($V$6:$V$90,$I$6:$I$90,"Вышло",$D$6:$D$90,"YouTube",$E$6:$E$90,"озон")+SUMIFS($V$6:$V$90,$I$6:$I$90,"Вышло",$D$6:$D$90,"Youtube",$E$6:$E$90,"Ozon")+SUMIFS($V$6:$V$90,$I$6:$I$90,"Вышло",$D$6:$D$90,"Youtube",$E$6:$E$90,"OZON")+SUMIFS($V$6:$V$90,$I$6:$I$90,"Вышло",$D$6:$D$90,"Youtube",$E$6:$E$90,"Озон")+SUMIFS($V$6:$V$90,$I$6:$I$90,"Вышло",$D$6:$D$90,"Youtube",$E$6:$E$90,"озон"))=0,"—",ROUND((SUMIFS($M$6:$M$90,$I$6:$I$90,"Вышло",$D$6:$D$90,"YouTube",$E$6:$E$90,"Сайт",$V$6:$V$90,"&gt;0")+SUMIFS($M$6:$M$90,$I$6:$I$90,"Вышло",$D$6:$D$90,"YouTube",$E$6:$E$90,"сайт",$V$6:$V$90,"&gt;0")+SUMIFS($M$6:$M$90,$I$6:$I$90,"Вышло",$D$6:$D$90,"Youtube",$E$6:$E$90,"Сайт",$V$6:$V$90,"&gt;0")+SUMIFS($M$6:$M$90,$I$6:$I$90,"Вышло",$D$6:$D$90,"Youtube",$E$6:$E$90,"сайт",$V$6:$V$90,"&gt;0")+SUMIFS($M$6:$M$90,$I$6:$I$90,"Вышло",$D$6:$D$90,"YouTube",$E$6:$E$90,"Сайт",$V$6:$V$90,"&lt;=0",$P$6:$P$90,"&lt;&gt;")+SUMIFS($M$6:$M$90,$I$6:$I$90,"Вышло",$D$6:$D$90,"YouTube",$E$6:$E$90,"сайт",$V$6:$V$90,"&lt;=0",$P$6:$P$90,"&lt;&gt;")+SUMIFS($M$6:$M$90,$I$6:$I$90,"Вышло",$D$6:$D$90,"Youtube",$E$6:$E$90,"Сайт",$V$6:$V$90,"&lt;=0",$P$6:$P$90,"&lt;&gt;")+SUMIFS($M$6:$M$90,$I$6:$I$90,"Вышло",$D$6:$D$90,"Youtube",$E$6:$E$90,"сайт",$V$6:$V$90,"&lt;=0",$P$6:$P$90,"&lt;&gt;")+SUMIFS($M$6:$M$90,$I$6:$I$90,"Вышло",$D$6:$D$90,"YouTube",$E$6:$E$90,"Ozon",$V$6:$V$90,"&gt;0")+SUMIFS($M$6:$M$90,$I$6:$I$90,"Вышло",$D$6:$D$90,"YouTube",$E$6:$E$90,"OZON",$V$6:$V$90,"&gt;0")+SUMIFS($M$6:$M$90,$I$6:$I$90,"Вышло",$D$6:$D$90,"YouTube",$E$6:$E$90,"Озон",$V$6:$V$90,"&gt;0")+SUMIFS($M$6:$M$90,$I$6:$I$90,"Вышло",$D$6:$D$90,"YouTube",$E$6:$E$90,"озон",$V$6:$V$90,"&gt;0")+SUMIFS($M$6:$M$90,$I$6:$I$90,"Вышло",$D$6:$D$90,"Youtube",$E$6:$E$90,"Ozon",$V$6:$V$90,"&gt;0")+SUMIFS($M$6:$M$90,$I$6:$I$90,"Вышло",$D$6:$D$90,"Youtube",$E$6:$E$90,"OZON",$V$6:$V$90,"&gt;0")+SUMIFS($M$6:$M$90,$I$6:$I$90,"Вышло",$D$6:$D$90,"Youtube",$E$6:$E$90,"Озон",$V$6:$V$90,"&gt;0")+SUMIFS($M$6:$M$90,$I$6:$I$90,"Вышло",$D$6:$D$90,"Youtube",$E$6:$E$90,"озон",$V$6:$V$90,"&gt;0")+SUMIFS($M$6:$M$90,$I$6:$I$90,"Вышло",$D$6:$D$90,"YouTube",$E$6:$E$90,"Ozon",$V$6:$V$90,"&lt;=0",$P$6:$P$90,"&lt;&gt;")+SUMIFS($M$6:$M$90,$I$6:$I$90,"Вышло",$D$6:$D$90,"YouTube",$E$6:$E$90,"OZON",$V$6:$V$90,"&lt;=0",$P$6:$P$90,"&lt;&gt;")+SUMIFS($M$6:$M$90,$I$6:$I$90,"Вышло",$D$6:$D$90,"YouTube",$E$6:$E$90,"Озон",$V$6:$V$90,"&lt;=0",$P$6:$P$90,"&lt;&gt;")+SUMIFS($M$6:$M$90,$I$6:$I$90,"Вышло",$D$6:$D$90,"YouTube",$E$6:$E$90,"озон",$V$6:$V$90,"&lt;=0",$P$6:$P$90,"&lt;&gt;")+SUMIFS($M$6:$M$90,$I$6:$I$90,"Вышло",$D$6:$D$90,"Youtube",$E$6:$E$90,"Ozon",$V$6:$V$90,"&lt;=0",$P$6:$P$90,"&lt;&gt;")+SUMIFS($M$6:$M$90,$I$6:$I$90,"Вышло",$D$6:$D$90,"Youtube",$E$6:$E$90,"OZON",$V$6:$V$90,"&lt;=0",$P$6:$P$90,"&lt;&gt;")+SUMIFS($M$6:$M$90,$I$6:$I$90,"Вышло",$D$6:$D$90,"Youtube",$E$6:$E$90,"Озон",$V$6:$V$90,"&lt;=0",$P$6:$P$90,"&lt;&gt;")+SUMIFS($M$6:$M$90,$I$6:$I$90,"Вышло",$D$6:$D$90,"Youtube",$E$6:$E$90,"озон",$V$6:$V$90,"&lt;=0",$P$6:$P$90,"&lt;&gt;"))/(SUMIFS($V$6:$V$90,$I$6:$I$90,"Вышло",$D$6:$D$90,"YouTube",$E$6:$E$90,"Сайт")+SUMIFS($V$6:$V$90,$I$6:$I$90,"Вышло",$D$6:$D$90,"YouTube",$E$6:$E$90,"сайт")+SUMIFS($V$6:$V$90,$I$6:$I$90,"Вышло",$D$6:$D$90,"Youtube",$E$6:$E$90,"Сайт")+SUMIFS($V$6:$V$90,$I$6:$I$90,"Вышло",$D$6:$D$90,"Youtube",$E$6:$E$90,"сайт")+SUMIFS($V$6:$V$90,$I$6:$I$90,"Вышло",$D$6:$D$90,"YouTube",$E$6:$E$90,"Ozon")+SUMIFS($V$6:$V$90,$I$6:$I$90,"Вышло",$D$6:$D$90,"YouTube",$E$6:$E$90,"OZON")+SUMIFS($V$6:$V$90,$I$6:$I$90,"Вышло",$D$6:$D$90,"YouTube",$E$6:$E$90,"Озон")+SUMIFS($V$6:$V$90,$I$6:$I$90,"Вышло",$D$6:$D$90,"YouTube",$E$6:$E$90,"озон")+SUMIFS($V$6:$V$90,$I$6:$I$90,"Вышло",$D$6:$D$90,"Youtube",$E$6:$E$90,"Ozon")+SUMIFS($V$6:$V$90,$I$6:$I$90,"Вышло",$D$6:$D$90,"Youtube",$E$6:$E$90,"OZON")+SUMIFS($V$6:$V$90,$I$6:$I$90,"Вышло",$D$6:$D$90,"Youtube",$E$6:$E$90,"Озон")+SUMIFS($V$6:$V$90,$I$6:$I$90,"Вышло",$D$6:$D$90,"Youtube",$E$6:$E$90,"озон")),0))</f>
        <v>70</v>
      </c>
      <c r="M97" s="140" t="str">
        <f>IF((SUMIFS($W$6:$W$90,$I$6:$I$90,"Вышло",$D$6:$D$90,"YouTube",$E$6:$E$90,"WB")+SUMIFS($W$6:$W$90,$I$6:$I$90,"Вышло",$D$6:$D$90,"YouTube",$E$6:$E$90,"ВБ")+SUMIFS($W$6:$W$90,$I$6:$I$90,"Вышло",$D$6:$D$90,"Youtube",$E$6:$E$90,"WB")+SUMIFS($W$6:$W$90,$I$6:$I$90,"Вышло",$D$6:$D$90,"Youtube",$E$6:$E$90,"ВБ"))=0,"—",ROUND((SUMIFS($M$6:$M$90,$I$6:$I$90,"Вышло",$D$6:$D$90,"YouTube",$E$6:$E$90,"WB")+SUMIFS($M$6:$M$90,$I$6:$I$90,"Вышло",$D$6:$D$90,"YouTube",$E$6:$E$90,"ВБ")+SUMIFS($M$6:$M$90,$I$6:$I$90,"Вышло",$D$6:$D$90,"Youtube",$E$6:$E$90,"WB")+SUMIFS($M$6:$M$90,$I$6:$I$90,"Вышло",$D$6:$D$90,"Youtube",$E$6:$E$90,"ВБ")-(SUMIFS($M$6:$M$90,$I$6:$I$90,"Вышло",$D$6:$D$90,"YouTube",$E$6:$E$90,"WB",$W$6:$W$90,"&lt;=0",$V$6:$V$90,"&gt;0")+SUMIFS($M$6:$M$90,$I$6:$I$90,"Вышло",$D$6:$D$90,"YouTube",$E$6:$E$90,"ВБ",$W$6:$W$90,"&lt;=0",$V$6:$V$90,"&gt;0")+SUMIFS($M$6:$M$90,$I$6:$I$90,"Вышло",$D$6:$D$90,"Youtube",$E$6:$E$90,"WB",$W$6:$W$90,"&lt;=0",$V$6:$V$90,"&gt;0")+SUMIFS($M$6:$M$90,$I$6:$I$90,"Вышло",$D$6:$D$90,"Youtube",$E$6:$E$90,"ВБ",$W$6:$W$90,"&lt;=0",$V$6:$V$90,"&gt;0")))/(SUMIFS($W$6:$W$90,$I$6:$I$90,"Вышло",$D$6:$D$90,"YouTube",$E$6:$E$90,"WB")+SUMIFS($W$6:$W$90,$I$6:$I$90,"Вышло",$D$6:$D$90,"YouTube",$E$6:$E$90,"ВБ")+SUMIFS($W$6:$W$90,$I$6:$I$90,"Вышло",$D$6:$D$90,"Youtube",$E$6:$E$90,"WB")+SUMIFS($W$6:$W$90,$I$6:$I$90,"Вышло",$D$6:$D$90,"Youtube",$E$6:$E$90,"ВБ")),0))</f>
        <v>—</v>
      </c>
      <c r="N97" s="140" t="str">
        <f t="shared" si="59"/>
        <v>—</v>
      </c>
      <c r="O97" s="140">
        <f>IF((SUMIFS($Z$6:$Z$90,$I$6:$I$90,"Вышло",$D$6:$D$90,"YouTube")+SUMIFS($Z$6:$Z$90,$I$6:$I$90,"Вышло",$D$6:$D$90,"Youtube"))=0,"—",ROUND((SUMIFS($M$6:$M$90,$I$6:$I$90,"Вышло",$D$6:$D$90,"YouTube")+SUMIFS($M$6:$M$90,$I$6:$I$90,"Вышло",$D$6:$D$90,"Youtube"))/(SUMIFS($Z$6:$Z$90,$I$6:$I$90,"Вышло",$D$6:$D$90,"YouTube")+SUMIFS($Z$6:$Z$90,$I$6:$I$90,"Вышло",$D$6:$D$90,"Youtube")),0))</f>
        <v>544</v>
      </c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ht="15.75" customHeight="1">
      <c r="A98" s="139" t="s">
        <v>120</v>
      </c>
      <c r="B98" s="140">
        <f>SUMIFS($M$6:$M$90,$D$6:$D$90,"TikTok")+SUMIFS($M$6:$M$90,$D$6:$D$90,"Tiktok")</f>
        <v>15200</v>
      </c>
      <c r="C98" s="140">
        <f>SUMIFS($M$6:$M$90,$I$6:$I$90,"Вышло",$D$6:$D$90,"TikTok")+SUMIFS($M$6:$M$90,$I$6:$I$90,"Вышло",$D$6:$D$90,"Tiktok")</f>
        <v>15200</v>
      </c>
      <c r="D98" s="141">
        <f>COUNTIFS($I$6:$I$90,"Вышло",$D$6:$D$90,"TikTok")</f>
        <v>1</v>
      </c>
      <c r="E98" s="141">
        <f>SUMIFS($T$6:$T$90,$I$6:$I$90,"Вышло",$D$6:$D$90,"TikTok")+SUMIFS($T$6:$T$90,$I$6:$I$90,"Вышло",$D$6:$D$90,"Tiktok")</f>
        <v>46464</v>
      </c>
      <c r="F98" s="141">
        <f>SUMIFS($V$6:$V$90,$I$6:$I$90,"Вышло",$D$6:$D$90,"TikTok")+SUMIFS($V$6:$V$90,$I$6:$I$90,"Вышло",$D$6:$D$90,"Tiktok")</f>
        <v>266</v>
      </c>
      <c r="G98" s="141">
        <f>SUMIFS($W$6:$W$90,$I$6:$I$90,"Вышло",$D$6:$D$90,"TikTok")+SUMIFS($W$6:$W$90,$I$6:$I$90,"Вышло",$D$6:$D$90,"Tiktok")</f>
        <v>0</v>
      </c>
      <c r="H98" s="141">
        <f t="shared" si="58"/>
        <v>0</v>
      </c>
      <c r="I98" s="141">
        <f>SUMIFS($Y$6:$Y$90,$I$6:$I$90,"Вышло",$D$6:$D$90,"TikTok")+SUMIFS($Y$6:$Y$90,$I$6:$I$90,"Вышло",$D$6:$D$90,"Tiktok")</f>
        <v>0</v>
      </c>
      <c r="J98" s="141">
        <f>SUMIFS($Z$6:$Z$90,$I$6:$I$90,"Вышло",$D$6:$D$90,"TikTok")+SUMIFS($Z$6:$Z$90,$I$6:$I$90,"Вышло",$D$6:$D$90,"Tiktok")</f>
        <v>8</v>
      </c>
      <c r="K98" s="140">
        <f>SUMIFS($AA$6:$AA$90,$I$6:$I$90,"Вышло",$D$6:$D$90,"TikTok")+SUMIFS($AA$6:$AA$90,$I$6:$I$90,"Вышло",$D$6:$D$90,"Tiktok")</f>
        <v>6680</v>
      </c>
      <c r="L98" s="140" t="str">
        <f>IF((SUMIFS($V$6:$V$90,$I$6:$I$90,"Вышло",$D$6:$D$90,"TikTok",$E$6:$E$90,"Сайт")+SUMIFS($V$6:$V$90,$I$6:$I$90,"Вышло",$D$6:$D$90,"TikTok",$E$6:$E$90,"сайт")+SUMIFS($V$6:$V$90,$I$6:$I$90,"Вышло",$D$6:$D$90,"Tiktok",$E$6:$E$90,"Сайт")+SUMIFS($V$6:$V$90,$I$6:$I$90,"Вышло",$D$6:$D$90,"Tiktok",$E$6:$E$90,"сайт")+SUMIFS($V$6:$V$90,$I$6:$I$90,"Вышло",$D$6:$D$90,"TikTok",$E$6:$E$90,"Ozon")+SUMIFS($V$6:$V$90,$I$6:$I$90,"Вышло",$D$6:$D$90,"TikTok",$E$6:$E$90,"OZON")+SUMIFS($V$6:$V$90,$I$6:$I$90,"Вышло",$D$6:$D$90,"TikTok",$E$6:$E$90,"Озон")+SUMIFS($V$6:$V$90,$I$6:$I$90,"Вышло",$D$6:$D$90,"TikTok",$E$6:$E$90,"озон")+SUMIFS($V$6:$V$90,$I$6:$I$90,"Вышло",$D$6:$D$90,"Tiktok",$E$6:$E$90,"Ozon")+SUMIFS($V$6:$V$90,$I$6:$I$90,"Вышло",$D$6:$D$90,"Tiktok",$E$6:$E$90,"OZON")+SUMIFS($V$6:$V$90,$I$6:$I$90,"Вышло",$D$6:$D$90,"Tiktok",$E$6:$E$90,"Озон")+SUMIFS($V$6:$V$90,$I$6:$I$90,"Вышло",$D$6:$D$90,"Tiktok",$E$6:$E$90,"озон"))=0,"—",ROUND((SUMIFS($M$6:$M$90,$I$6:$I$90,"Вышло",$D$6:$D$90,"TikTok",$E$6:$E$90,"Сайт",$V$6:$V$90,"&gt;0")+SUMIFS($M$6:$M$90,$I$6:$I$90,"Вышло",$D$6:$D$90,"TikTok",$E$6:$E$90,"сайт",$V$6:$V$90,"&gt;0")+SUMIFS($M$6:$M$90,$I$6:$I$90,"Вышло",$D$6:$D$90,"Tiktok",$E$6:$E$90,"Сайт",$V$6:$V$90,"&gt;0")+SUMIFS($M$6:$M$90,$I$6:$I$90,"Вышло",$D$6:$D$90,"Tiktok",$E$6:$E$90,"сайт",$V$6:$V$90,"&gt;0")+SUMIFS($M$6:$M$90,$I$6:$I$90,"Вышло",$D$6:$D$90,"TikTok",$E$6:$E$90,"Сайт",$V$6:$V$90,"&lt;=0",$P$6:$P$90,"&lt;&gt;")+SUMIFS($M$6:$M$90,$I$6:$I$90,"Вышло",$D$6:$D$90,"TikTok",$E$6:$E$90,"сайт",$V$6:$V$90,"&lt;=0",$P$6:$P$90,"&lt;&gt;")+SUMIFS($M$6:$M$90,$I$6:$I$90,"Вышло",$D$6:$D$90,"Tiktok",$E$6:$E$90,"Сайт",$V$6:$V$90,"&lt;=0",$P$6:$P$90,"&lt;&gt;")+SUMIFS($M$6:$M$90,$I$6:$I$90,"Вышло",$D$6:$D$90,"Tiktok",$E$6:$E$90,"сайт",$V$6:$V$90,"&lt;=0",$P$6:$P$90,"&lt;&gt;")+SUMIFS($M$6:$M$90,$I$6:$I$90,"Вышло",$D$6:$D$90,"TikTok",$E$6:$E$90,"Ozon",$V$6:$V$90,"&gt;0")+SUMIFS($M$6:$M$90,$I$6:$I$90,"Вышло",$D$6:$D$90,"TikTok",$E$6:$E$90,"OZON",$V$6:$V$90,"&gt;0")+SUMIFS($M$6:$M$90,$I$6:$I$90,"Вышло",$D$6:$D$90,"TikTok",$E$6:$E$90,"Озон",$V$6:$V$90,"&gt;0")+SUMIFS($M$6:$M$90,$I$6:$I$90,"Вышло",$D$6:$D$90,"TikTok",$E$6:$E$90,"озон",$V$6:$V$90,"&gt;0")+SUMIFS($M$6:$M$90,$I$6:$I$90,"Вышло",$D$6:$D$90,"Tiktok",$E$6:$E$90,"Ozon",$V$6:$V$90,"&gt;0")+SUMIFS($M$6:$M$90,$I$6:$I$90,"Вышло",$D$6:$D$90,"Tiktok",$E$6:$E$90,"OZON",$V$6:$V$90,"&gt;0")+SUMIFS($M$6:$M$90,$I$6:$I$90,"Вышло",$D$6:$D$90,"Tiktok",$E$6:$E$90,"Озон",$V$6:$V$90,"&gt;0")+SUMIFS($M$6:$M$90,$I$6:$I$90,"Вышло",$D$6:$D$90,"Tiktok",$E$6:$E$90,"озон",$V$6:$V$90,"&gt;0")+SUMIFS($M$6:$M$90,$I$6:$I$90,"Вышло",$D$6:$D$90,"TikTok",$E$6:$E$90,"Ozon",$V$6:$V$90,"&lt;=0",$P$6:$P$90,"&lt;&gt;")+SUMIFS($M$6:$M$90,$I$6:$I$90,"Вышло",$D$6:$D$90,"TikTok",$E$6:$E$90,"OZON",$V$6:$V$90,"&lt;=0",$P$6:$P$90,"&lt;&gt;")+SUMIFS($M$6:$M$90,$I$6:$I$90,"Вышло",$D$6:$D$90,"TikTok",$E$6:$E$90,"Озон",$V$6:$V$90,"&lt;=0",$P$6:$P$90,"&lt;&gt;")+SUMIFS($M$6:$M$90,$I$6:$I$90,"Вышло",$D$6:$D$90,"TikTok",$E$6:$E$90,"озон",$V$6:$V$90,"&lt;=0",$P$6:$P$90,"&lt;&gt;")+SUMIFS($M$6:$M$90,$I$6:$I$90,"Вышло",$D$6:$D$90,"Tiktok",$E$6:$E$90,"Ozon",$V$6:$V$90,"&lt;=0",$P$6:$P$90,"&lt;&gt;")+SUMIFS($M$6:$M$90,$I$6:$I$90,"Вышло",$D$6:$D$90,"Tiktok",$E$6:$E$90,"OZON",$V$6:$V$90,"&lt;=0",$P$6:$P$90,"&lt;&gt;")+SUMIFS($M$6:$M$90,$I$6:$I$90,"Вышло",$D$6:$D$90,"Tiktok",$E$6:$E$90,"Озон",$V$6:$V$90,"&lt;=0",$P$6:$P$90,"&lt;&gt;")+SUMIFS($M$6:$M$90,$I$6:$I$90,"Вышло",$D$6:$D$90,"Tiktok",$E$6:$E$90,"озон",$V$6:$V$90,"&lt;=0",$P$6:$P$90,"&lt;&gt;"))/(SUMIFS($V$6:$V$90,$I$6:$I$90,"Вышло",$D$6:$D$90,"TikTok",$E$6:$E$90,"Сайт")+SUMIFS($V$6:$V$90,$I$6:$I$90,"Вышло",$D$6:$D$90,"TikTok",$E$6:$E$90,"сайт")+SUMIFS($V$6:$V$90,$I$6:$I$90,"Вышло",$D$6:$D$90,"Tiktok",$E$6:$E$90,"Сайт")+SUMIFS($V$6:$V$90,$I$6:$I$90,"Вышло",$D$6:$D$90,"Tiktok",$E$6:$E$90,"сайт")+SUMIFS($V$6:$V$90,$I$6:$I$90,"Вышло",$D$6:$D$90,"TikTok",$E$6:$E$90,"Ozon")+SUMIFS($V$6:$V$90,$I$6:$I$90,"Вышло",$D$6:$D$90,"TikTok",$E$6:$E$90,"OZON")+SUMIFS($V$6:$V$90,$I$6:$I$90,"Вышло",$D$6:$D$90,"TikTok",$E$6:$E$90,"Озон")+SUMIFS($V$6:$V$90,$I$6:$I$90,"Вышло",$D$6:$D$90,"TikTok",$E$6:$E$90,"озон")+SUMIFS($V$6:$V$90,$I$6:$I$90,"Вышло",$D$6:$D$90,"Tiktok",$E$6:$E$90,"Ozon")+SUMIFS($V$6:$V$90,$I$6:$I$90,"Вышло",$D$6:$D$90,"Tiktok",$E$6:$E$90,"OZON")+SUMIFS($V$6:$V$90,$I$6:$I$90,"Вышло",$D$6:$D$90,"Tiktok",$E$6:$E$90,"Озон")+SUMIFS($V$6:$V$90,$I$6:$I$90,"Вышло",$D$6:$D$90,"Tiktok",$E$6:$E$90,"озон")),0))</f>
        <v>—</v>
      </c>
      <c r="M98" s="140" t="str">
        <f>IF((SUMIFS($W$6:$W$90,$I$6:$I$90,"Вышло",$D$6:$D$90,"TikTok",$E$6:$E$90,"WB")+SUMIFS($W$6:$W$90,$I$6:$I$90,"Вышло",$D$6:$D$90,"TikTok",$E$6:$E$90,"ВБ")+SUMIFS($W$6:$W$90,$I$6:$I$90,"Вышло",$D$6:$D$90,"Tiktok",$E$6:$E$90,"WB")+SUMIFS($W$6:$W$90,$I$6:$I$90,"Вышло",$D$6:$D$90,"Tiktok",$E$6:$E$90,"ВБ"))=0,"—",ROUND((SUMIFS($M$6:$M$90,$I$6:$I$90,"Вышло",$D$6:$D$90,"TikTok",$E$6:$E$90,"WB")+SUMIFS($M$6:$M$90,$I$6:$I$90,"Вышло",$D$6:$D$90,"TikTok",$E$6:$E$90,"ВБ")+SUMIFS($M$6:$M$90,$I$6:$I$90,"Вышло",$D$6:$D$90,"Tiktok",$E$6:$E$90,"WB")+SUMIFS($M$6:$M$90,$I$6:$I$90,"Вышло",$D$6:$D$90,"Tiktok",$E$6:$E$90,"ВБ")-(SUMIFS($M$6:$M$90,$I$6:$I$90,"Вышло",$D$6:$D$90,"TikTok",$E$6:$E$90,"WB",$W$6:$W$90,"&lt;=0",$V$6:$V$90,"&gt;0")+SUMIFS($M$6:$M$90,$I$6:$I$90,"Вышло",$D$6:$D$90,"TikTok",$E$6:$E$90,"ВБ",$W$6:$W$90,"&lt;=0",$V$6:$V$90,"&gt;0")+SUMIFS($M$6:$M$90,$I$6:$I$90,"Вышло",$D$6:$D$90,"Tiktok",$E$6:$E$90,"WB",$W$6:$W$90,"&lt;=0",$V$6:$V$90,"&gt;0")+SUMIFS($M$6:$M$90,$I$6:$I$90,"Вышло",$D$6:$D$90,"Tiktok",$E$6:$E$90,"ВБ",$W$6:$W$90,"&lt;=0",$V$6:$V$90,"&gt;0")))/(SUMIFS($W$6:$W$90,$I$6:$I$90,"Вышло",$D$6:$D$90,"TikTok",$E$6:$E$90,"WB")+SUMIFS($W$6:$W$90,$I$6:$I$90,"Вышло",$D$6:$D$90,"TikTok",$E$6:$E$90,"ВБ")+SUMIFS($W$6:$W$90,$I$6:$I$90,"Вышло",$D$6:$D$90,"Tiktok",$E$6:$E$90,"WB")+SUMIFS($W$6:$W$90,$I$6:$I$90,"Вышло",$D$6:$D$90,"Tiktok",$E$6:$E$90,"ВБ")),0))</f>
        <v>—</v>
      </c>
      <c r="N98" s="140" t="str">
        <f t="shared" si="59"/>
        <v>—</v>
      </c>
      <c r="O98" s="140">
        <f>IF((SUMIFS($Z$6:$Z$90,$I$6:$I$90,"Вышло",$D$6:$D$90,"TikTok")+SUMIFS($Z$6:$Z$90,$I$6:$I$90,"Вышло",$D$6:$D$90,"Tiktok"))=0,"—",ROUND((SUMIFS($M$6:$M$90,$I$6:$I$90,"Вышло",$D$6:$D$90,"TikTok")+SUMIFS($M$6:$M$90,$I$6:$I$90,"Вышло",$D$6:$D$90,"Tiktok"))/(SUMIFS($Z$6:$Z$90,$I$6:$I$90,"Вышло",$D$6:$D$90,"TikTok")+SUMIFS($Z$6:$Z$90,$I$6:$I$90,"Вышло",$D$6:$D$90,"Tiktok")),0))</f>
        <v>1900</v>
      </c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ht="15.75" customHeight="1">
      <c r="A99" s="139" t="s">
        <v>297</v>
      </c>
      <c r="B99" s="140">
        <f>SUMIFS($M$6:$M$90,$D$6:$D$90,"Rutube")</f>
        <v>0</v>
      </c>
      <c r="C99" s="140">
        <f>SUMIFS($M$6:$M$90,$I$6:$I$90,"Вышло",$D$6:$D$90,"Rutube")</f>
        <v>0</v>
      </c>
      <c r="D99" s="141">
        <f>COUNTIFS($I$6:$I$90,"Вышло",$D$6:$D$90,"Rutube")</f>
        <v>0</v>
      </c>
      <c r="E99" s="141">
        <f>SUMIFS($T$6:$T$90,$I$6:$I$90,"Вышло",$D$6:$D$90,"Rutube")</f>
        <v>0</v>
      </c>
      <c r="F99" s="141">
        <f>SUMIFS($V$6:$V$90,$I$6:$I$90,"Вышло",$D$6:$D$90,"Rutube")</f>
        <v>0</v>
      </c>
      <c r="G99" s="141">
        <f>SUMIFS($W$6:$W$90,$I$6:$I$90,"Вышло",$D$6:$D$90,"Rutube")</f>
        <v>0</v>
      </c>
      <c r="H99" s="141">
        <f t="shared" si="58"/>
        <v>0</v>
      </c>
      <c r="I99" s="141">
        <f>SUMIFS($Y$6:$Y$90,$I$6:$I$90,"Вышло",$D$6:$D$90,"Rutube")</f>
        <v>0</v>
      </c>
      <c r="J99" s="141">
        <f>SUMIFS($Z$6:$Z$90,$I$6:$I$90,"Вышло",$D$6:$D$90,"Rutube")</f>
        <v>0</v>
      </c>
      <c r="K99" s="140">
        <f>SUMIFS($AA$6:$AA$90,$I$6:$I$90,"Вышло",$D$6:$D$90,"Rutube")</f>
        <v>0</v>
      </c>
      <c r="L99" s="140" t="str">
        <f>IF((SUMIFS($V$6:$V$90,$I$6:$I$90,"Вышло",$D$6:$D$90,"Rutube",$E$6:$E$90,"Сайт")+SUMIFS($V$6:$V$90,$I$6:$I$90,"Вышло",$D$6:$D$90,"Rutube",$E$6:$E$90,"сайт")+SUMIFS($V$6:$V$90,$I$6:$I$90,"Вышло",$D$6:$D$90,"Rutube",$E$6:$E$90,"Ozon")+SUMIFS($V$6:$V$90,$I$6:$I$90,"Вышло",$D$6:$D$90,"Rutube",$E$6:$E$90,"OZON")+SUMIFS($V$6:$V$90,$I$6:$I$90,"Вышло",$D$6:$D$90,"Rutube",$E$6:$E$90,"Озон")+SUMIFS($V$6:$V$90,$I$6:$I$90,"Вышло",$D$6:$D$90,"Rutube",$E$6:$E$90,"озон"))=0,"—",ROUND((SUMIFS($M$6:$M$90,$I$6:$I$90,"Вышло",$D$6:$D$90,"Rutube",$E$6:$E$90,"Сайт",$V$6:$V$90,"&gt;0")+SUMIFS($M$6:$M$90,$I$6:$I$90,"Вышло",$D$6:$D$90,"Rutube",$E$6:$E$90,"сайт",$V$6:$V$90,"&gt;0")+SUMIFS($M$6:$M$90,$I$6:$I$90,"Вышло",$D$6:$D$90,"Rutube",$E$6:$E$90,"Сайт",$V$6:$V$90,"&lt;=0",$P$6:$P$90,"&lt;&gt;")+SUMIFS($M$6:$M$90,$I$6:$I$90,"Вышло",$D$6:$D$90,"Rutube",$E$6:$E$90,"сайт",$V$6:$V$90,"&lt;=0",$P$6:$P$90,"&lt;&gt;")+SUMIFS($M$6:$M$90,$I$6:$I$90,"Вышло",$D$6:$D$90,"Rutube",$E$6:$E$90,"Ozon",$V$6:$V$90,"&gt;0")+SUMIFS($M$6:$M$90,$I$6:$I$90,"Вышло",$D$6:$D$90,"Rutube",$E$6:$E$90,"OZON",$V$6:$V$90,"&gt;0")+SUMIFS($M$6:$M$90,$I$6:$I$90,"Вышло",$D$6:$D$90,"Rutube",$E$6:$E$90,"Озон",$V$6:$V$90,"&gt;0")+SUMIFS($M$6:$M$90,$I$6:$I$90,"Вышло",$D$6:$D$90,"Rutube",$E$6:$E$90,"озон",$V$6:$V$90,"&gt;0")+SUMIFS($M$6:$M$90,$I$6:$I$90,"Вышло",$D$6:$D$90,"Rutube",$E$6:$E$90,"Ozon",$V$6:$V$90,"&lt;=0",$P$6:$P$90,"&lt;&gt;")+SUMIFS($M$6:$M$90,$I$6:$I$90,"Вышло",$D$6:$D$90,"Rutube",$E$6:$E$90,"OZON",$V$6:$V$90,"&lt;=0",$P$6:$P$90,"&lt;&gt;")+SUMIFS($M$6:$M$90,$I$6:$I$90,"Вышло",$D$6:$D$90,"Rutube",$E$6:$E$90,"Озон",$V$6:$V$90,"&lt;=0",$P$6:$P$90,"&lt;&gt;")+SUMIFS($M$6:$M$90,$I$6:$I$90,"Вышло",$D$6:$D$90,"Rutube",$E$6:$E$90,"озон",$V$6:$V$90,"&lt;=0",$P$6:$P$90,"&lt;&gt;"))/(SUMIFS($V$6:$V$90,$I$6:$I$90,"Вышло",$D$6:$D$90,"Rutube",$E$6:$E$90,"Сайт")+SUMIFS($V$6:$V$90,$I$6:$I$90,"Вышло",$D$6:$D$90,"Rutube",$E$6:$E$90,"сайт")+SUMIFS($V$6:$V$90,$I$6:$I$90,"Вышло",$D$6:$D$90,"Rutube",$E$6:$E$90,"Ozon")+SUMIFS($V$6:$V$90,$I$6:$I$90,"Вышло",$D$6:$D$90,"Rutube",$E$6:$E$90,"OZON")+SUMIFS($V$6:$V$90,$I$6:$I$90,"Вышло",$D$6:$D$90,"Rutube",$E$6:$E$90,"Озон")+SUMIFS($V$6:$V$90,$I$6:$I$90,"Вышло",$D$6:$D$90,"Rutube",$E$6:$E$90,"озон")),0))</f>
        <v>—</v>
      </c>
      <c r="M99" s="140" t="str">
        <f>IF((SUMIFS($W$6:$W$90,$I$6:$I$90,"Вышло",$D$6:$D$90,"Rutube",$E$6:$E$90,"WB")+SUMIFS($W$6:$W$90,$I$6:$I$90,"Вышло",$D$6:$D$90,"Rutube",$E$6:$E$90,"ВБ"))=0,"—",ROUND((SUMIFS($M$6:$M$90,$I$6:$I$90,"Вышло",$D$6:$D$90,"Rutube",$E$6:$E$90,"WB")+SUMIFS($M$6:$M$90,$I$6:$I$90,"Вышло",$D$6:$D$90,"Rutube",$E$6:$E$90,"ВБ")-(SUMIFS($M$6:$M$90,$I$6:$I$90,"Вышло",$D$6:$D$90,"Rutube",$E$6:$E$90,"WB",$W$6:$W$90,"&lt;=0",$V$6:$V$90,"&gt;0")+SUMIFS($M$6:$M$90,$I$6:$I$90,"Вышло",$D$6:$D$90,"Rutube",$E$6:$E$90,"ВБ",$W$6:$W$90,"&lt;=0",$V$6:$V$90,"&gt;0")))/(SUMIFS($W$6:$W$90,$I$6:$I$90,"Вышло",$D$6:$D$90,"Rutube",$E$6:$E$90,"WB")+SUMIFS($W$6:$W$90,$I$6:$I$90,"Вышло",$D$6:$D$90,"Rutube",$E$6:$E$90,"ВБ")),0))</f>
        <v>—</v>
      </c>
      <c r="N99" s="140" t="str">
        <f t="shared" si="59"/>
        <v>—</v>
      </c>
      <c r="O99" s="140" t="str">
        <f>IF((SUMIFS($Z$6:$Z$90,$I$6:$I$90,"Вышло",$D$6:$D$90,"Rutube"))=0,"—",ROUND((SUMIFS($M$6:$M$90,$I$6:$I$90,"Вышло",$D$6:$D$90,"Rutube"))/(SUMIFS($Z$6:$Z$90,$I$6:$I$90,"Вышло",$D$6:$D$90,"Rutube")),0))</f>
        <v>—</v>
      </c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ht="15.75" customHeight="1">
      <c r="A100" s="139" t="s">
        <v>665</v>
      </c>
      <c r="B100" s="140">
        <f>SUMIFS($M$6:$M$90,$D$6:$D$90,"Instagram")+SUMIFS($M$6:$M$90,$D$6:$D$90,"Inst")</f>
        <v>0</v>
      </c>
      <c r="C100" s="140">
        <f>SUMIFS($M$6:$M$90,$I$6:$I$90,"Вышло",$D$6:$D$90,"Instagram")+SUMIFS($M$6:$M$90,$I$6:$I$90,"Вышло",$D$6:$D$90,"Inst")</f>
        <v>0</v>
      </c>
      <c r="D100" s="141">
        <f>COUNTIFS($I$6:$I$90,"Вышло",$D$6:$D$90,"Instagram")+COUNTIFS($I$6:$I$90,"Вышло",$D$6:$D$90,"Inst")</f>
        <v>0</v>
      </c>
      <c r="E100" s="141">
        <f>SUMIFS($T$6:$T$90,$I$6:$I$90,"Вышло",$D$6:$D$90,"Instagram")+SUMIFS($T$6:$T$90,$I$6:$I$90,"Вышло",$D$6:$D$90,"Inst")</f>
        <v>0</v>
      </c>
      <c r="F100" s="141">
        <f>SUMIFS($V$6:$V$90,$I$6:$I$90,"Вышло",$D$6:$D$90,"Instagram")+SUMIFS($V$6:$V$90,$I$6:$I$90,"Вышло",$D$6:$D$90,"Inst")</f>
        <v>0</v>
      </c>
      <c r="G100" s="141">
        <f>SUMIFS($W$6:$W$90,$I$6:$I$90,"Вышло",$D$6:$D$90,"Instagram")+SUMIFS($W$6:$W$90,$I$6:$I$90,"Вышло",$D$6:$D$90,"Inst")</f>
        <v>0</v>
      </c>
      <c r="H100" s="141">
        <f t="shared" si="58"/>
        <v>0</v>
      </c>
      <c r="I100" s="141">
        <f>SUMIFS($Y$6:$Y$90,$I$6:$I$90,"Вышло",$D$6:$D$90,"Instagram")+SUMIFS($Y$6:$Y$90,$I$6:$I$90,"Вышло",$D$6:$D$90,"Inst")</f>
        <v>0</v>
      </c>
      <c r="J100" s="141">
        <f>SUMIFS($Z$6:$Z$90,$I$6:$I$90,"Вышло",$D$6:$D$90,"Instagram")+SUMIFS($Z$6:$Z$90,$I$6:$I$90,"Вышло",$D$6:$D$90,"Inst")</f>
        <v>0</v>
      </c>
      <c r="K100" s="140">
        <f>SUMIFS($AA$6:$AA$90,$I$6:$I$90,"Вышло",$D$6:$D$90,"Instagram")+SUMIFS($AA$6:$AA$90,$I$6:$I$90,"Вышло",$D$6:$D$90,"Inst")</f>
        <v>0</v>
      </c>
      <c r="L100" s="140" t="str">
        <f>IF((SUMIFS($V$6:$V$90,$I$6:$I$90,"Вышло",$D$6:$D$90,"Instagram",$E$6:$E$90,"Сайт")+SUMIFS($V$6:$V$90,$I$6:$I$90,"Вышло",$D$6:$D$90,"Instagram",$E$6:$E$90,"сайт")+SUMIFS($V$6:$V$90,$I$6:$I$90,"Вышло",$D$6:$D$90,"Inst",$E$6:$E$90,"Сайт")+SUMIFS($V$6:$V$90,$I$6:$I$90,"Вышло",$D$6:$D$90,"Inst",$E$6:$E$90,"сайт")+SUMIFS($V$6:$V$90,$I$6:$I$90,"Вышло",$D$6:$D$90,"Instagram",$E$6:$E$90,"Ozon")+SUMIFS($V$6:$V$90,$I$6:$I$90,"Вышло",$D$6:$D$90,"Instagram",$E$6:$E$90,"OZON")+SUMIFS($V$6:$V$90,$I$6:$I$90,"Вышло",$D$6:$D$90,"Instagram",$E$6:$E$90,"Озон")+SUMIFS($V$6:$V$90,$I$6:$I$90,"Вышло",$D$6:$D$90,"Instagram",$E$6:$E$90,"озон")+SUMIFS($V$6:$V$90,$I$6:$I$90,"Вышло",$D$6:$D$90,"Inst",$E$6:$E$90,"Ozon")+SUMIFS($V$6:$V$90,$I$6:$I$90,"Вышло",$D$6:$D$90,"Inst",$E$6:$E$90,"OZON")+SUMIFS($V$6:$V$90,$I$6:$I$90,"Вышло",$D$6:$D$90,"Inst",$E$6:$E$90,"Озон")+SUMIFS($V$6:$V$90,$I$6:$I$90,"Вышло",$D$6:$D$90,"Inst",$E$6:$E$90,"озон"))=0,"—",ROUND((SUMIFS($M$6:$M$90,$I$6:$I$90,"Вышло",$D$6:$D$90,"Instagram",$E$6:$E$90,"Сайт",$V$6:$V$90,"&gt;0")+SUMIFS($M$6:$M$90,$I$6:$I$90,"Вышло",$D$6:$D$90,"Instagram",$E$6:$E$90,"сайт",$V$6:$V$90,"&gt;0")+SUMIFS($M$6:$M$90,$I$6:$I$90,"Вышло",$D$6:$D$90,"Inst",$E$6:$E$90,"Сайт",$V$6:$V$90,"&gt;0")+SUMIFS($M$6:$M$90,$I$6:$I$90,"Вышло",$D$6:$D$90,"Inst",$E$6:$E$90,"сайт",$V$6:$V$90,"&gt;0")+SUMIFS($M$6:$M$90,$I$6:$I$90,"Вышло",$D$6:$D$90,"Instagram",$E$6:$E$90,"Сайт",$V$6:$V$90,"&lt;=0",$P$6:$P$90,"&lt;&gt;")+SUMIFS($M$6:$M$90,$I$6:$I$90,"Вышло",$D$6:$D$90,"Instagram",$E$6:$E$90,"сайт",$V$6:$V$90,"&lt;=0",$P$6:$P$90,"&lt;&gt;")+SUMIFS($M$6:$M$90,$I$6:$I$90,"Вышло",$D$6:$D$90,"Inst",$E$6:$E$90,"Сайт",$V$6:$V$90,"&lt;=0",$P$6:$P$90,"&lt;&gt;")+SUMIFS($M$6:$M$90,$I$6:$I$90,"Вышло",$D$6:$D$90,"Inst",$E$6:$E$90,"сайт",$V$6:$V$90,"&lt;=0",$P$6:$P$90,"&lt;&gt;")+SUMIFS($M$6:$M$90,$I$6:$I$90,"Вышло",$D$6:$D$90,"Instagram",$E$6:$E$90,"Ozon",$V$6:$V$90,"&gt;0")+SUMIFS($M$6:$M$90,$I$6:$I$90,"Вышло",$D$6:$D$90,"Instagram",$E$6:$E$90,"OZON",$V$6:$V$90,"&gt;0")+SUMIFS($M$6:$M$90,$I$6:$I$90,"Вышло",$D$6:$D$90,"Instagram",$E$6:$E$90,"Озон",$V$6:$V$90,"&gt;0")+SUMIFS($M$6:$M$90,$I$6:$I$90,"Вышло",$D$6:$D$90,"Instagram",$E$6:$E$90,"озон",$V$6:$V$90,"&gt;0")+SUMIFS($M$6:$M$90,$I$6:$I$90,"Вышло",$D$6:$D$90,"Inst",$E$6:$E$90,"Ozon",$V$6:$V$90,"&gt;0")+SUMIFS($M$6:$M$90,$I$6:$I$90,"Вышло",$D$6:$D$90,"Inst",$E$6:$E$90,"OZON",$V$6:$V$90,"&gt;0")+SUMIFS($M$6:$M$90,$I$6:$I$90,"Вышло",$D$6:$D$90,"Inst",$E$6:$E$90,"Озон",$V$6:$V$90,"&gt;0")+SUMIFS($M$6:$M$90,$I$6:$I$90,"Вышло",$D$6:$D$90,"Inst",$E$6:$E$90,"озон",$V$6:$V$90,"&gt;0")+SUMIFS($M$6:$M$90,$I$6:$I$90,"Вышло",$D$6:$D$90,"Instagram",$E$6:$E$90,"Ozon",$V$6:$V$90,"&lt;=0",$P$6:$P$90,"&lt;&gt;")+SUMIFS($M$6:$M$90,$I$6:$I$90,"Вышло",$D$6:$D$90,"Instagram",$E$6:$E$90,"OZON",$V$6:$V$90,"&lt;=0",$P$6:$P$90,"&lt;&gt;")+SUMIFS($M$6:$M$90,$I$6:$I$90,"Вышло",$D$6:$D$90,"Instagram",$E$6:$E$90,"Озон",$V$6:$V$90,"&lt;=0",$P$6:$P$90,"&lt;&gt;")+SUMIFS($M$6:$M$90,$I$6:$I$90,"Вышло",$D$6:$D$90,"Instagram",$E$6:$E$90,"озон",$V$6:$V$90,"&lt;=0",$P$6:$P$90,"&lt;&gt;")+SUMIFS($M$6:$M$90,$I$6:$I$90,"Вышло",$D$6:$D$90,"Inst",$E$6:$E$90,"Ozon",$V$6:$V$90,"&lt;=0",$P$6:$P$90,"&lt;&gt;")+SUMIFS($M$6:$M$90,$I$6:$I$90,"Вышло",$D$6:$D$90,"Inst",$E$6:$E$90,"OZON",$V$6:$V$90,"&lt;=0",$P$6:$P$90,"&lt;&gt;")+SUMIFS($M$6:$M$90,$I$6:$I$90,"Вышло",$D$6:$D$90,"Inst",$E$6:$E$90,"Озон",$V$6:$V$90,"&lt;=0",$P$6:$P$90,"&lt;&gt;")+SUMIFS($M$6:$M$90,$I$6:$I$90,"Вышло",$D$6:$D$90,"Inst",$E$6:$E$90,"озон",$V$6:$V$90,"&lt;=0",$P$6:$P$90,"&lt;&gt;"))/(SUMIFS($V$6:$V$90,$I$6:$I$90,"Вышло",$D$6:$D$90,"Instagram",$E$6:$E$90,"Сайт")+SUMIFS($V$6:$V$90,$I$6:$I$90,"Вышло",$D$6:$D$90,"Instagram",$E$6:$E$90,"сайт")+SUMIFS($V$6:$V$90,$I$6:$I$90,"Вышло",$D$6:$D$90,"Inst",$E$6:$E$90,"Сайт")+SUMIFS($V$6:$V$90,$I$6:$I$90,"Вышло",$D$6:$D$90,"Inst",$E$6:$E$90,"сайт")+SUMIFS($V$6:$V$90,$I$6:$I$90,"Вышло",$D$6:$D$90,"Instagram",$E$6:$E$90,"Ozon")+SUMIFS($V$6:$V$90,$I$6:$I$90,"Вышло",$D$6:$D$90,"Instagram",$E$6:$E$90,"OZON")+SUMIFS($V$6:$V$90,$I$6:$I$90,"Вышло",$D$6:$D$90,"Instagram",$E$6:$E$90,"Озон")+SUMIFS($V$6:$V$90,$I$6:$I$90,"Вышло",$D$6:$D$90,"Instagram",$E$6:$E$90,"озон")+SUMIFS($V$6:$V$90,$I$6:$I$90,"Вышло",$D$6:$D$90,"Inst",$E$6:$E$90,"Ozon")+SUMIFS($V$6:$V$90,$I$6:$I$90,"Вышло",$D$6:$D$90,"Inst",$E$6:$E$90,"OZON")+SUMIFS($V$6:$V$90,$I$6:$I$90,"Вышло",$D$6:$D$90,"Inst",$E$6:$E$90,"Озон")+SUMIFS($V$6:$V$90,$I$6:$I$90,"Вышло",$D$6:$D$90,"Inst",$E$6:$E$90,"озон")),0))</f>
        <v>—</v>
      </c>
      <c r="M100" s="140" t="str">
        <f>IF((SUMIFS($W$6:$W$90,$I$6:$I$90,"Вышло",$D$6:$D$90,"Instagram",$E$6:$E$90,"WB")+SUMIFS($W$6:$W$90,$I$6:$I$90,"Вышло",$D$6:$D$90,"Instagram",$E$6:$E$90,"ВБ")+SUMIFS($W$6:$W$90,$I$6:$I$90,"Вышло",$D$6:$D$90,"Inst",$E$6:$E$90,"WB")+SUMIFS($W$6:$W$90,$I$6:$I$90,"Вышло",$D$6:$D$90,"Inst",$E$6:$E$90,"ВБ"))=0,"—",ROUND((SUMIFS($M$6:$M$90,$I$6:$I$90,"Вышло",$D$6:$D$90,"Instagram",$E$6:$E$90,"WB")+SUMIFS($M$6:$M$90,$I$6:$I$90,"Вышло",$D$6:$D$90,"Instagram",$E$6:$E$90,"ВБ")+SUMIFS($M$6:$M$90,$I$6:$I$90,"Вышло",$D$6:$D$90,"Inst",$E$6:$E$90,"WB")+SUMIFS($M$6:$M$90,$I$6:$I$90,"Вышло",$D$6:$D$90,"Inst",$E$6:$E$90,"ВБ")-(SUMIFS($M$6:$M$90,$I$6:$I$90,"Вышло",$D$6:$D$90,"Instagram",$E$6:$E$90,"WB",$W$6:$W$90,"&lt;=0",$V$6:$V$90,"&gt;0")+SUMIFS($M$6:$M$90,$I$6:$I$90,"Вышло",$D$6:$D$90,"Instagram",$E$6:$E$90,"ВБ",$W$6:$W$90,"&lt;=0",$V$6:$V$90,"&gt;0")+SUMIFS($M$6:$M$90,$I$6:$I$90,"Вышло",$D$6:$D$90,"Inst",$E$6:$E$90,"WB",$W$6:$W$90,"&lt;=0",$V$6:$V$90,"&gt;0")+SUMIFS($M$6:$M$90,$I$6:$I$90,"Вышло",$D$6:$D$90,"Inst",$E$6:$E$90,"ВБ",$W$6:$W$90,"&lt;=0",$V$6:$V$90,"&gt;0")))/(SUMIFS($W$6:$W$90,$I$6:$I$90,"Вышло",$D$6:$D$90,"Instagram",$E$6:$E$90,"WB")+SUMIFS($W$6:$W$90,$I$6:$I$90,"Вышло",$D$6:$D$90,"Instagram",$E$6:$E$90,"ВБ")+SUMIFS($W$6:$W$90,$I$6:$I$90,"Вышло",$D$6:$D$90,"Inst",$E$6:$E$90,"WB")+SUMIFS($W$6:$W$90,$I$6:$I$90,"Вышло",$D$6:$D$90,"Inst",$E$6:$E$90,"ВБ")),0))</f>
        <v>—</v>
      </c>
      <c r="N100" s="140" t="str">
        <f t="shared" si="59"/>
        <v>—</v>
      </c>
      <c r="O100" s="140" t="str">
        <f>IF((SUMIFS($Z$6:$Z$90,$I$6:$I$90,"Вышло",$D$6:$D$90,"Instagram")+SUMIFS($Z$6:$Z$90,$I$6:$I$90,"Вышло",$D$6:$D$90,"Inst"))=0,"—",ROUND((SUMIFS($M$6:$M$90,$I$6:$I$90,"Вышло",$D$6:$D$90,"Instagram")+SUMIFS($M$6:$M$90,$I$6:$I$90,"Вышло",$D$6:$D$90,"Inst"))/(SUMIFS($Z$6:$Z$90,$I$6:$I$90,"Вышло",$D$6:$D$90,"Instagram")+SUMIFS($Z$6:$Z$90,$I$6:$I$90,"Вышло",$D$6:$D$90,"Inst")),0))</f>
        <v>—</v>
      </c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ht="15.75" customHeight="1">
      <c r="A101" s="139" t="s">
        <v>860</v>
      </c>
      <c r="B101" s="140">
        <f>SUMIFS($M$6:$M$90,$D$6:$D$90,"WB")</f>
        <v>0</v>
      </c>
      <c r="C101" s="140">
        <f>SUMIFS($M$6:$M$90,$I$6:$I$90,"Вышло",$D$6:$D$90,"WB")</f>
        <v>0</v>
      </c>
      <c r="D101" s="141">
        <f>COUNTIFS($I$6:$I$90,"Вышло",$D$6:$D$90,"WB")</f>
        <v>0</v>
      </c>
      <c r="E101" s="141">
        <f>SUMIFS($T$6:$T$90,$I$6:$I$90,"Вышло",$D$6:$D$90,"WB")</f>
        <v>0</v>
      </c>
      <c r="F101" s="141">
        <f>SUMIFS($V$6:$V$90,$I$6:$I$90,"Вышло",$D$6:$D$90,"WB")</f>
        <v>0</v>
      </c>
      <c r="G101" s="141">
        <f>SUMIFS($W$6:$W$90,$I$6:$I$90,"Вышло",$D$6:$D$90,"WB")</f>
        <v>0</v>
      </c>
      <c r="H101" s="141">
        <f t="shared" si="58"/>
        <v>0</v>
      </c>
      <c r="I101" s="141">
        <f>SUMIFS($Y$6:$Y$90,$I$6:$I$90,"Вышло",$D$6:$D$90,"WB")</f>
        <v>0</v>
      </c>
      <c r="J101" s="141">
        <f>SUMIFS($Z$6:$Z$90,$I$6:$I$90,"Вышло",$D$6:$D$90,"WB")</f>
        <v>0</v>
      </c>
      <c r="K101" s="140">
        <f>SUMIFS($AA$6:$AA$90,$I$6:$I$90,"Вышло",$D$6:$D$90,"WB")</f>
        <v>0</v>
      </c>
      <c r="L101" s="140" t="str">
        <f>IF((SUMIFS($V$6:$V$90,$I$6:$I$90,"Вышло",$D$6:$D$90,"WB",$E$6:$E$90,"Сайт")+SUMIFS($V$6:$V$90,$I$6:$I$90,"Вышло",$D$6:$D$90,"WB",$E$6:$E$90,"сайт")+SUMIFS($V$6:$V$90,$I$6:$I$90,"Вышло",$D$6:$D$90,"WB",$E$6:$E$90,"Ozon")+SUMIFS($V$6:$V$90,$I$6:$I$90,"Вышло",$D$6:$D$90,"WB",$E$6:$E$90,"OZON")+SUMIFS($V$6:$V$90,$I$6:$I$90,"Вышло",$D$6:$D$90,"WB",$E$6:$E$90,"Озон")+SUMIFS($V$6:$V$90,$I$6:$I$90,"Вышло",$D$6:$D$90,"WB",$E$6:$E$90,"озон"))=0,"—",ROUND((SUMIFS($M$6:$M$90,$I$6:$I$90,"Вышло",$D$6:$D$90,"WB",$E$6:$E$90,"Сайт",$V$6:$V$90,"&gt;0")+SUMIFS($M$6:$M$90,$I$6:$I$90,"Вышло",$D$6:$D$90,"WB",$E$6:$E$90,"сайт",$V$6:$V$90,"&gt;0")+SUMIFS($M$6:$M$90,$I$6:$I$90,"Вышло",$D$6:$D$90,"WB",$E$6:$E$90,"Сайт",$V$6:$V$90,"&lt;=0",$P$6:$P$90,"&lt;&gt;")+SUMIFS($M$6:$M$90,$I$6:$I$90,"Вышло",$D$6:$D$90,"WB",$E$6:$E$90,"сайт",$V$6:$V$90,"&lt;=0",$P$6:$P$90,"&lt;&gt;")+SUMIFS($M$6:$M$90,$I$6:$I$90,"Вышло",$D$6:$D$90,"WB",$E$6:$E$90,"Ozon",$V$6:$V$90,"&gt;0")+SUMIFS($M$6:$M$90,$I$6:$I$90,"Вышло",$D$6:$D$90,"WB",$E$6:$E$90,"OZON",$V$6:$V$90,"&gt;0")+SUMIFS($M$6:$M$90,$I$6:$I$90,"Вышло",$D$6:$D$90,"WB",$E$6:$E$90,"Озон",$V$6:$V$90,"&gt;0")+SUMIFS($M$6:$M$90,$I$6:$I$90,"Вышло",$D$6:$D$90,"WB",$E$6:$E$90,"озон",$V$6:$V$90,"&gt;0")+SUMIFS($M$6:$M$90,$I$6:$I$90,"Вышло",$D$6:$D$90,"WB",$E$6:$E$90,"Ozon",$V$6:$V$90,"&lt;=0",$P$6:$P$90,"&lt;&gt;")+SUMIFS($M$6:$M$90,$I$6:$I$90,"Вышло",$D$6:$D$90,"WB",$E$6:$E$90,"OZON",$V$6:$V$90,"&lt;=0",$P$6:$P$90,"&lt;&gt;")+SUMIFS($M$6:$M$90,$I$6:$I$90,"Вышло",$D$6:$D$90,"WB",$E$6:$E$90,"Озон",$V$6:$V$90,"&lt;=0",$P$6:$P$90,"&lt;&gt;")+SUMIFS($M$6:$M$90,$I$6:$I$90,"Вышло",$D$6:$D$90,"WB",$E$6:$E$90,"озон",$V$6:$V$90,"&lt;=0",$P$6:$P$90,"&lt;&gt;"))/(SUMIFS($V$6:$V$90,$I$6:$I$90,"Вышло",$D$6:$D$90,"WB",$E$6:$E$90,"Сайт")+SUMIFS($V$6:$V$90,$I$6:$I$90,"Вышло",$D$6:$D$90,"WB",$E$6:$E$90,"сайт")+SUMIFS($V$6:$V$90,$I$6:$I$90,"Вышло",$D$6:$D$90,"WB",$E$6:$E$90,"Ozon")+SUMIFS($V$6:$V$90,$I$6:$I$90,"Вышло",$D$6:$D$90,"WB",$E$6:$E$90,"OZON")+SUMIFS($V$6:$V$90,$I$6:$I$90,"Вышло",$D$6:$D$90,"WB",$E$6:$E$90,"Озон")+SUMIFS($V$6:$V$90,$I$6:$I$90,"Вышло",$D$6:$D$90,"WB",$E$6:$E$90,"озон")),0))</f>
        <v>—</v>
      </c>
      <c r="M101" s="140" t="str">
        <f>IF((SUMIFS($W$6:$W$90,$I$6:$I$90,"Вышло",$D$6:$D$90,"WB",$E$6:$E$90,"WB")+SUMIFS($W$6:$W$90,$I$6:$I$90,"Вышло",$D$6:$D$90,"WB",$E$6:$E$90,"ВБ"))=0,"—",ROUND((SUMIFS($M$6:$M$90,$I$6:$I$90,"Вышло",$D$6:$D$90,"WB",$E$6:$E$90,"WB")+SUMIFS($M$6:$M$90,$I$6:$I$90,"Вышло",$D$6:$D$90,"WB",$E$6:$E$90,"ВБ")-(SUMIFS($M$6:$M$90,$I$6:$I$90,"Вышло",$D$6:$D$90,"WB",$E$6:$E$90,"WB",$W$6:$W$90,"&lt;=0",$V$6:$V$90,"&gt;0")+SUMIFS($M$6:$M$90,$I$6:$I$90,"Вышло",$D$6:$D$90,"WB",$E$6:$E$90,"ВБ",$W$6:$W$90,"&lt;=0",$V$6:$V$90,"&gt;0")))/(SUMIFS($W$6:$W$90,$I$6:$I$90,"Вышло",$D$6:$D$90,"WB",$E$6:$E$90,"WB")+SUMIFS($W$6:$W$90,$I$6:$I$90,"Вышло",$D$6:$D$90,"WB",$E$6:$E$90,"ВБ")),0))</f>
        <v>—</v>
      </c>
      <c r="N101" s="140" t="str">
        <f t="shared" si="59"/>
        <v>—</v>
      </c>
      <c r="O101" s="140" t="str">
        <f>IF((SUMIFS($Z$6:$Z$90,$I$6:$I$90,"Вышло",$D$6:$D$90,"WB"))=0,"—",ROUND((SUMIFS($M$6:$M$90,$I$6:$I$90,"Вышло",$D$6:$D$90,"WB"))/(SUMIFS($Z$6:$Z$90,$I$6:$I$90,"Вышло",$D$6:$D$90,"WB")),0))</f>
        <v>—</v>
      </c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ht="15.75" customHeight="1">
      <c r="A102" s="142" t="s">
        <v>877</v>
      </c>
      <c r="B102" s="143">
        <f t="shared" ref="B102:K102" si="60">SUM(B94:B101)</f>
        <v>50251</v>
      </c>
      <c r="C102" s="143">
        <f t="shared" si="60"/>
        <v>50251</v>
      </c>
      <c r="D102" s="144">
        <f t="shared" si="60"/>
        <v>10</v>
      </c>
      <c r="E102" s="144">
        <f t="shared" si="60"/>
        <v>188263</v>
      </c>
      <c r="F102" s="144">
        <f t="shared" si="60"/>
        <v>1081</v>
      </c>
      <c r="G102" s="144">
        <f t="shared" si="60"/>
        <v>0</v>
      </c>
      <c r="H102" s="144">
        <f t="shared" si="60"/>
        <v>0</v>
      </c>
      <c r="I102" s="144">
        <f t="shared" si="60"/>
        <v>0</v>
      </c>
      <c r="J102" s="144">
        <f t="shared" si="60"/>
        <v>86</v>
      </c>
      <c r="K102" s="143">
        <f t="shared" si="60"/>
        <v>87509</v>
      </c>
      <c r="L102" s="143">
        <f>IF((SUMIFS($V$6:$V$90,$I$6:$I$90,"Вышло",$E$6:$E$90,"Сайт")+SUMIFS($V$6:$V$90,$I$6:$I$90,"Вышло",$E$6:$E$90,"сайт")+SUMIFS($V$6:$V$90,$I$6:$I$90,"Вышло",$E$6:$E$90,"Ozon")+SUMIFS($V$6:$V$90,$I$6:$I$90,"Вышло",$E$6:$E$90,"OZON")+SUMIFS($V$6:$V$90,$I$6:$I$90,"Вышло",$E$6:$E$90,"Озон")+SUMIFS($V$6:$V$90,$I$6:$I$90,"Вышло",$E$6:$E$90,"озон"))=0,"—",ROUND((SUMIFS($M$6:$M$90,$I$6:$I$90,"Вышло",$E$6:$E$90,"Сайт",$V$6:$V$90,"&gt;0")+SUMIFS($M$6:$M$90,$I$6:$I$90,"Вышло",$E$6:$E$90,"сайт",$V$6:$V$90,"&gt;0")+SUMIFS($M$6:$M$90,$I$6:$I$90,"Вышло",$E$6:$E$90,"Сайт",$V$6:$V$90,"&lt;=0",$P$6:$P$90,"&lt;&gt;")+SUMIFS($M$6:$M$90,$I$6:$I$90,"Вышло",$E$6:$E$90,"сайт",$V$6:$V$90,"&lt;=0",$P$6:$P$90,"&lt;&gt;")+SUMIFS($M$6:$M$90,$I$6:$I$90,"Вышло",$E$6:$E$90,"Ozon",$V$6:$V$90,"&gt;0")+SUMIFS($M$6:$M$90,$I$6:$I$90,"Вышло",$E$6:$E$90,"OZON",$V$6:$V$90,"&gt;0")+SUMIFS($M$6:$M$90,$I$6:$I$90,"Вышло",$E$6:$E$90,"Озон",$V$6:$V$90,"&gt;0")+SUMIFS($M$6:$M$90,$I$6:$I$90,"Вышло",$E$6:$E$90,"озон",$V$6:$V$90,"&gt;0")+SUMIFS($M$6:$M$90,$I$6:$I$90,"Вышло",$E$6:$E$90,"Ozon",$V$6:$V$90,"&lt;=0",$P$6:$P$90,"&lt;&gt;")+SUMIFS($M$6:$M$90,$I$6:$I$90,"Вышло",$E$6:$E$90,"OZON",$V$6:$V$90,"&lt;=0",$P$6:$P$90,"&lt;&gt;")+SUMIFS($M$6:$M$90,$I$6:$I$90,"Вышло",$E$6:$E$90,"Озон",$V$6:$V$90,"&lt;=0",$P$6:$P$90,"&lt;&gt;")+SUMIFS($M$6:$M$90,$I$6:$I$90,"Вышло",$E$6:$E$90,"озон",$V$6:$V$90,"&lt;=0",$P$6:$P$90,"&lt;&gt;"))/(SUMIFS($V$6:$V$90,$I$6:$I$90,"Вышло",$E$6:$E$90,"Сайт")+SUMIFS($V$6:$V$90,$I$6:$I$90,"Вышло",$E$6:$E$90,"сайт")+SUMIFS($V$6:$V$90,$I$6:$I$90,"Вышло",$E$6:$E$90,"Ozon")+SUMIFS($V$6:$V$90,$I$6:$I$90,"Вышло",$E$6:$E$90,"OZON")+SUMIFS($V$6:$V$90,$I$6:$I$90,"Вышло",$E$6:$E$90,"Озон")+SUMIFS($V$6:$V$90,$I$6:$I$90,"Вышло",$E$6:$E$90,"озон")),0))</f>
        <v>15</v>
      </c>
      <c r="M102" s="143" t="str">
        <f>IF((SUMIFS($W$6:$W$90,$I$6:$I$90,"Вышло",$E$6:$E$90,"WB")+SUMIFS($W$6:$W$90,$I$6:$I$90,"Вышло",$E$6:$E$90,"ВБ"))=0,"—",ROUND((SUMIFS($M$6:$M$90,$I$6:$I$90,"Вышло",$E$6:$E$90,"WB")+SUMIFS($M$6:$M$90,$I$6:$I$90,"Вышло",$E$6:$E$90,"ВБ")-(SUMIFS($M$6:$M$90,$I$6:$I$90,"Вышло",$E$6:$E$90,"WB",$W$6:$W$90,"&lt;=0",$V$6:$V$90,"&gt;0")+SUMIFS($M$6:$M$90,$I$6:$I$90,"Вышло",$E$6:$E$90,"ВБ",$W$6:$W$90,"&lt;=0",$V$6:$V$90,"&gt;0")))/(SUMIFS($W$6:$W$90,$I$6:$I$90,"Вышло",$E$6:$E$90,"WB")+SUMIFS($W$6:$W$90,$I$6:$I$90,"Вышло",$E$6:$E$90,"ВБ")),0))</f>
        <v>—</v>
      </c>
      <c r="N102" s="143" t="str">
        <f t="shared" si="59"/>
        <v>—</v>
      </c>
      <c r="O102" s="143">
        <f>IF((SUMIFS($Z$6:$Z$90,$I$6:$I$90,"Вышло"))=0,"—",ROUND((SUMIFS($M$6:$M$90,$I$6:$I$90,"Вышло"))/(SUMIFS($Z$6:$Z$90,$I$6:$I$90,"Вышло")),0))</f>
        <v>514</v>
      </c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ht="15.75" customHeight="1">
      <c r="A103" s="145"/>
      <c r="B103" s="145"/>
      <c r="C103" s="145"/>
      <c r="D103" s="145"/>
      <c r="E103" s="145"/>
      <c r="F103" s="145"/>
      <c r="G103" s="145"/>
      <c r="H103" s="145"/>
      <c r="I103" s="145"/>
      <c r="J103" s="145"/>
      <c r="K103" s="145"/>
      <c r="L103" s="145"/>
      <c r="M103" s="145"/>
      <c r="N103" s="145"/>
      <c r="O103" s="145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ht="15.75" customHeight="1">
      <c r="A104" s="137" t="s">
        <v>878</v>
      </c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ht="36.0" customHeight="1">
      <c r="A105" s="138" t="s">
        <v>726</v>
      </c>
      <c r="B105" s="138" t="s">
        <v>872</v>
      </c>
      <c r="C105" s="138" t="s">
        <v>873</v>
      </c>
      <c r="D105" s="138" t="s">
        <v>859</v>
      </c>
      <c r="E105" s="138" t="s">
        <v>729</v>
      </c>
      <c r="F105" s="138" t="s">
        <v>730</v>
      </c>
      <c r="G105" s="138" t="s">
        <v>851</v>
      </c>
      <c r="H105" s="138" t="s">
        <v>731</v>
      </c>
      <c r="I105" s="138" t="s">
        <v>853</v>
      </c>
      <c r="J105" s="138" t="s">
        <v>656</v>
      </c>
      <c r="K105" s="138" t="s">
        <v>854</v>
      </c>
      <c r="L105" s="138" t="s">
        <v>874</v>
      </c>
      <c r="M105" s="138" t="s">
        <v>875</v>
      </c>
      <c r="N105" s="138" t="s">
        <v>876</v>
      </c>
      <c r="O105" s="138" t="s">
        <v>657</v>
      </c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ht="15.75" customHeight="1">
      <c r="A106" s="139" t="s">
        <v>735</v>
      </c>
      <c r="B106" s="140">
        <f>SUMIFS($M$6:$M$90,$D$6:$D$90,"Telegram")+SUMIFS($M$6:$M$90,$D$6:$D$90,"Telegram ")+SUMIFS($M$6:$M$90,$D$6:$D$90,"Телеграм")+SUMIFS($M$6:$M$90,$D$6:$D$90,"ТГ")+SUMIFS($M$6:$M$90,$D$6:$D$90,"MAX")+SUMIFS($M$6:$M$90,$D$6:$D$90,"Макс")+SUMIFS($M$6:$M$90,$D$6:$D$90,"МАКС")+SUMIFS($M$6:$M$90,$D$6:$D$90,"VK")+SUMIFS($M$6:$M$90,$D$6:$D$90,"Vk")+SUMIFS($M$6:$M$90,$D$6:$D$90,"ВК")+SUMIFS($M$6:$M$90,$D$6:$D$90,"YouTube")+SUMIFS($M$6:$M$90,$D$6:$D$90,"Youtube")+SUMIFS($M$6:$M$90,$D$6:$D$90,"TikTok")+SUMIFS($M$6:$M$90,$D$6:$D$90,"Tiktok")+SUMIFS($M$6:$M$90,$D$6:$D$90,"Rutube")+SUMIFS($M$6:$M$90,$D$6:$D$90,"Instagram")+SUMIFS($M$6:$M$90,$D$6:$D$90,"Inst")+SUMIFS($M$6:$M$90,$D$6:$D$90,"WB")</f>
        <v>50251</v>
      </c>
      <c r="C106" s="140">
        <f>SUMIFS($M$6:$M$90,$I$6:$I$90,"Вышло")</f>
        <v>33401</v>
      </c>
      <c r="D106" s="141">
        <f>COUNTIFS($I$6:$I$90,"Вышло")</f>
        <v>10</v>
      </c>
      <c r="E106" s="141">
        <f>SUMIFS($T$6:$T$90,$I$6:$I$90,"Вышло")</f>
        <v>131913</v>
      </c>
      <c r="F106" s="141">
        <f>SUMIFS($V$6:$V$90,$I$6:$I$90,"Вышло")</f>
        <v>838</v>
      </c>
      <c r="G106" s="141">
        <f>SUMIFS($W$6:$W$90,$I$6:$I$90,"Вышло")</f>
        <v>0</v>
      </c>
      <c r="H106" s="141">
        <f>0</f>
        <v>0</v>
      </c>
      <c r="I106" s="141">
        <f>SUMIFS($Y$6:$Y$90,$I$6:$I$90,"Вышло")</f>
        <v>0</v>
      </c>
      <c r="J106" s="141">
        <f>SUMIFS($Z$6:$Z$90,$I$6:$I$90,"Вышло")</f>
        <v>65</v>
      </c>
      <c r="K106" s="140">
        <f>SUMIFS($AA$6:$AA$90,$I$6:$I$90,"Вышло")</f>
        <v>65526</v>
      </c>
      <c r="L106" s="140">
        <f>IF((SUMIFS($V$6:$V$90,$I$6:$I$90,"Вышло",$E$6:$E$90,"Сайт")+SUMIFS($V$6:$V$90,$I$6:$I$90,"Вышло",$E$6:$E$90,"сайт")+SUMIFS($V$6:$V$90,$I$6:$I$90,"Вышло",$E$6:$E$90,"Ozon")+SUMIFS($V$6:$V$90,$I$6:$I$90,"Вышло",$E$6:$E$90,"OZON")+SUMIFS($V$6:$V$90,$I$6:$I$90,"Вышло",$E$6:$E$90,"Озон")+SUMIFS($V$6:$V$90,$I$6:$I$90,"Вышло",$E$6:$E$90,"озон"))=0,"—",ROUND((SUMIFS($M$6:$M$90,$I$6:$I$90,"Вышло",$E$6:$E$90,"Сайт",$V$6:$V$90,"&gt;0")+SUMIFS($M$6:$M$90,$I$6:$I$90,"Вышло",$E$6:$E$90,"сайт",$V$6:$V$90,"&gt;0")+SUMIFS($M$6:$M$90,$I$6:$I$90,"Вышло",$E$6:$E$90,"Сайт",$V$6:$V$90,"&lt;=0",$P$6:$P$90,"&lt;&gt;")+SUMIFS($M$6:$M$90,$I$6:$I$90,"Вышло",$E$6:$E$90,"сайт",$V$6:$V$90,"&lt;=0",$P$6:$P$90,"&lt;&gt;")+SUMIFS($M$6:$M$90,$I$6:$I$90,"Вышло",$E$6:$E$90,"Ozon",$V$6:$V$90,"&gt;0")+SUMIFS($M$6:$M$90,$I$6:$I$90,"Вышло",$E$6:$E$90,"OZON",$V$6:$V$90,"&gt;0")+SUMIFS($M$6:$M$90,$I$6:$I$90,"Вышло",$E$6:$E$90,"Озон",$V$6:$V$90,"&gt;0")+SUMIFS($M$6:$M$90,$I$6:$I$90,"Вышло",$E$6:$E$90,"озон",$V$6:$V$90,"&gt;0")+SUMIFS($M$6:$M$90,$I$6:$I$90,"Вышло",$E$6:$E$90,"Ozon",$V$6:$V$90,"&lt;=0",$P$6:$P$90,"&lt;&gt;")+SUMIFS($M$6:$M$90,$I$6:$I$90,"Вышло",$E$6:$E$90,"OZON",$V$6:$V$90,"&lt;=0",$P$6:$P$90,"&lt;&gt;")+SUMIFS($M$6:$M$90,$I$6:$I$90,"Вышло",$E$6:$E$90,"Озон",$V$6:$V$90,"&lt;=0",$P$6:$P$90,"&lt;&gt;")+SUMIFS($M$6:$M$90,$I$6:$I$90,"Вышло",$E$6:$E$90,"озон",$V$6:$V$90,"&lt;=0",$P$6:$P$90,"&lt;&gt;"))/(SUMIFS($V$6:$V$90,$I$6:$I$90,"Вышло",$E$6:$E$90,"Сайт")+SUMIFS($V$6:$V$90,$I$6:$I$90,"Вышло",$E$6:$E$90,"сайт")+SUMIFS($V$6:$V$90,$I$6:$I$90,"Вышло",$E$6:$E$90,"Ozon")+SUMIFS($V$6:$V$90,$I$6:$I$90,"Вышло",$E$6:$E$90,"OZON")+SUMIFS($V$6:$V$90,$I$6:$I$90,"Вышло",$E$6:$E$90,"Озон")+SUMIFS($V$6:$V$90,$I$6:$I$90,"Вышло",$E$6:$E$90,"озон")),0))</f>
        <v>15</v>
      </c>
      <c r="M106" s="140" t="str">
        <f>IF((SUMIFS($W$6:$W$90,$I$6:$I$90,"Вышло",$E$6:$E$90,"WB")+SUMIFS($W$6:$W$90,$I$6:$I$90,"Вышло",$E$6:$E$90,"ВБ"))=0,"—",ROUND((SUMIFS($M$6:$M$90,$I$6:$I$90,"Вышло",$E$6:$E$90,"WB")+SUMIFS($M$6:$M$90,$I$6:$I$90,"Вышло",$E$6:$E$90,"ВБ")-(SUMIFS($M$6:$M$90,$I$6:$I$90,"Вышло",$E$6:$E$90,"WB",$W$6:$W$90,"&lt;=0",$V$6:$V$90,"&gt;0")+SUMIFS($M$6:$M$90,$I$6:$I$90,"Вышло",$E$6:$E$90,"ВБ",$W$6:$W$90,"&lt;=0",$V$6:$V$90,"&gt;0")))/(SUMIFS($W$6:$W$90,$I$6:$I$90,"Вышло",$E$6:$E$90,"WB")+SUMIFS($W$6:$W$90,$I$6:$I$90,"Вышло",$E$6:$E$90,"ВБ")),0))</f>
        <v>—</v>
      </c>
      <c r="N106" s="140" t="str">
        <f>"—"</f>
        <v>—</v>
      </c>
      <c r="O106" s="140">
        <f>IF((SUMIFS($Z$6:$Z$90,$I$6:$I$90,"Вышло"))=0,"—",ROUND((SUMIFS($M$6:$M$90,$I$6:$I$90,"Вышло"))/(SUMIFS($Z$6:$Z$90,$I$6:$I$90,"Вышло")),0))</f>
        <v>514</v>
      </c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ht="15.75" customHeight="1">
      <c r="A107" s="139" t="s">
        <v>736</v>
      </c>
      <c r="B107" s="140">
        <f t="shared" ref="B107:K107" si="61">0</f>
        <v>0</v>
      </c>
      <c r="C107" s="140">
        <f t="shared" si="61"/>
        <v>0</v>
      </c>
      <c r="D107" s="141">
        <f t="shared" si="61"/>
        <v>0</v>
      </c>
      <c r="E107" s="141">
        <f t="shared" si="61"/>
        <v>0</v>
      </c>
      <c r="F107" s="141">
        <f t="shared" si="61"/>
        <v>0</v>
      </c>
      <c r="G107" s="141">
        <f t="shared" si="61"/>
        <v>0</v>
      </c>
      <c r="H107" s="141">
        <f t="shared" si="61"/>
        <v>0</v>
      </c>
      <c r="I107" s="141">
        <f t="shared" si="61"/>
        <v>0</v>
      </c>
      <c r="J107" s="141">
        <f t="shared" si="61"/>
        <v>0</v>
      </c>
      <c r="K107" s="140">
        <f t="shared" si="61"/>
        <v>0</v>
      </c>
      <c r="L107" s="140" t="s">
        <v>879</v>
      </c>
      <c r="M107" s="140" t="s">
        <v>879</v>
      </c>
      <c r="N107" s="140" t="s">
        <v>879</v>
      </c>
      <c r="O107" s="140" t="s">
        <v>879</v>
      </c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ht="15.75" customHeight="1">
      <c r="A108" s="139" t="s">
        <v>737</v>
      </c>
      <c r="B108" s="140">
        <f t="shared" ref="B108:K108" si="62">0</f>
        <v>0</v>
      </c>
      <c r="C108" s="140">
        <f t="shared" si="62"/>
        <v>0</v>
      </c>
      <c r="D108" s="141">
        <f t="shared" si="62"/>
        <v>0</v>
      </c>
      <c r="E108" s="141">
        <f t="shared" si="62"/>
        <v>0</v>
      </c>
      <c r="F108" s="141">
        <f t="shared" si="62"/>
        <v>0</v>
      </c>
      <c r="G108" s="141">
        <f t="shared" si="62"/>
        <v>0</v>
      </c>
      <c r="H108" s="141">
        <f t="shared" si="62"/>
        <v>0</v>
      </c>
      <c r="I108" s="141">
        <f t="shared" si="62"/>
        <v>0</v>
      </c>
      <c r="J108" s="141">
        <f t="shared" si="62"/>
        <v>0</v>
      </c>
      <c r="K108" s="140">
        <f t="shared" si="62"/>
        <v>0</v>
      </c>
      <c r="L108" s="140" t="s">
        <v>879</v>
      </c>
      <c r="M108" s="140" t="s">
        <v>879</v>
      </c>
      <c r="N108" s="140" t="s">
        <v>879</v>
      </c>
      <c r="O108" s="140" t="s">
        <v>879</v>
      </c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ht="15.75" customHeight="1">
      <c r="A109" s="142" t="s">
        <v>877</v>
      </c>
      <c r="B109" s="143">
        <f t="shared" ref="B109:K109" si="63">SUM(B106:B108)</f>
        <v>50251</v>
      </c>
      <c r="C109" s="143">
        <f t="shared" si="63"/>
        <v>33401</v>
      </c>
      <c r="D109" s="144">
        <f t="shared" si="63"/>
        <v>10</v>
      </c>
      <c r="E109" s="144">
        <f t="shared" si="63"/>
        <v>131913</v>
      </c>
      <c r="F109" s="144">
        <f t="shared" si="63"/>
        <v>838</v>
      </c>
      <c r="G109" s="144">
        <f t="shared" si="63"/>
        <v>0</v>
      </c>
      <c r="H109" s="144">
        <f t="shared" si="63"/>
        <v>0</v>
      </c>
      <c r="I109" s="144">
        <f t="shared" si="63"/>
        <v>0</v>
      </c>
      <c r="J109" s="144">
        <f t="shared" si="63"/>
        <v>65</v>
      </c>
      <c r="K109" s="143">
        <f t="shared" si="63"/>
        <v>65526</v>
      </c>
      <c r="L109" s="143">
        <f>IF((SUMIFS($V$6:$V$90,$I$6:$I$90,"Вышло",$E$6:$E$90,"Сайт")+SUMIFS($V$6:$V$90,$I$6:$I$90,"Вышло",$E$6:$E$90,"сайт")+SUMIFS($V$6:$V$90,$I$6:$I$90,"Вышло",$E$6:$E$90,"Ozon")+SUMIFS($V$6:$V$90,$I$6:$I$90,"Вышло",$E$6:$E$90,"OZON")+SUMIFS($V$6:$V$90,$I$6:$I$90,"Вышло",$E$6:$E$90,"Озон")+SUMIFS($V$6:$V$90,$I$6:$I$90,"Вышло",$E$6:$E$90,"озон"))=0,"—",ROUND((SUMIFS($M$6:$M$90,$I$6:$I$90,"Вышло",$E$6:$E$90,"Сайт",$V$6:$V$90,"&gt;0")+SUMIFS($M$6:$M$90,$I$6:$I$90,"Вышло",$E$6:$E$90,"сайт",$V$6:$V$90,"&gt;0")+SUMIFS($M$6:$M$90,$I$6:$I$90,"Вышло",$E$6:$E$90,"Сайт",$V$6:$V$90,"&lt;=0",$P$6:$P$90,"&lt;&gt;")+SUMIFS($M$6:$M$90,$I$6:$I$90,"Вышло",$E$6:$E$90,"сайт",$V$6:$V$90,"&lt;=0",$P$6:$P$90,"&lt;&gt;")+SUMIFS($M$6:$M$90,$I$6:$I$90,"Вышло",$E$6:$E$90,"Ozon",$V$6:$V$90,"&gt;0")+SUMIFS($M$6:$M$90,$I$6:$I$90,"Вышло",$E$6:$E$90,"OZON",$V$6:$V$90,"&gt;0")+SUMIFS($M$6:$M$90,$I$6:$I$90,"Вышло",$E$6:$E$90,"Озон",$V$6:$V$90,"&gt;0")+SUMIFS($M$6:$M$90,$I$6:$I$90,"Вышло",$E$6:$E$90,"озон",$V$6:$V$90,"&gt;0")+SUMIFS($M$6:$M$90,$I$6:$I$90,"Вышло",$E$6:$E$90,"Ozon",$V$6:$V$90,"&lt;=0",$P$6:$P$90,"&lt;&gt;")+SUMIFS($M$6:$M$90,$I$6:$I$90,"Вышло",$E$6:$E$90,"OZON",$V$6:$V$90,"&lt;=0",$P$6:$P$90,"&lt;&gt;")+SUMIFS($M$6:$M$90,$I$6:$I$90,"Вышло",$E$6:$E$90,"Озон",$V$6:$V$90,"&lt;=0",$P$6:$P$90,"&lt;&gt;")+SUMIFS($M$6:$M$90,$I$6:$I$90,"Вышло",$E$6:$E$90,"озон",$V$6:$V$90,"&lt;=0",$P$6:$P$90,"&lt;&gt;"))/(SUMIFS($V$6:$V$90,$I$6:$I$90,"Вышло",$E$6:$E$90,"Сайт")+SUMIFS($V$6:$V$90,$I$6:$I$90,"Вышло",$E$6:$E$90,"сайт")+SUMIFS($V$6:$V$90,$I$6:$I$90,"Вышло",$E$6:$E$90,"Ozon")+SUMIFS($V$6:$V$90,$I$6:$I$90,"Вышло",$E$6:$E$90,"OZON")+SUMIFS($V$6:$V$90,$I$6:$I$90,"Вышло",$E$6:$E$90,"Озон")+SUMIFS($V$6:$V$90,$I$6:$I$90,"Вышло",$E$6:$E$90,"озон")),0))</f>
        <v>15</v>
      </c>
      <c r="M109" s="143" t="str">
        <f>IF((SUMIFS($W$6:$W$90,$I$6:$I$90,"Вышло",$E$6:$E$90,"WB")+SUMIFS($W$6:$W$90,$I$6:$I$90,"Вышло",$E$6:$E$90,"ВБ"))=0,"—",ROUND((SUMIFS($M$6:$M$90,$I$6:$I$90,"Вышло",$E$6:$E$90,"WB")+SUMIFS($M$6:$M$90,$I$6:$I$90,"Вышло",$E$6:$E$90,"ВБ")-(SUMIFS($M$6:$M$90,$I$6:$I$90,"Вышло",$E$6:$E$90,"WB",$W$6:$W$90,"&lt;=0",$V$6:$V$90,"&gt;0")+SUMIFS($M$6:$M$90,$I$6:$I$90,"Вышло",$E$6:$E$90,"ВБ",$W$6:$W$90,"&lt;=0",$V$6:$V$90,"&gt;0")))/(SUMIFS($W$6:$W$90,$I$6:$I$90,"Вышло",$E$6:$E$90,"WB")+SUMIFS($W$6:$W$90,$I$6:$I$90,"Вышло",$E$6:$E$90,"ВБ")),0))</f>
        <v>—</v>
      </c>
      <c r="N109" s="143" t="str">
        <f>"—"</f>
        <v>—</v>
      </c>
      <c r="O109" s="143">
        <f>IF((SUMIFS($Z$6:$Z$90,$I$6:$I$90,"Вышло"))=0,"—",ROUND((SUMIFS($M$6:$M$90,$I$6:$I$90,"Вышло"))/(SUMIFS($Z$6:$Z$90,$I$6:$I$90,"Вышло")),0))</f>
        <v>514</v>
      </c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ht="15.75" customHeight="1">
      <c r="A110" s="145"/>
      <c r="B110" s="145"/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  <c r="M110" s="145"/>
      <c r="N110" s="145"/>
      <c r="O110" s="145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ht="15.75" customHeight="1">
      <c r="A111" s="137" t="s">
        <v>880</v>
      </c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ht="33.75" customHeight="1">
      <c r="A112" s="138" t="s">
        <v>881</v>
      </c>
      <c r="B112" s="138" t="s">
        <v>873</v>
      </c>
      <c r="C112" s="138" t="s">
        <v>882</v>
      </c>
      <c r="D112" s="138" t="s">
        <v>883</v>
      </c>
      <c r="E112" s="138" t="s">
        <v>884</v>
      </c>
      <c r="F112" s="138" t="s">
        <v>859</v>
      </c>
      <c r="G112" s="138" t="s">
        <v>729</v>
      </c>
      <c r="H112" s="138" t="s">
        <v>885</v>
      </c>
      <c r="I112" s="145"/>
      <c r="J112" s="145"/>
      <c r="K112" s="145"/>
      <c r="L112" s="145"/>
      <c r="M112" s="145"/>
      <c r="N112" s="145"/>
      <c r="O112" s="145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ht="27.75" customHeight="1">
      <c r="A113" s="146" t="s">
        <v>886</v>
      </c>
      <c r="B113" s="147">
        <f>SUMIFS($M$6:$M$90,$I$6:$I$90,"Вышло",$E$6:$E$90,"БОТ")+SUMIFS($M$6:$M$90,$I$6:$I$90,"Вышло",$E$6:$E$90,"Бот")+SUMIFS($M$6:$M$90,$I$6:$I$90,"Вышло",$E$6:$E$90,"бот")</f>
        <v>0</v>
      </c>
      <c r="C113" s="146" t="s">
        <v>731</v>
      </c>
      <c r="D113" s="148">
        <f>0</f>
        <v>0</v>
      </c>
      <c r="E113" s="147" t="str">
        <f>IF((0)=0,"—",ROUND((SUMIFS($M$6:$M$90,$I$6:$I$90,"Вышло",$E$6:$E$90,"БОТ")+SUMIFS($M$6:$M$90,$I$6:$I$90,"Вышло",$E$6:$E$90,"Бот")+SUMIFS($M$6:$M$90,$I$6:$I$90,"Вышло",$E$6:$E$90,"бот"))/(0),0))</f>
        <v>—</v>
      </c>
      <c r="F113" s="148">
        <f>COUNTIFS($I$6:$I$90,"Вышло",$E$6:$E$90,"БОТ")</f>
        <v>0</v>
      </c>
      <c r="G113" s="148">
        <f>SUMIFS($T$6:$T$90,$I$6:$I$90,"Вышло",$E$6:$E$90,"БОТ")+SUMIFS($T$6:$T$90,$I$6:$I$90,"Вышло",$E$6:$E$90,"Бот")+SUMIFS($T$6:$T$90,$I$6:$I$90,"Вышло",$E$6:$E$90,"бот")</f>
        <v>0</v>
      </c>
      <c r="H113" s="146" t="s">
        <v>887</v>
      </c>
      <c r="I113" s="145"/>
      <c r="J113" s="145"/>
      <c r="K113" s="145"/>
      <c r="L113" s="145"/>
      <c r="M113" s="145"/>
      <c r="N113" s="145"/>
      <c r="O113" s="145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ht="27.75" customHeight="1">
      <c r="A114" s="146" t="s">
        <v>888</v>
      </c>
      <c r="B114" s="147">
        <f>SUMIFS($M$6:$M$90,$I$6:$I$90,"Вышло",$E$6:$E$90,"Сайт",$V$6:$V$90,"&gt;0")+SUMIFS($M$6:$M$90,$I$6:$I$90,"Вышло",$E$6:$E$90,"сайт",$V$6:$V$90,"&gt;0")+SUMIFS($M$6:$M$90,$I$6:$I$90,"Вышло",$E$6:$E$90,"Сайт",$V$6:$V$90,"&lt;=0",$P$6:$P$90,"&lt;&gt;")+SUMIFS($M$6:$M$90,$I$6:$I$90,"Вышло",$E$6:$E$90,"сайт",$V$6:$V$90,"&lt;=0",$P$6:$P$90,"&lt;&gt;")</f>
        <v>10692</v>
      </c>
      <c r="C114" s="146" t="s">
        <v>730</v>
      </c>
      <c r="D114" s="148">
        <f>SUMIFS($V$6:$V$90,$I$6:$I$90,"Вышло",$E$6:$E$90,"Сайт")+SUMIFS($V$6:$V$90,$I$6:$I$90,"Вышло",$E$6:$E$90,"сайт")</f>
        <v>728</v>
      </c>
      <c r="E114" s="147">
        <f>IF((SUMIFS($V$6:$V$90,$I$6:$I$90,"Вышло",$E$6:$E$90,"Сайт")+SUMIFS($V$6:$V$90,$I$6:$I$90,"Вышло",$E$6:$E$90,"сайт"))=0,"—",ROUND((SUMIFS($M$6:$M$90,$I$6:$I$90,"Вышло",$E$6:$E$90,"Сайт",$V$6:$V$90,"&gt;0")+SUMIFS($M$6:$M$90,$I$6:$I$90,"Вышло",$E$6:$E$90,"сайт",$V$6:$V$90,"&gt;0")+SUMIFS($M$6:$M$90,$I$6:$I$90,"Вышло",$E$6:$E$90,"Сайт",$V$6:$V$90,"&lt;=0",$P$6:$P$90,"&lt;&gt;")+SUMIFS($M$6:$M$90,$I$6:$I$90,"Вышло",$E$6:$E$90,"сайт",$V$6:$V$90,"&lt;=0",$P$6:$P$90,"&lt;&gt;"))/(SUMIFS($V$6:$V$90,$I$6:$I$90,"Вышло",$E$6:$E$90,"Сайт")+SUMIFS($V$6:$V$90,$I$6:$I$90,"Вышло",$E$6:$E$90,"сайт")),0))</f>
        <v>15</v>
      </c>
      <c r="F114" s="148">
        <f>COUNTIFS($I$6:$I$90,"Вышло",$E$6:$E$90,"Сайт",$V$6:$V$90,"&gt;0")+COUNTIFS($I$6:$I$90,"Вышло",$E$6:$E$90,"Сайт",$V$6:$V$90,"&lt;=0",$P$6:$P$90,"&lt;&gt;")</f>
        <v>4</v>
      </c>
      <c r="G114" s="148">
        <f>SUMIFS($T$6:$T$90,$I$6:$I$90,"Вышло",$E$6:$E$90,"Сайт")+SUMIFS($T$6:$T$90,$I$6:$I$90,"Вышло",$E$6:$E$90,"сайт")</f>
        <v>92120</v>
      </c>
      <c r="H114" s="146" t="s">
        <v>889</v>
      </c>
      <c r="I114" s="145"/>
      <c r="J114" s="145"/>
      <c r="K114" s="145"/>
      <c r="L114" s="145"/>
      <c r="M114" s="145"/>
      <c r="N114" s="145"/>
      <c r="O114" s="145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ht="27.75" customHeight="1">
      <c r="A115" s="146" t="s">
        <v>890</v>
      </c>
      <c r="B115" s="147">
        <f>SUMIFS($M$6:$M$90,$I$6:$I$90,"Вышло",$E$6:$E$90,"Ozon",$V$6:$V$90,"&gt;0")+SUMIFS($M$6:$M$90,$I$6:$I$90,"Вышло",$E$6:$E$90,"OZON",$V$6:$V$90,"&gt;0")+SUMIFS($M$6:$M$90,$I$6:$I$90,"Вышло",$E$6:$E$90,"Озон",$V$6:$V$90,"&gt;0")+SUMIFS($M$6:$M$90,$I$6:$I$90,"Вышло",$E$6:$E$90,"озон",$V$6:$V$90,"&gt;0")+SUMIFS($M$6:$M$90,$I$6:$I$90,"Вышло",$E$6:$E$90,"Ozon",$V$6:$V$90,"&lt;=0",$P$6:$P$90,"&lt;&gt;")+SUMIFS($M$6:$M$90,$I$6:$I$90,"Вышло",$E$6:$E$90,"OZON",$V$6:$V$90,"&lt;=0",$P$6:$P$90,"&lt;&gt;")+SUMIFS($M$6:$M$90,$I$6:$I$90,"Вышло",$E$6:$E$90,"Озон",$V$6:$V$90,"&lt;=0",$P$6:$P$90,"&lt;&gt;")+SUMIFS($M$6:$M$90,$I$6:$I$90,"Вышло",$E$6:$E$90,"озон",$V$6:$V$90,"&lt;=0",$P$6:$P$90,"&lt;&gt;")</f>
        <v>1258</v>
      </c>
      <c r="C115" s="146" t="s">
        <v>730</v>
      </c>
      <c r="D115" s="148">
        <f>SUMIFS($V$6:$V$90,$I$6:$I$90,"Вышло",$E$6:$E$90,"Ozon")+SUMIFS($V$6:$V$90,$I$6:$I$90,"Вышло",$E$6:$E$90,"OZON")+SUMIFS($V$6:$V$90,$I$6:$I$90,"Вышло",$E$6:$E$90,"Озон")+SUMIFS($V$6:$V$90,$I$6:$I$90,"Вышло",$E$6:$E$90,"озон")</f>
        <v>72</v>
      </c>
      <c r="E115" s="147">
        <f>IF((SUMIFS($V$6:$V$90,$I$6:$I$90,"Вышло",$E$6:$E$90,"Ozon")+SUMIFS($V$6:$V$90,$I$6:$I$90,"Вышло",$E$6:$E$90,"OZON")+SUMIFS($V$6:$V$90,$I$6:$I$90,"Вышло",$E$6:$E$90,"Озон")+SUMIFS($V$6:$V$90,$I$6:$I$90,"Вышло",$E$6:$E$90,"озон"))=0,"—",ROUND((SUMIFS($M$6:$M$90,$I$6:$I$90,"Вышло",$E$6:$E$90,"Ozon",$V$6:$V$90,"&gt;0")+SUMIFS($M$6:$M$90,$I$6:$I$90,"Вышло",$E$6:$E$90,"OZON",$V$6:$V$90,"&gt;0")+SUMIFS($M$6:$M$90,$I$6:$I$90,"Вышло",$E$6:$E$90,"Озон",$V$6:$V$90,"&gt;0")+SUMIFS($M$6:$M$90,$I$6:$I$90,"Вышло",$E$6:$E$90,"озон",$V$6:$V$90,"&gt;0")+SUMIFS($M$6:$M$90,$I$6:$I$90,"Вышло",$E$6:$E$90,"Ozon",$V$6:$V$90,"&lt;=0",$P$6:$P$90,"&lt;&gt;")+SUMIFS($M$6:$M$90,$I$6:$I$90,"Вышло",$E$6:$E$90,"OZON",$V$6:$V$90,"&lt;=0",$P$6:$P$90,"&lt;&gt;")+SUMIFS($M$6:$M$90,$I$6:$I$90,"Вышло",$E$6:$E$90,"Озон",$V$6:$V$90,"&lt;=0",$P$6:$P$90,"&lt;&gt;")+SUMIFS($M$6:$M$90,$I$6:$I$90,"Вышло",$E$6:$E$90,"озон",$V$6:$V$90,"&lt;=0",$P$6:$P$90,"&lt;&gt;"))/(SUMIFS($V$6:$V$90,$I$6:$I$90,"Вышло",$E$6:$E$90,"Ozon")+SUMIFS($V$6:$V$90,$I$6:$I$90,"Вышло",$E$6:$E$90,"OZON")+SUMIFS($V$6:$V$90,$I$6:$I$90,"Вышло",$E$6:$E$90,"Озон")+SUMIFS($V$6:$V$90,$I$6:$I$90,"Вышло",$E$6:$E$90,"озон")),0))</f>
        <v>17</v>
      </c>
      <c r="F115" s="148">
        <f>COUNTIFS($I$6:$I$90,"Вышло",$E$6:$E$90,"Ozon",$V$6:$V$90,"&gt;0")+COUNTIFS($I$6:$I$90,"Вышло",$E$6:$E$90,"Озон",$V$6:$V$90,"&gt;0")+COUNTIFS($I$6:$I$90,"Вышло",$E$6:$E$90,"Ozon",$V$6:$V$90,"&lt;=0",$P$6:$P$90,"&lt;&gt;")+COUNTIFS($I$6:$I$90,"Вышло",$E$6:$E$90,"Озон",$V$6:$V$90,"&lt;=0",$P$6:$P$90,"&lt;&gt;")</f>
        <v>1</v>
      </c>
      <c r="G115" s="148">
        <f>SUMIFS($T$6:$T$90,$I$6:$I$90,"Вышло",$E$6:$E$90,"Ozon")+SUMIFS($T$6:$T$90,$I$6:$I$90,"Вышло",$E$6:$E$90,"OZON")+SUMIFS($T$6:$T$90,$I$6:$I$90,"Вышло",$E$6:$E$90,"Озон")+SUMIFS($T$6:$T$90,$I$6:$I$90,"Вышло",$E$6:$E$90,"озон")</f>
        <v>23288</v>
      </c>
      <c r="H115" s="146" t="s">
        <v>891</v>
      </c>
      <c r="I115" s="145"/>
      <c r="J115" s="145"/>
      <c r="K115" s="145"/>
      <c r="L115" s="145"/>
      <c r="M115" s="145"/>
      <c r="N115" s="145"/>
      <c r="O115" s="14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ht="27.75" customHeight="1">
      <c r="A116" s="146" t="s">
        <v>892</v>
      </c>
      <c r="B116" s="147">
        <f>SUMIFS($M$6:$M$90,$I$6:$I$90,"Вышло",$E$6:$E$90,"WB")+SUMIFS($M$6:$M$90,$I$6:$I$90,"Вышло",$E$6:$E$90,"ВБ")-(SUMIFS($M$6:$M$90,$I$6:$I$90,"Вышло",$E$6:$E$90,"WB",$W$6:$W$90,"&lt;=0",$V$6:$V$90,"&gt;0")+SUMIFS($M$6:$M$90,$I$6:$I$90,"Вышло",$E$6:$E$90,"ВБ",$W$6:$W$90,"&lt;=0",$V$6:$V$90,"&gt;0"))</f>
        <v>27426</v>
      </c>
      <c r="C116" s="146" t="s">
        <v>851</v>
      </c>
      <c r="D116" s="148">
        <f>SUMIFS($W$6:$W$90,$I$6:$I$90,"Вышло",$E$6:$E$90,"WB")+SUMIFS($W$6:$W$90,$I$6:$I$90,"Вышло",$E$6:$E$90,"ВБ")</f>
        <v>0</v>
      </c>
      <c r="E116" s="147" t="str">
        <f>IF((SUMIFS($W$6:$W$90,$I$6:$I$90,"Вышло",$E$6:$E$90,"WB")+SUMIFS($W$6:$W$90,$I$6:$I$90,"Вышло",$E$6:$E$90,"ВБ"))=0,"—",ROUND((SUMIFS($M$6:$M$90,$I$6:$I$90,"Вышло",$E$6:$E$90,"WB")+SUMIFS($M$6:$M$90,$I$6:$I$90,"Вышло",$E$6:$E$90,"ВБ")-(SUMIFS($M$6:$M$90,$I$6:$I$90,"Вышло",$E$6:$E$90,"WB",$W$6:$W$90,"&lt;=0",$V$6:$V$90,"&gt;0")+SUMIFS($M$6:$M$90,$I$6:$I$90,"Вышло",$E$6:$E$90,"ВБ",$W$6:$W$90,"&lt;=0",$V$6:$V$90,"&gt;0")))/(SUMIFS($W$6:$W$90,$I$6:$I$90,"Вышло",$E$6:$E$90,"WB")+SUMIFS($W$6:$W$90,$I$6:$I$90,"Вышло",$E$6:$E$90,"ВБ")),0))</f>
        <v>—</v>
      </c>
      <c r="F116" s="148">
        <f>COUNTIFS($I$6:$I$90,"Вышло",$E$6:$E$90,"WB")+COUNTIFS($I$6:$I$90,"Вышло",$E$6:$E$90,"ВБ")-(COUNTIFS($I$6:$I$90,"Вышло",$E$6:$E$90,"WB",$W$6:$W$90,"&lt;=0",$V$6:$V$90,"&gt;0")+COUNTIFS($I$6:$I$90,"Вышло",$E$6:$E$90,"ВБ",$W$6:$W$90,"&lt;=0",$V$6:$V$90,"&gt;0"))</f>
        <v>5</v>
      </c>
      <c r="G116" s="148">
        <f>SUMIFS($T$6:$T$90,$I$6:$I$90,"Вышло",$E$6:$E$90,"WB")+SUMIFS($T$6:$T$90,$I$6:$I$90,"Вышло",$E$6:$E$90,"ВБ")-(SUMIFS($T$6:$T$90,$I$6:$I$90,"Вышло",$E$6:$E$90,"WB",$W$6:$W$90,"&lt;=0",$V$6:$V$90,"&gt;0")+SUMIFS($T$6:$T$90,$I$6:$I$90,"Вышло",$E$6:$E$90,"ВБ",$W$6:$W$90,"&lt;=0",$V$6:$V$90,"&gt;0"))</f>
        <v>74209</v>
      </c>
      <c r="H116" s="146" t="s">
        <v>893</v>
      </c>
      <c r="I116" s="145"/>
      <c r="J116" s="145"/>
      <c r="K116" s="145"/>
      <c r="L116" s="145"/>
      <c r="M116" s="145"/>
      <c r="N116" s="145"/>
      <c r="O116" s="145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ht="27.75" customHeight="1">
      <c r="A117" s="146" t="s">
        <v>894</v>
      </c>
      <c r="B117" s="147">
        <f>SUMIFS($M$6:$M$90,$I$6:$I$90,"Вышло",$E$6:$E$90,"Сайт")+SUMIFS($M$6:$M$90,$I$6:$I$90,"Вышло",$E$6:$E$90,"сайт")-(SUMIFS($M$6:$M$90,$I$6:$I$90,"Вышло",$E$6:$E$90,"Сайт",$V$6:$V$90,"&gt;0")+SUMIFS($M$6:$M$90,$I$6:$I$90,"Вышло",$E$6:$E$90,"сайт",$V$6:$V$90,"&gt;0")+SUMIFS($M$6:$M$90,$I$6:$I$90,"Вышло",$E$6:$E$90,"Сайт",$V$6:$V$90,"&lt;=0",$P$6:$P$90,"&lt;&gt;")+SUMIFS($M$6:$M$90,$I$6:$I$90,"Вышло",$E$6:$E$90,"сайт",$V$6:$V$90,"&lt;=0",$P$6:$P$90,"&lt;&gt;"))-(SUMIFS($M$6:$M$90,$I$6:$I$90,"Вышло",$E$6:$E$90,"Сайт",$V$6:$V$90,"&lt;=0",$W$6:$W$90,"&gt;0")+SUMIFS($M$6:$M$90,$I$6:$I$90,"Вышло",$E$6:$E$90,"сайт",$V$6:$V$90,"&lt;=0",$W$6:$W$90,"&gt;0")-(SUMIFS($M$6:$M$90,$I$6:$I$90,"Вышло",$E$6:$E$90,"Сайт",$V$6:$V$90,"&lt;=0",$W$6:$W$90,"&gt;0",$P$6:$P$90,"&lt;&gt;")+SUMIFS($M$6:$M$90,$I$6:$I$90,"Вышло",$E$6:$E$90,"сайт",$V$6:$V$90,"&lt;=0",$W$6:$W$90,"&gt;0",$P$6:$P$90,"&lt;&gt;")))+SUMIFS($M$6:$M$90,$I$6:$I$90,"Вышло",$E$6:$E$90,"Ozon")+SUMIFS($M$6:$M$90,$I$6:$I$90,"Вышло",$E$6:$E$90,"OZON")+SUMIFS($M$6:$M$90,$I$6:$I$90,"Вышло",$E$6:$E$90,"Озон")+SUMIFS($M$6:$M$90,$I$6:$I$90,"Вышло",$E$6:$E$90,"озон")-(SUMIFS($M$6:$M$90,$I$6:$I$90,"Вышло",$E$6:$E$90,"Ozon",$V$6:$V$90,"&gt;0")+SUMIFS($M$6:$M$90,$I$6:$I$90,"Вышло",$E$6:$E$90,"OZON",$V$6:$V$90,"&gt;0")+SUMIFS($M$6:$M$90,$I$6:$I$90,"Вышло",$E$6:$E$90,"Озон",$V$6:$V$90,"&gt;0")+SUMIFS($M$6:$M$90,$I$6:$I$90,"Вышло",$E$6:$E$90,"озон",$V$6:$V$90,"&gt;0")+SUMIFS($M$6:$M$90,$I$6:$I$90,"Вышло",$E$6:$E$90,"Ozon",$V$6:$V$90,"&lt;=0",$P$6:$P$90,"&lt;&gt;")+SUMIFS($M$6:$M$90,$I$6:$I$90,"Вышло",$E$6:$E$90,"OZON",$V$6:$V$90,"&lt;=0",$P$6:$P$90,"&lt;&gt;")+SUMIFS($M$6:$M$90,$I$6:$I$90,"Вышло",$E$6:$E$90,"Озон",$V$6:$V$90,"&lt;=0",$P$6:$P$90,"&lt;&gt;")+SUMIFS($M$6:$M$90,$I$6:$I$90,"Вышло",$E$6:$E$90,"озон",$V$6:$V$90,"&lt;=0",$P$6:$P$90,"&lt;&gt;"))-(SUMIFS($M$6:$M$90,$I$6:$I$90,"Вышло",$E$6:$E$90,"Ozon",$V$6:$V$90,"&lt;=0",$W$6:$W$90,"&gt;0")+SUMIFS($M$6:$M$90,$I$6:$I$90,"Вышло",$E$6:$E$90,"OZON",$V$6:$V$90,"&lt;=0",$W$6:$W$90,"&gt;0")+SUMIFS($M$6:$M$90,$I$6:$I$90,"Вышло",$E$6:$E$90,"Озон",$V$6:$V$90,"&lt;=0",$W$6:$W$90,"&gt;0")+SUMIFS($M$6:$M$90,$I$6:$I$90,"Вышло",$E$6:$E$90,"озон",$V$6:$V$90,"&lt;=0",$W$6:$W$90,"&gt;0")-(SUMIFS($M$6:$M$90,$I$6:$I$90,"Вышло",$E$6:$E$90,"Ozon",$V$6:$V$90,"&lt;=0",$W$6:$W$90,"&gt;0",$P$6:$P$90,"&lt;&gt;")+SUMIFS($M$6:$M$90,$I$6:$I$90,"Вышло",$E$6:$E$90,"OZON",$V$6:$V$90,"&lt;=0",$W$6:$W$90,"&gt;0",$P$6:$P$90,"&lt;&gt;")+SUMIFS($M$6:$M$90,$I$6:$I$90,"Вышло",$E$6:$E$90,"Озон",$V$6:$V$90,"&lt;=0",$W$6:$W$90,"&gt;0",$P$6:$P$90,"&lt;&gt;")+SUMIFS($M$6:$M$90,$I$6:$I$90,"Вышло",$E$6:$E$90,"озон",$V$6:$V$90,"&lt;=0",$W$6:$W$90,"&gt;0",$P$6:$P$90,"&lt;&gt;")))</f>
        <v>0</v>
      </c>
      <c r="C117" s="146" t="s">
        <v>656</v>
      </c>
      <c r="D117" s="148">
        <f>SUMIFS($Z$6:$Z$90,$I$6:$I$90,"Вышло",$E$6:$E$90,"Сайт")+SUMIFS($Z$6:$Z$90,$I$6:$I$90,"Вышло",$E$6:$E$90,"сайт")-(SUMIFS($Z$6:$Z$90,$I$6:$I$90,"Вышло",$E$6:$E$90,"Сайт")+SUMIFS($Z$6:$Z$90,$I$6:$I$90,"Вышло",$E$6:$E$90,"сайт"))-(SUMIFS($Z$6:$Z$90,$I$6:$I$90,"Вышло",$E$6:$E$90,"Сайт",$V$6:$V$90,"&lt;=0",$W$6:$W$90,"&gt;0")+SUMIFS($Z$6:$Z$90,$I$6:$I$90,"Вышло",$E$6:$E$90,"сайт",$V$6:$V$90,"&lt;=0",$W$6:$W$90,"&gt;0")-(SUMIFS($Z$6:$Z$90,$I$6:$I$90,"Вышло",$E$6:$E$90,"Сайт",$V$6:$V$90,"&lt;=0",$W$6:$W$90,"&gt;0",$P$6:$P$90,"&lt;&gt;")+SUMIFS($Z$6:$Z$90,$I$6:$I$90,"Вышло",$E$6:$E$90,"сайт",$V$6:$V$90,"&lt;=0",$W$6:$W$90,"&gt;0",$P$6:$P$90,"&lt;&gt;")))+SUMIFS($Z$6:$Z$90,$I$6:$I$90,"Вышло",$E$6:$E$90,"Ozon")+SUMIFS($Z$6:$Z$90,$I$6:$I$90,"Вышло",$E$6:$E$90,"OZON")+SUMIFS($Z$6:$Z$90,$I$6:$I$90,"Вышло",$E$6:$E$90,"Озон")+SUMIFS($Z$6:$Z$90,$I$6:$I$90,"Вышло",$E$6:$E$90,"озон")-(SUMIFS($Z$6:$Z$90,$I$6:$I$90,"Вышло",$E$6:$E$90,"Ozon")+SUMIFS($Z$6:$Z$90,$I$6:$I$90,"Вышло",$E$6:$E$90,"OZON")+SUMIFS($Z$6:$Z$90,$I$6:$I$90,"Вышло",$E$6:$E$90,"Озон")+SUMIFS($Z$6:$Z$90,$I$6:$I$90,"Вышло",$E$6:$E$90,"озон"))-(SUMIFS($Z$6:$Z$90,$I$6:$I$90,"Вышло",$E$6:$E$90,"Ozon",$V$6:$V$90,"&lt;=0",$W$6:$W$90,"&gt;0")+SUMIFS($Z$6:$Z$90,$I$6:$I$90,"Вышло",$E$6:$E$90,"OZON",$V$6:$V$90,"&lt;=0",$W$6:$W$90,"&gt;0")+SUMIFS($Z$6:$Z$90,$I$6:$I$90,"Вышло",$E$6:$E$90,"Озон",$V$6:$V$90,"&lt;=0",$W$6:$W$90,"&gt;0")+SUMIFS($Z$6:$Z$90,$I$6:$I$90,"Вышло",$E$6:$E$90,"озон",$V$6:$V$90,"&lt;=0",$W$6:$W$90,"&gt;0")-(SUMIFS($Z$6:$Z$90,$I$6:$I$90,"Вышло",$E$6:$E$90,"Ozon",$V$6:$V$90,"&lt;=0",$W$6:$W$90,"&gt;0",$P$6:$P$90,"&lt;&gt;")+SUMIFS($Z$6:$Z$90,$I$6:$I$90,"Вышло",$E$6:$E$90,"OZON",$V$6:$V$90,"&lt;=0",$W$6:$W$90,"&gt;0",$P$6:$P$90,"&lt;&gt;")+SUMIFS($Z$6:$Z$90,$I$6:$I$90,"Вышло",$E$6:$E$90,"Озон",$V$6:$V$90,"&lt;=0",$W$6:$W$90,"&gt;0",$P$6:$P$90,"&lt;&gt;")+SUMIFS($Z$6:$Z$90,$I$6:$I$90,"Вышло",$E$6:$E$90,"озон",$V$6:$V$90,"&lt;=0",$W$6:$W$90,"&gt;0",$P$6:$P$90,"&lt;&gt;")))</f>
        <v>0</v>
      </c>
      <c r="E117" s="147" t="str">
        <f>IF((SUMIFS($Z$6:$Z$90,$I$6:$I$90,"Вышло",$E$6:$E$90,"Сайт")+SUMIFS($Z$6:$Z$90,$I$6:$I$90,"Вышло",$E$6:$E$90,"сайт")-(SUMIFS($Z$6:$Z$90,$I$6:$I$90,"Вышло",$E$6:$E$90,"Сайт")+SUMIFS($Z$6:$Z$90,$I$6:$I$90,"Вышло",$E$6:$E$90,"сайт"))-(SUMIFS($Z$6:$Z$90,$I$6:$I$90,"Вышло",$E$6:$E$90,"Сайт",$V$6:$V$90,"&lt;=0",$W$6:$W$90,"&gt;0")+SUMIFS($Z$6:$Z$90,$I$6:$I$90,"Вышло",$E$6:$E$90,"сайт",$V$6:$V$90,"&lt;=0",$W$6:$W$90,"&gt;0")-(SUMIFS($Z$6:$Z$90,$I$6:$I$90,"Вышло",$E$6:$E$90,"Сайт",$V$6:$V$90,"&lt;=0",$W$6:$W$90,"&gt;0",$P$6:$P$90,"&lt;&gt;")+SUMIFS($Z$6:$Z$90,$I$6:$I$90,"Вышло",$E$6:$E$90,"сайт",$V$6:$V$90,"&lt;=0",$W$6:$W$90,"&gt;0",$P$6:$P$90,"&lt;&gt;")))+SUMIFS($Z$6:$Z$90,$I$6:$I$90,"Вышло",$E$6:$E$90,"Ozon")+SUMIFS($Z$6:$Z$90,$I$6:$I$90,"Вышло",$E$6:$E$90,"OZON")+SUMIFS($Z$6:$Z$90,$I$6:$I$90,"Вышло",$E$6:$E$90,"Озон")+SUMIFS($Z$6:$Z$90,$I$6:$I$90,"Вышло",$E$6:$E$90,"озон")-(SUMIFS($Z$6:$Z$90,$I$6:$I$90,"Вышло",$E$6:$E$90,"Ozon")+SUMIFS($Z$6:$Z$90,$I$6:$I$90,"Вышло",$E$6:$E$90,"OZON")+SUMIFS($Z$6:$Z$90,$I$6:$I$90,"Вышло",$E$6:$E$90,"Озон")+SUMIFS($Z$6:$Z$90,$I$6:$I$90,"Вышло",$E$6:$E$90,"озон"))-(SUMIFS($Z$6:$Z$90,$I$6:$I$90,"Вышло",$E$6:$E$90,"Ozon",$V$6:$V$90,"&lt;=0",$W$6:$W$90,"&gt;0")+SUMIFS($Z$6:$Z$90,$I$6:$I$90,"Вышло",$E$6:$E$90,"OZON",$V$6:$V$90,"&lt;=0",$W$6:$W$90,"&gt;0")+SUMIFS($Z$6:$Z$90,$I$6:$I$90,"Вышло",$E$6:$E$90,"Озон",$V$6:$V$90,"&lt;=0",$W$6:$W$90,"&gt;0")+SUMIFS($Z$6:$Z$90,$I$6:$I$90,"Вышло",$E$6:$E$90,"озон",$V$6:$V$90,"&lt;=0",$W$6:$W$90,"&gt;0")-(SUMIFS($Z$6:$Z$90,$I$6:$I$90,"Вышло",$E$6:$E$90,"Ozon",$V$6:$V$90,"&lt;=0",$W$6:$W$90,"&gt;0",$P$6:$P$90,"&lt;&gt;")+SUMIFS($Z$6:$Z$90,$I$6:$I$90,"Вышло",$E$6:$E$90,"OZON",$V$6:$V$90,"&lt;=0",$W$6:$W$90,"&gt;0",$P$6:$P$90,"&lt;&gt;")+SUMIFS($Z$6:$Z$90,$I$6:$I$90,"Вышло",$E$6:$E$90,"Озон",$V$6:$V$90,"&lt;=0",$W$6:$W$90,"&gt;0",$P$6:$P$90,"&lt;&gt;")+SUMIFS($Z$6:$Z$90,$I$6:$I$90,"Вышло",$E$6:$E$90,"озон",$V$6:$V$90,"&lt;=0",$W$6:$W$90,"&gt;0",$P$6:$P$90,"&lt;&gt;"))))=0,"—",ROUND((SUMIFS($M$6:$M$90,$I$6:$I$90,"Вышло",$E$6:$E$90,"Сайт")+SUMIFS($M$6:$M$90,$I$6:$I$90,"Вышло",$E$6:$E$90,"сайт")-(SUMIFS($M$6:$M$90,$I$6:$I$90,"Вышло",$E$6:$E$90,"Сайт",$V$6:$V$90,"&gt;0")+SUMIFS($M$6:$M$90,$I$6:$I$90,"Вышло",$E$6:$E$90,"сайт",$V$6:$V$90,"&gt;0")+SUMIFS($M$6:$M$90,$I$6:$I$90,"Вышло",$E$6:$E$90,"Сайт",$V$6:$V$90,"&lt;=0",$P$6:$P$90,"&lt;&gt;")+SUMIFS($M$6:$M$90,$I$6:$I$90,"Вышло",$E$6:$E$90,"сайт",$V$6:$V$90,"&lt;=0",$P$6:$P$90,"&lt;&gt;"))-(SUMIFS($M$6:$M$90,$I$6:$I$90,"Вышло",$E$6:$E$90,"Сайт",$V$6:$V$90,"&lt;=0",$W$6:$W$90,"&gt;0")+SUMIFS($M$6:$M$90,$I$6:$I$90,"Вышло",$E$6:$E$90,"сайт",$V$6:$V$90,"&lt;=0",$W$6:$W$90,"&gt;0")-(SUMIFS($M$6:$M$90,$I$6:$I$90,"Вышло",$E$6:$E$90,"Сайт",$V$6:$V$90,"&lt;=0",$W$6:$W$90,"&gt;0",$P$6:$P$90,"&lt;&gt;")+SUMIFS($M$6:$M$90,$I$6:$I$90,"Вышло",$E$6:$E$90,"сайт",$V$6:$V$90,"&lt;=0",$W$6:$W$90,"&gt;0",$P$6:$P$90,"&lt;&gt;")))+SUMIFS($M$6:$M$90,$I$6:$I$90,"Вышло",$E$6:$E$90,"Ozon")+SUMIFS($M$6:$M$90,$I$6:$I$90,"Вышло",$E$6:$E$90,"OZON")+SUMIFS($M$6:$M$90,$I$6:$I$90,"Вышло",$E$6:$E$90,"Озон")+SUMIFS($M$6:$M$90,$I$6:$I$90,"Вышло",$E$6:$E$90,"озон")-(SUMIFS($M$6:$M$90,$I$6:$I$90,"Вышло",$E$6:$E$90,"Ozon",$V$6:$V$90,"&gt;0")+SUMIFS($M$6:$M$90,$I$6:$I$90,"Вышло",$E$6:$E$90,"OZON",$V$6:$V$90,"&gt;0")+SUMIFS($M$6:$M$90,$I$6:$I$90,"Вышло",$E$6:$E$90,"Озон",$V$6:$V$90,"&gt;0")+SUMIFS($M$6:$M$90,$I$6:$I$90,"Вышло",$E$6:$E$90,"озон",$V$6:$V$90,"&gt;0")+SUMIFS($M$6:$M$90,$I$6:$I$90,"Вышло",$E$6:$E$90,"Ozon",$V$6:$V$90,"&lt;=0",$P$6:$P$90,"&lt;&gt;")+SUMIFS($M$6:$M$90,$I$6:$I$90,"Вышло",$E$6:$E$90,"OZON",$V$6:$V$90,"&lt;=0",$P$6:$P$90,"&lt;&gt;")+SUMIFS($M$6:$M$90,$I$6:$I$90,"Вышло",$E$6:$E$90,"Озон",$V$6:$V$90,"&lt;=0",$P$6:$P$90,"&lt;&gt;")+SUMIFS($M$6:$M$90,$I$6:$I$90,"Вышло",$E$6:$E$90,"озон",$V$6:$V$90,"&lt;=0",$P$6:$P$90,"&lt;&gt;"))-(SUMIFS($M$6:$M$90,$I$6:$I$90,"Вышло",$E$6:$E$90,"Ozon",$V$6:$V$90,"&lt;=0",$W$6:$W$90,"&gt;0")+SUMIFS($M$6:$M$90,$I$6:$I$90,"Вышло",$E$6:$E$90,"OZON",$V$6:$V$90,"&lt;=0",$W$6:$W$90,"&gt;0")+SUMIFS($M$6:$M$90,$I$6:$I$90,"Вышло",$E$6:$E$90,"Озон",$V$6:$V$90,"&lt;=0",$W$6:$W$90,"&gt;0")+SUMIFS($M$6:$M$90,$I$6:$I$90,"Вышло",$E$6:$E$90,"озон",$V$6:$V$90,"&lt;=0",$W$6:$W$90,"&gt;0")-(SUMIFS($M$6:$M$90,$I$6:$I$90,"Вышло",$E$6:$E$90,"Ozon",$V$6:$V$90,"&lt;=0",$W$6:$W$90,"&gt;0",$P$6:$P$90,"&lt;&gt;")+SUMIFS($M$6:$M$90,$I$6:$I$90,"Вышло",$E$6:$E$90,"OZON",$V$6:$V$90,"&lt;=0",$W$6:$W$90,"&gt;0",$P$6:$P$90,"&lt;&gt;")+SUMIFS($M$6:$M$90,$I$6:$I$90,"Вышло",$E$6:$E$90,"Озон",$V$6:$V$90,"&lt;=0",$W$6:$W$90,"&gt;0",$P$6:$P$90,"&lt;&gt;")+SUMIFS($M$6:$M$90,$I$6:$I$90,"Вышло",$E$6:$E$90,"озон",$V$6:$V$90,"&lt;=0",$W$6:$W$90,"&gt;0",$P$6:$P$90,"&lt;&gt;"))))/(SUMIFS($Z$6:$Z$90,$I$6:$I$90,"Вышло",$E$6:$E$90,"Сайт")+SUMIFS($Z$6:$Z$90,$I$6:$I$90,"Вышло",$E$6:$E$90,"сайт")-(SUMIFS($Z$6:$Z$90,$I$6:$I$90,"Вышло",$E$6:$E$90,"Сайт")+SUMIFS($Z$6:$Z$90,$I$6:$I$90,"Вышло",$E$6:$E$90,"сайт"))-(SUMIFS($Z$6:$Z$90,$I$6:$I$90,"Вышло",$E$6:$E$90,"Сайт",$V$6:$V$90,"&lt;=0",$W$6:$W$90,"&gt;0")+SUMIFS($Z$6:$Z$90,$I$6:$I$90,"Вышло",$E$6:$E$90,"сайт",$V$6:$V$90,"&lt;=0",$W$6:$W$90,"&gt;0")-(SUMIFS($Z$6:$Z$90,$I$6:$I$90,"Вышло",$E$6:$E$90,"Сайт",$V$6:$V$90,"&lt;=0",$W$6:$W$90,"&gt;0",$P$6:$P$90,"&lt;&gt;")+SUMIFS($Z$6:$Z$90,$I$6:$I$90,"Вышло",$E$6:$E$90,"сайт",$V$6:$V$90,"&lt;=0",$W$6:$W$90,"&gt;0",$P$6:$P$90,"&lt;&gt;")))+SUMIFS($Z$6:$Z$90,$I$6:$I$90,"Вышло",$E$6:$E$90,"Ozon")+SUMIFS($Z$6:$Z$90,$I$6:$I$90,"Вышло",$E$6:$E$90,"OZON")+SUMIFS($Z$6:$Z$90,$I$6:$I$90,"Вышло",$E$6:$E$90,"Озон")+SUMIFS($Z$6:$Z$90,$I$6:$I$90,"Вышло",$E$6:$E$90,"озон")-(SUMIFS($Z$6:$Z$90,$I$6:$I$90,"Вышло",$E$6:$E$90,"Ozon")+SUMIFS($Z$6:$Z$90,$I$6:$I$90,"Вышло",$E$6:$E$90,"OZON")+SUMIFS($Z$6:$Z$90,$I$6:$I$90,"Вышло",$E$6:$E$90,"Озон")+SUMIFS($Z$6:$Z$90,$I$6:$I$90,"Вышло",$E$6:$E$90,"озон"))-(SUMIFS($Z$6:$Z$90,$I$6:$I$90,"Вышло",$E$6:$E$90,"Ozon",$V$6:$V$90,"&lt;=0",$W$6:$W$90,"&gt;0")+SUMIFS($Z$6:$Z$90,$I$6:$I$90,"Вышло",$E$6:$E$90,"OZON",$V$6:$V$90,"&lt;=0",$W$6:$W$90,"&gt;0")+SUMIFS($Z$6:$Z$90,$I$6:$I$90,"Вышло",$E$6:$E$90,"Озон",$V$6:$V$90,"&lt;=0",$W$6:$W$90,"&gt;0")+SUMIFS($Z$6:$Z$90,$I$6:$I$90,"Вышло",$E$6:$E$90,"озон",$V$6:$V$90,"&lt;=0",$W$6:$W$90,"&gt;0")-(SUMIFS($Z$6:$Z$90,$I$6:$I$90,"Вышло",$E$6:$E$90,"Ozon",$V$6:$V$90,"&lt;=0",$W$6:$W$90,"&gt;0",$P$6:$P$90,"&lt;&gt;")+SUMIFS($Z$6:$Z$90,$I$6:$I$90,"Вышло",$E$6:$E$90,"OZON",$V$6:$V$90,"&lt;=0",$W$6:$W$90,"&gt;0",$P$6:$P$90,"&lt;&gt;")+SUMIFS($Z$6:$Z$90,$I$6:$I$90,"Вышло",$E$6:$E$90,"Озон",$V$6:$V$90,"&lt;=0",$W$6:$W$90,"&gt;0",$P$6:$P$90,"&lt;&gt;")+SUMIFS($Z$6:$Z$90,$I$6:$I$90,"Вышло",$E$6:$E$90,"озон",$V$6:$V$90,"&lt;=0",$W$6:$W$90,"&gt;0",$P$6:$P$90,"&lt;&gt;")))),0))</f>
        <v>—</v>
      </c>
      <c r="F117" s="148">
        <f>COUNTIFS($I$6:$I$90,"Вышло",$E$6:$E$90,"Сайт")-(COUNTIFS($I$6:$I$90,"Вышло",$E$6:$E$90,"Сайт",$V$6:$V$90,"&gt;0")+COUNTIFS($I$6:$I$90,"Вышло",$E$6:$E$90,"Сайт",$V$6:$V$90,"&lt;=0",$P$6:$P$90,"&lt;&gt;"))-(COUNTIFS($I$6:$I$90,"Вышло",$E$6:$E$90,"Сайт",$V$6:$V$90,"&lt;=0",$W$6:$W$90,"&gt;0")-(COUNTIFS($I$6:$I$90,"Вышло",$E$6:$E$90,"Сайт",$V$6:$V$90,"&lt;=0",$W$6:$W$90,"&gt;0",$P$6:$P$90,"&lt;&gt;")))+COUNTIFS($I$6:$I$90,"Вышло",$E$6:$E$90,"Ozon")+COUNTIFS($I$6:$I$90,"Вышло",$E$6:$E$90,"Озон")-(COUNTIFS($I$6:$I$90,"Вышло",$E$6:$E$90,"Ozon",$V$6:$V$90,"&gt;0")+COUNTIFS($I$6:$I$90,"Вышло",$E$6:$E$90,"Озон",$V$6:$V$90,"&gt;0")+COUNTIFS($I$6:$I$90,"Вышло",$E$6:$E$90,"Ozon",$V$6:$V$90,"&lt;=0",$P$6:$P$90,"&lt;&gt;")+COUNTIFS($I$6:$I$90,"Вышло",$E$6:$E$90,"Озон",$V$6:$V$90,"&lt;=0",$P$6:$P$90,"&lt;&gt;"))-(COUNTIFS($I$6:$I$90,"Вышло",$E$6:$E$90,"Ozon",$V$6:$V$90,"&lt;=0",$W$6:$W$90,"&gt;0")+COUNTIFS($I$6:$I$90,"Вышло",$E$6:$E$90,"Озон",$V$6:$V$90,"&lt;=0",$W$6:$W$90,"&gt;0")-(COUNTIFS($I$6:$I$90,"Вышло",$E$6:$E$90,"Ozon",$V$6:$V$90,"&lt;=0",$W$6:$W$90,"&gt;0",$P$6:$P$90,"&lt;&gt;")+COUNTIFS($I$6:$I$90,"Вышло",$E$6:$E$90,"Озон",$V$6:$V$90,"&lt;=0",$W$6:$W$90,"&gt;0",$P$6:$P$90,"&lt;&gt;")))</f>
        <v>0</v>
      </c>
      <c r="G117" s="148">
        <f>SUMIFS($T$6:$T$90,$I$6:$I$90,"Вышло",$E$6:$E$90,"Сайт")+SUMIFS($T$6:$T$90,$I$6:$I$90,"Вышло",$E$6:$E$90,"сайт")-(SUMIFS($T$6:$T$90,$I$6:$I$90,"Вышло",$E$6:$E$90,"Сайт")+SUMIFS($T$6:$T$90,$I$6:$I$90,"Вышло",$E$6:$E$90,"сайт"))-(SUMIFS($T$6:$T$90,$I$6:$I$90,"Вышло",$E$6:$E$90,"Сайт",$V$6:$V$90,"&lt;=0",$W$6:$W$90,"&gt;0")+SUMIFS($T$6:$T$90,$I$6:$I$90,"Вышло",$E$6:$E$90,"сайт",$V$6:$V$90,"&lt;=0",$W$6:$W$90,"&gt;0")-(SUMIFS($T$6:$T$90,$I$6:$I$90,"Вышло",$E$6:$E$90,"Сайт",$V$6:$V$90,"&lt;=0",$W$6:$W$90,"&gt;0",$P$6:$P$90,"&lt;&gt;")+SUMIFS($T$6:$T$90,$I$6:$I$90,"Вышло",$E$6:$E$90,"сайт",$V$6:$V$90,"&lt;=0",$W$6:$W$90,"&gt;0",$P$6:$P$90,"&lt;&gt;")))+SUMIFS($T$6:$T$90,$I$6:$I$90,"Вышло",$E$6:$E$90,"Ozon")+SUMIFS($T$6:$T$90,$I$6:$I$90,"Вышло",$E$6:$E$90,"OZON")+SUMIFS($T$6:$T$90,$I$6:$I$90,"Вышло",$E$6:$E$90,"Озон")+SUMIFS($T$6:$T$90,$I$6:$I$90,"Вышло",$E$6:$E$90,"озон")-(SUMIFS($T$6:$T$90,$I$6:$I$90,"Вышло",$E$6:$E$90,"Ozon")+SUMIFS($T$6:$T$90,$I$6:$I$90,"Вышло",$E$6:$E$90,"OZON")+SUMIFS($T$6:$T$90,$I$6:$I$90,"Вышло",$E$6:$E$90,"Озон")+SUMIFS($T$6:$T$90,$I$6:$I$90,"Вышло",$E$6:$E$90,"озон"))-(SUMIFS($T$6:$T$90,$I$6:$I$90,"Вышло",$E$6:$E$90,"Ozon",$V$6:$V$90,"&lt;=0",$W$6:$W$90,"&gt;0")+SUMIFS($T$6:$T$90,$I$6:$I$90,"Вышло",$E$6:$E$90,"OZON",$V$6:$V$90,"&lt;=0",$W$6:$W$90,"&gt;0")+SUMIFS($T$6:$T$90,$I$6:$I$90,"Вышло",$E$6:$E$90,"Озон",$V$6:$V$90,"&lt;=0",$W$6:$W$90,"&gt;0")+SUMIFS($T$6:$T$90,$I$6:$I$90,"Вышло",$E$6:$E$90,"озон",$V$6:$V$90,"&lt;=0",$W$6:$W$90,"&gt;0")-(SUMIFS($T$6:$T$90,$I$6:$I$90,"Вышло",$E$6:$E$90,"Ozon",$V$6:$V$90,"&lt;=0",$W$6:$W$90,"&gt;0",$P$6:$P$90,"&lt;&gt;")+SUMIFS($T$6:$T$90,$I$6:$I$90,"Вышло",$E$6:$E$90,"OZON",$V$6:$V$90,"&lt;=0",$W$6:$W$90,"&gt;0",$P$6:$P$90,"&lt;&gt;")+SUMIFS($T$6:$T$90,$I$6:$I$90,"Вышло",$E$6:$E$90,"Озон",$V$6:$V$90,"&lt;=0",$W$6:$W$90,"&gt;0",$P$6:$P$90,"&lt;&gt;")+SUMIFS($T$6:$T$90,$I$6:$I$90,"Вышло",$E$6:$E$90,"озон",$V$6:$V$90,"&lt;=0",$W$6:$W$90,"&gt;0",$P$6:$P$90,"&lt;&gt;")))</f>
        <v>0</v>
      </c>
      <c r="H117" s="146" t="s">
        <v>895</v>
      </c>
      <c r="I117" s="145"/>
      <c r="J117" s="145"/>
      <c r="K117" s="145"/>
      <c r="L117" s="145"/>
      <c r="M117" s="145"/>
      <c r="N117" s="145"/>
      <c r="O117" s="145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ht="27.75" customHeight="1">
      <c r="A118" s="146" t="s">
        <v>896</v>
      </c>
      <c r="B118" s="147">
        <f>SUMIFS($M$6:$M$90,$I$6:$I$90,"Вышло")-(SUMIFS($M$6:$M$90,$I$6:$I$90,"Вышло",$E$6:$E$90,"БОТ")+SUMIFS($M$6:$M$90,$I$6:$I$90,"Вышло",$E$6:$E$90,"Бот")+SUMIFS($M$6:$M$90,$I$6:$I$90,"Вышло",$E$6:$E$90,"бот")+SUMIFS($M$6:$M$90,$I$6:$I$90,"Вышло",$E$6:$E$90,"WB")+SUMIFS($M$6:$M$90,$I$6:$I$90,"Вышло",$E$6:$E$90,"ВБ")+SUMIFS($M$6:$M$90,$I$6:$I$90,"Вышло",$E$6:$E$90,"Сайт")+SUMIFS($M$6:$M$90,$I$6:$I$90,"Вышло",$E$6:$E$90,"сайт")+SUMIFS($M$6:$M$90,$I$6:$I$90,"Вышло",$E$6:$E$90,"Ozon")+SUMIFS($M$6:$M$90,$I$6:$I$90,"Вышло",$E$6:$E$90,"OZON")+SUMIFS($M$6:$M$90,$I$6:$I$90,"Вышло",$E$6:$E$90,"Озон")+SUMIFS($M$6:$M$90,$I$6:$I$90,"Вышло",$E$6:$E$90,"озон"))+SUMIFS($M$6:$M$90,$I$6:$I$90,"Вышло",$E$6:$E$90,"WB",$W$6:$W$90,"&lt;=0",$V$6:$V$90,"&gt;0")+SUMIFS($M$6:$M$90,$I$6:$I$90,"Вышло",$E$6:$E$90,"ВБ",$W$6:$W$90,"&lt;=0",$V$6:$V$90,"&gt;0")+SUMIFS($M$6:$M$90,$I$6:$I$90,"Вышло",$E$6:$E$90,"Сайт",$V$6:$V$90,"&lt;=0",$W$6:$W$90,"&gt;0")+SUMIFS($M$6:$M$90,$I$6:$I$90,"Вышло",$E$6:$E$90,"сайт",$V$6:$V$90,"&lt;=0",$W$6:$W$90,"&gt;0")-(SUMIFS($M$6:$M$90,$I$6:$I$90,"Вышло",$E$6:$E$90,"Сайт",$V$6:$V$90,"&lt;=0",$W$6:$W$90,"&gt;0",$P$6:$P$90,"&lt;&gt;")+SUMIFS($M$6:$M$90,$I$6:$I$90,"Вышло",$E$6:$E$90,"сайт",$V$6:$V$90,"&lt;=0",$W$6:$W$90,"&gt;0",$P$6:$P$90,"&lt;&gt;"))+SUMIFS($M$6:$M$90,$I$6:$I$90,"Вышло",$E$6:$E$90,"Ozon",$V$6:$V$90,"&lt;=0",$W$6:$W$90,"&gt;0")+SUMIFS($M$6:$M$90,$I$6:$I$90,"Вышло",$E$6:$E$90,"OZON",$V$6:$V$90,"&lt;=0",$W$6:$W$90,"&gt;0")+SUMIFS($M$6:$M$90,$I$6:$I$90,"Вышло",$E$6:$E$90,"Озон",$V$6:$V$90,"&lt;=0",$W$6:$W$90,"&gt;0")+SUMIFS($M$6:$M$90,$I$6:$I$90,"Вышло",$E$6:$E$90,"озон",$V$6:$V$90,"&lt;=0",$W$6:$W$90,"&gt;0")-(SUMIFS($M$6:$M$90,$I$6:$I$90,"Вышло",$E$6:$E$90,"Ozon",$V$6:$V$90,"&lt;=0",$W$6:$W$90,"&gt;0",$P$6:$P$90,"&lt;&gt;")+SUMIFS($M$6:$M$90,$I$6:$I$90,"Вышло",$E$6:$E$90,"OZON",$V$6:$V$90,"&lt;=0",$W$6:$W$90,"&gt;0",$P$6:$P$90,"&lt;&gt;")+SUMIFS($M$6:$M$90,$I$6:$I$90,"Вышло",$E$6:$E$90,"Озон",$V$6:$V$90,"&lt;=0",$W$6:$W$90,"&gt;0",$P$6:$P$90,"&lt;&gt;")+SUMIFS($M$6:$M$90,$I$6:$I$90,"Вышло",$E$6:$E$90,"озон",$V$6:$V$90,"&lt;=0",$W$6:$W$90,"&gt;0",$P$6:$P$90,"&lt;&gt;"))</f>
        <v>-5975</v>
      </c>
      <c r="C118" s="146" t="s">
        <v>879</v>
      </c>
      <c r="D118" s="148" t="str">
        <f t="shared" ref="D118:E118" si="64">"—"</f>
        <v>—</v>
      </c>
      <c r="E118" s="147" t="str">
        <f t="shared" si="64"/>
        <v>—</v>
      </c>
      <c r="F118" s="148">
        <f>COUNTIFS($I$6:$I$90,"Вышло")-(COUNTIFS($I$6:$I$90,"Вышло",$E$6:$E$90,"БОТ")+COUNTIFS($I$6:$I$90,"Вышло",$E$6:$E$90,"WB")+COUNTIFS($I$6:$I$90,"Вышло",$E$6:$E$90,"ВБ")+COUNTIFS($I$6:$I$90,"Вышло",$E$6:$E$90,"Сайт")+COUNTIFS($I$6:$I$90,"Вышло",$E$6:$E$90,"Ozon")+COUNTIFS($I$6:$I$90,"Вышло",$E$6:$E$90,"Озон"))+COUNTIFS($I$6:$I$90,"Вышло",$E$6:$E$90,"WB",$W$6:$W$90,"&lt;=0",$V$6:$V$90,"&gt;0")+COUNTIFS($I$6:$I$90,"Вышло",$E$6:$E$90,"ВБ",$W$6:$W$90,"&lt;=0",$V$6:$V$90,"&gt;0")+COUNTIFS($I$6:$I$90,"Вышло",$E$6:$E$90,"Сайт",$V$6:$V$90,"&lt;=0",$W$6:$W$90,"&gt;0")-(COUNTIFS($I$6:$I$90,"Вышло",$E$6:$E$90,"Сайт",$V$6:$V$90,"&lt;=0",$W$6:$W$90,"&gt;0",$P$6:$P$90,"&lt;&gt;"))+COUNTIFS($I$6:$I$90,"Вышло",$E$6:$E$90,"Ozon",$V$6:$V$90,"&lt;=0",$W$6:$W$90,"&gt;0")+COUNTIFS($I$6:$I$90,"Вышло",$E$6:$E$90,"Озон",$V$6:$V$90,"&lt;=0",$W$6:$W$90,"&gt;0")-(COUNTIFS($I$6:$I$90,"Вышло",$E$6:$E$90,"Ozon",$V$6:$V$90,"&lt;=0",$W$6:$W$90,"&gt;0",$P$6:$P$90,"&lt;&gt;")+COUNTIFS($I$6:$I$90,"Вышло",$E$6:$E$90,"Озон",$V$6:$V$90,"&lt;=0",$W$6:$W$90,"&gt;0",$P$6:$P$90,"&lt;&gt;"))</f>
        <v>0</v>
      </c>
      <c r="G118" s="148">
        <f>SUMIFS($T$6:$T$90,$I$6:$I$90,"Вышло")-(SUMIFS($T$6:$T$90,$I$6:$I$90,"Вышло",$E$6:$E$90,"БОТ")+SUMIFS($T$6:$T$90,$I$6:$I$90,"Вышло",$E$6:$E$90,"Бот")+SUMIFS($T$6:$T$90,$I$6:$I$90,"Вышло",$E$6:$E$90,"бот")+SUMIFS($T$6:$T$90,$I$6:$I$90,"Вышло",$E$6:$E$90,"WB")+SUMIFS($T$6:$T$90,$I$6:$I$90,"Вышло",$E$6:$E$90,"ВБ")+SUMIFS($T$6:$T$90,$I$6:$I$90,"Вышло",$E$6:$E$90,"Сайт")+SUMIFS($T$6:$T$90,$I$6:$I$90,"Вышло",$E$6:$E$90,"сайт")+SUMIFS($T$6:$T$90,$I$6:$I$90,"Вышло",$E$6:$E$90,"Ozon")+SUMIFS($T$6:$T$90,$I$6:$I$90,"Вышло",$E$6:$E$90,"OZON")+SUMIFS($T$6:$T$90,$I$6:$I$90,"Вышло",$E$6:$E$90,"Озон")+SUMIFS($T$6:$T$90,$I$6:$I$90,"Вышло",$E$6:$E$90,"озон"))+SUMIFS($T$6:$T$90,$I$6:$I$90,"Вышло",$E$6:$E$90,"WB",$W$6:$W$90,"&lt;=0",$V$6:$V$90,"&gt;0")+SUMIFS($T$6:$T$90,$I$6:$I$90,"Вышло",$E$6:$E$90,"ВБ",$W$6:$W$90,"&lt;=0",$V$6:$V$90,"&gt;0")+SUMIFS($T$6:$T$90,$I$6:$I$90,"Вышло",$E$6:$E$90,"Сайт",$V$6:$V$90,"&lt;=0",$W$6:$W$90,"&gt;0")+SUMIFS($T$6:$T$90,$I$6:$I$90,"Вышло",$E$6:$E$90,"сайт",$V$6:$V$90,"&lt;=0",$W$6:$W$90,"&gt;0")-(SUMIFS($T$6:$T$90,$I$6:$I$90,"Вышло",$E$6:$E$90,"Сайт",$V$6:$V$90,"&lt;=0",$W$6:$W$90,"&gt;0",$P$6:$P$90,"&lt;&gt;")+SUMIFS($T$6:$T$90,$I$6:$I$90,"Вышло",$E$6:$E$90,"сайт",$V$6:$V$90,"&lt;=0",$W$6:$W$90,"&gt;0",$P$6:$P$90,"&lt;&gt;"))+SUMIFS($T$6:$T$90,$I$6:$I$90,"Вышло",$E$6:$E$90,"Ozon",$V$6:$V$90,"&lt;=0",$W$6:$W$90,"&gt;0")+SUMIFS($T$6:$T$90,$I$6:$I$90,"Вышло",$E$6:$E$90,"OZON",$V$6:$V$90,"&lt;=0",$W$6:$W$90,"&gt;0")+SUMIFS($T$6:$T$90,$I$6:$I$90,"Вышло",$E$6:$E$90,"Озон",$V$6:$V$90,"&lt;=0",$W$6:$W$90,"&gt;0")+SUMIFS($T$6:$T$90,$I$6:$I$90,"Вышло",$E$6:$E$90,"озон",$V$6:$V$90,"&lt;=0",$W$6:$W$90,"&gt;0")-(SUMIFS($T$6:$T$90,$I$6:$I$90,"Вышло",$E$6:$E$90,"Ozon",$V$6:$V$90,"&lt;=0",$W$6:$W$90,"&gt;0",$P$6:$P$90,"&lt;&gt;")+SUMIFS($T$6:$T$90,$I$6:$I$90,"Вышло",$E$6:$E$90,"OZON",$V$6:$V$90,"&lt;=0",$W$6:$W$90,"&gt;0",$P$6:$P$90,"&lt;&gt;")+SUMIFS($T$6:$T$90,$I$6:$I$90,"Вышло",$E$6:$E$90,"Озон",$V$6:$V$90,"&lt;=0",$W$6:$W$90,"&gt;0",$P$6:$P$90,"&lt;&gt;")+SUMIFS($T$6:$T$90,$I$6:$I$90,"Вышло",$E$6:$E$90,"озон",$V$6:$V$90,"&lt;=0",$W$6:$W$90,"&gt;0",$P$6:$P$90,"&lt;&gt;"))</f>
        <v>-57704</v>
      </c>
      <c r="H118" s="146" t="s">
        <v>897</v>
      </c>
      <c r="I118" s="145"/>
      <c r="J118" s="145"/>
      <c r="K118" s="145"/>
      <c r="L118" s="145"/>
      <c r="M118" s="145"/>
      <c r="N118" s="145"/>
      <c r="O118" s="145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ht="15.75" customHeight="1">
      <c r="A119" s="142" t="s">
        <v>877</v>
      </c>
      <c r="B119" s="143">
        <f>SUM(B113:B118)</f>
        <v>33401</v>
      </c>
      <c r="C119" s="142" t="s">
        <v>879</v>
      </c>
      <c r="D119" s="144" t="s">
        <v>879</v>
      </c>
      <c r="E119" s="143" t="s">
        <v>879</v>
      </c>
      <c r="F119" s="144">
        <f t="shared" ref="F119:G119" si="65">SUM(F113:F118)</f>
        <v>10</v>
      </c>
      <c r="G119" s="144">
        <f t="shared" si="65"/>
        <v>131913</v>
      </c>
      <c r="H119" s="142"/>
      <c r="I119" s="145"/>
      <c r="J119" s="145"/>
      <c r="K119" s="145"/>
      <c r="L119" s="145"/>
      <c r="M119" s="145"/>
      <c r="N119" s="145"/>
      <c r="O119" s="145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ht="15.75" customHeight="1">
      <c r="A120" s="145"/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ht="15.75" customHeight="1">
      <c r="A121" s="137" t="s">
        <v>898</v>
      </c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ht="15.75" customHeight="1">
      <c r="A122" s="138" t="s">
        <v>899</v>
      </c>
      <c r="B122" s="138" t="s">
        <v>780</v>
      </c>
      <c r="C122" s="138" t="s">
        <v>12</v>
      </c>
      <c r="D122" s="145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ht="15.75" customHeight="1">
      <c r="A123" s="139" t="str">
        <f>"Площадки = фактический расход"</f>
        <v>Площадки = фактический расход</v>
      </c>
      <c r="B123" s="139" t="str">
        <f>IF(ABS(C102-B119)&lt;0.01,"OK","ПРОВЕРИТЬ")</f>
        <v>ПРОВЕРИТЬ</v>
      </c>
      <c r="C123" s="140">
        <f>C102-B119</f>
        <v>16850</v>
      </c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ht="15.75" customHeight="1">
      <c r="A124" s="139" t="str">
        <f>"Продукты = фактический расход"</f>
        <v>Продукты = фактический расход</v>
      </c>
      <c r="B124" s="139" t="str">
        <f>IF(ABS(C109-B119)&lt;0.01,"OK","ПРОВЕРИТЬ")</f>
        <v>OK</v>
      </c>
      <c r="C124" s="140">
        <f>C109-B119</f>
        <v>0</v>
      </c>
      <c r="D124" s="145"/>
      <c r="E124" s="145"/>
      <c r="F124" s="145"/>
      <c r="G124" s="145"/>
      <c r="H124" s="145"/>
      <c r="I124" s="145"/>
      <c r="J124" s="145"/>
      <c r="K124" s="145"/>
      <c r="L124" s="145"/>
      <c r="M124" s="145"/>
      <c r="N124" s="145"/>
      <c r="O124" s="145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ht="15.75" customHeight="1">
      <c r="A125" s="139" t="str">
        <f>"Воронки без двойного учёта"</f>
        <v>Воронки без двойного учёта</v>
      </c>
      <c r="B125" s="139" t="str">
        <f>IF(ABS(B119-(SUMIFS($M$6:$M$90,$I$6:$I$90,"Вышло")))&lt;0.01,"OK","ПРОВЕРИТЬ")</f>
        <v>OK</v>
      </c>
      <c r="C125" s="140">
        <f>B119-(SUMIFS($M$6:$M$90,$I$6:$I$90,"Вышло"))</f>
        <v>0</v>
      </c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ht="15.75" customHeight="1">
      <c r="A126" s="139" t="str">
        <f>"Неоднозначные строки"</f>
        <v>Неоднозначные строки</v>
      </c>
      <c r="B126" s="139" t="str">
        <f>IF(B118=0,"OK","ТРЕБУЕТ УТОЧНЕНИЯ")</f>
        <v>ТРЕБУЕТ УТОЧНЕНИЯ</v>
      </c>
      <c r="C126" s="140">
        <f>B118</f>
        <v>-5975</v>
      </c>
      <c r="D126" s="145"/>
      <c r="E126" s="145"/>
      <c r="F126" s="145"/>
      <c r="G126" s="145"/>
      <c r="H126" s="145"/>
      <c r="I126" s="145"/>
      <c r="J126" s="145"/>
      <c r="K126" s="145"/>
      <c r="L126" s="145"/>
      <c r="M126" s="145"/>
      <c r="N126" s="145"/>
      <c r="O126" s="145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ht="15.75" customHeight="1">
      <c r="A127" s="145"/>
      <c r="B127" s="145"/>
      <c r="C127" s="145"/>
      <c r="D127" s="145"/>
      <c r="E127" s="145"/>
      <c r="F127" s="145"/>
      <c r="G127" s="145"/>
      <c r="H127" s="145"/>
      <c r="I127" s="145"/>
      <c r="J127" s="145"/>
      <c r="K127" s="145"/>
      <c r="L127" s="145"/>
      <c r="M127" s="145"/>
      <c r="N127" s="145"/>
      <c r="O127" s="145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ht="15.75" customHeight="1">
      <c r="A128" s="137" t="s">
        <v>900</v>
      </c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ht="15.75" customHeight="1">
      <c r="A129" s="138" t="s">
        <v>901</v>
      </c>
      <c r="B129" s="138" t="s">
        <v>778</v>
      </c>
      <c r="C129" s="138" t="s">
        <v>835</v>
      </c>
      <c r="D129" s="138" t="s">
        <v>728</v>
      </c>
      <c r="E129" s="138" t="s">
        <v>902</v>
      </c>
      <c r="F129" s="145"/>
      <c r="G129" s="145"/>
      <c r="H129" s="145"/>
      <c r="I129" s="145"/>
      <c r="J129" s="145"/>
      <c r="K129" s="145"/>
      <c r="L129" s="145"/>
      <c r="M129" s="145"/>
      <c r="N129" s="145"/>
      <c r="O129" s="145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ht="36.0" customHeight="1">
      <c r="A130" s="149">
        <v>8.0</v>
      </c>
      <c r="B130" s="149" t="s">
        <v>111</v>
      </c>
      <c r="C130" s="149" t="s">
        <v>860</v>
      </c>
      <c r="D130" s="150">
        <v>7350.0</v>
      </c>
      <c r="E130" s="149" t="s">
        <v>903</v>
      </c>
      <c r="F130" s="145"/>
      <c r="G130" s="145"/>
      <c r="H130" s="145"/>
      <c r="I130" s="145"/>
      <c r="J130" s="145"/>
      <c r="K130" s="145"/>
      <c r="L130" s="145"/>
      <c r="M130" s="145"/>
      <c r="N130" s="145"/>
      <c r="O130" s="145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ht="36.0" customHeight="1">
      <c r="A131" s="149">
        <v>9.0</v>
      </c>
      <c r="B131" s="149" t="s">
        <v>116</v>
      </c>
      <c r="C131" s="149" t="s">
        <v>860</v>
      </c>
      <c r="D131" s="150">
        <v>7600.0</v>
      </c>
      <c r="E131" s="149" t="s">
        <v>903</v>
      </c>
      <c r="F131" s="145"/>
      <c r="G131" s="145"/>
      <c r="H131" s="145"/>
      <c r="I131" s="145"/>
      <c r="J131" s="145"/>
      <c r="K131" s="145"/>
      <c r="L131" s="145"/>
      <c r="M131" s="145"/>
      <c r="N131" s="145"/>
      <c r="O131" s="145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ht="36.0" customHeight="1">
      <c r="A132" s="149">
        <v>10.0</v>
      </c>
      <c r="B132" s="149" t="s">
        <v>119</v>
      </c>
      <c r="C132" s="149" t="s">
        <v>860</v>
      </c>
      <c r="D132" s="150">
        <v>7600.0</v>
      </c>
      <c r="E132" s="149" t="s">
        <v>903</v>
      </c>
      <c r="F132" s="145"/>
      <c r="G132" s="145"/>
      <c r="H132" s="145"/>
      <c r="I132" s="145"/>
      <c r="J132" s="145"/>
      <c r="K132" s="145"/>
      <c r="L132" s="145"/>
      <c r="M132" s="145"/>
      <c r="N132" s="145"/>
      <c r="O132" s="145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ht="36.0" customHeight="1">
      <c r="A133" s="149">
        <v>11.0</v>
      </c>
      <c r="B133" s="149" t="s">
        <v>123</v>
      </c>
      <c r="C133" s="149" t="s">
        <v>860</v>
      </c>
      <c r="D133" s="150">
        <v>3356.0</v>
      </c>
      <c r="E133" s="149" t="s">
        <v>903</v>
      </c>
      <c r="F133" s="145"/>
      <c r="G133" s="145"/>
      <c r="H133" s="145"/>
      <c r="I133" s="145"/>
      <c r="J133" s="145"/>
      <c r="K133" s="145"/>
      <c r="L133" s="145"/>
      <c r="M133" s="145"/>
      <c r="N133" s="145"/>
      <c r="O133" s="145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ht="36.0" customHeight="1">
      <c r="A134" s="149">
        <v>14.0</v>
      </c>
      <c r="B134" s="149" t="s">
        <v>135</v>
      </c>
      <c r="C134" s="149" t="s">
        <v>860</v>
      </c>
      <c r="D134" s="150">
        <v>1520.0</v>
      </c>
      <c r="E134" s="149" t="s">
        <v>903</v>
      </c>
      <c r="F134" s="145"/>
      <c r="G134" s="145"/>
      <c r="H134" s="145"/>
      <c r="I134" s="145"/>
      <c r="J134" s="145"/>
      <c r="K134" s="145"/>
      <c r="L134" s="145"/>
      <c r="M134" s="145"/>
      <c r="N134" s="145"/>
      <c r="O134" s="145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ht="15.75" customHeight="1">
      <c r="A135" s="145"/>
      <c r="B135" s="145"/>
      <c r="C135" s="145"/>
      <c r="D135" s="145"/>
      <c r="E135" s="145"/>
      <c r="F135" s="145"/>
      <c r="G135" s="145"/>
      <c r="H135" s="145"/>
      <c r="I135" s="145"/>
      <c r="J135" s="145"/>
      <c r="K135" s="145"/>
      <c r="L135" s="145"/>
      <c r="M135" s="145"/>
      <c r="N135" s="145"/>
      <c r="O135" s="14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ht="15.75" customHeight="1">
      <c r="A136" s="145"/>
      <c r="B136" s="145"/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  <c r="M136" s="145"/>
      <c r="N136" s="145"/>
      <c r="O136" s="145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ht="15.75" customHeight="1">
      <c r="A137" s="145"/>
      <c r="B137" s="145"/>
      <c r="C137" s="145"/>
      <c r="D137" s="145"/>
      <c r="E137" s="145"/>
      <c r="F137" s="145"/>
      <c r="G137" s="145"/>
      <c r="H137" s="145"/>
      <c r="I137" s="145"/>
      <c r="J137" s="145"/>
      <c r="K137" s="145"/>
      <c r="L137" s="145"/>
      <c r="M137" s="145"/>
      <c r="N137" s="145"/>
      <c r="O137" s="145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ht="15.75" customHeight="1">
      <c r="A138" s="145"/>
      <c r="B138" s="145"/>
      <c r="C138" s="145"/>
      <c r="D138" s="145"/>
      <c r="E138" s="145"/>
      <c r="F138" s="145"/>
      <c r="G138" s="145"/>
      <c r="H138" s="145"/>
      <c r="I138" s="145"/>
      <c r="J138" s="145"/>
      <c r="K138" s="145"/>
      <c r="L138" s="145"/>
      <c r="M138" s="145"/>
      <c r="N138" s="145"/>
      <c r="O138" s="145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ht="15.75" customHeight="1">
      <c r="A139" s="145"/>
      <c r="B139" s="145"/>
      <c r="C139" s="145"/>
      <c r="D139" s="145"/>
      <c r="E139" s="145"/>
      <c r="F139" s="145"/>
      <c r="G139" s="145"/>
      <c r="H139" s="145"/>
      <c r="I139" s="145"/>
      <c r="J139" s="145"/>
      <c r="K139" s="145"/>
      <c r="L139" s="145"/>
      <c r="M139" s="145"/>
      <c r="N139" s="145"/>
      <c r="O139" s="145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ht="15.75" customHeight="1">
      <c r="A140" s="145"/>
      <c r="B140" s="145"/>
      <c r="C140" s="145"/>
      <c r="D140" s="145"/>
      <c r="E140" s="145"/>
      <c r="F140" s="145"/>
      <c r="G140" s="145"/>
      <c r="H140" s="145"/>
      <c r="I140" s="145"/>
      <c r="J140" s="145"/>
      <c r="K140" s="145"/>
      <c r="L140" s="145"/>
      <c r="M140" s="145"/>
      <c r="N140" s="145"/>
      <c r="O140" s="145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ht="15.75" customHeight="1">
      <c r="A141" s="145"/>
      <c r="B141" s="145"/>
      <c r="C141" s="145"/>
      <c r="D141" s="145"/>
      <c r="E141" s="145"/>
      <c r="F141" s="145"/>
      <c r="G141" s="145"/>
      <c r="H141" s="145"/>
      <c r="I141" s="145"/>
      <c r="J141" s="145"/>
      <c r="K141" s="145"/>
      <c r="L141" s="145"/>
      <c r="M141" s="145"/>
      <c r="N141" s="145"/>
      <c r="O141" s="145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ht="15.75" customHeight="1">
      <c r="A142" s="145"/>
      <c r="B142" s="145"/>
      <c r="C142" s="145"/>
      <c r="D142" s="145"/>
      <c r="E142" s="145"/>
      <c r="F142" s="145"/>
      <c r="G142" s="145"/>
      <c r="H142" s="145"/>
      <c r="I142" s="145"/>
      <c r="J142" s="145"/>
      <c r="K142" s="145"/>
      <c r="L142" s="145"/>
      <c r="M142" s="145"/>
      <c r="N142" s="145"/>
      <c r="O142" s="145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ht="15.75" customHeight="1">
      <c r="A143" s="145"/>
      <c r="B143" s="145"/>
      <c r="C143" s="145"/>
      <c r="D143" s="145"/>
      <c r="E143" s="145"/>
      <c r="F143" s="145"/>
      <c r="G143" s="145"/>
      <c r="H143" s="145"/>
      <c r="I143" s="145"/>
      <c r="J143" s="145"/>
      <c r="K143" s="145"/>
      <c r="L143" s="145"/>
      <c r="M143" s="145"/>
      <c r="N143" s="145"/>
      <c r="O143" s="145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ht="15.75" customHeight="1">
      <c r="A144" s="145"/>
      <c r="B144" s="145"/>
      <c r="C144" s="145"/>
      <c r="D144" s="145"/>
      <c r="E144" s="145"/>
      <c r="F144" s="145"/>
      <c r="G144" s="145"/>
      <c r="H144" s="145"/>
      <c r="I144" s="145"/>
      <c r="J144" s="145"/>
      <c r="K144" s="145"/>
      <c r="L144" s="145"/>
      <c r="M144" s="145"/>
      <c r="N144" s="145"/>
      <c r="O144" s="145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ht="15.75" customHeight="1">
      <c r="A145" s="145"/>
      <c r="B145" s="145"/>
      <c r="C145" s="145"/>
      <c r="D145" s="145"/>
      <c r="E145" s="145"/>
      <c r="F145" s="145"/>
      <c r="G145" s="145"/>
      <c r="H145" s="145"/>
      <c r="I145" s="145"/>
      <c r="J145" s="145"/>
      <c r="K145" s="145"/>
      <c r="L145" s="145"/>
      <c r="M145" s="145"/>
      <c r="N145" s="145"/>
      <c r="O145" s="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ht="15.75" customHeight="1">
      <c r="A146" s="145"/>
      <c r="B146" s="145"/>
      <c r="C146" s="145"/>
      <c r="D146" s="145"/>
      <c r="E146" s="145"/>
      <c r="F146" s="145"/>
      <c r="G146" s="145"/>
      <c r="H146" s="145"/>
      <c r="I146" s="145"/>
      <c r="J146" s="145"/>
      <c r="K146" s="145"/>
      <c r="L146" s="145"/>
      <c r="M146" s="145"/>
      <c r="N146" s="145"/>
      <c r="O146" s="145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ht="15.75" customHeight="1">
      <c r="A147" s="145"/>
      <c r="B147" s="145"/>
      <c r="C147" s="145"/>
      <c r="D147" s="145"/>
      <c r="E147" s="145"/>
      <c r="F147" s="145"/>
      <c r="G147" s="145"/>
      <c r="H147" s="145"/>
      <c r="I147" s="145"/>
      <c r="J147" s="145"/>
      <c r="K147" s="145"/>
      <c r="L147" s="145"/>
      <c r="M147" s="145"/>
      <c r="N147" s="145"/>
      <c r="O147" s="145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</row>
  </sheetData>
  <conditionalFormatting sqref="A8:AB18">
    <cfRule type="expression" dxfId="0" priority="1">
      <formula>AND($H8="Вышло",$G8="")</formula>
    </cfRule>
  </conditionalFormatting>
  <conditionalFormatting sqref="A8:AB18">
    <cfRule type="expression" dxfId="3" priority="2">
      <formula>AND($H8="Вышло",N($Y8)=0,N($U8)=0)</formula>
    </cfRule>
  </conditionalFormatting>
  <conditionalFormatting sqref="A22:AB28">
    <cfRule type="expression" dxfId="0" priority="3">
      <formula>AND($H22="Вышло",$G22="")</formula>
    </cfRule>
  </conditionalFormatting>
  <conditionalFormatting sqref="A22:AB28">
    <cfRule type="expression" dxfId="3" priority="4">
      <formula>AND($H22="Вышло",N($Y22)=0,N($U22)=0)</formula>
    </cfRule>
  </conditionalFormatting>
  <conditionalFormatting sqref="A32:AB38">
    <cfRule type="expression" dxfId="0" priority="5">
      <formula>AND($H32="Вышло",$G32="")</formula>
    </cfRule>
  </conditionalFormatting>
  <conditionalFormatting sqref="A32:AB38">
    <cfRule type="expression" dxfId="3" priority="6">
      <formula>AND($H32="Вышло",N($Y32)=0,N($U32)=0)</formula>
    </cfRule>
  </conditionalFormatting>
  <conditionalFormatting sqref="A42:AB48">
    <cfRule type="expression" dxfId="0" priority="7">
      <formula>AND($H42="Вышло",$G42="")</formula>
    </cfRule>
  </conditionalFormatting>
  <conditionalFormatting sqref="A42:AB48">
    <cfRule type="expression" dxfId="3" priority="8">
      <formula>AND($H42="Вышло",N($Y42)=0,N($U42)=0)</formula>
    </cfRule>
  </conditionalFormatting>
  <conditionalFormatting sqref="A52:AB58">
    <cfRule type="expression" dxfId="0" priority="9">
      <formula>AND($H52="Вышло",$G52="")</formula>
    </cfRule>
  </conditionalFormatting>
  <conditionalFormatting sqref="A52:AB58">
    <cfRule type="expression" dxfId="3" priority="10">
      <formula>AND($H52="Вышло",N($Y52)=0,N($U52)=0)</formula>
    </cfRule>
  </conditionalFormatting>
  <conditionalFormatting sqref="A8:AB22">
    <cfRule type="expression" dxfId="0" priority="11">
      <formula>AND($H8="Вышло",$G8="")</formula>
    </cfRule>
  </conditionalFormatting>
  <conditionalFormatting sqref="A8:AB22">
    <cfRule type="expression" dxfId="1" priority="12">
      <formula>AND($H8="Вышло",N($Y8)=0,N($U8)=0)</formula>
    </cfRule>
  </conditionalFormatting>
  <conditionalFormatting sqref="A8:AB22">
    <cfRule type="expression" dxfId="0" priority="13">
      <formula>AND($H8="Вышло",$G8="")</formula>
    </cfRule>
  </conditionalFormatting>
  <conditionalFormatting sqref="A8:AB22">
    <cfRule type="expression" dxfId="1" priority="14">
      <formula>AND($H8="Вышло",N($Y8)=0,N($U8)=0)</formula>
    </cfRule>
  </conditionalFormatting>
  <conditionalFormatting sqref="A25:AB39">
    <cfRule type="expression" dxfId="0" priority="15">
      <formula>AND($H25="Вышло",$G25="")</formula>
    </cfRule>
  </conditionalFormatting>
  <conditionalFormatting sqref="A25:AB39">
    <cfRule type="expression" dxfId="1" priority="16">
      <formula>AND($H25="Вышло",N($Y25)=0,N($U25)=0)</formula>
    </cfRule>
  </conditionalFormatting>
  <conditionalFormatting sqref="A25:AB39">
    <cfRule type="expression" dxfId="0" priority="17">
      <formula>AND($H25="Вышло",$G25="")</formula>
    </cfRule>
  </conditionalFormatting>
  <conditionalFormatting sqref="A25:AB39">
    <cfRule type="expression" dxfId="1" priority="18">
      <formula>AND($H25="Вышло",N($Y25)=0,N($U25)=0)</formula>
    </cfRule>
  </conditionalFormatting>
  <conditionalFormatting sqref="A42:AB56">
    <cfRule type="expression" dxfId="0" priority="19">
      <formula>AND($H42="Вышло",$G42="")</formula>
    </cfRule>
  </conditionalFormatting>
  <conditionalFormatting sqref="A42:AB56">
    <cfRule type="expression" dxfId="1" priority="20">
      <formula>AND($H42="Вышло",N($Y42)=0,N($U42)=0)</formula>
    </cfRule>
  </conditionalFormatting>
  <conditionalFormatting sqref="A42:AB56">
    <cfRule type="expression" dxfId="0" priority="21">
      <formula>AND($H42="Вышло",$G42="")</formula>
    </cfRule>
  </conditionalFormatting>
  <conditionalFormatting sqref="A42:AB56">
    <cfRule type="expression" dxfId="1" priority="22">
      <formula>AND($H42="Вышло",N($Y42)=0,N($U42)=0)</formula>
    </cfRule>
  </conditionalFormatting>
  <conditionalFormatting sqref="A59:AB73">
    <cfRule type="expression" dxfId="0" priority="23">
      <formula>AND($H59="Вышло",$G59="")</formula>
    </cfRule>
  </conditionalFormatting>
  <conditionalFormatting sqref="A59:AB73">
    <cfRule type="expression" dxfId="1" priority="24">
      <formula>AND($H59="Вышло",N($Y59)=0,N($U59)=0)</formula>
    </cfRule>
  </conditionalFormatting>
  <conditionalFormatting sqref="A59:AB73">
    <cfRule type="expression" dxfId="0" priority="25">
      <formula>AND($H59="Вышло",$G59="")</formula>
    </cfRule>
  </conditionalFormatting>
  <conditionalFormatting sqref="A59:AB73">
    <cfRule type="expression" dxfId="1" priority="26">
      <formula>AND($H59="Вышло",N($Y59)=0,N($U59)=0)</formula>
    </cfRule>
  </conditionalFormatting>
  <conditionalFormatting sqref="A76:AB90">
    <cfRule type="expression" dxfId="0" priority="27">
      <formula>AND($H76="Вышло",$G76="")</formula>
    </cfRule>
  </conditionalFormatting>
  <conditionalFormatting sqref="A76:AB90">
    <cfRule type="expression" dxfId="1" priority="28">
      <formula>AND($H76="Вышло",N($Y76)=0,N($U76)=0)</formula>
    </cfRule>
  </conditionalFormatting>
  <conditionalFormatting sqref="A76:AB90">
    <cfRule type="expression" dxfId="0" priority="29">
      <formula>AND($H76="Вышло",$G76="")</formula>
    </cfRule>
  </conditionalFormatting>
  <conditionalFormatting sqref="A76:AB90">
    <cfRule type="expression" dxfId="1" priority="30">
      <formula>AND($H76="Вышло",N($Y76)=0,N($U76)=0)</formula>
    </cfRule>
  </conditionalFormatting>
  <conditionalFormatting sqref="A8:AG22">
    <cfRule type="expression" dxfId="0" priority="31">
      <formula>AND($H8="Вышло",$G8="")</formula>
    </cfRule>
  </conditionalFormatting>
  <conditionalFormatting sqref="A8:AG22">
    <cfRule type="expression" dxfId="1" priority="32">
      <formula>AND($H8="Вышло",N($Y8)=0,N($U8)=0)</formula>
    </cfRule>
  </conditionalFormatting>
  <conditionalFormatting sqref="A25:AG39">
    <cfRule type="expression" dxfId="0" priority="33">
      <formula>AND($H25="Вышло",$G25="")</formula>
    </cfRule>
  </conditionalFormatting>
  <conditionalFormatting sqref="A25:AG39">
    <cfRule type="expression" dxfId="1" priority="34">
      <formula>AND($H25="Вышло",N($Y25)=0,N($U25)=0)</formula>
    </cfRule>
  </conditionalFormatting>
  <conditionalFormatting sqref="A42:AG56">
    <cfRule type="expression" dxfId="0" priority="35">
      <formula>AND($H42="Вышло",$G42="")</formula>
    </cfRule>
  </conditionalFormatting>
  <conditionalFormatting sqref="A42:AG56">
    <cfRule type="expression" dxfId="1" priority="36">
      <formula>AND($H42="Вышло",N($Y42)=0,N($U42)=0)</formula>
    </cfRule>
  </conditionalFormatting>
  <conditionalFormatting sqref="A59:AG73">
    <cfRule type="expression" dxfId="0" priority="37">
      <formula>AND($H59="Вышло",$G59="")</formula>
    </cfRule>
  </conditionalFormatting>
  <conditionalFormatting sqref="A59:AG73">
    <cfRule type="expression" dxfId="1" priority="38">
      <formula>AND($H59="Вышло",N($Y59)=0,N($U59)=0)</formula>
    </cfRule>
  </conditionalFormatting>
  <conditionalFormatting sqref="A76:AG90">
    <cfRule type="expression" dxfId="0" priority="39">
      <formula>AND($H76="Вышло",$G76="")</formula>
    </cfRule>
  </conditionalFormatting>
  <conditionalFormatting sqref="A76:AG90">
    <cfRule type="expression" dxfId="1" priority="40">
      <formula>AND($H76="Вышло",N($Y76)=0,N($U76)=0)</formula>
    </cfRule>
  </conditionalFormatting>
  <conditionalFormatting sqref="A7:AH21">
    <cfRule type="expression" dxfId="0" priority="41">
      <formula>AND($I7="Вышло",$H7="")</formula>
    </cfRule>
  </conditionalFormatting>
  <conditionalFormatting sqref="A7:AH21">
    <cfRule type="expression" dxfId="1" priority="42">
      <formula>AND($I7="Вышло",N($Z7)=0,N($V7)=0)</formula>
    </cfRule>
  </conditionalFormatting>
  <conditionalFormatting sqref="A24:AH38">
    <cfRule type="expression" dxfId="0" priority="43">
      <formula>AND($I24="Вышло",$H24="")</formula>
    </cfRule>
  </conditionalFormatting>
  <conditionalFormatting sqref="A24:AH38">
    <cfRule type="expression" dxfId="1" priority="44">
      <formula>AND($I24="Вышло",N($Z24)=0,N($V24)=0)</formula>
    </cfRule>
  </conditionalFormatting>
  <conditionalFormatting sqref="A41:AH55">
    <cfRule type="expression" dxfId="0" priority="45">
      <formula>AND($I41="Вышло",$H41="")</formula>
    </cfRule>
  </conditionalFormatting>
  <conditionalFormatting sqref="A41:AH55">
    <cfRule type="expression" dxfId="1" priority="46">
      <formula>AND($I41="Вышло",N($Z41)=0,N($V41)=0)</formula>
    </cfRule>
  </conditionalFormatting>
  <conditionalFormatting sqref="A58:AH72">
    <cfRule type="expression" dxfId="0" priority="47">
      <formula>AND($I58="Вышло",$H58="")</formula>
    </cfRule>
  </conditionalFormatting>
  <conditionalFormatting sqref="A58:AH72">
    <cfRule type="expression" dxfId="1" priority="48">
      <formula>AND($I58="Вышло",N($Z58)=0,N($V58)=0)</formula>
    </cfRule>
  </conditionalFormatting>
  <conditionalFormatting sqref="A75:AH89">
    <cfRule type="expression" dxfId="0" priority="49">
      <formula>AND($I75="Вышло",$H75="")</formula>
    </cfRule>
  </conditionalFormatting>
  <conditionalFormatting sqref="A75:AH89">
    <cfRule type="expression" dxfId="1" priority="50">
      <formula>AND($I75="Вышло",N($Z75)=0,N($V75)=0)</formula>
    </cfRule>
  </conditionalFormatting>
  <dataValidations>
    <dataValidation type="list" allowBlank="1" sqref="I7:I21 H22 I24:I38 H39 I41:I55 H56 I58:I72 H73 I75:I89 H90">
      <formula1>"Ожидаем выхода,Вышло,Перенос,Отказ"</formula1>
    </dataValidation>
    <dataValidation type="date" allowBlank="1" showInputMessage="1" showErrorMessage="1" prompt="Только дата - Введи дату, например 14.07.2026" sqref="G23:G24 G57:G58">
      <formula1>DATE(2026,1,1)</formula1>
      <formula2>DATE(2027,12,31)</formula2>
    </dataValidation>
    <dataValidation type="list" allowBlank="1" sqref="A7:A39 A41:A73 A75:A90">
      <formula1>bloggers_list</formula1>
    </dataValidation>
    <dataValidation type="list" allowBlank="1" sqref="E7 D8:E21 D22:D23 D24:E38 D39 E41 D42:E55 D56:D57 D58:E72 D73 E75 D76:E89 D90">
      <formula1>"WB,Ozon,Сайт"</formula1>
    </dataValidation>
    <dataValidation type="list" allowBlank="1" showErrorMessage="1" sqref="H23 H57">
      <formula1>"Ожидаем выхода,Вышло,Перенос,Отказ"</formula1>
    </dataValidation>
    <dataValidation type="date" allowBlank="1" sqref="H7 G8:H21 G22 H24 G25:H38 G39 H41 G42:H55 G56 H58 G59:H72 G73 H75 G76:H89 G90">
      <formula1>DATE(2026,1,1)</formula1>
      <formula2>0.0</formula2>
    </dataValidation>
  </dataValidations>
  <hyperlinks>
    <hyperlink r:id="rId1" ref="A7"/>
    <hyperlink r:id="rId2" ref="A8"/>
    <hyperlink r:id="rId3" ref="A9"/>
    <hyperlink r:id="rId4" ref="A10"/>
    <hyperlink r:id="rId5" ref="A11"/>
    <hyperlink r:id="rId6" ref="A12"/>
    <hyperlink r:id="rId7" ref="A13"/>
    <hyperlink r:id="rId8" ref="A14"/>
    <hyperlink r:id="rId9" ref="A15"/>
    <hyperlink r:id="rId10" ref="A16"/>
  </hyperlinks>
  <printOptions/>
  <pageMargins bottom="0.75" footer="0.0" header="0.0" left="0.7" right="0.7" top="0.75"/>
  <pageSetup paperSize="9" orientation="portrait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0.0"/>
    <col customWidth="1" min="2" max="3" width="16.0"/>
    <col customWidth="1" min="4" max="10" width="13.0"/>
    <col customWidth="1" min="11" max="15" width="16.0"/>
    <col customWidth="1" min="16" max="18" width="12.0"/>
    <col customWidth="1" min="19" max="19" width="15.0"/>
    <col customWidth="1" min="20" max="20" width="9.0"/>
    <col customWidth="1" min="21" max="21" width="8.0"/>
    <col customWidth="1" min="22" max="22" width="10.0"/>
    <col customWidth="1" min="23" max="23" width="9.0"/>
    <col customWidth="1" min="24" max="25" width="10.0"/>
    <col customWidth="1" min="26" max="26" width="8.0"/>
    <col customWidth="1" min="27" max="28" width="11.0"/>
    <col customWidth="1" min="29" max="29" width="8.0"/>
    <col customWidth="1" min="30" max="30" width="10.0"/>
    <col customWidth="1" min="31" max="31" width="12.0"/>
    <col customWidth="1" min="32" max="32" width="11.0"/>
    <col customWidth="1" min="33" max="33" width="8.0"/>
    <col customWidth="1" min="34" max="34" width="16.0"/>
  </cols>
  <sheetData>
    <row r="1" ht="15.0" customHeight="1">
      <c r="A1" s="114" t="s">
        <v>904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ht="15.0" hidden="1" customHeight="1">
      <c r="A2" s="115" t="s">
        <v>832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</row>
    <row r="3" ht="15.0" hidden="1" customHeight="1">
      <c r="A3" s="115" t="s">
        <v>833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ht="15.0" hidden="1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ht="31.5" customHeight="1">
      <c r="A5" s="116" t="s">
        <v>778</v>
      </c>
      <c r="B5" s="116" t="s">
        <v>834</v>
      </c>
      <c r="C5" s="116" t="s">
        <v>4</v>
      </c>
      <c r="D5" s="116" t="s">
        <v>1</v>
      </c>
      <c r="E5" s="116" t="s">
        <v>835</v>
      </c>
      <c r="F5" s="116" t="s">
        <v>836</v>
      </c>
      <c r="G5" s="116" t="s">
        <v>837</v>
      </c>
      <c r="H5" s="116" t="s">
        <v>838</v>
      </c>
      <c r="I5" s="116" t="s">
        <v>839</v>
      </c>
      <c r="J5" s="116" t="s">
        <v>840</v>
      </c>
      <c r="K5" s="116" t="s">
        <v>841</v>
      </c>
      <c r="L5" s="116" t="s">
        <v>842</v>
      </c>
      <c r="M5" s="116" t="s">
        <v>843</v>
      </c>
      <c r="N5" s="116" t="s">
        <v>844</v>
      </c>
      <c r="O5" s="116" t="s">
        <v>845</v>
      </c>
      <c r="P5" s="116" t="s">
        <v>846</v>
      </c>
      <c r="Q5" s="116" t="s">
        <v>847</v>
      </c>
      <c r="R5" s="116" t="s">
        <v>848</v>
      </c>
      <c r="S5" s="116" t="s">
        <v>779</v>
      </c>
      <c r="T5" s="116" t="s">
        <v>729</v>
      </c>
      <c r="U5" s="116" t="s">
        <v>849</v>
      </c>
      <c r="V5" s="116" t="s">
        <v>850</v>
      </c>
      <c r="W5" s="116" t="s">
        <v>851</v>
      </c>
      <c r="X5" s="116" t="s">
        <v>852</v>
      </c>
      <c r="Y5" s="116" t="s">
        <v>853</v>
      </c>
      <c r="Z5" s="116" t="s">
        <v>656</v>
      </c>
      <c r="AA5" s="116" t="s">
        <v>854</v>
      </c>
      <c r="AB5" s="116" t="s">
        <v>664</v>
      </c>
      <c r="AC5" s="116" t="s">
        <v>658</v>
      </c>
      <c r="AD5" s="116" t="s">
        <v>855</v>
      </c>
      <c r="AE5" s="116" t="s">
        <v>856</v>
      </c>
      <c r="AF5" s="116" t="s">
        <v>659</v>
      </c>
      <c r="AG5" s="116" t="s">
        <v>657</v>
      </c>
      <c r="AH5" s="116" t="s">
        <v>12</v>
      </c>
    </row>
    <row r="6" ht="33.75" customHeight="1">
      <c r="A6" s="117" t="s">
        <v>905</v>
      </c>
      <c r="B6" s="117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</row>
    <row r="7" ht="15.0" customHeight="1">
      <c r="A7" s="21"/>
      <c r="B7" s="120" t="str">
        <f>IF($A7="","",IFERROR(HYPERLINK(VLOOKUP($A7,'Мои блогеры'!$A$2:$N$673,14,0),"🔗 открыть"),""))</f>
        <v/>
      </c>
      <c r="C7" s="11" t="str">
        <f>IFERROR(VLOOKUP($A7,'Мои блогеры'!$A:$N,5,0),"")</f>
        <v/>
      </c>
      <c r="D7" s="120" t="str">
        <f>IFERROR(VLOOKUP($A7,'Мои блогеры'!$A:$N,2,0),"")</f>
        <v/>
      </c>
      <c r="E7" s="21"/>
      <c r="F7" s="21"/>
      <c r="G7" s="21"/>
      <c r="H7" s="121"/>
      <c r="I7" s="21"/>
      <c r="J7" s="11" t="str">
        <f>IFERROR(VLOOKUP($A7,'Мои блогеры'!$A$2:$N$673,8,0),"")</f>
        <v/>
      </c>
      <c r="K7" s="122"/>
      <c r="L7" s="122"/>
      <c r="M7" s="11" t="str">
        <f t="shared" ref="M7:M21" si="1">IF(N($J7)+N($K7)+N($L7)=0,"",N($J7)+N($K7)+N($L7))</f>
        <v/>
      </c>
      <c r="N7" s="21"/>
      <c r="O7" s="21"/>
      <c r="P7" s="21"/>
      <c r="Q7" s="120" t="str">
        <f>IFERROR(VLOOKUP($A7,'Мои блогеры'!$A$2:$N$673,10,0)&amp;"-TRG","")</f>
        <v/>
      </c>
      <c r="R7" s="21"/>
      <c r="S7" s="21"/>
      <c r="T7" s="122"/>
      <c r="U7" s="123" t="str">
        <f t="shared" ref="U7:U21" si="2">IF(N($T7)=0,"",$M7/$T7)</f>
        <v/>
      </c>
      <c r="V7" s="122"/>
      <c r="W7" s="122"/>
      <c r="X7" s="123" t="str">
        <f t="shared" ref="X7:X21" si="3">IF(N($V7)=0,"",$M7/$V7)</f>
        <v/>
      </c>
      <c r="Y7" s="122"/>
      <c r="Z7" s="122"/>
      <c r="AA7" s="122"/>
      <c r="AB7" s="124"/>
      <c r="AC7" s="11" t="str">
        <f t="shared" ref="AC7:AC21" si="4">IF(OR(N($Z7)=0,$AB7=""),"",ROUND($Z7*$AB7,0))</f>
        <v/>
      </c>
      <c r="AD7" s="122"/>
      <c r="AE7" s="11" t="str">
        <f t="shared" ref="AE7:AE21" si="5">IF(OR(N($AC7)=0,$AD7=""),"",ROUND($AC7*$AD7,0))</f>
        <v/>
      </c>
      <c r="AF7" s="11" t="str">
        <f t="shared" ref="AF7:AF21" si="6">IF(N($AC7)=0,"",ROUND($M7/$AC7,0))</f>
        <v/>
      </c>
      <c r="AG7" s="11" t="str">
        <f t="shared" ref="AG7:AG21" si="7">IF(N($Z7)=0,"",ROUND($M7/$Z7,0))</f>
        <v/>
      </c>
      <c r="AH7" s="21"/>
    </row>
    <row r="8" ht="15.0" customHeight="1">
      <c r="A8" s="21"/>
      <c r="B8" s="120" t="str">
        <f>IF($A8="","",IFERROR(HYPERLINK(VLOOKUP($A8,'Мои блогеры'!$A$2:$N$673,14,0),"🔗 открыть"),""))</f>
        <v/>
      </c>
      <c r="C8" s="11" t="str">
        <f>IFERROR(VLOOKUP($A8,'Мои блогеры'!$A:$N,5,0),"")</f>
        <v/>
      </c>
      <c r="D8" s="120" t="str">
        <f>IFERROR(VLOOKUP($A8,'Мои блогеры'!$A:$N,2,0),"")</f>
        <v/>
      </c>
      <c r="E8" s="21"/>
      <c r="F8" s="21"/>
      <c r="G8" s="21"/>
      <c r="H8" s="121"/>
      <c r="I8" s="21"/>
      <c r="J8" s="11" t="str">
        <f>IFERROR(VLOOKUP($A8,'Мои блогеры'!$A$2:$N$673,8,0),"")</f>
        <v/>
      </c>
      <c r="K8" s="122"/>
      <c r="L8" s="122"/>
      <c r="M8" s="11" t="str">
        <f t="shared" si="1"/>
        <v/>
      </c>
      <c r="N8" s="21"/>
      <c r="O8" s="21"/>
      <c r="P8" s="21"/>
      <c r="Q8" s="120" t="str">
        <f>IFERROR(VLOOKUP($A8,'Мои блогеры'!$A$2:$N$673,10,0)&amp;"-TRG","")</f>
        <v/>
      </c>
      <c r="R8" s="21"/>
      <c r="S8" s="21"/>
      <c r="T8" s="122"/>
      <c r="U8" s="123" t="str">
        <f t="shared" si="2"/>
        <v/>
      </c>
      <c r="V8" s="122"/>
      <c r="W8" s="122"/>
      <c r="X8" s="123" t="str">
        <f t="shared" si="3"/>
        <v/>
      </c>
      <c r="Y8" s="122"/>
      <c r="Z8" s="122"/>
      <c r="AA8" s="122"/>
      <c r="AB8" s="124"/>
      <c r="AC8" s="11" t="str">
        <f t="shared" si="4"/>
        <v/>
      </c>
      <c r="AD8" s="122"/>
      <c r="AE8" s="11" t="str">
        <f t="shared" si="5"/>
        <v/>
      </c>
      <c r="AF8" s="11" t="str">
        <f t="shared" si="6"/>
        <v/>
      </c>
      <c r="AG8" s="11" t="str">
        <f t="shared" si="7"/>
        <v/>
      </c>
      <c r="AH8" s="21"/>
    </row>
    <row r="9" ht="15.0" customHeight="1">
      <c r="A9" s="21"/>
      <c r="B9" s="120" t="str">
        <f>IF($A9="","",IFERROR(HYPERLINK(VLOOKUP($A9,'Мои блогеры'!$A$2:$N$673,14,0),"🔗 открыть"),""))</f>
        <v/>
      </c>
      <c r="C9" s="11" t="str">
        <f>IFERROR(VLOOKUP($A9,'Мои блогеры'!$A:$N,5,0),"")</f>
        <v/>
      </c>
      <c r="D9" s="120" t="str">
        <f>IFERROR(VLOOKUP($A9,'Мои блогеры'!$A:$N,2,0),"")</f>
        <v/>
      </c>
      <c r="E9" s="21"/>
      <c r="F9" s="21"/>
      <c r="G9" s="21"/>
      <c r="H9" s="121"/>
      <c r="I9" s="21"/>
      <c r="J9" s="11" t="str">
        <f>IFERROR(VLOOKUP($A9,'Мои блогеры'!$A$2:$N$673,8,0),"")</f>
        <v/>
      </c>
      <c r="K9" s="122"/>
      <c r="L9" s="122"/>
      <c r="M9" s="11" t="str">
        <f t="shared" si="1"/>
        <v/>
      </c>
      <c r="N9" s="21"/>
      <c r="O9" s="21"/>
      <c r="P9" s="21"/>
      <c r="Q9" s="120" t="str">
        <f>IFERROR(VLOOKUP($A9,'Мои блогеры'!$A$2:$N$673,10,0)&amp;"-TRG","")</f>
        <v/>
      </c>
      <c r="R9" s="21"/>
      <c r="S9" s="21"/>
      <c r="T9" s="122"/>
      <c r="U9" s="123" t="str">
        <f t="shared" si="2"/>
        <v/>
      </c>
      <c r="V9" s="122"/>
      <c r="W9" s="122"/>
      <c r="X9" s="123" t="str">
        <f t="shared" si="3"/>
        <v/>
      </c>
      <c r="Y9" s="122"/>
      <c r="Z9" s="122"/>
      <c r="AA9" s="122"/>
      <c r="AB9" s="124"/>
      <c r="AC9" s="11" t="str">
        <f t="shared" si="4"/>
        <v/>
      </c>
      <c r="AD9" s="122"/>
      <c r="AE9" s="11" t="str">
        <f t="shared" si="5"/>
        <v/>
      </c>
      <c r="AF9" s="11" t="str">
        <f t="shared" si="6"/>
        <v/>
      </c>
      <c r="AG9" s="11" t="str">
        <f t="shared" si="7"/>
        <v/>
      </c>
      <c r="AH9" s="21"/>
    </row>
    <row r="10" ht="15.0" customHeight="1">
      <c r="A10" s="21"/>
      <c r="B10" s="120" t="str">
        <f>IF($A10="","",IFERROR(HYPERLINK(VLOOKUP($A10,'Мои блогеры'!$A$2:$N$673,14,0),"🔗 открыть"),""))</f>
        <v/>
      </c>
      <c r="C10" s="11" t="str">
        <f>IFERROR(VLOOKUP($A10,'Мои блогеры'!$A:$N,5,0),"")</f>
        <v/>
      </c>
      <c r="D10" s="120" t="str">
        <f>IFERROR(VLOOKUP($A10,'Мои блогеры'!$A:$N,2,0),"")</f>
        <v/>
      </c>
      <c r="E10" s="21"/>
      <c r="F10" s="21"/>
      <c r="G10" s="21"/>
      <c r="H10" s="121"/>
      <c r="I10" s="21"/>
      <c r="J10" s="11" t="str">
        <f>IFERROR(VLOOKUP($A10,'Мои блогеры'!$A$2:$N$673,8,0),"")</f>
        <v/>
      </c>
      <c r="K10" s="122"/>
      <c r="L10" s="122"/>
      <c r="M10" s="11" t="str">
        <f t="shared" si="1"/>
        <v/>
      </c>
      <c r="N10" s="21"/>
      <c r="O10" s="21"/>
      <c r="P10" s="21"/>
      <c r="Q10" s="120" t="str">
        <f>IFERROR(VLOOKUP($A10,'Мои блогеры'!$A$2:$N$673,10,0)&amp;"-TRG","")</f>
        <v/>
      </c>
      <c r="R10" s="21"/>
      <c r="S10" s="21"/>
      <c r="T10" s="122"/>
      <c r="U10" s="123" t="str">
        <f t="shared" si="2"/>
        <v/>
      </c>
      <c r="V10" s="122"/>
      <c r="W10" s="122"/>
      <c r="X10" s="123" t="str">
        <f t="shared" si="3"/>
        <v/>
      </c>
      <c r="Y10" s="122"/>
      <c r="Z10" s="122"/>
      <c r="AA10" s="122"/>
      <c r="AB10" s="124"/>
      <c r="AC10" s="11" t="str">
        <f t="shared" si="4"/>
        <v/>
      </c>
      <c r="AD10" s="122"/>
      <c r="AE10" s="11" t="str">
        <f t="shared" si="5"/>
        <v/>
      </c>
      <c r="AF10" s="11" t="str">
        <f t="shared" si="6"/>
        <v/>
      </c>
      <c r="AG10" s="11" t="str">
        <f t="shared" si="7"/>
        <v/>
      </c>
      <c r="AH10" s="21"/>
    </row>
    <row r="11" ht="15.0" customHeight="1">
      <c r="A11" s="21"/>
      <c r="B11" s="120" t="str">
        <f>IF($A11="","",IFERROR(HYPERLINK(VLOOKUP($A11,'Мои блогеры'!$A$2:$N$673,14,0),"🔗 открыть"),""))</f>
        <v/>
      </c>
      <c r="C11" s="11" t="str">
        <f>IFERROR(VLOOKUP($A11,'Мои блогеры'!$A:$N,5,0),"")</f>
        <v/>
      </c>
      <c r="D11" s="120" t="str">
        <f>IFERROR(VLOOKUP($A11,'Мои блогеры'!$A:$N,2,0),"")</f>
        <v/>
      </c>
      <c r="E11" s="21"/>
      <c r="F11" s="21"/>
      <c r="G11" s="21"/>
      <c r="H11" s="121"/>
      <c r="I11" s="21"/>
      <c r="J11" s="11" t="str">
        <f>IFERROR(VLOOKUP($A11,'Мои блогеры'!$A$2:$N$673,8,0),"")</f>
        <v/>
      </c>
      <c r="K11" s="122"/>
      <c r="L11" s="122"/>
      <c r="M11" s="11" t="str">
        <f t="shared" si="1"/>
        <v/>
      </c>
      <c r="N11" s="21"/>
      <c r="O11" s="21"/>
      <c r="P11" s="21"/>
      <c r="Q11" s="120" t="str">
        <f>IFERROR(VLOOKUP($A11,'Мои блогеры'!$A$2:$N$673,10,0)&amp;"-TRG","")</f>
        <v/>
      </c>
      <c r="R11" s="21"/>
      <c r="S11" s="21"/>
      <c r="T11" s="122"/>
      <c r="U11" s="123" t="str">
        <f t="shared" si="2"/>
        <v/>
      </c>
      <c r="V11" s="122"/>
      <c r="W11" s="122"/>
      <c r="X11" s="123" t="str">
        <f t="shared" si="3"/>
        <v/>
      </c>
      <c r="Y11" s="122"/>
      <c r="Z11" s="122"/>
      <c r="AA11" s="122"/>
      <c r="AB11" s="124"/>
      <c r="AC11" s="11" t="str">
        <f t="shared" si="4"/>
        <v/>
      </c>
      <c r="AD11" s="122"/>
      <c r="AE11" s="11" t="str">
        <f t="shared" si="5"/>
        <v/>
      </c>
      <c r="AF11" s="11" t="str">
        <f t="shared" si="6"/>
        <v/>
      </c>
      <c r="AG11" s="11" t="str">
        <f t="shared" si="7"/>
        <v/>
      </c>
      <c r="AH11" s="21"/>
    </row>
    <row r="12" ht="15.0" customHeight="1">
      <c r="A12" s="21"/>
      <c r="B12" s="120" t="str">
        <f>IF($A12="","",IFERROR(HYPERLINK(VLOOKUP($A12,'Мои блогеры'!$A$2:$N$673,14,0),"🔗 открыть"),""))</f>
        <v/>
      </c>
      <c r="C12" s="11" t="str">
        <f>IFERROR(VLOOKUP($A12,'Мои блогеры'!$A:$N,5,0),"")</f>
        <v/>
      </c>
      <c r="D12" s="120" t="str">
        <f>IFERROR(VLOOKUP($A12,'Мои блогеры'!$A:$N,2,0),"")</f>
        <v/>
      </c>
      <c r="E12" s="21"/>
      <c r="F12" s="21"/>
      <c r="G12" s="21"/>
      <c r="H12" s="121"/>
      <c r="I12" s="21"/>
      <c r="J12" s="11" t="str">
        <f>IFERROR(VLOOKUP($A12,'Мои блогеры'!$A$2:$N$673,8,0),"")</f>
        <v/>
      </c>
      <c r="K12" s="122"/>
      <c r="L12" s="122"/>
      <c r="M12" s="11" t="str">
        <f t="shared" si="1"/>
        <v/>
      </c>
      <c r="N12" s="21"/>
      <c r="O12" s="21"/>
      <c r="P12" s="21"/>
      <c r="Q12" s="120" t="str">
        <f>IFERROR(VLOOKUP($A12,'Мои блогеры'!$A$2:$N$673,10,0)&amp;"-TRG","")</f>
        <v/>
      </c>
      <c r="R12" s="21"/>
      <c r="S12" s="21"/>
      <c r="T12" s="122"/>
      <c r="U12" s="123" t="str">
        <f t="shared" si="2"/>
        <v/>
      </c>
      <c r="V12" s="122"/>
      <c r="W12" s="122"/>
      <c r="X12" s="123" t="str">
        <f t="shared" si="3"/>
        <v/>
      </c>
      <c r="Y12" s="122"/>
      <c r="Z12" s="122"/>
      <c r="AA12" s="122"/>
      <c r="AB12" s="124"/>
      <c r="AC12" s="11" t="str">
        <f t="shared" si="4"/>
        <v/>
      </c>
      <c r="AD12" s="122"/>
      <c r="AE12" s="11" t="str">
        <f t="shared" si="5"/>
        <v/>
      </c>
      <c r="AF12" s="11" t="str">
        <f t="shared" si="6"/>
        <v/>
      </c>
      <c r="AG12" s="11" t="str">
        <f t="shared" si="7"/>
        <v/>
      </c>
      <c r="AH12" s="21"/>
    </row>
    <row r="13" ht="15.0" customHeight="1">
      <c r="A13" s="21"/>
      <c r="B13" s="120" t="str">
        <f>IF($A13="","",IFERROR(HYPERLINK(VLOOKUP($A13,'Мои блогеры'!$A$2:$N$673,14,0),"🔗 открыть"),""))</f>
        <v/>
      </c>
      <c r="C13" s="11" t="str">
        <f>IFERROR(VLOOKUP($A13,'Мои блогеры'!$A:$N,5,0),"")</f>
        <v/>
      </c>
      <c r="D13" s="120" t="str">
        <f>IFERROR(VLOOKUP($A13,'Мои блогеры'!$A:$N,2,0),"")</f>
        <v/>
      </c>
      <c r="E13" s="21"/>
      <c r="F13" s="21"/>
      <c r="G13" s="21"/>
      <c r="H13" s="121"/>
      <c r="I13" s="21"/>
      <c r="J13" s="11" t="str">
        <f>IFERROR(VLOOKUP($A13,'Мои блогеры'!$A$2:$N$673,8,0),"")</f>
        <v/>
      </c>
      <c r="K13" s="122"/>
      <c r="L13" s="122"/>
      <c r="M13" s="11" t="str">
        <f t="shared" si="1"/>
        <v/>
      </c>
      <c r="N13" s="21"/>
      <c r="O13" s="21"/>
      <c r="P13" s="21"/>
      <c r="Q13" s="120" t="str">
        <f>IFERROR(VLOOKUP($A13,'Мои блогеры'!$A$2:$N$673,10,0)&amp;"-TRG","")</f>
        <v/>
      </c>
      <c r="R13" s="21"/>
      <c r="S13" s="21"/>
      <c r="T13" s="122"/>
      <c r="U13" s="123" t="str">
        <f t="shared" si="2"/>
        <v/>
      </c>
      <c r="V13" s="122"/>
      <c r="W13" s="122"/>
      <c r="X13" s="123" t="str">
        <f t="shared" si="3"/>
        <v/>
      </c>
      <c r="Y13" s="122"/>
      <c r="Z13" s="122"/>
      <c r="AA13" s="122"/>
      <c r="AB13" s="124"/>
      <c r="AC13" s="11" t="str">
        <f t="shared" si="4"/>
        <v/>
      </c>
      <c r="AD13" s="122"/>
      <c r="AE13" s="11" t="str">
        <f t="shared" si="5"/>
        <v/>
      </c>
      <c r="AF13" s="11" t="str">
        <f t="shared" si="6"/>
        <v/>
      </c>
      <c r="AG13" s="11" t="str">
        <f t="shared" si="7"/>
        <v/>
      </c>
      <c r="AH13" s="21"/>
    </row>
    <row r="14" ht="15.0" customHeight="1">
      <c r="A14" s="21"/>
      <c r="B14" s="120" t="str">
        <f>IF($A14="","",IFERROR(HYPERLINK(VLOOKUP($A14,'Мои блогеры'!$A$2:$N$673,14,0),"🔗 открыть"),""))</f>
        <v/>
      </c>
      <c r="C14" s="11" t="str">
        <f>IFERROR(VLOOKUP($A14,'Мои блогеры'!$A:$N,5,0),"")</f>
        <v/>
      </c>
      <c r="D14" s="120" t="str">
        <f>IFERROR(VLOOKUP($A14,'Мои блогеры'!$A:$N,2,0),"")</f>
        <v/>
      </c>
      <c r="E14" s="21"/>
      <c r="F14" s="21"/>
      <c r="G14" s="21"/>
      <c r="H14" s="121"/>
      <c r="I14" s="21"/>
      <c r="J14" s="11" t="str">
        <f>IFERROR(VLOOKUP($A14,'Мои блогеры'!$A$2:$N$673,8,0),"")</f>
        <v/>
      </c>
      <c r="K14" s="122"/>
      <c r="L14" s="122"/>
      <c r="M14" s="11" t="str">
        <f t="shared" si="1"/>
        <v/>
      </c>
      <c r="N14" s="21"/>
      <c r="O14" s="21"/>
      <c r="P14" s="21"/>
      <c r="Q14" s="120" t="str">
        <f>IFERROR(VLOOKUP($A14,'Мои блогеры'!$A$2:$N$673,10,0)&amp;"-TRG","")</f>
        <v/>
      </c>
      <c r="R14" s="21"/>
      <c r="S14" s="21"/>
      <c r="T14" s="122"/>
      <c r="U14" s="123" t="str">
        <f t="shared" si="2"/>
        <v/>
      </c>
      <c r="V14" s="122"/>
      <c r="W14" s="122"/>
      <c r="X14" s="123" t="str">
        <f t="shared" si="3"/>
        <v/>
      </c>
      <c r="Y14" s="122"/>
      <c r="Z14" s="122"/>
      <c r="AA14" s="122"/>
      <c r="AB14" s="124"/>
      <c r="AC14" s="11" t="str">
        <f t="shared" si="4"/>
        <v/>
      </c>
      <c r="AD14" s="122"/>
      <c r="AE14" s="11" t="str">
        <f t="shared" si="5"/>
        <v/>
      </c>
      <c r="AF14" s="11" t="str">
        <f t="shared" si="6"/>
        <v/>
      </c>
      <c r="AG14" s="11" t="str">
        <f t="shared" si="7"/>
        <v/>
      </c>
      <c r="AH14" s="21"/>
    </row>
    <row r="15" ht="15.0" customHeight="1">
      <c r="A15" s="21"/>
      <c r="B15" s="120" t="str">
        <f>IF($A15="","",IFERROR(HYPERLINK(VLOOKUP($A15,'Мои блогеры'!$A$2:$N$673,14,0),"🔗 открыть"),""))</f>
        <v/>
      </c>
      <c r="C15" s="11" t="str">
        <f>IFERROR(VLOOKUP($A15,'Мои блогеры'!$A:$N,5,0),"")</f>
        <v/>
      </c>
      <c r="D15" s="120" t="str">
        <f>IFERROR(VLOOKUP($A15,'Мои блогеры'!$A:$N,2,0),"")</f>
        <v/>
      </c>
      <c r="E15" s="21"/>
      <c r="F15" s="21"/>
      <c r="G15" s="21"/>
      <c r="H15" s="121"/>
      <c r="I15" s="21"/>
      <c r="J15" s="11" t="str">
        <f>IFERROR(VLOOKUP($A15,'Мои блогеры'!$A$2:$N$673,8,0),"")</f>
        <v/>
      </c>
      <c r="K15" s="122"/>
      <c r="L15" s="122"/>
      <c r="M15" s="11" t="str">
        <f t="shared" si="1"/>
        <v/>
      </c>
      <c r="N15" s="21"/>
      <c r="O15" s="21"/>
      <c r="P15" s="21"/>
      <c r="Q15" s="120" t="str">
        <f>IFERROR(VLOOKUP($A15,'Мои блогеры'!$A$2:$N$673,10,0)&amp;"-TRG","")</f>
        <v/>
      </c>
      <c r="R15" s="21"/>
      <c r="S15" s="21"/>
      <c r="T15" s="122"/>
      <c r="U15" s="123" t="str">
        <f t="shared" si="2"/>
        <v/>
      </c>
      <c r="V15" s="122"/>
      <c r="W15" s="122"/>
      <c r="X15" s="123" t="str">
        <f t="shared" si="3"/>
        <v/>
      </c>
      <c r="Y15" s="122"/>
      <c r="Z15" s="122"/>
      <c r="AA15" s="122"/>
      <c r="AB15" s="124"/>
      <c r="AC15" s="11" t="str">
        <f t="shared" si="4"/>
        <v/>
      </c>
      <c r="AD15" s="122"/>
      <c r="AE15" s="11" t="str">
        <f t="shared" si="5"/>
        <v/>
      </c>
      <c r="AF15" s="11" t="str">
        <f t="shared" si="6"/>
        <v/>
      </c>
      <c r="AG15" s="11" t="str">
        <f t="shared" si="7"/>
        <v/>
      </c>
      <c r="AH15" s="21"/>
    </row>
    <row r="16">
      <c r="A16" s="21"/>
      <c r="B16" s="120" t="str">
        <f>IF($A16="","",IFERROR(HYPERLINK(VLOOKUP($A16,'Мои блогеры'!$A$2:$N$673,14,0),"🔗 открыть"),""))</f>
        <v/>
      </c>
      <c r="C16" s="11" t="str">
        <f>IFERROR(VLOOKUP($A16,'Мои блогеры'!$A:$N,5,0),"")</f>
        <v/>
      </c>
      <c r="D16" s="120" t="str">
        <f>IFERROR(VLOOKUP($A16,'Мои блогеры'!$A:$N,2,0),"")</f>
        <v/>
      </c>
      <c r="E16" s="21"/>
      <c r="F16" s="21"/>
      <c r="G16" s="21"/>
      <c r="H16" s="121"/>
      <c r="I16" s="21"/>
      <c r="J16" s="11" t="str">
        <f>IFERROR(VLOOKUP($A16,'Мои блогеры'!$A$2:$N$673,8,0),"")</f>
        <v/>
      </c>
      <c r="K16" s="122"/>
      <c r="L16" s="122"/>
      <c r="M16" s="11" t="str">
        <f t="shared" si="1"/>
        <v/>
      </c>
      <c r="N16" s="21"/>
      <c r="O16" s="21"/>
      <c r="P16" s="21"/>
      <c r="Q16" s="120" t="str">
        <f>IFERROR(VLOOKUP($A16,'Мои блогеры'!$A$2:$N$673,10,0)&amp;"-TRG","")</f>
        <v/>
      </c>
      <c r="R16" s="21"/>
      <c r="S16" s="21"/>
      <c r="T16" s="122"/>
      <c r="U16" s="123" t="str">
        <f t="shared" si="2"/>
        <v/>
      </c>
      <c r="V16" s="122"/>
      <c r="W16" s="122"/>
      <c r="X16" s="123" t="str">
        <f t="shared" si="3"/>
        <v/>
      </c>
      <c r="Y16" s="122"/>
      <c r="Z16" s="122"/>
      <c r="AA16" s="122"/>
      <c r="AB16" s="124"/>
      <c r="AC16" s="11" t="str">
        <f t="shared" si="4"/>
        <v/>
      </c>
      <c r="AD16" s="122"/>
      <c r="AE16" s="11" t="str">
        <f t="shared" si="5"/>
        <v/>
      </c>
      <c r="AF16" s="11" t="str">
        <f t="shared" si="6"/>
        <v/>
      </c>
      <c r="AG16" s="11" t="str">
        <f t="shared" si="7"/>
        <v/>
      </c>
      <c r="AH16" s="21"/>
    </row>
    <row r="17" ht="15.0" customHeight="1">
      <c r="A17" s="21"/>
      <c r="B17" s="120" t="str">
        <f>IF($A17="","",IFERROR(HYPERLINK(VLOOKUP($A17,'Мои блогеры'!$A$2:$N$673,14,0),"🔗 открыть"),""))</f>
        <v/>
      </c>
      <c r="C17" s="11" t="str">
        <f>IFERROR(VLOOKUP($A17,'Мои блогеры'!$A:$N,5,0),"")</f>
        <v/>
      </c>
      <c r="D17" s="120" t="str">
        <f>IFERROR(VLOOKUP($A17,'Мои блогеры'!$A:$N,2,0),"")</f>
        <v/>
      </c>
      <c r="E17" s="21"/>
      <c r="F17" s="21"/>
      <c r="G17" s="21"/>
      <c r="H17" s="121"/>
      <c r="I17" s="21"/>
      <c r="J17" s="11" t="str">
        <f>IFERROR(VLOOKUP($A17,'Мои блогеры'!$A$2:$N$673,8,0),"")</f>
        <v/>
      </c>
      <c r="K17" s="122"/>
      <c r="L17" s="122"/>
      <c r="M17" s="11" t="str">
        <f t="shared" si="1"/>
        <v/>
      </c>
      <c r="N17" s="21"/>
      <c r="O17" s="21"/>
      <c r="P17" s="21"/>
      <c r="Q17" s="120" t="str">
        <f>IFERROR(VLOOKUP($A17,'Мои блогеры'!$A$2:$N$673,10,0)&amp;"-TRG","")</f>
        <v/>
      </c>
      <c r="R17" s="21"/>
      <c r="S17" s="21"/>
      <c r="T17" s="122"/>
      <c r="U17" s="123" t="str">
        <f t="shared" si="2"/>
        <v/>
      </c>
      <c r="V17" s="122"/>
      <c r="W17" s="122"/>
      <c r="X17" s="123" t="str">
        <f t="shared" si="3"/>
        <v/>
      </c>
      <c r="Y17" s="122"/>
      <c r="Z17" s="122"/>
      <c r="AA17" s="122"/>
      <c r="AB17" s="124"/>
      <c r="AC17" s="11" t="str">
        <f t="shared" si="4"/>
        <v/>
      </c>
      <c r="AD17" s="122"/>
      <c r="AE17" s="11" t="str">
        <f t="shared" si="5"/>
        <v/>
      </c>
      <c r="AF17" s="11" t="str">
        <f t="shared" si="6"/>
        <v/>
      </c>
      <c r="AG17" s="11" t="str">
        <f t="shared" si="7"/>
        <v/>
      </c>
      <c r="AH17" s="21"/>
    </row>
    <row r="18" ht="15.0" customHeight="1">
      <c r="A18" s="21"/>
      <c r="B18" s="120" t="str">
        <f>IF($A18="","",IFERROR(HYPERLINK(VLOOKUP($A18,'Мои блогеры'!$A$2:$N$673,14,0),"🔗 открыть"),""))</f>
        <v/>
      </c>
      <c r="C18" s="11" t="str">
        <f>IFERROR(VLOOKUP($A18,'Мои блогеры'!$A:$N,5,0),"")</f>
        <v/>
      </c>
      <c r="D18" s="120" t="str">
        <f>IFERROR(VLOOKUP($A18,'Мои блогеры'!$A:$N,2,0),"")</f>
        <v/>
      </c>
      <c r="E18" s="21"/>
      <c r="F18" s="21"/>
      <c r="G18" s="21"/>
      <c r="H18" s="121"/>
      <c r="I18" s="21"/>
      <c r="J18" s="11" t="str">
        <f>IFERROR(VLOOKUP($A18,'Мои блогеры'!$A$2:$N$673,8,0),"")</f>
        <v/>
      </c>
      <c r="K18" s="122"/>
      <c r="L18" s="122"/>
      <c r="M18" s="11" t="str">
        <f t="shared" si="1"/>
        <v/>
      </c>
      <c r="N18" s="21"/>
      <c r="O18" s="21"/>
      <c r="P18" s="21"/>
      <c r="Q18" s="120" t="str">
        <f>IFERROR(VLOOKUP($A18,'Мои блогеры'!$A$2:$N$673,10,0)&amp;"-TRG","")</f>
        <v/>
      </c>
      <c r="R18" s="21"/>
      <c r="S18" s="21"/>
      <c r="T18" s="122"/>
      <c r="U18" s="123" t="str">
        <f t="shared" si="2"/>
        <v/>
      </c>
      <c r="V18" s="122"/>
      <c r="W18" s="122"/>
      <c r="X18" s="123" t="str">
        <f t="shared" si="3"/>
        <v/>
      </c>
      <c r="Y18" s="122"/>
      <c r="Z18" s="122"/>
      <c r="AA18" s="122"/>
      <c r="AB18" s="124"/>
      <c r="AC18" s="11" t="str">
        <f t="shared" si="4"/>
        <v/>
      </c>
      <c r="AD18" s="122"/>
      <c r="AE18" s="11" t="str">
        <f t="shared" si="5"/>
        <v/>
      </c>
      <c r="AF18" s="11" t="str">
        <f t="shared" si="6"/>
        <v/>
      </c>
      <c r="AG18" s="11" t="str">
        <f t="shared" si="7"/>
        <v/>
      </c>
      <c r="AH18" s="21"/>
    </row>
    <row r="19" ht="15.0" customHeight="1">
      <c r="A19" s="21"/>
      <c r="B19" s="120" t="str">
        <f>IF($A19="","",IFERROR(HYPERLINK(VLOOKUP($A19,'Мои блогеры'!$A$2:$N$673,14,0),"🔗 открыть"),""))</f>
        <v/>
      </c>
      <c r="C19" s="11" t="str">
        <f>IFERROR(VLOOKUP($A19,'Мои блогеры'!$A:$N,5,0),"")</f>
        <v/>
      </c>
      <c r="D19" s="120" t="str">
        <f>IFERROR(VLOOKUP($A19,'Мои блогеры'!$A:$N,2,0),"")</f>
        <v/>
      </c>
      <c r="E19" s="21"/>
      <c r="F19" s="21"/>
      <c r="G19" s="21"/>
      <c r="H19" s="121"/>
      <c r="I19" s="21"/>
      <c r="J19" s="11" t="str">
        <f>IFERROR(VLOOKUP($A19,'Мои блогеры'!$A$2:$N$673,8,0),"")</f>
        <v/>
      </c>
      <c r="K19" s="122"/>
      <c r="L19" s="122"/>
      <c r="M19" s="11" t="str">
        <f t="shared" si="1"/>
        <v/>
      </c>
      <c r="N19" s="21"/>
      <c r="O19" s="21"/>
      <c r="P19" s="21"/>
      <c r="Q19" s="120" t="str">
        <f>IFERROR(VLOOKUP($A19,'Мои блогеры'!$A$2:$N$673,10,0)&amp;"-TRG","")</f>
        <v/>
      </c>
      <c r="R19" s="21"/>
      <c r="S19" s="21"/>
      <c r="T19" s="122"/>
      <c r="U19" s="123" t="str">
        <f t="shared" si="2"/>
        <v/>
      </c>
      <c r="V19" s="122"/>
      <c r="W19" s="122"/>
      <c r="X19" s="123" t="str">
        <f t="shared" si="3"/>
        <v/>
      </c>
      <c r="Y19" s="122"/>
      <c r="Z19" s="122"/>
      <c r="AA19" s="122"/>
      <c r="AB19" s="124"/>
      <c r="AC19" s="11" t="str">
        <f t="shared" si="4"/>
        <v/>
      </c>
      <c r="AD19" s="122"/>
      <c r="AE19" s="11" t="str">
        <f t="shared" si="5"/>
        <v/>
      </c>
      <c r="AF19" s="11" t="str">
        <f t="shared" si="6"/>
        <v/>
      </c>
      <c r="AG19" s="11" t="str">
        <f t="shared" si="7"/>
        <v/>
      </c>
      <c r="AH19" s="21"/>
    </row>
    <row r="20" ht="15.0" customHeight="1">
      <c r="A20" s="21"/>
      <c r="B20" s="120" t="str">
        <f>IF($A20="","",IFERROR(HYPERLINK(VLOOKUP($A20,'Мои блогеры'!$A$2:$N$673,14,0),"🔗 открыть"),""))</f>
        <v/>
      </c>
      <c r="C20" s="11" t="str">
        <f>IFERROR(VLOOKUP($A20,'Мои блогеры'!$A:$N,5,0),"")</f>
        <v/>
      </c>
      <c r="D20" s="120" t="str">
        <f>IFERROR(VLOOKUP($A20,'Мои блогеры'!$A:$N,2,0),"")</f>
        <v/>
      </c>
      <c r="E20" s="21"/>
      <c r="F20" s="21"/>
      <c r="G20" s="21"/>
      <c r="H20" s="121"/>
      <c r="I20" s="21"/>
      <c r="J20" s="11" t="str">
        <f>IFERROR(VLOOKUP($A20,'Мои блогеры'!$A$2:$N$673,8,0),"")</f>
        <v/>
      </c>
      <c r="K20" s="122"/>
      <c r="L20" s="122"/>
      <c r="M20" s="11" t="str">
        <f t="shared" si="1"/>
        <v/>
      </c>
      <c r="N20" s="21"/>
      <c r="O20" s="21"/>
      <c r="P20" s="21"/>
      <c r="Q20" s="120" t="str">
        <f>IFERROR(VLOOKUP($A20,'Мои блогеры'!$A$2:$N$673,10,0)&amp;"-TRG","")</f>
        <v/>
      </c>
      <c r="R20" s="21"/>
      <c r="S20" s="21"/>
      <c r="T20" s="122"/>
      <c r="U20" s="123" t="str">
        <f t="shared" si="2"/>
        <v/>
      </c>
      <c r="V20" s="122"/>
      <c r="W20" s="122"/>
      <c r="X20" s="123" t="str">
        <f t="shared" si="3"/>
        <v/>
      </c>
      <c r="Y20" s="122"/>
      <c r="Z20" s="122"/>
      <c r="AA20" s="122"/>
      <c r="AB20" s="124"/>
      <c r="AC20" s="11" t="str">
        <f t="shared" si="4"/>
        <v/>
      </c>
      <c r="AD20" s="122"/>
      <c r="AE20" s="11" t="str">
        <f t="shared" si="5"/>
        <v/>
      </c>
      <c r="AF20" s="11" t="str">
        <f t="shared" si="6"/>
        <v/>
      </c>
      <c r="AG20" s="11" t="str">
        <f t="shared" si="7"/>
        <v/>
      </c>
      <c r="AH20" s="21"/>
    </row>
    <row r="21" ht="15.0" customHeight="1">
      <c r="A21" s="21"/>
      <c r="B21" s="120" t="str">
        <f>IF($A21="","",IFERROR(HYPERLINK(VLOOKUP($A21,'Мои блогеры'!$A$2:$N$673,14,0),"🔗 открыть"),""))</f>
        <v/>
      </c>
      <c r="C21" s="11" t="str">
        <f>IFERROR(VLOOKUP($A21,'Мои блогеры'!$A:$N,5,0),"")</f>
        <v/>
      </c>
      <c r="D21" s="120" t="str">
        <f>IFERROR(VLOOKUP($A21,'Мои блогеры'!$A:$N,2,0),"")</f>
        <v/>
      </c>
      <c r="E21" s="21"/>
      <c r="F21" s="21"/>
      <c r="G21" s="21"/>
      <c r="H21" s="121"/>
      <c r="I21" s="21"/>
      <c r="J21" s="11" t="str">
        <f>IFERROR(VLOOKUP($A21,'Мои блогеры'!$A$2:$N$673,8,0),"")</f>
        <v/>
      </c>
      <c r="K21" s="122"/>
      <c r="L21" s="122"/>
      <c r="M21" s="11" t="str">
        <f t="shared" si="1"/>
        <v/>
      </c>
      <c r="N21" s="21"/>
      <c r="O21" s="21"/>
      <c r="P21" s="21"/>
      <c r="Q21" s="120" t="str">
        <f>IFERROR(VLOOKUP($A21,'Мои блогеры'!$A$2:$N$673,10,0)&amp;"-TRG","")</f>
        <v/>
      </c>
      <c r="R21" s="21"/>
      <c r="S21" s="21"/>
      <c r="T21" s="122"/>
      <c r="U21" s="123" t="str">
        <f t="shared" si="2"/>
        <v/>
      </c>
      <c r="V21" s="122"/>
      <c r="W21" s="122"/>
      <c r="X21" s="123" t="str">
        <f t="shared" si="3"/>
        <v/>
      </c>
      <c r="Y21" s="122"/>
      <c r="Z21" s="122"/>
      <c r="AA21" s="122"/>
      <c r="AB21" s="124"/>
      <c r="AC21" s="11" t="str">
        <f t="shared" si="4"/>
        <v/>
      </c>
      <c r="AD21" s="122"/>
      <c r="AE21" s="11" t="str">
        <f t="shared" si="5"/>
        <v/>
      </c>
      <c r="AF21" s="11" t="str">
        <f t="shared" si="6"/>
        <v/>
      </c>
      <c r="AG21" s="11" t="str">
        <f t="shared" si="7"/>
        <v/>
      </c>
      <c r="AH21" s="21"/>
    </row>
    <row r="22" ht="15.0" customHeight="1">
      <c r="A22" s="126" t="s">
        <v>906</v>
      </c>
      <c r="B22" s="126"/>
      <c r="C22" s="127"/>
      <c r="D22" s="126"/>
      <c r="E22" s="126"/>
      <c r="F22" s="126"/>
      <c r="G22" s="126"/>
      <c r="H22" s="126"/>
      <c r="I22" s="126" t="str">
        <f>COUNTIF(I7:I21,"Вышло")&amp;" / "&amp;COUNTA(A7:A21)</f>
        <v>0 / 0</v>
      </c>
      <c r="J22" s="127">
        <f t="shared" ref="J22:M22" si="8">SUM(J7:J21)</f>
        <v>0</v>
      </c>
      <c r="K22" s="127">
        <f t="shared" si="8"/>
        <v>0</v>
      </c>
      <c r="L22" s="127">
        <f t="shared" si="8"/>
        <v>0</v>
      </c>
      <c r="M22" s="127">
        <f t="shared" si="8"/>
        <v>0</v>
      </c>
      <c r="N22" s="126"/>
      <c r="O22" s="126"/>
      <c r="P22" s="126"/>
      <c r="Q22" s="126"/>
      <c r="R22" s="126"/>
      <c r="S22" s="126"/>
      <c r="T22" s="127">
        <f>SUM(T7:T21)</f>
        <v>0</v>
      </c>
      <c r="U22" s="128" t="str">
        <f>IF(N(T22)=0,"",M22/T22)</f>
        <v/>
      </c>
      <c r="V22" s="127">
        <f t="shared" ref="V22:W22" si="9">SUM(V7:V21)</f>
        <v>0</v>
      </c>
      <c r="W22" s="127">
        <f t="shared" si="9"/>
        <v>0</v>
      </c>
      <c r="X22" s="128" t="str">
        <f>IF(N(V22)=0,"",M22/V22)</f>
        <v/>
      </c>
      <c r="Y22" s="127">
        <f t="shared" ref="Y22:AA22" si="10">SUM(Y7:Y21)</f>
        <v>0</v>
      </c>
      <c r="Z22" s="127">
        <f t="shared" si="10"/>
        <v>0</v>
      </c>
      <c r="AA22" s="127">
        <f t="shared" si="10"/>
        <v>0</v>
      </c>
      <c r="AB22" s="129"/>
      <c r="AC22" s="127">
        <f>SUM(AC7:AC21)</f>
        <v>0</v>
      </c>
      <c r="AD22" s="127"/>
      <c r="AE22" s="127">
        <f>SUM(AE7:AE21)</f>
        <v>0</v>
      </c>
      <c r="AF22" s="127" t="str">
        <f>IF(N(AC22)=0,"—",ROUND(M22/AC22,0))</f>
        <v>—</v>
      </c>
      <c r="AG22" s="127" t="str">
        <f>IF(N(Z22)=0,"—",ROUND(M22/Z22,0))</f>
        <v>—</v>
      </c>
      <c r="AH22" s="126"/>
    </row>
    <row r="23" ht="15.0" customHeight="1">
      <c r="A23" s="117" t="s">
        <v>907</v>
      </c>
      <c r="B23" s="117"/>
      <c r="C23" s="130"/>
      <c r="D23" s="117"/>
      <c r="E23" s="117"/>
      <c r="F23" s="117"/>
      <c r="G23" s="117"/>
      <c r="H23" s="117"/>
      <c r="I23" s="117"/>
      <c r="J23" s="130"/>
      <c r="K23" s="130"/>
      <c r="L23" s="130"/>
      <c r="M23" s="130"/>
      <c r="N23" s="117"/>
      <c r="O23" s="117"/>
      <c r="P23" s="117"/>
      <c r="Q23" s="117"/>
      <c r="R23" s="117"/>
      <c r="S23" s="117"/>
      <c r="T23" s="130"/>
      <c r="U23" s="131"/>
      <c r="V23" s="130"/>
      <c r="W23" s="130"/>
      <c r="X23" s="131"/>
      <c r="Y23" s="130"/>
      <c r="Z23" s="130"/>
      <c r="AA23" s="130"/>
      <c r="AB23" s="132"/>
      <c r="AC23" s="130"/>
      <c r="AD23" s="130"/>
      <c r="AE23" s="130"/>
      <c r="AF23" s="130"/>
      <c r="AG23" s="130"/>
      <c r="AH23" s="117"/>
    </row>
    <row r="24" ht="15.0" customHeight="1">
      <c r="A24" s="21"/>
      <c r="B24" s="120" t="str">
        <f>IF($A24="","",IFERROR(HYPERLINK(VLOOKUP($A24,'Мои блогеры'!$A$2:$N$673,14,0),"🔗 открыть"),""))</f>
        <v/>
      </c>
      <c r="C24" s="11" t="str">
        <f>IFERROR(VLOOKUP($A24,'Мои блогеры'!$A:$N,5,0),"")</f>
        <v/>
      </c>
      <c r="D24" s="120" t="str">
        <f>IFERROR(VLOOKUP($A24,'Мои блогеры'!$A:$N,2,0),"")</f>
        <v/>
      </c>
      <c r="E24" s="21"/>
      <c r="F24" s="21"/>
      <c r="G24" s="21"/>
      <c r="H24" s="121"/>
      <c r="I24" s="21"/>
      <c r="J24" s="11" t="str">
        <f>IFERROR(VLOOKUP($A24,'Мои блогеры'!$A$2:$N$673,8,0),"")</f>
        <v/>
      </c>
      <c r="K24" s="122"/>
      <c r="L24" s="122"/>
      <c r="M24" s="11" t="str">
        <f t="shared" ref="M24:M38" si="11">IF(N($J24)+N($K24)+N($L24)=0,"",N($J24)+N($K24)+N($L24))</f>
        <v/>
      </c>
      <c r="N24" s="21"/>
      <c r="O24" s="21"/>
      <c r="P24" s="21"/>
      <c r="Q24" s="120" t="str">
        <f>IFERROR(VLOOKUP($A24,'Мои блогеры'!$A$2:$N$673,10,0)&amp;"-TRG","")</f>
        <v/>
      </c>
      <c r="R24" s="21"/>
      <c r="S24" s="21"/>
      <c r="T24" s="122"/>
      <c r="U24" s="123" t="str">
        <f t="shared" ref="U24:U38" si="12">IF(N($T24)=0,"",$M24/$T24)</f>
        <v/>
      </c>
      <c r="V24" s="122"/>
      <c r="W24" s="122"/>
      <c r="X24" s="123" t="str">
        <f t="shared" ref="X24:X38" si="13">IF(N($V24)=0,"",$M24/$V24)</f>
        <v/>
      </c>
      <c r="Y24" s="122"/>
      <c r="Z24" s="122"/>
      <c r="AA24" s="122"/>
      <c r="AB24" s="124"/>
      <c r="AC24" s="11" t="str">
        <f t="shared" ref="AC24:AC38" si="14">IF(OR(N($Z24)=0,$AB24=""),"",ROUND($Z24*$AB24,0))</f>
        <v/>
      </c>
      <c r="AD24" s="122"/>
      <c r="AE24" s="11" t="str">
        <f t="shared" ref="AE24:AE38" si="15">IF(OR(N($AC24)=0,$AD24=""),"",ROUND($AC24*$AD24,0))</f>
        <v/>
      </c>
      <c r="AF24" s="11" t="str">
        <f t="shared" ref="AF24:AF38" si="16">IF(N($AC24)=0,"",ROUND($M24/$AC24,0))</f>
        <v/>
      </c>
      <c r="AG24" s="11" t="str">
        <f t="shared" ref="AG24:AG38" si="17">IF(N($Z24)=0,"",ROUND($M24/$Z24,0))</f>
        <v/>
      </c>
      <c r="AH24" s="21"/>
    </row>
    <row r="25" ht="15.0" customHeight="1">
      <c r="A25" s="21"/>
      <c r="B25" s="120" t="str">
        <f>IF($A25="","",IFERROR(HYPERLINK(VLOOKUP($A25,'Мои блогеры'!$A$2:$N$673,14,0),"🔗 открыть"),""))</f>
        <v/>
      </c>
      <c r="C25" s="11" t="str">
        <f>IFERROR(VLOOKUP($A25,'Мои блогеры'!$A:$N,5,0),"")</f>
        <v/>
      </c>
      <c r="D25" s="120" t="str">
        <f>IFERROR(VLOOKUP($A25,'Мои блогеры'!$A:$N,2,0),"")</f>
        <v/>
      </c>
      <c r="E25" s="21"/>
      <c r="F25" s="21"/>
      <c r="G25" s="21"/>
      <c r="H25" s="121"/>
      <c r="I25" s="21"/>
      <c r="J25" s="11" t="str">
        <f>IFERROR(VLOOKUP($A25,'Мои блогеры'!$A$2:$N$673,8,0),"")</f>
        <v/>
      </c>
      <c r="K25" s="122"/>
      <c r="L25" s="122"/>
      <c r="M25" s="11" t="str">
        <f t="shared" si="11"/>
        <v/>
      </c>
      <c r="N25" s="21"/>
      <c r="O25" s="21"/>
      <c r="P25" s="21"/>
      <c r="Q25" s="120" t="str">
        <f>IFERROR(VLOOKUP($A25,'Мои блогеры'!$A$2:$N$673,10,0)&amp;"-TRG","")</f>
        <v/>
      </c>
      <c r="R25" s="21"/>
      <c r="S25" s="21"/>
      <c r="T25" s="122"/>
      <c r="U25" s="123" t="str">
        <f t="shared" si="12"/>
        <v/>
      </c>
      <c r="V25" s="122"/>
      <c r="W25" s="122"/>
      <c r="X25" s="123" t="str">
        <f t="shared" si="13"/>
        <v/>
      </c>
      <c r="Y25" s="122"/>
      <c r="Z25" s="122"/>
      <c r="AA25" s="122"/>
      <c r="AB25" s="124"/>
      <c r="AC25" s="11" t="str">
        <f t="shared" si="14"/>
        <v/>
      </c>
      <c r="AD25" s="122"/>
      <c r="AE25" s="11" t="str">
        <f t="shared" si="15"/>
        <v/>
      </c>
      <c r="AF25" s="11" t="str">
        <f t="shared" si="16"/>
        <v/>
      </c>
      <c r="AG25" s="11" t="str">
        <f t="shared" si="17"/>
        <v/>
      </c>
      <c r="AH25" s="21"/>
    </row>
    <row r="26" ht="15.0" customHeight="1">
      <c r="A26" s="21"/>
      <c r="B26" s="120" t="str">
        <f>IF($A26="","",IFERROR(HYPERLINK(VLOOKUP($A26,'Мои блогеры'!$A$2:$N$673,14,0),"🔗 открыть"),""))</f>
        <v/>
      </c>
      <c r="C26" s="11" t="str">
        <f>IFERROR(VLOOKUP($A26,'Мои блогеры'!$A:$N,5,0),"")</f>
        <v/>
      </c>
      <c r="D26" s="120" t="str">
        <f>IFERROR(VLOOKUP($A26,'Мои блогеры'!$A:$N,2,0),"")</f>
        <v/>
      </c>
      <c r="E26" s="21"/>
      <c r="F26" s="21"/>
      <c r="G26" s="21"/>
      <c r="H26" s="121"/>
      <c r="I26" s="21"/>
      <c r="J26" s="11" t="str">
        <f>IFERROR(VLOOKUP($A26,'Мои блогеры'!$A$2:$N$673,8,0),"")</f>
        <v/>
      </c>
      <c r="K26" s="122"/>
      <c r="L26" s="122"/>
      <c r="M26" s="11" t="str">
        <f t="shared" si="11"/>
        <v/>
      </c>
      <c r="N26" s="21"/>
      <c r="O26" s="21"/>
      <c r="P26" s="21"/>
      <c r="Q26" s="120" t="str">
        <f>IFERROR(VLOOKUP($A26,'Мои блогеры'!$A$2:$N$673,10,0)&amp;"-TRG","")</f>
        <v/>
      </c>
      <c r="R26" s="21"/>
      <c r="S26" s="21"/>
      <c r="T26" s="122"/>
      <c r="U26" s="123" t="str">
        <f t="shared" si="12"/>
        <v/>
      </c>
      <c r="V26" s="122"/>
      <c r="W26" s="122"/>
      <c r="X26" s="123" t="str">
        <f t="shared" si="13"/>
        <v/>
      </c>
      <c r="Y26" s="122"/>
      <c r="Z26" s="122"/>
      <c r="AA26" s="122"/>
      <c r="AB26" s="124"/>
      <c r="AC26" s="11" t="str">
        <f t="shared" si="14"/>
        <v/>
      </c>
      <c r="AD26" s="122"/>
      <c r="AE26" s="11" t="str">
        <f t="shared" si="15"/>
        <v/>
      </c>
      <c r="AF26" s="11" t="str">
        <f t="shared" si="16"/>
        <v/>
      </c>
      <c r="AG26" s="11" t="str">
        <f t="shared" si="17"/>
        <v/>
      </c>
      <c r="AH26" s="21"/>
    </row>
    <row r="27" ht="15.0" customHeight="1">
      <c r="A27" s="21"/>
      <c r="B27" s="120" t="str">
        <f>IF($A27="","",IFERROR(HYPERLINK(VLOOKUP($A27,'Мои блогеры'!$A$2:$N$673,14,0),"🔗 открыть"),""))</f>
        <v/>
      </c>
      <c r="C27" s="11" t="str">
        <f>IFERROR(VLOOKUP($A27,'Мои блогеры'!$A:$N,5,0),"")</f>
        <v/>
      </c>
      <c r="D27" s="120" t="str">
        <f>IFERROR(VLOOKUP($A27,'Мои блогеры'!$A:$N,2,0),"")</f>
        <v/>
      </c>
      <c r="E27" s="21"/>
      <c r="F27" s="21"/>
      <c r="G27" s="21"/>
      <c r="H27" s="121"/>
      <c r="I27" s="21"/>
      <c r="J27" s="11" t="str">
        <f>IFERROR(VLOOKUP($A27,'Мои блогеры'!$A$2:$N$673,8,0),"")</f>
        <v/>
      </c>
      <c r="K27" s="122"/>
      <c r="L27" s="122"/>
      <c r="M27" s="11" t="str">
        <f t="shared" si="11"/>
        <v/>
      </c>
      <c r="N27" s="21"/>
      <c r="O27" s="21"/>
      <c r="P27" s="21"/>
      <c r="Q27" s="120" t="str">
        <f>IFERROR(VLOOKUP($A27,'Мои блогеры'!$A$2:$N$673,10,0)&amp;"-TRG","")</f>
        <v/>
      </c>
      <c r="R27" s="21"/>
      <c r="S27" s="21"/>
      <c r="T27" s="122"/>
      <c r="U27" s="123" t="str">
        <f t="shared" si="12"/>
        <v/>
      </c>
      <c r="V27" s="122"/>
      <c r="W27" s="122"/>
      <c r="X27" s="123" t="str">
        <f t="shared" si="13"/>
        <v/>
      </c>
      <c r="Y27" s="122"/>
      <c r="Z27" s="122"/>
      <c r="AA27" s="122"/>
      <c r="AB27" s="124"/>
      <c r="AC27" s="11" t="str">
        <f t="shared" si="14"/>
        <v/>
      </c>
      <c r="AD27" s="122"/>
      <c r="AE27" s="11" t="str">
        <f t="shared" si="15"/>
        <v/>
      </c>
      <c r="AF27" s="11" t="str">
        <f t="shared" si="16"/>
        <v/>
      </c>
      <c r="AG27" s="11" t="str">
        <f t="shared" si="17"/>
        <v/>
      </c>
      <c r="AH27" s="21"/>
    </row>
    <row r="28" ht="15.0" customHeight="1">
      <c r="A28" s="21"/>
      <c r="B28" s="120" t="str">
        <f>IF($A28="","",IFERROR(HYPERLINK(VLOOKUP($A28,'Мои блогеры'!$A$2:$N$673,14,0),"🔗 открыть"),""))</f>
        <v/>
      </c>
      <c r="C28" s="11" t="str">
        <f>IFERROR(VLOOKUP($A28,'Мои блогеры'!$A:$N,5,0),"")</f>
        <v/>
      </c>
      <c r="D28" s="120" t="str">
        <f>IFERROR(VLOOKUP($A28,'Мои блогеры'!$A:$N,2,0),"")</f>
        <v/>
      </c>
      <c r="E28" s="21"/>
      <c r="F28" s="21"/>
      <c r="G28" s="21"/>
      <c r="H28" s="121"/>
      <c r="I28" s="21"/>
      <c r="J28" s="11" t="str">
        <f>IFERROR(VLOOKUP($A28,'Мои блогеры'!$A$2:$N$673,8,0),"")</f>
        <v/>
      </c>
      <c r="K28" s="122"/>
      <c r="L28" s="122"/>
      <c r="M28" s="11" t="str">
        <f t="shared" si="11"/>
        <v/>
      </c>
      <c r="N28" s="21"/>
      <c r="O28" s="21"/>
      <c r="P28" s="21"/>
      <c r="Q28" s="120" t="str">
        <f>IFERROR(VLOOKUP($A28,'Мои блогеры'!$A$2:$N$673,10,0)&amp;"-TRG","")</f>
        <v/>
      </c>
      <c r="R28" s="21"/>
      <c r="S28" s="21"/>
      <c r="T28" s="122"/>
      <c r="U28" s="123" t="str">
        <f t="shared" si="12"/>
        <v/>
      </c>
      <c r="V28" s="122"/>
      <c r="W28" s="122"/>
      <c r="X28" s="123" t="str">
        <f t="shared" si="13"/>
        <v/>
      </c>
      <c r="Y28" s="122"/>
      <c r="Z28" s="122"/>
      <c r="AA28" s="122"/>
      <c r="AB28" s="124"/>
      <c r="AC28" s="11" t="str">
        <f t="shared" si="14"/>
        <v/>
      </c>
      <c r="AD28" s="122"/>
      <c r="AE28" s="11" t="str">
        <f t="shared" si="15"/>
        <v/>
      </c>
      <c r="AF28" s="11" t="str">
        <f t="shared" si="16"/>
        <v/>
      </c>
      <c r="AG28" s="11" t="str">
        <f t="shared" si="17"/>
        <v/>
      </c>
      <c r="AH28" s="21"/>
    </row>
    <row r="29" ht="15.0" customHeight="1">
      <c r="A29" s="21"/>
      <c r="B29" s="120" t="str">
        <f>IF($A29="","",IFERROR(HYPERLINK(VLOOKUP($A29,'Мои блогеры'!$A$2:$N$673,14,0),"🔗 открыть"),""))</f>
        <v/>
      </c>
      <c r="C29" s="11" t="str">
        <f>IFERROR(VLOOKUP($A29,'Мои блогеры'!$A:$N,5,0),"")</f>
        <v/>
      </c>
      <c r="D29" s="120" t="str">
        <f>IFERROR(VLOOKUP($A29,'Мои блогеры'!$A:$N,2,0),"")</f>
        <v/>
      </c>
      <c r="E29" s="21"/>
      <c r="F29" s="21"/>
      <c r="G29" s="21"/>
      <c r="H29" s="121"/>
      <c r="I29" s="21"/>
      <c r="J29" s="11" t="str">
        <f>IFERROR(VLOOKUP($A29,'Мои блогеры'!$A$2:$N$673,8,0),"")</f>
        <v/>
      </c>
      <c r="K29" s="122"/>
      <c r="L29" s="122"/>
      <c r="M29" s="11" t="str">
        <f t="shared" si="11"/>
        <v/>
      </c>
      <c r="N29" s="21"/>
      <c r="O29" s="21"/>
      <c r="P29" s="21"/>
      <c r="Q29" s="120" t="str">
        <f>IFERROR(VLOOKUP($A29,'Мои блогеры'!$A$2:$N$673,10,0)&amp;"-TRG","")</f>
        <v/>
      </c>
      <c r="R29" s="21"/>
      <c r="S29" s="21"/>
      <c r="T29" s="122"/>
      <c r="U29" s="123" t="str">
        <f t="shared" si="12"/>
        <v/>
      </c>
      <c r="V29" s="122"/>
      <c r="W29" s="122"/>
      <c r="X29" s="123" t="str">
        <f t="shared" si="13"/>
        <v/>
      </c>
      <c r="Y29" s="122"/>
      <c r="Z29" s="122"/>
      <c r="AA29" s="122"/>
      <c r="AB29" s="124"/>
      <c r="AC29" s="11" t="str">
        <f t="shared" si="14"/>
        <v/>
      </c>
      <c r="AD29" s="122"/>
      <c r="AE29" s="11" t="str">
        <f t="shared" si="15"/>
        <v/>
      </c>
      <c r="AF29" s="11" t="str">
        <f t="shared" si="16"/>
        <v/>
      </c>
      <c r="AG29" s="11" t="str">
        <f t="shared" si="17"/>
        <v/>
      </c>
      <c r="AH29" s="21"/>
    </row>
    <row r="30" ht="15.0" customHeight="1">
      <c r="A30" s="21"/>
      <c r="B30" s="120" t="str">
        <f>IF($A30="","",IFERROR(HYPERLINK(VLOOKUP($A30,'Мои блогеры'!$A$2:$N$673,14,0),"🔗 открыть"),""))</f>
        <v/>
      </c>
      <c r="C30" s="11" t="str">
        <f>IFERROR(VLOOKUP($A30,'Мои блогеры'!$A:$N,5,0),"")</f>
        <v/>
      </c>
      <c r="D30" s="120" t="str">
        <f>IFERROR(VLOOKUP($A30,'Мои блогеры'!$A:$N,2,0),"")</f>
        <v/>
      </c>
      <c r="E30" s="21"/>
      <c r="F30" s="21"/>
      <c r="G30" s="21"/>
      <c r="H30" s="121"/>
      <c r="I30" s="21"/>
      <c r="J30" s="11" t="str">
        <f>IFERROR(VLOOKUP($A30,'Мои блогеры'!$A$2:$N$673,8,0),"")</f>
        <v/>
      </c>
      <c r="K30" s="122"/>
      <c r="L30" s="122"/>
      <c r="M30" s="11" t="str">
        <f t="shared" si="11"/>
        <v/>
      </c>
      <c r="N30" s="21"/>
      <c r="O30" s="21"/>
      <c r="P30" s="21"/>
      <c r="Q30" s="120" t="str">
        <f>IFERROR(VLOOKUP($A30,'Мои блогеры'!$A$2:$N$673,10,0)&amp;"-TRG","")</f>
        <v/>
      </c>
      <c r="R30" s="21"/>
      <c r="S30" s="21"/>
      <c r="T30" s="122"/>
      <c r="U30" s="123" t="str">
        <f t="shared" si="12"/>
        <v/>
      </c>
      <c r="V30" s="122"/>
      <c r="W30" s="122"/>
      <c r="X30" s="123" t="str">
        <f t="shared" si="13"/>
        <v/>
      </c>
      <c r="Y30" s="122"/>
      <c r="Z30" s="122"/>
      <c r="AA30" s="122"/>
      <c r="AB30" s="124"/>
      <c r="AC30" s="11" t="str">
        <f t="shared" si="14"/>
        <v/>
      </c>
      <c r="AD30" s="122"/>
      <c r="AE30" s="11" t="str">
        <f t="shared" si="15"/>
        <v/>
      </c>
      <c r="AF30" s="11" t="str">
        <f t="shared" si="16"/>
        <v/>
      </c>
      <c r="AG30" s="11" t="str">
        <f t="shared" si="17"/>
        <v/>
      </c>
      <c r="AH30" s="21"/>
    </row>
    <row r="31" ht="15.0" customHeight="1">
      <c r="A31" s="21"/>
      <c r="B31" s="120" t="str">
        <f>IF($A31="","",IFERROR(HYPERLINK(VLOOKUP($A31,'Мои блогеры'!$A$2:$N$673,14,0),"🔗 открыть"),""))</f>
        <v/>
      </c>
      <c r="C31" s="11" t="str">
        <f>IFERROR(VLOOKUP($A31,'Мои блогеры'!$A:$N,5,0),"")</f>
        <v/>
      </c>
      <c r="D31" s="120" t="str">
        <f>IFERROR(VLOOKUP($A31,'Мои блогеры'!$A:$N,2,0),"")</f>
        <v/>
      </c>
      <c r="E31" s="21"/>
      <c r="F31" s="21"/>
      <c r="G31" s="21"/>
      <c r="H31" s="121"/>
      <c r="I31" s="21"/>
      <c r="J31" s="11" t="str">
        <f>IFERROR(VLOOKUP($A31,'Мои блогеры'!$A$2:$N$673,8,0),"")</f>
        <v/>
      </c>
      <c r="K31" s="122"/>
      <c r="L31" s="122"/>
      <c r="M31" s="11" t="str">
        <f t="shared" si="11"/>
        <v/>
      </c>
      <c r="N31" s="21"/>
      <c r="O31" s="21"/>
      <c r="P31" s="21"/>
      <c r="Q31" s="120" t="str">
        <f>IFERROR(VLOOKUP($A31,'Мои блогеры'!$A$2:$N$673,10,0)&amp;"-TRG","")</f>
        <v/>
      </c>
      <c r="R31" s="21"/>
      <c r="S31" s="21"/>
      <c r="T31" s="122"/>
      <c r="U31" s="123" t="str">
        <f t="shared" si="12"/>
        <v/>
      </c>
      <c r="V31" s="122"/>
      <c r="W31" s="122"/>
      <c r="X31" s="123" t="str">
        <f t="shared" si="13"/>
        <v/>
      </c>
      <c r="Y31" s="122"/>
      <c r="Z31" s="122"/>
      <c r="AA31" s="122"/>
      <c r="AB31" s="124"/>
      <c r="AC31" s="11" t="str">
        <f t="shared" si="14"/>
        <v/>
      </c>
      <c r="AD31" s="122"/>
      <c r="AE31" s="11" t="str">
        <f t="shared" si="15"/>
        <v/>
      </c>
      <c r="AF31" s="11" t="str">
        <f t="shared" si="16"/>
        <v/>
      </c>
      <c r="AG31" s="11" t="str">
        <f t="shared" si="17"/>
        <v/>
      </c>
      <c r="AH31" s="21"/>
    </row>
    <row r="32" ht="15.0" customHeight="1">
      <c r="A32" s="21"/>
      <c r="B32" s="120" t="str">
        <f>IF($A32="","",IFERROR(HYPERLINK(VLOOKUP($A32,'Мои блогеры'!$A$2:$N$673,14,0),"🔗 открыть"),""))</f>
        <v/>
      </c>
      <c r="C32" s="11" t="str">
        <f>IFERROR(VLOOKUP($A32,'Мои блогеры'!$A:$N,5,0),"")</f>
        <v/>
      </c>
      <c r="D32" s="120" t="str">
        <f>IFERROR(VLOOKUP($A32,'Мои блогеры'!$A:$N,2,0),"")</f>
        <v/>
      </c>
      <c r="E32" s="21"/>
      <c r="F32" s="21"/>
      <c r="G32" s="21"/>
      <c r="H32" s="121"/>
      <c r="I32" s="21"/>
      <c r="J32" s="11" t="str">
        <f>IFERROR(VLOOKUP($A32,'Мои блогеры'!$A$2:$N$673,8,0),"")</f>
        <v/>
      </c>
      <c r="K32" s="122"/>
      <c r="L32" s="122"/>
      <c r="M32" s="11" t="str">
        <f t="shared" si="11"/>
        <v/>
      </c>
      <c r="N32" s="21"/>
      <c r="O32" s="21"/>
      <c r="P32" s="21"/>
      <c r="Q32" s="120" t="str">
        <f>IFERROR(VLOOKUP($A32,'Мои блогеры'!$A$2:$N$673,10,0)&amp;"-TRG","")</f>
        <v/>
      </c>
      <c r="R32" s="21"/>
      <c r="S32" s="21"/>
      <c r="T32" s="122"/>
      <c r="U32" s="123" t="str">
        <f t="shared" si="12"/>
        <v/>
      </c>
      <c r="V32" s="122"/>
      <c r="W32" s="122"/>
      <c r="X32" s="123" t="str">
        <f t="shared" si="13"/>
        <v/>
      </c>
      <c r="Y32" s="122"/>
      <c r="Z32" s="122"/>
      <c r="AA32" s="122"/>
      <c r="AB32" s="124"/>
      <c r="AC32" s="11" t="str">
        <f t="shared" si="14"/>
        <v/>
      </c>
      <c r="AD32" s="122"/>
      <c r="AE32" s="11" t="str">
        <f t="shared" si="15"/>
        <v/>
      </c>
      <c r="AF32" s="11" t="str">
        <f t="shared" si="16"/>
        <v/>
      </c>
      <c r="AG32" s="11" t="str">
        <f t="shared" si="17"/>
        <v/>
      </c>
      <c r="AH32" s="21"/>
    </row>
    <row r="33" ht="15.0" customHeight="1">
      <c r="A33" s="21"/>
      <c r="B33" s="120" t="str">
        <f>IF($A33="","",IFERROR(HYPERLINK(VLOOKUP($A33,'Мои блогеры'!$A$2:$N$673,14,0),"🔗 открыть"),""))</f>
        <v/>
      </c>
      <c r="C33" s="11" t="str">
        <f>IFERROR(VLOOKUP($A33,'Мои блогеры'!$A:$N,5,0),"")</f>
        <v/>
      </c>
      <c r="D33" s="120" t="str">
        <f>IFERROR(VLOOKUP($A33,'Мои блогеры'!$A:$N,2,0),"")</f>
        <v/>
      </c>
      <c r="E33" s="21"/>
      <c r="F33" s="21"/>
      <c r="G33" s="21"/>
      <c r="H33" s="121"/>
      <c r="I33" s="21"/>
      <c r="J33" s="11" t="str">
        <f>IFERROR(VLOOKUP($A33,'Мои блогеры'!$A$2:$N$673,8,0),"")</f>
        <v/>
      </c>
      <c r="K33" s="122"/>
      <c r="L33" s="122"/>
      <c r="M33" s="11" t="str">
        <f t="shared" si="11"/>
        <v/>
      </c>
      <c r="N33" s="21"/>
      <c r="O33" s="21"/>
      <c r="P33" s="21"/>
      <c r="Q33" s="120" t="str">
        <f>IFERROR(VLOOKUP($A33,'Мои блогеры'!$A$2:$N$673,10,0)&amp;"-TRG","")</f>
        <v/>
      </c>
      <c r="R33" s="21"/>
      <c r="S33" s="21"/>
      <c r="T33" s="122"/>
      <c r="U33" s="123" t="str">
        <f t="shared" si="12"/>
        <v/>
      </c>
      <c r="V33" s="122"/>
      <c r="W33" s="122"/>
      <c r="X33" s="123" t="str">
        <f t="shared" si="13"/>
        <v/>
      </c>
      <c r="Y33" s="122"/>
      <c r="Z33" s="122"/>
      <c r="AA33" s="122"/>
      <c r="AB33" s="124"/>
      <c r="AC33" s="11" t="str">
        <f t="shared" si="14"/>
        <v/>
      </c>
      <c r="AD33" s="122"/>
      <c r="AE33" s="11" t="str">
        <f t="shared" si="15"/>
        <v/>
      </c>
      <c r="AF33" s="11" t="str">
        <f t="shared" si="16"/>
        <v/>
      </c>
      <c r="AG33" s="11" t="str">
        <f t="shared" si="17"/>
        <v/>
      </c>
      <c r="AH33" s="21"/>
    </row>
    <row r="34" ht="15.0" customHeight="1">
      <c r="A34" s="21"/>
      <c r="B34" s="120" t="str">
        <f>IF($A34="","",IFERROR(HYPERLINK(VLOOKUP($A34,'Мои блогеры'!$A$2:$N$673,14,0),"🔗 открыть"),""))</f>
        <v/>
      </c>
      <c r="C34" s="11" t="str">
        <f>IFERROR(VLOOKUP($A34,'Мои блогеры'!$A:$N,5,0),"")</f>
        <v/>
      </c>
      <c r="D34" s="120" t="str">
        <f>IFERROR(VLOOKUP($A34,'Мои блогеры'!$A:$N,2,0),"")</f>
        <v/>
      </c>
      <c r="E34" s="21"/>
      <c r="F34" s="21"/>
      <c r="G34" s="21"/>
      <c r="H34" s="121"/>
      <c r="I34" s="21"/>
      <c r="J34" s="11" t="str">
        <f>IFERROR(VLOOKUP($A34,'Мои блогеры'!$A$2:$N$673,8,0),"")</f>
        <v/>
      </c>
      <c r="K34" s="122"/>
      <c r="L34" s="122"/>
      <c r="M34" s="11" t="str">
        <f t="shared" si="11"/>
        <v/>
      </c>
      <c r="N34" s="21"/>
      <c r="O34" s="21"/>
      <c r="P34" s="21"/>
      <c r="Q34" s="120" t="str">
        <f>IFERROR(VLOOKUP($A34,'Мои блогеры'!$A$2:$N$673,10,0)&amp;"-TRG","")</f>
        <v/>
      </c>
      <c r="R34" s="21"/>
      <c r="S34" s="21"/>
      <c r="T34" s="122"/>
      <c r="U34" s="123" t="str">
        <f t="shared" si="12"/>
        <v/>
      </c>
      <c r="V34" s="122"/>
      <c r="W34" s="122"/>
      <c r="X34" s="123" t="str">
        <f t="shared" si="13"/>
        <v/>
      </c>
      <c r="Y34" s="122"/>
      <c r="Z34" s="122"/>
      <c r="AA34" s="122"/>
      <c r="AB34" s="124"/>
      <c r="AC34" s="11" t="str">
        <f t="shared" si="14"/>
        <v/>
      </c>
      <c r="AD34" s="122"/>
      <c r="AE34" s="11" t="str">
        <f t="shared" si="15"/>
        <v/>
      </c>
      <c r="AF34" s="11" t="str">
        <f t="shared" si="16"/>
        <v/>
      </c>
      <c r="AG34" s="11" t="str">
        <f t="shared" si="17"/>
        <v/>
      </c>
      <c r="AH34" s="21"/>
    </row>
    <row r="35" ht="15.0" customHeight="1">
      <c r="A35" s="21"/>
      <c r="B35" s="120" t="str">
        <f>IF($A35="","",IFERROR(HYPERLINK(VLOOKUP($A35,'Мои блогеры'!$A$2:$N$673,14,0),"🔗 открыть"),""))</f>
        <v/>
      </c>
      <c r="C35" s="11" t="str">
        <f>IFERROR(VLOOKUP($A35,'Мои блогеры'!$A:$N,5,0),"")</f>
        <v/>
      </c>
      <c r="D35" s="120" t="str">
        <f>IFERROR(VLOOKUP($A35,'Мои блогеры'!$A:$N,2,0),"")</f>
        <v/>
      </c>
      <c r="E35" s="21"/>
      <c r="F35" s="21"/>
      <c r="G35" s="21"/>
      <c r="H35" s="121"/>
      <c r="I35" s="21"/>
      <c r="J35" s="11" t="str">
        <f>IFERROR(VLOOKUP($A35,'Мои блогеры'!$A$2:$N$673,8,0),"")</f>
        <v/>
      </c>
      <c r="K35" s="122"/>
      <c r="L35" s="122"/>
      <c r="M35" s="11" t="str">
        <f t="shared" si="11"/>
        <v/>
      </c>
      <c r="N35" s="21"/>
      <c r="O35" s="21"/>
      <c r="P35" s="21"/>
      <c r="Q35" s="120" t="str">
        <f>IFERROR(VLOOKUP($A35,'Мои блогеры'!$A$2:$N$673,10,0)&amp;"-TRG","")</f>
        <v/>
      </c>
      <c r="R35" s="21"/>
      <c r="S35" s="21"/>
      <c r="T35" s="122"/>
      <c r="U35" s="123" t="str">
        <f t="shared" si="12"/>
        <v/>
      </c>
      <c r="V35" s="122"/>
      <c r="W35" s="122"/>
      <c r="X35" s="123" t="str">
        <f t="shared" si="13"/>
        <v/>
      </c>
      <c r="Y35" s="122"/>
      <c r="Z35" s="122"/>
      <c r="AA35" s="122"/>
      <c r="AB35" s="124"/>
      <c r="AC35" s="11" t="str">
        <f t="shared" si="14"/>
        <v/>
      </c>
      <c r="AD35" s="122"/>
      <c r="AE35" s="11" t="str">
        <f t="shared" si="15"/>
        <v/>
      </c>
      <c r="AF35" s="11" t="str">
        <f t="shared" si="16"/>
        <v/>
      </c>
      <c r="AG35" s="11" t="str">
        <f t="shared" si="17"/>
        <v/>
      </c>
      <c r="AH35" s="21"/>
    </row>
    <row r="36" ht="15.0" customHeight="1">
      <c r="A36" s="21"/>
      <c r="B36" s="120" t="str">
        <f>IF($A36="","",IFERROR(HYPERLINK(VLOOKUP($A36,'Мои блогеры'!$A$2:$N$673,14,0),"🔗 открыть"),""))</f>
        <v/>
      </c>
      <c r="C36" s="11" t="str">
        <f>IFERROR(VLOOKUP($A36,'Мои блогеры'!$A:$N,5,0),"")</f>
        <v/>
      </c>
      <c r="D36" s="120" t="str">
        <f>IFERROR(VLOOKUP($A36,'Мои блогеры'!$A:$N,2,0),"")</f>
        <v/>
      </c>
      <c r="E36" s="21"/>
      <c r="F36" s="21"/>
      <c r="G36" s="21"/>
      <c r="H36" s="121"/>
      <c r="I36" s="21"/>
      <c r="J36" s="11" t="str">
        <f>IFERROR(VLOOKUP($A36,'Мои блогеры'!$A$2:$N$673,8,0),"")</f>
        <v/>
      </c>
      <c r="K36" s="122"/>
      <c r="L36" s="122"/>
      <c r="M36" s="11" t="str">
        <f t="shared" si="11"/>
        <v/>
      </c>
      <c r="N36" s="21"/>
      <c r="O36" s="21"/>
      <c r="P36" s="21"/>
      <c r="Q36" s="120" t="str">
        <f>IFERROR(VLOOKUP($A36,'Мои блогеры'!$A$2:$N$673,10,0)&amp;"-TRG","")</f>
        <v/>
      </c>
      <c r="R36" s="21"/>
      <c r="S36" s="21"/>
      <c r="T36" s="122"/>
      <c r="U36" s="123" t="str">
        <f t="shared" si="12"/>
        <v/>
      </c>
      <c r="V36" s="122"/>
      <c r="W36" s="122"/>
      <c r="X36" s="123" t="str">
        <f t="shared" si="13"/>
        <v/>
      </c>
      <c r="Y36" s="122"/>
      <c r="Z36" s="122"/>
      <c r="AA36" s="122"/>
      <c r="AB36" s="124"/>
      <c r="AC36" s="11" t="str">
        <f t="shared" si="14"/>
        <v/>
      </c>
      <c r="AD36" s="122"/>
      <c r="AE36" s="11" t="str">
        <f t="shared" si="15"/>
        <v/>
      </c>
      <c r="AF36" s="11" t="str">
        <f t="shared" si="16"/>
        <v/>
      </c>
      <c r="AG36" s="11" t="str">
        <f t="shared" si="17"/>
        <v/>
      </c>
      <c r="AH36" s="21"/>
    </row>
    <row r="37" ht="15.0" customHeight="1">
      <c r="A37" s="21"/>
      <c r="B37" s="120" t="str">
        <f>IF($A37="","",IFERROR(HYPERLINK(VLOOKUP($A37,'Мои блогеры'!$A$2:$N$673,14,0),"🔗 открыть"),""))</f>
        <v/>
      </c>
      <c r="C37" s="11" t="str">
        <f>IFERROR(VLOOKUP($A37,'Мои блогеры'!$A:$N,5,0),"")</f>
        <v/>
      </c>
      <c r="D37" s="120" t="str">
        <f>IFERROR(VLOOKUP($A37,'Мои блогеры'!$A:$N,2,0),"")</f>
        <v/>
      </c>
      <c r="E37" s="21"/>
      <c r="F37" s="21"/>
      <c r="G37" s="21"/>
      <c r="H37" s="121"/>
      <c r="I37" s="21"/>
      <c r="J37" s="11" t="str">
        <f>IFERROR(VLOOKUP($A37,'Мои блогеры'!$A$2:$N$673,8,0),"")</f>
        <v/>
      </c>
      <c r="K37" s="122"/>
      <c r="L37" s="122"/>
      <c r="M37" s="11" t="str">
        <f t="shared" si="11"/>
        <v/>
      </c>
      <c r="N37" s="21"/>
      <c r="O37" s="21"/>
      <c r="P37" s="21"/>
      <c r="Q37" s="120" t="str">
        <f>IFERROR(VLOOKUP($A37,'Мои блогеры'!$A$2:$N$673,10,0)&amp;"-TRG","")</f>
        <v/>
      </c>
      <c r="R37" s="21"/>
      <c r="S37" s="21"/>
      <c r="T37" s="122"/>
      <c r="U37" s="123" t="str">
        <f t="shared" si="12"/>
        <v/>
      </c>
      <c r="V37" s="122"/>
      <c r="W37" s="122"/>
      <c r="X37" s="123" t="str">
        <f t="shared" si="13"/>
        <v/>
      </c>
      <c r="Y37" s="122"/>
      <c r="Z37" s="122"/>
      <c r="AA37" s="122"/>
      <c r="AB37" s="124"/>
      <c r="AC37" s="11" t="str">
        <f t="shared" si="14"/>
        <v/>
      </c>
      <c r="AD37" s="122"/>
      <c r="AE37" s="11" t="str">
        <f t="shared" si="15"/>
        <v/>
      </c>
      <c r="AF37" s="11" t="str">
        <f t="shared" si="16"/>
        <v/>
      </c>
      <c r="AG37" s="11" t="str">
        <f t="shared" si="17"/>
        <v/>
      </c>
      <c r="AH37" s="21"/>
    </row>
    <row r="38" ht="15.0" customHeight="1">
      <c r="A38" s="21"/>
      <c r="B38" s="120" t="str">
        <f>IF($A38="","",IFERROR(HYPERLINK(VLOOKUP($A38,'Мои блогеры'!$A$2:$N$673,14,0),"🔗 открыть"),""))</f>
        <v/>
      </c>
      <c r="C38" s="11" t="str">
        <f>IFERROR(VLOOKUP($A38,'Мои блогеры'!$A:$N,5,0),"")</f>
        <v/>
      </c>
      <c r="D38" s="120" t="str">
        <f>IFERROR(VLOOKUP($A38,'Мои блогеры'!$A:$N,2,0),"")</f>
        <v/>
      </c>
      <c r="E38" s="21"/>
      <c r="F38" s="21"/>
      <c r="G38" s="21"/>
      <c r="H38" s="121"/>
      <c r="I38" s="21"/>
      <c r="J38" s="11" t="str">
        <f>IFERROR(VLOOKUP($A38,'Мои блогеры'!$A$2:$N$673,8,0),"")</f>
        <v/>
      </c>
      <c r="K38" s="122"/>
      <c r="L38" s="122"/>
      <c r="M38" s="11" t="str">
        <f t="shared" si="11"/>
        <v/>
      </c>
      <c r="N38" s="21"/>
      <c r="O38" s="21"/>
      <c r="P38" s="21"/>
      <c r="Q38" s="120" t="str">
        <f>IFERROR(VLOOKUP($A38,'Мои блогеры'!$A$2:$N$673,10,0)&amp;"-TRG","")</f>
        <v/>
      </c>
      <c r="R38" s="21"/>
      <c r="S38" s="21"/>
      <c r="T38" s="122"/>
      <c r="U38" s="123" t="str">
        <f t="shared" si="12"/>
        <v/>
      </c>
      <c r="V38" s="122"/>
      <c r="W38" s="122"/>
      <c r="X38" s="123" t="str">
        <f t="shared" si="13"/>
        <v/>
      </c>
      <c r="Y38" s="122"/>
      <c r="Z38" s="122"/>
      <c r="AA38" s="122"/>
      <c r="AB38" s="124"/>
      <c r="AC38" s="11" t="str">
        <f t="shared" si="14"/>
        <v/>
      </c>
      <c r="AD38" s="122"/>
      <c r="AE38" s="11" t="str">
        <f t="shared" si="15"/>
        <v/>
      </c>
      <c r="AF38" s="11" t="str">
        <f t="shared" si="16"/>
        <v/>
      </c>
      <c r="AG38" s="11" t="str">
        <f t="shared" si="17"/>
        <v/>
      </c>
      <c r="AH38" s="21"/>
    </row>
    <row r="39" ht="15.0" customHeight="1">
      <c r="A39" s="126" t="s">
        <v>908</v>
      </c>
      <c r="B39" s="126"/>
      <c r="C39" s="127"/>
      <c r="D39" s="126"/>
      <c r="E39" s="126"/>
      <c r="F39" s="126"/>
      <c r="G39" s="126"/>
      <c r="H39" s="126"/>
      <c r="I39" s="126" t="str">
        <f>COUNTIF(I24:I38,"Вышло")&amp;" / "&amp;COUNTA(A24:A38)</f>
        <v>0 / 0</v>
      </c>
      <c r="J39" s="127">
        <f t="shared" ref="J39:M39" si="18">SUM(J24:J38)</f>
        <v>0</v>
      </c>
      <c r="K39" s="127">
        <f t="shared" si="18"/>
        <v>0</v>
      </c>
      <c r="L39" s="127">
        <f t="shared" si="18"/>
        <v>0</v>
      </c>
      <c r="M39" s="127">
        <f t="shared" si="18"/>
        <v>0</v>
      </c>
      <c r="N39" s="126"/>
      <c r="O39" s="126"/>
      <c r="P39" s="126"/>
      <c r="Q39" s="126"/>
      <c r="R39" s="126"/>
      <c r="S39" s="126"/>
      <c r="T39" s="127">
        <f>SUM(T24:T38)</f>
        <v>0</v>
      </c>
      <c r="U39" s="128" t="str">
        <f>IF(N(T39)=0,"",M39/T39)</f>
        <v/>
      </c>
      <c r="V39" s="127">
        <f t="shared" ref="V39:W39" si="19">SUM(V24:V38)</f>
        <v>0</v>
      </c>
      <c r="W39" s="127">
        <f t="shared" si="19"/>
        <v>0</v>
      </c>
      <c r="X39" s="128" t="str">
        <f>IF(N(V39)=0,"",M39/V39)</f>
        <v/>
      </c>
      <c r="Y39" s="127">
        <f t="shared" ref="Y39:AA39" si="20">SUM(Y24:Y38)</f>
        <v>0</v>
      </c>
      <c r="Z39" s="127">
        <f t="shared" si="20"/>
        <v>0</v>
      </c>
      <c r="AA39" s="127">
        <f t="shared" si="20"/>
        <v>0</v>
      </c>
      <c r="AB39" s="129"/>
      <c r="AC39" s="127">
        <f>SUM(AC24:AC38)</f>
        <v>0</v>
      </c>
      <c r="AD39" s="127"/>
      <c r="AE39" s="127">
        <f>SUM(AE24:AE38)</f>
        <v>0</v>
      </c>
      <c r="AF39" s="127" t="str">
        <f>IF(N(AC39)=0,"—",ROUND(M39/AC39,0))</f>
        <v>—</v>
      </c>
      <c r="AG39" s="127" t="str">
        <f>IF(N(Z39)=0,"—",ROUND(M39/Z39,0))</f>
        <v>—</v>
      </c>
      <c r="AH39" s="126"/>
    </row>
    <row r="40" ht="15.0" customHeight="1">
      <c r="A40" s="117" t="s">
        <v>909</v>
      </c>
      <c r="B40" s="117"/>
      <c r="C40" s="130"/>
      <c r="D40" s="117"/>
      <c r="E40" s="117"/>
      <c r="F40" s="117"/>
      <c r="G40" s="117"/>
      <c r="H40" s="117"/>
      <c r="I40" s="117"/>
      <c r="J40" s="130"/>
      <c r="K40" s="130"/>
      <c r="L40" s="130"/>
      <c r="M40" s="130"/>
      <c r="N40" s="117"/>
      <c r="O40" s="117"/>
      <c r="P40" s="117"/>
      <c r="Q40" s="117"/>
      <c r="R40" s="117"/>
      <c r="S40" s="117"/>
      <c r="T40" s="130"/>
      <c r="U40" s="131"/>
      <c r="V40" s="130"/>
      <c r="W40" s="130"/>
      <c r="X40" s="131"/>
      <c r="Y40" s="130"/>
      <c r="Z40" s="130"/>
      <c r="AA40" s="130"/>
      <c r="AB40" s="132"/>
      <c r="AC40" s="130"/>
      <c r="AD40" s="130"/>
      <c r="AE40" s="130"/>
      <c r="AF40" s="130"/>
      <c r="AG40" s="130"/>
      <c r="AH40" s="117"/>
    </row>
    <row r="41" ht="15.0" customHeight="1">
      <c r="A41" s="21"/>
      <c r="B41" s="120" t="str">
        <f>IF($A41="","",IFERROR(HYPERLINK(VLOOKUP($A41,'Мои блогеры'!$A$2:$N$673,14,0),"🔗 открыть"),""))</f>
        <v/>
      </c>
      <c r="C41" s="11" t="str">
        <f>IFERROR(VLOOKUP($A41,'Мои блогеры'!$A:$N,5,0),"")</f>
        <v/>
      </c>
      <c r="D41" s="120" t="str">
        <f>IFERROR(VLOOKUP($A41,'Мои блогеры'!$A:$N,2,0),"")</f>
        <v/>
      </c>
      <c r="E41" s="21"/>
      <c r="F41" s="21"/>
      <c r="G41" s="21"/>
      <c r="H41" s="121"/>
      <c r="I41" s="21"/>
      <c r="J41" s="11">
        <v>43050.0</v>
      </c>
      <c r="K41" s="122"/>
      <c r="L41" s="122"/>
      <c r="M41" s="11">
        <f t="shared" ref="M41:M55" si="21">IF(N($J41)+N($K41)+N($L41)=0,"",N($J41)+N($K41)+N($L41))</f>
        <v>43050</v>
      </c>
      <c r="N41" s="21"/>
      <c r="O41" s="151" t="s">
        <v>910</v>
      </c>
      <c r="P41" s="151" t="s">
        <v>910</v>
      </c>
      <c r="Q41" s="120" t="str">
        <f>IFERROR(VLOOKUP($A41,'Мои блогеры'!$A$2:$N$673,10,0)&amp;"-TRG","")</f>
        <v/>
      </c>
      <c r="R41" s="21"/>
      <c r="S41" s="21"/>
      <c r="T41" s="122"/>
      <c r="U41" s="123" t="str">
        <f t="shared" ref="U41:U55" si="22">IF(N($T41)=0,"",$M41/$T41)</f>
        <v/>
      </c>
      <c r="V41" s="122"/>
      <c r="W41" s="122"/>
      <c r="X41" s="123" t="str">
        <f t="shared" ref="X41:X55" si="23">IF(N($V41)=0,"",$M41/$V41)</f>
        <v/>
      </c>
      <c r="Y41" s="122"/>
      <c r="Z41" s="122"/>
      <c r="AA41" s="122"/>
      <c r="AB41" s="124"/>
      <c r="AC41" s="11" t="str">
        <f t="shared" ref="AC41:AC55" si="24">IF(OR(N($Z41)=0,$AB41=""),"",ROUND($Z41*$AB41,0))</f>
        <v/>
      </c>
      <c r="AD41" s="122"/>
      <c r="AE41" s="11" t="str">
        <f t="shared" ref="AE41:AE55" si="25">IF(OR(N($AC41)=0,$AD41=""),"",ROUND($AC41*$AD41,0))</f>
        <v/>
      </c>
      <c r="AF41" s="11" t="str">
        <f t="shared" ref="AF41:AF55" si="26">IF(N($AC41)=0,"",ROUND($M41/$AC41,0))</f>
        <v/>
      </c>
      <c r="AG41" s="11" t="str">
        <f t="shared" ref="AG41:AG55" si="27">IF(N($Z41)=0,"",ROUND($M41/$Z41,0))</f>
        <v/>
      </c>
      <c r="AH41" s="21"/>
    </row>
    <row r="42" ht="15.0" customHeight="1">
      <c r="A42" s="21"/>
      <c r="B42" s="120" t="str">
        <f>IF($A42="","",IFERROR(HYPERLINK(VLOOKUP($A42,'Мои блогеры'!$A$2:$N$673,14,0),"🔗 открыть"),""))</f>
        <v/>
      </c>
      <c r="C42" s="11" t="str">
        <f>IFERROR(VLOOKUP($A42,'Мои блогеры'!$A:$N,5,0),"")</f>
        <v/>
      </c>
      <c r="D42" s="120" t="str">
        <f>IFERROR(VLOOKUP($A42,'Мои блогеры'!$A:$N,2,0),"")</f>
        <v/>
      </c>
      <c r="E42" s="21"/>
      <c r="F42" s="21"/>
      <c r="G42" s="21"/>
      <c r="H42" s="121"/>
      <c r="I42" s="21"/>
      <c r="J42" s="11" t="str">
        <f>IFERROR(VLOOKUP($A42,'Мои блогеры'!$A$2:$N$673,8,0),"")</f>
        <v/>
      </c>
      <c r="K42" s="122"/>
      <c r="L42" s="122"/>
      <c r="M42" s="11" t="str">
        <f t="shared" si="21"/>
        <v/>
      </c>
      <c r="N42" s="21"/>
      <c r="O42" s="21"/>
      <c r="P42" s="21"/>
      <c r="Q42" s="120" t="str">
        <f>IFERROR(VLOOKUP($A42,'Мои блогеры'!$A$2:$N$673,10,0)&amp;"-TRG","")</f>
        <v/>
      </c>
      <c r="R42" s="21"/>
      <c r="S42" s="21"/>
      <c r="T42" s="122"/>
      <c r="U42" s="123" t="str">
        <f t="shared" si="22"/>
        <v/>
      </c>
      <c r="V42" s="122"/>
      <c r="W42" s="122"/>
      <c r="X42" s="123" t="str">
        <f t="shared" si="23"/>
        <v/>
      </c>
      <c r="Y42" s="122"/>
      <c r="Z42" s="122"/>
      <c r="AA42" s="122"/>
      <c r="AB42" s="124"/>
      <c r="AC42" s="11" t="str">
        <f t="shared" si="24"/>
        <v/>
      </c>
      <c r="AD42" s="122"/>
      <c r="AE42" s="11" t="str">
        <f t="shared" si="25"/>
        <v/>
      </c>
      <c r="AF42" s="11" t="str">
        <f t="shared" si="26"/>
        <v/>
      </c>
      <c r="AG42" s="11" t="str">
        <f t="shared" si="27"/>
        <v/>
      </c>
      <c r="AH42" s="21"/>
    </row>
    <row r="43" ht="15.75" customHeight="1">
      <c r="A43" s="21"/>
      <c r="B43" s="120" t="str">
        <f>IF($A43="","",IFERROR(HYPERLINK(VLOOKUP($A43,'Мои блогеры'!$A$2:$N$673,14,0),"🔗 открыть"),""))</f>
        <v/>
      </c>
      <c r="C43" s="11" t="str">
        <f>IFERROR(VLOOKUP($A43,'Мои блогеры'!$A:$N,5,0),"")</f>
        <v/>
      </c>
      <c r="D43" s="120" t="str">
        <f>IFERROR(VLOOKUP($A43,'Мои блогеры'!$A:$N,2,0),"")</f>
        <v/>
      </c>
      <c r="E43" s="21"/>
      <c r="F43" s="21"/>
      <c r="G43" s="21"/>
      <c r="H43" s="121"/>
      <c r="I43" s="21"/>
      <c r="J43" s="11" t="str">
        <f>IFERROR(VLOOKUP($A43,'Мои блогеры'!$A$2:$N$673,8,0),"")</f>
        <v/>
      </c>
      <c r="K43" s="122"/>
      <c r="L43" s="122"/>
      <c r="M43" s="11" t="str">
        <f t="shared" si="21"/>
        <v/>
      </c>
      <c r="N43" s="21"/>
      <c r="O43" s="21"/>
      <c r="P43" s="21"/>
      <c r="Q43" s="120" t="str">
        <f>IFERROR(VLOOKUP($A43,'Мои блогеры'!$A$2:$N$673,10,0)&amp;"-TRG","")</f>
        <v/>
      </c>
      <c r="R43" s="21"/>
      <c r="S43" s="21"/>
      <c r="T43" s="122"/>
      <c r="U43" s="123" t="str">
        <f t="shared" si="22"/>
        <v/>
      </c>
      <c r="V43" s="122"/>
      <c r="W43" s="122"/>
      <c r="X43" s="123" t="str">
        <f t="shared" si="23"/>
        <v/>
      </c>
      <c r="Y43" s="122"/>
      <c r="Z43" s="122"/>
      <c r="AA43" s="122"/>
      <c r="AB43" s="124"/>
      <c r="AC43" s="11" t="str">
        <f t="shared" si="24"/>
        <v/>
      </c>
      <c r="AD43" s="122"/>
      <c r="AE43" s="11" t="str">
        <f t="shared" si="25"/>
        <v/>
      </c>
      <c r="AF43" s="11" t="str">
        <f t="shared" si="26"/>
        <v/>
      </c>
      <c r="AG43" s="11" t="str">
        <f t="shared" si="27"/>
        <v/>
      </c>
      <c r="AH43" s="21"/>
    </row>
    <row r="44" ht="15.0" customHeight="1">
      <c r="A44" s="21"/>
      <c r="B44" s="120" t="str">
        <f>IF($A44="","",IFERROR(HYPERLINK(VLOOKUP($A44,'Мои блогеры'!$A$2:$N$673,14,0),"🔗 открыть"),""))</f>
        <v/>
      </c>
      <c r="C44" s="11" t="str">
        <f>IFERROR(VLOOKUP($A44,'Мои блогеры'!$A:$N,5,0),"")</f>
        <v/>
      </c>
      <c r="D44" s="120" t="str">
        <f>IFERROR(VLOOKUP($A44,'Мои блогеры'!$A:$N,2,0),"")</f>
        <v/>
      </c>
      <c r="E44" s="21"/>
      <c r="F44" s="21"/>
      <c r="G44" s="21"/>
      <c r="H44" s="121"/>
      <c r="I44" s="21"/>
      <c r="J44" s="11" t="str">
        <f>IFERROR(VLOOKUP($A44,'Мои блогеры'!$A$2:$N$673,8,0),"")</f>
        <v/>
      </c>
      <c r="K44" s="122"/>
      <c r="L44" s="122"/>
      <c r="M44" s="11" t="str">
        <f t="shared" si="21"/>
        <v/>
      </c>
      <c r="N44" s="21"/>
      <c r="O44" s="21"/>
      <c r="P44" s="21"/>
      <c r="Q44" s="120" t="str">
        <f>IFERROR(VLOOKUP($A44,'Мои блогеры'!$A$2:$N$673,10,0)&amp;"-TRG","")</f>
        <v/>
      </c>
      <c r="R44" s="21"/>
      <c r="S44" s="21"/>
      <c r="T44" s="122"/>
      <c r="U44" s="123" t="str">
        <f t="shared" si="22"/>
        <v/>
      </c>
      <c r="V44" s="122"/>
      <c r="W44" s="122"/>
      <c r="X44" s="123" t="str">
        <f t="shared" si="23"/>
        <v/>
      </c>
      <c r="Y44" s="122"/>
      <c r="Z44" s="122"/>
      <c r="AA44" s="122"/>
      <c r="AB44" s="124"/>
      <c r="AC44" s="11" t="str">
        <f t="shared" si="24"/>
        <v/>
      </c>
      <c r="AD44" s="122"/>
      <c r="AE44" s="11" t="str">
        <f t="shared" si="25"/>
        <v/>
      </c>
      <c r="AF44" s="11" t="str">
        <f t="shared" si="26"/>
        <v/>
      </c>
      <c r="AG44" s="11" t="str">
        <f t="shared" si="27"/>
        <v/>
      </c>
      <c r="AH44" s="21"/>
    </row>
    <row r="45" ht="15.0" customHeight="1">
      <c r="A45" s="21"/>
      <c r="B45" s="120" t="str">
        <f>IF($A45="","",IFERROR(HYPERLINK(VLOOKUP($A45,'Мои блогеры'!$A$2:$N$673,14,0),"🔗 открыть"),""))</f>
        <v/>
      </c>
      <c r="C45" s="11" t="str">
        <f>IFERROR(VLOOKUP($A45,'Мои блогеры'!$A:$N,5,0),"")</f>
        <v/>
      </c>
      <c r="D45" s="120" t="str">
        <f>IFERROR(VLOOKUP($A45,'Мои блогеры'!$A:$N,2,0),"")</f>
        <v/>
      </c>
      <c r="E45" s="21"/>
      <c r="F45" s="21"/>
      <c r="G45" s="21"/>
      <c r="H45" s="121"/>
      <c r="I45" s="21"/>
      <c r="J45" s="11" t="str">
        <f>IFERROR(VLOOKUP($A45,'Мои блогеры'!$A$2:$N$673,8,0),"")</f>
        <v/>
      </c>
      <c r="K45" s="122"/>
      <c r="L45" s="122"/>
      <c r="M45" s="11" t="str">
        <f t="shared" si="21"/>
        <v/>
      </c>
      <c r="N45" s="21"/>
      <c r="O45" s="21"/>
      <c r="P45" s="21"/>
      <c r="Q45" s="120" t="str">
        <f>IFERROR(VLOOKUP($A45,'Мои блогеры'!$A$2:$N$673,10,0)&amp;"-TRG","")</f>
        <v/>
      </c>
      <c r="R45" s="21"/>
      <c r="S45" s="21"/>
      <c r="T45" s="122"/>
      <c r="U45" s="123" t="str">
        <f t="shared" si="22"/>
        <v/>
      </c>
      <c r="V45" s="122"/>
      <c r="W45" s="122"/>
      <c r="X45" s="123" t="str">
        <f t="shared" si="23"/>
        <v/>
      </c>
      <c r="Y45" s="122"/>
      <c r="Z45" s="122"/>
      <c r="AA45" s="122"/>
      <c r="AB45" s="124"/>
      <c r="AC45" s="11" t="str">
        <f t="shared" si="24"/>
        <v/>
      </c>
      <c r="AD45" s="122"/>
      <c r="AE45" s="11" t="str">
        <f t="shared" si="25"/>
        <v/>
      </c>
      <c r="AF45" s="11" t="str">
        <f t="shared" si="26"/>
        <v/>
      </c>
      <c r="AG45" s="11" t="str">
        <f t="shared" si="27"/>
        <v/>
      </c>
      <c r="AH45" s="21"/>
    </row>
    <row r="46" ht="15.0" customHeight="1">
      <c r="A46" s="21"/>
      <c r="B46" s="120" t="str">
        <f>IF($A46="","",IFERROR(HYPERLINK(VLOOKUP($A46,'Мои блогеры'!$A$2:$N$673,14,0),"🔗 открыть"),""))</f>
        <v/>
      </c>
      <c r="C46" s="11" t="str">
        <f>IFERROR(VLOOKUP($A46,'Мои блогеры'!$A:$N,5,0),"")</f>
        <v/>
      </c>
      <c r="D46" s="120" t="str">
        <f>IFERROR(VLOOKUP($A46,'Мои блогеры'!$A:$N,2,0),"")</f>
        <v/>
      </c>
      <c r="E46" s="21"/>
      <c r="F46" s="21"/>
      <c r="G46" s="21"/>
      <c r="H46" s="121"/>
      <c r="I46" s="21"/>
      <c r="J46" s="11" t="str">
        <f>IFERROR(VLOOKUP($A46,'Мои блогеры'!$A$2:$N$673,8,0),"")</f>
        <v/>
      </c>
      <c r="K46" s="122"/>
      <c r="L46" s="122"/>
      <c r="M46" s="11" t="str">
        <f t="shared" si="21"/>
        <v/>
      </c>
      <c r="N46" s="21"/>
      <c r="O46" s="21"/>
      <c r="P46" s="21"/>
      <c r="Q46" s="120" t="str">
        <f>IFERROR(VLOOKUP($A46,'Мои блогеры'!$A$2:$N$673,10,0)&amp;"-TRG","")</f>
        <v/>
      </c>
      <c r="R46" s="21"/>
      <c r="S46" s="21"/>
      <c r="T46" s="122"/>
      <c r="U46" s="123" t="str">
        <f t="shared" si="22"/>
        <v/>
      </c>
      <c r="V46" s="122"/>
      <c r="W46" s="122"/>
      <c r="X46" s="123" t="str">
        <f t="shared" si="23"/>
        <v/>
      </c>
      <c r="Y46" s="122"/>
      <c r="Z46" s="122"/>
      <c r="AA46" s="122"/>
      <c r="AB46" s="124"/>
      <c r="AC46" s="11" t="str">
        <f t="shared" si="24"/>
        <v/>
      </c>
      <c r="AD46" s="122"/>
      <c r="AE46" s="11" t="str">
        <f t="shared" si="25"/>
        <v/>
      </c>
      <c r="AF46" s="11" t="str">
        <f t="shared" si="26"/>
        <v/>
      </c>
      <c r="AG46" s="11" t="str">
        <f t="shared" si="27"/>
        <v/>
      </c>
      <c r="AH46" s="21"/>
    </row>
    <row r="47" ht="15.0" customHeight="1">
      <c r="A47" s="21"/>
      <c r="B47" s="120" t="str">
        <f>IF($A47="","",IFERROR(HYPERLINK(VLOOKUP($A47,'Мои блогеры'!$A$2:$N$673,14,0),"🔗 открыть"),""))</f>
        <v/>
      </c>
      <c r="C47" s="11" t="str">
        <f>IFERROR(VLOOKUP($A47,'Мои блогеры'!$A:$N,5,0),"")</f>
        <v/>
      </c>
      <c r="D47" s="120" t="str">
        <f>IFERROR(VLOOKUP($A47,'Мои блогеры'!$A:$N,2,0),"")</f>
        <v/>
      </c>
      <c r="E47" s="21"/>
      <c r="F47" s="21"/>
      <c r="G47" s="21"/>
      <c r="H47" s="121"/>
      <c r="I47" s="21"/>
      <c r="J47" s="11" t="str">
        <f>IFERROR(VLOOKUP($A47,'Мои блогеры'!$A$2:$N$673,8,0),"")</f>
        <v/>
      </c>
      <c r="K47" s="122"/>
      <c r="L47" s="122"/>
      <c r="M47" s="11" t="str">
        <f t="shared" si="21"/>
        <v/>
      </c>
      <c r="N47" s="21"/>
      <c r="O47" s="21"/>
      <c r="P47" s="21"/>
      <c r="Q47" s="120" t="str">
        <f>IFERROR(VLOOKUP($A47,'Мои блогеры'!$A$2:$N$673,10,0)&amp;"-TRG","")</f>
        <v/>
      </c>
      <c r="R47" s="21"/>
      <c r="S47" s="21"/>
      <c r="T47" s="122"/>
      <c r="U47" s="123" t="str">
        <f t="shared" si="22"/>
        <v/>
      </c>
      <c r="V47" s="122"/>
      <c r="W47" s="122"/>
      <c r="X47" s="123" t="str">
        <f t="shared" si="23"/>
        <v/>
      </c>
      <c r="Y47" s="122"/>
      <c r="Z47" s="122"/>
      <c r="AA47" s="122"/>
      <c r="AB47" s="124"/>
      <c r="AC47" s="11" t="str">
        <f t="shared" si="24"/>
        <v/>
      </c>
      <c r="AD47" s="122"/>
      <c r="AE47" s="11" t="str">
        <f t="shared" si="25"/>
        <v/>
      </c>
      <c r="AF47" s="11" t="str">
        <f t="shared" si="26"/>
        <v/>
      </c>
      <c r="AG47" s="11" t="str">
        <f t="shared" si="27"/>
        <v/>
      </c>
      <c r="AH47" s="21"/>
    </row>
    <row r="48" ht="15.0" customHeight="1">
      <c r="A48" s="21"/>
      <c r="B48" s="120" t="str">
        <f>IF($A48="","",IFERROR(HYPERLINK(VLOOKUP($A48,'Мои блогеры'!$A$2:$N$673,14,0),"🔗 открыть"),""))</f>
        <v/>
      </c>
      <c r="C48" s="11" t="str">
        <f>IFERROR(VLOOKUP($A48,'Мои блогеры'!$A:$N,5,0),"")</f>
        <v/>
      </c>
      <c r="D48" s="120" t="str">
        <f>IFERROR(VLOOKUP($A48,'Мои блогеры'!$A:$N,2,0),"")</f>
        <v/>
      </c>
      <c r="E48" s="21"/>
      <c r="F48" s="21"/>
      <c r="G48" s="21"/>
      <c r="H48" s="121"/>
      <c r="I48" s="21"/>
      <c r="J48" s="11" t="str">
        <f>IFERROR(VLOOKUP($A48,'Мои блогеры'!$A$2:$N$673,8,0),"")</f>
        <v/>
      </c>
      <c r="K48" s="122"/>
      <c r="L48" s="122"/>
      <c r="M48" s="11" t="str">
        <f t="shared" si="21"/>
        <v/>
      </c>
      <c r="N48" s="21"/>
      <c r="O48" s="21"/>
      <c r="P48" s="21"/>
      <c r="Q48" s="120" t="str">
        <f>IFERROR(VLOOKUP($A48,'Мои блогеры'!$A$2:$N$673,10,0)&amp;"-TRG","")</f>
        <v/>
      </c>
      <c r="R48" s="21"/>
      <c r="S48" s="21"/>
      <c r="T48" s="122"/>
      <c r="U48" s="123" t="str">
        <f t="shared" si="22"/>
        <v/>
      </c>
      <c r="V48" s="122"/>
      <c r="W48" s="122"/>
      <c r="X48" s="123" t="str">
        <f t="shared" si="23"/>
        <v/>
      </c>
      <c r="Y48" s="122"/>
      <c r="Z48" s="122"/>
      <c r="AA48" s="122"/>
      <c r="AB48" s="124"/>
      <c r="AC48" s="11" t="str">
        <f t="shared" si="24"/>
        <v/>
      </c>
      <c r="AD48" s="122"/>
      <c r="AE48" s="11" t="str">
        <f t="shared" si="25"/>
        <v/>
      </c>
      <c r="AF48" s="11" t="str">
        <f t="shared" si="26"/>
        <v/>
      </c>
      <c r="AG48" s="11" t="str">
        <f t="shared" si="27"/>
        <v/>
      </c>
      <c r="AH48" s="21"/>
    </row>
    <row r="49" ht="15.0" customHeight="1">
      <c r="A49" s="21"/>
      <c r="B49" s="120" t="str">
        <f>IF($A49="","",IFERROR(HYPERLINK(VLOOKUP($A49,'Мои блогеры'!$A$2:$N$673,14,0),"🔗 открыть"),""))</f>
        <v/>
      </c>
      <c r="C49" s="11" t="str">
        <f>IFERROR(VLOOKUP($A49,'Мои блогеры'!$A:$N,5,0),"")</f>
        <v/>
      </c>
      <c r="D49" s="120" t="str">
        <f>IFERROR(VLOOKUP($A49,'Мои блогеры'!$A:$N,2,0),"")</f>
        <v/>
      </c>
      <c r="E49" s="21"/>
      <c r="F49" s="21"/>
      <c r="G49" s="21"/>
      <c r="H49" s="121"/>
      <c r="I49" s="21"/>
      <c r="J49" s="11" t="str">
        <f>IFERROR(VLOOKUP($A49,'Мои блогеры'!$A$2:$N$673,8,0),"")</f>
        <v/>
      </c>
      <c r="K49" s="122"/>
      <c r="L49" s="122"/>
      <c r="M49" s="11" t="str">
        <f t="shared" si="21"/>
        <v/>
      </c>
      <c r="N49" s="21"/>
      <c r="O49" s="21"/>
      <c r="P49" s="21"/>
      <c r="Q49" s="120" t="str">
        <f>IFERROR(VLOOKUP($A49,'Мои блогеры'!$A$2:$N$673,10,0)&amp;"-TRG","")</f>
        <v/>
      </c>
      <c r="R49" s="21"/>
      <c r="S49" s="21"/>
      <c r="T49" s="122"/>
      <c r="U49" s="123" t="str">
        <f t="shared" si="22"/>
        <v/>
      </c>
      <c r="V49" s="122"/>
      <c r="W49" s="122"/>
      <c r="X49" s="123" t="str">
        <f t="shared" si="23"/>
        <v/>
      </c>
      <c r="Y49" s="122"/>
      <c r="Z49" s="122"/>
      <c r="AA49" s="122"/>
      <c r="AB49" s="124"/>
      <c r="AC49" s="11" t="str">
        <f t="shared" si="24"/>
        <v/>
      </c>
      <c r="AD49" s="122"/>
      <c r="AE49" s="11" t="str">
        <f t="shared" si="25"/>
        <v/>
      </c>
      <c r="AF49" s="11" t="str">
        <f t="shared" si="26"/>
        <v/>
      </c>
      <c r="AG49" s="11" t="str">
        <f t="shared" si="27"/>
        <v/>
      </c>
      <c r="AH49" s="21"/>
    </row>
    <row r="50" ht="15.0" customHeight="1">
      <c r="A50" s="21"/>
      <c r="B50" s="120" t="str">
        <f>IF($A50="","",IFERROR(HYPERLINK(VLOOKUP($A50,'Мои блогеры'!$A$2:$N$673,14,0),"🔗 открыть"),""))</f>
        <v/>
      </c>
      <c r="C50" s="11" t="str">
        <f>IFERROR(VLOOKUP($A50,'Мои блогеры'!$A:$N,5,0),"")</f>
        <v/>
      </c>
      <c r="D50" s="120" t="str">
        <f>IFERROR(VLOOKUP($A50,'Мои блогеры'!$A:$N,2,0),"")</f>
        <v/>
      </c>
      <c r="E50" s="21"/>
      <c r="F50" s="21"/>
      <c r="G50" s="21"/>
      <c r="H50" s="121"/>
      <c r="I50" s="21"/>
      <c r="J50" s="11" t="str">
        <f>IFERROR(VLOOKUP($A50,'Мои блогеры'!$A$2:$N$673,8,0),"")</f>
        <v/>
      </c>
      <c r="K50" s="122"/>
      <c r="L50" s="122"/>
      <c r="M50" s="11" t="str">
        <f t="shared" si="21"/>
        <v/>
      </c>
      <c r="N50" s="21"/>
      <c r="O50" s="21"/>
      <c r="P50" s="21"/>
      <c r="Q50" s="120" t="str">
        <f>IFERROR(VLOOKUP($A50,'Мои блогеры'!$A$2:$N$673,10,0)&amp;"-TRG","")</f>
        <v/>
      </c>
      <c r="R50" s="21"/>
      <c r="S50" s="21"/>
      <c r="T50" s="122"/>
      <c r="U50" s="123" t="str">
        <f t="shared" si="22"/>
        <v/>
      </c>
      <c r="V50" s="122"/>
      <c r="W50" s="122"/>
      <c r="X50" s="123" t="str">
        <f t="shared" si="23"/>
        <v/>
      </c>
      <c r="Y50" s="122"/>
      <c r="Z50" s="122"/>
      <c r="AA50" s="122"/>
      <c r="AB50" s="124"/>
      <c r="AC50" s="11" t="str">
        <f t="shared" si="24"/>
        <v/>
      </c>
      <c r="AD50" s="122"/>
      <c r="AE50" s="11" t="str">
        <f t="shared" si="25"/>
        <v/>
      </c>
      <c r="AF50" s="11" t="str">
        <f t="shared" si="26"/>
        <v/>
      </c>
      <c r="AG50" s="11" t="str">
        <f t="shared" si="27"/>
        <v/>
      </c>
      <c r="AH50" s="21"/>
    </row>
    <row r="51" ht="15.0" customHeight="1">
      <c r="A51" s="21"/>
      <c r="B51" s="120" t="str">
        <f>IF($A51="","",IFERROR(HYPERLINK(VLOOKUP($A51,'Мои блогеры'!$A$2:$N$673,14,0),"🔗 открыть"),""))</f>
        <v/>
      </c>
      <c r="C51" s="11" t="str">
        <f>IFERROR(VLOOKUP($A51,'Мои блогеры'!$A:$N,5,0),"")</f>
        <v/>
      </c>
      <c r="D51" s="120" t="str">
        <f>IFERROR(VLOOKUP($A51,'Мои блогеры'!$A:$N,2,0),"")</f>
        <v/>
      </c>
      <c r="E51" s="21"/>
      <c r="F51" s="21"/>
      <c r="G51" s="21"/>
      <c r="H51" s="121"/>
      <c r="I51" s="21"/>
      <c r="J51" s="11" t="str">
        <f>IFERROR(VLOOKUP($A51,'Мои блогеры'!$A$2:$N$673,8,0),"")</f>
        <v/>
      </c>
      <c r="K51" s="122"/>
      <c r="L51" s="122"/>
      <c r="M51" s="11" t="str">
        <f t="shared" si="21"/>
        <v/>
      </c>
      <c r="N51" s="21"/>
      <c r="O51" s="21"/>
      <c r="P51" s="21"/>
      <c r="Q51" s="120" t="str">
        <f>IFERROR(VLOOKUP($A51,'Мои блогеры'!$A$2:$N$673,10,0)&amp;"-TRG","")</f>
        <v/>
      </c>
      <c r="R51" s="21"/>
      <c r="S51" s="21"/>
      <c r="T51" s="122"/>
      <c r="U51" s="123" t="str">
        <f t="shared" si="22"/>
        <v/>
      </c>
      <c r="V51" s="122"/>
      <c r="W51" s="122"/>
      <c r="X51" s="123" t="str">
        <f t="shared" si="23"/>
        <v/>
      </c>
      <c r="Y51" s="122"/>
      <c r="Z51" s="122"/>
      <c r="AA51" s="122"/>
      <c r="AB51" s="124"/>
      <c r="AC51" s="11" t="str">
        <f t="shared" si="24"/>
        <v/>
      </c>
      <c r="AD51" s="122"/>
      <c r="AE51" s="11" t="str">
        <f t="shared" si="25"/>
        <v/>
      </c>
      <c r="AF51" s="11" t="str">
        <f t="shared" si="26"/>
        <v/>
      </c>
      <c r="AG51" s="11" t="str">
        <f t="shared" si="27"/>
        <v/>
      </c>
      <c r="AH51" s="21"/>
    </row>
    <row r="52" ht="15.0" customHeight="1">
      <c r="A52" s="21"/>
      <c r="B52" s="120" t="str">
        <f>IF($A52="","",IFERROR(HYPERLINK(VLOOKUP($A52,'Мои блогеры'!$A$2:$N$673,14,0),"🔗 открыть"),""))</f>
        <v/>
      </c>
      <c r="C52" s="11" t="str">
        <f>IFERROR(VLOOKUP($A52,'Мои блогеры'!$A:$N,5,0),"")</f>
        <v/>
      </c>
      <c r="D52" s="120" t="str">
        <f>IFERROR(VLOOKUP($A52,'Мои блогеры'!$A:$N,2,0),"")</f>
        <v/>
      </c>
      <c r="E52" s="21"/>
      <c r="F52" s="21"/>
      <c r="G52" s="21"/>
      <c r="H52" s="121"/>
      <c r="I52" s="21"/>
      <c r="J52" s="11" t="str">
        <f>IFERROR(VLOOKUP($A52,'Мои блогеры'!$A$2:$N$673,8,0),"")</f>
        <v/>
      </c>
      <c r="K52" s="122"/>
      <c r="L52" s="122"/>
      <c r="M52" s="11" t="str">
        <f t="shared" si="21"/>
        <v/>
      </c>
      <c r="N52" s="21"/>
      <c r="O52" s="21"/>
      <c r="P52" s="21"/>
      <c r="Q52" s="120" t="str">
        <f>IFERROR(VLOOKUP($A52,'Мои блогеры'!$A$2:$N$673,10,0)&amp;"-TRG","")</f>
        <v/>
      </c>
      <c r="R52" s="21"/>
      <c r="S52" s="21"/>
      <c r="T52" s="122"/>
      <c r="U52" s="123" t="str">
        <f t="shared" si="22"/>
        <v/>
      </c>
      <c r="V52" s="122"/>
      <c r="W52" s="122"/>
      <c r="X52" s="123" t="str">
        <f t="shared" si="23"/>
        <v/>
      </c>
      <c r="Y52" s="122"/>
      <c r="Z52" s="122"/>
      <c r="AA52" s="122"/>
      <c r="AB52" s="124"/>
      <c r="AC52" s="11" t="str">
        <f t="shared" si="24"/>
        <v/>
      </c>
      <c r="AD52" s="122"/>
      <c r="AE52" s="11" t="str">
        <f t="shared" si="25"/>
        <v/>
      </c>
      <c r="AF52" s="11" t="str">
        <f t="shared" si="26"/>
        <v/>
      </c>
      <c r="AG52" s="11" t="str">
        <f t="shared" si="27"/>
        <v/>
      </c>
      <c r="AH52" s="21"/>
    </row>
    <row r="53" ht="15.0" customHeight="1">
      <c r="A53" s="21"/>
      <c r="B53" s="120" t="str">
        <f>IF($A53="","",IFERROR(HYPERLINK(VLOOKUP($A53,'Мои блогеры'!$A$2:$N$673,14,0),"🔗 открыть"),""))</f>
        <v/>
      </c>
      <c r="C53" s="11" t="str">
        <f>IFERROR(VLOOKUP($A53,'Мои блогеры'!$A:$N,5,0),"")</f>
        <v/>
      </c>
      <c r="D53" s="120" t="str">
        <f>IFERROR(VLOOKUP($A53,'Мои блогеры'!$A:$N,2,0),"")</f>
        <v/>
      </c>
      <c r="E53" s="21"/>
      <c r="F53" s="21"/>
      <c r="G53" s="21"/>
      <c r="H53" s="121"/>
      <c r="I53" s="21"/>
      <c r="J53" s="11" t="str">
        <f>IFERROR(VLOOKUP($A53,'Мои блогеры'!$A$2:$N$673,8,0),"")</f>
        <v/>
      </c>
      <c r="K53" s="122"/>
      <c r="L53" s="122"/>
      <c r="M53" s="11" t="str">
        <f t="shared" si="21"/>
        <v/>
      </c>
      <c r="N53" s="21"/>
      <c r="O53" s="21"/>
      <c r="P53" s="21"/>
      <c r="Q53" s="120" t="str">
        <f>IFERROR(VLOOKUP($A53,'Мои блогеры'!$A$2:$N$673,10,0)&amp;"-TRG","")</f>
        <v/>
      </c>
      <c r="R53" s="21"/>
      <c r="S53" s="21"/>
      <c r="T53" s="122"/>
      <c r="U53" s="123" t="str">
        <f t="shared" si="22"/>
        <v/>
      </c>
      <c r="V53" s="122"/>
      <c r="W53" s="122"/>
      <c r="X53" s="123" t="str">
        <f t="shared" si="23"/>
        <v/>
      </c>
      <c r="Y53" s="122"/>
      <c r="Z53" s="122"/>
      <c r="AA53" s="122"/>
      <c r="AB53" s="124"/>
      <c r="AC53" s="11" t="str">
        <f t="shared" si="24"/>
        <v/>
      </c>
      <c r="AD53" s="122"/>
      <c r="AE53" s="11" t="str">
        <f t="shared" si="25"/>
        <v/>
      </c>
      <c r="AF53" s="11" t="str">
        <f t="shared" si="26"/>
        <v/>
      </c>
      <c r="AG53" s="11" t="str">
        <f t="shared" si="27"/>
        <v/>
      </c>
      <c r="AH53" s="21"/>
    </row>
    <row r="54" ht="15.75" customHeight="1">
      <c r="A54" s="21"/>
      <c r="B54" s="120" t="str">
        <f>IF($A54="","",IFERROR(HYPERLINK(VLOOKUP($A54,'Мои блогеры'!$A$2:$N$673,14,0),"🔗 открыть"),""))</f>
        <v/>
      </c>
      <c r="C54" s="11" t="str">
        <f>IFERROR(VLOOKUP($A54,'Мои блогеры'!$A:$N,5,0),"")</f>
        <v/>
      </c>
      <c r="D54" s="120" t="str">
        <f>IFERROR(VLOOKUP($A54,'Мои блогеры'!$A:$N,2,0),"")</f>
        <v/>
      </c>
      <c r="E54" s="21"/>
      <c r="F54" s="21"/>
      <c r="G54" s="21"/>
      <c r="H54" s="121"/>
      <c r="I54" s="21"/>
      <c r="J54" s="11" t="str">
        <f>IFERROR(VLOOKUP($A54,'Мои блогеры'!$A$2:$N$673,8,0),"")</f>
        <v/>
      </c>
      <c r="K54" s="122"/>
      <c r="L54" s="122"/>
      <c r="M54" s="11" t="str">
        <f t="shared" si="21"/>
        <v/>
      </c>
      <c r="N54" s="21"/>
      <c r="O54" s="21"/>
      <c r="P54" s="21"/>
      <c r="Q54" s="120" t="str">
        <f>IFERROR(VLOOKUP($A54,'Мои блогеры'!$A$2:$N$673,10,0)&amp;"-TRG","")</f>
        <v/>
      </c>
      <c r="R54" s="21"/>
      <c r="S54" s="21"/>
      <c r="T54" s="122"/>
      <c r="U54" s="123" t="str">
        <f t="shared" si="22"/>
        <v/>
      </c>
      <c r="V54" s="122"/>
      <c r="W54" s="122"/>
      <c r="X54" s="123" t="str">
        <f t="shared" si="23"/>
        <v/>
      </c>
      <c r="Y54" s="122"/>
      <c r="Z54" s="122"/>
      <c r="AA54" s="122"/>
      <c r="AB54" s="124"/>
      <c r="AC54" s="11" t="str">
        <f t="shared" si="24"/>
        <v/>
      </c>
      <c r="AD54" s="122"/>
      <c r="AE54" s="11" t="str">
        <f t="shared" si="25"/>
        <v/>
      </c>
      <c r="AF54" s="11" t="str">
        <f t="shared" si="26"/>
        <v/>
      </c>
      <c r="AG54" s="11" t="str">
        <f t="shared" si="27"/>
        <v/>
      </c>
      <c r="AH54" s="21"/>
    </row>
    <row r="55" ht="15.0" customHeight="1">
      <c r="A55" s="21"/>
      <c r="B55" s="120" t="str">
        <f>IF($A55="","",IFERROR(HYPERLINK(VLOOKUP($A55,'Мои блогеры'!$A$2:$N$673,14,0),"🔗 открыть"),""))</f>
        <v/>
      </c>
      <c r="C55" s="11" t="str">
        <f>IFERROR(VLOOKUP($A55,'Мои блогеры'!$A:$N,5,0),"")</f>
        <v/>
      </c>
      <c r="D55" s="120" t="str">
        <f>IFERROR(VLOOKUP($A55,'Мои блогеры'!$A:$N,2,0),"")</f>
        <v/>
      </c>
      <c r="E55" s="21"/>
      <c r="F55" s="21"/>
      <c r="G55" s="21"/>
      <c r="H55" s="121"/>
      <c r="I55" s="21"/>
      <c r="J55" s="11" t="str">
        <f>IFERROR(VLOOKUP($A55,'Мои блогеры'!$A$2:$N$673,8,0),"")</f>
        <v/>
      </c>
      <c r="K55" s="122"/>
      <c r="L55" s="122"/>
      <c r="M55" s="11" t="str">
        <f t="shared" si="21"/>
        <v/>
      </c>
      <c r="N55" s="21"/>
      <c r="O55" s="21"/>
      <c r="P55" s="21"/>
      <c r="Q55" s="120" t="str">
        <f>IFERROR(VLOOKUP($A55,'Мои блогеры'!$A$2:$N$673,10,0)&amp;"-TRG","")</f>
        <v/>
      </c>
      <c r="R55" s="21"/>
      <c r="S55" s="21"/>
      <c r="T55" s="122"/>
      <c r="U55" s="123" t="str">
        <f t="shared" si="22"/>
        <v/>
      </c>
      <c r="V55" s="122"/>
      <c r="W55" s="122"/>
      <c r="X55" s="123" t="str">
        <f t="shared" si="23"/>
        <v/>
      </c>
      <c r="Y55" s="122"/>
      <c r="Z55" s="122"/>
      <c r="AA55" s="122"/>
      <c r="AB55" s="124"/>
      <c r="AC55" s="11" t="str">
        <f t="shared" si="24"/>
        <v/>
      </c>
      <c r="AD55" s="122"/>
      <c r="AE55" s="11" t="str">
        <f t="shared" si="25"/>
        <v/>
      </c>
      <c r="AF55" s="11" t="str">
        <f t="shared" si="26"/>
        <v/>
      </c>
      <c r="AG55" s="11" t="str">
        <f t="shared" si="27"/>
        <v/>
      </c>
      <c r="AH55" s="21"/>
    </row>
    <row r="56" ht="15.0" customHeight="1">
      <c r="A56" s="126" t="s">
        <v>911</v>
      </c>
      <c r="B56" s="126"/>
      <c r="C56" s="127"/>
      <c r="D56" s="126"/>
      <c r="E56" s="126"/>
      <c r="F56" s="126"/>
      <c r="G56" s="126"/>
      <c r="H56" s="126"/>
      <c r="I56" s="126" t="str">
        <f>COUNTIF(I41:I55,"Вышло")&amp;" / "&amp;COUNTA(A41:A55)</f>
        <v>0 / 0</v>
      </c>
      <c r="J56" s="127">
        <f t="shared" ref="J56:M56" si="28">SUM(J41:J55)</f>
        <v>43050</v>
      </c>
      <c r="K56" s="127">
        <f t="shared" si="28"/>
        <v>0</v>
      </c>
      <c r="L56" s="127">
        <f t="shared" si="28"/>
        <v>0</v>
      </c>
      <c r="M56" s="127">
        <f t="shared" si="28"/>
        <v>43050</v>
      </c>
      <c r="N56" s="126"/>
      <c r="O56" s="126"/>
      <c r="P56" s="126"/>
      <c r="Q56" s="126"/>
      <c r="R56" s="126"/>
      <c r="S56" s="126"/>
      <c r="T56" s="127">
        <f>SUM(T41:T55)</f>
        <v>0</v>
      </c>
      <c r="U56" s="128" t="str">
        <f>IF(N(T56)=0,"",M56/T56)</f>
        <v/>
      </c>
      <c r="V56" s="127">
        <f t="shared" ref="V56:W56" si="29">SUM(V41:V55)</f>
        <v>0</v>
      </c>
      <c r="W56" s="127">
        <f t="shared" si="29"/>
        <v>0</v>
      </c>
      <c r="X56" s="128" t="str">
        <f>IF(N(V56)=0,"",M56/V56)</f>
        <v/>
      </c>
      <c r="Y56" s="127">
        <f t="shared" ref="Y56:AA56" si="30">SUM(Y41:Y55)</f>
        <v>0</v>
      </c>
      <c r="Z56" s="127">
        <f t="shared" si="30"/>
        <v>0</v>
      </c>
      <c r="AA56" s="127">
        <f t="shared" si="30"/>
        <v>0</v>
      </c>
      <c r="AB56" s="129"/>
      <c r="AC56" s="127">
        <f>SUM(AC41:AC55)</f>
        <v>0</v>
      </c>
      <c r="AD56" s="127"/>
      <c r="AE56" s="127">
        <f>SUM(AE41:AE55)</f>
        <v>0</v>
      </c>
      <c r="AF56" s="127" t="str">
        <f>IF(N(AC56)=0,"—",ROUND(M56/AC56,0))</f>
        <v>—</v>
      </c>
      <c r="AG56" s="127" t="str">
        <f>IF(N(Z56)=0,"—",ROUND(M56/Z56,0))</f>
        <v>—</v>
      </c>
      <c r="AH56" s="126"/>
    </row>
    <row r="57" ht="15.0" customHeight="1">
      <c r="A57" s="117" t="s">
        <v>912</v>
      </c>
      <c r="B57" s="117"/>
      <c r="C57" s="130"/>
      <c r="D57" s="117"/>
      <c r="E57" s="117"/>
      <c r="F57" s="117"/>
      <c r="G57" s="117"/>
      <c r="H57" s="117"/>
      <c r="I57" s="117"/>
      <c r="J57" s="130"/>
      <c r="K57" s="130"/>
      <c r="L57" s="130"/>
      <c r="M57" s="130"/>
      <c r="N57" s="117"/>
      <c r="O57" s="117"/>
      <c r="P57" s="117"/>
      <c r="Q57" s="117"/>
      <c r="R57" s="117"/>
      <c r="S57" s="117"/>
      <c r="T57" s="130"/>
      <c r="U57" s="131"/>
      <c r="V57" s="130"/>
      <c r="W57" s="130"/>
      <c r="X57" s="131"/>
      <c r="Y57" s="130"/>
      <c r="Z57" s="130"/>
      <c r="AA57" s="130"/>
      <c r="AB57" s="132"/>
      <c r="AC57" s="130"/>
      <c r="AD57" s="130"/>
      <c r="AE57" s="130"/>
      <c r="AF57" s="130"/>
      <c r="AG57" s="130"/>
      <c r="AH57" s="117"/>
    </row>
    <row r="58" ht="15.0" customHeight="1">
      <c r="A58" s="118" t="s">
        <v>39</v>
      </c>
      <c r="B58" s="119" t="str">
        <f>IF($A58="","",IFERROR(HYPERLINK(VLOOKUP($A58,'Мои блогеры'!$A$2:$N$673,14,0),"🔗 открыть"),""))</f>
        <v>🔗 открыть</v>
      </c>
      <c r="C58" s="11">
        <f>IFERROR(VLOOKUP($A58,'Мои блогеры'!$A:$N,5,0),"")</f>
        <v>288000</v>
      </c>
      <c r="D58" s="120" t="str">
        <f>IFERROR(VLOOKUP($A58,'Мои блогеры'!$A:$N,2,0),"")</f>
        <v>YouTube</v>
      </c>
      <c r="E58" s="21"/>
      <c r="F58" s="21" t="s">
        <v>913</v>
      </c>
      <c r="G58" s="21"/>
      <c r="H58" s="121"/>
      <c r="I58" s="21" t="s">
        <v>859</v>
      </c>
      <c r="J58" s="11">
        <f>IFERROR(VLOOKUP($A58,'Мои блогеры'!$A$2:$N$673,8,0),"")</f>
        <v>42500</v>
      </c>
      <c r="K58" s="122"/>
      <c r="L58" s="122"/>
      <c r="M58" s="11">
        <f t="shared" ref="M58:M70" si="31">IF(N($J58)+N($K58)+N($L58)=0,"",N($J58)+N($K58)+N($L58))</f>
        <v>42500</v>
      </c>
      <c r="N58" s="152" t="s">
        <v>914</v>
      </c>
      <c r="O58" s="21" t="s">
        <v>910</v>
      </c>
      <c r="P58" s="151" t="s">
        <v>910</v>
      </c>
      <c r="Q58" s="120" t="str">
        <f>IFERROR(VLOOKUP($A58,'Мои блогеры'!$A$2:$N$673,10,0)&amp;"-TRG","")</f>
        <v>-TRG</v>
      </c>
      <c r="R58" s="21" t="s">
        <v>915</v>
      </c>
      <c r="S58" s="153" t="s">
        <v>916</v>
      </c>
      <c r="T58" s="122">
        <v>38682.0</v>
      </c>
      <c r="U58" s="123">
        <f t="shared" ref="U58:U70" si="32">IF(N($T58)=0,"",$M58/$T58)</f>
        <v>1.098702239</v>
      </c>
      <c r="V58" s="122">
        <v>117.0</v>
      </c>
      <c r="W58" s="122">
        <v>92.0</v>
      </c>
      <c r="X58" s="123">
        <f t="shared" ref="X58:X70" si="33">IF(N($V58)=0,"",$M58/$V58)</f>
        <v>363.2478632</v>
      </c>
      <c r="Y58" s="122">
        <v>36.0</v>
      </c>
      <c r="Z58" s="122">
        <v>17.0</v>
      </c>
      <c r="AA58" s="122">
        <f>700*17</f>
        <v>11900</v>
      </c>
      <c r="AB58" s="124">
        <v>0.95</v>
      </c>
      <c r="AC58" s="11">
        <f t="shared" ref="AC58:AC70" si="34">IF(OR(N($Z58)=0,$AB58=""),"",ROUND($Z58*$AB58,0))</f>
        <v>16</v>
      </c>
      <c r="AD58" s="122">
        <v>700.0</v>
      </c>
      <c r="AE58" s="11">
        <f t="shared" ref="AE58:AE70" si="35">IF(OR(N($AC58)=0,$AD58=""),"",ROUND($AC58*$AD58,0))</f>
        <v>11200</v>
      </c>
      <c r="AF58" s="11">
        <f t="shared" ref="AF58:AF70" si="36">IF(N($AC58)=0,"",ROUND($M58/$AC58,0))</f>
        <v>2656</v>
      </c>
      <c r="AG58" s="11">
        <f t="shared" ref="AG58:AG70" si="37">IF(N($Z58)=0,"",ROUND($M58/$Z58,0))</f>
        <v>2500</v>
      </c>
      <c r="AH58" s="21"/>
    </row>
    <row r="59" ht="15.0" customHeight="1">
      <c r="A59" s="21"/>
      <c r="B59" s="120" t="str">
        <f>IF($A59="","",IFERROR(HYPERLINK(VLOOKUP($A59,'Мои блогеры'!$A$2:$N$673,14,0),"🔗 открыть"),""))</f>
        <v/>
      </c>
      <c r="C59" s="11" t="str">
        <f>IFERROR(VLOOKUP($A59,'Мои блогеры'!$A:$N,5,0),"")</f>
        <v/>
      </c>
      <c r="D59" s="120" t="str">
        <f>IFERROR(VLOOKUP($A59,'Мои блогеры'!$A:$N,2,0),"")</f>
        <v/>
      </c>
      <c r="E59" s="21"/>
      <c r="F59" s="21"/>
      <c r="G59" s="21"/>
      <c r="H59" s="121"/>
      <c r="I59" s="21"/>
      <c r="J59" s="11" t="str">
        <f>IFERROR(VLOOKUP($A59,'Мои блогеры'!$A$2:$N$673,8,0),"")</f>
        <v/>
      </c>
      <c r="K59" s="122"/>
      <c r="L59" s="122"/>
      <c r="M59" s="11" t="str">
        <f t="shared" si="31"/>
        <v/>
      </c>
      <c r="N59" s="21"/>
      <c r="O59" s="21"/>
      <c r="P59" s="21"/>
      <c r="Q59" s="120" t="str">
        <f>IFERROR(VLOOKUP($A59,'Мои блогеры'!$A$2:$N$673,10,0)&amp;"-TRG","")</f>
        <v/>
      </c>
      <c r="R59" s="21"/>
      <c r="S59" s="21"/>
      <c r="T59" s="122"/>
      <c r="U59" s="123" t="str">
        <f t="shared" si="32"/>
        <v/>
      </c>
      <c r="V59" s="122"/>
      <c r="W59" s="122"/>
      <c r="X59" s="123" t="str">
        <f t="shared" si="33"/>
        <v/>
      </c>
      <c r="Y59" s="122"/>
      <c r="Z59" s="122"/>
      <c r="AA59" s="122"/>
      <c r="AB59" s="124"/>
      <c r="AC59" s="11" t="str">
        <f t="shared" si="34"/>
        <v/>
      </c>
      <c r="AD59" s="122"/>
      <c r="AE59" s="11" t="str">
        <f t="shared" si="35"/>
        <v/>
      </c>
      <c r="AF59" s="11" t="str">
        <f t="shared" si="36"/>
        <v/>
      </c>
      <c r="AG59" s="11" t="str">
        <f t="shared" si="37"/>
        <v/>
      </c>
      <c r="AH59" s="21"/>
    </row>
    <row r="60" ht="15.0" customHeight="1">
      <c r="A60" s="21"/>
      <c r="B60" s="120" t="str">
        <f>IF($A60="","",IFERROR(HYPERLINK(VLOOKUP($A60,'Мои блогеры'!$A$2:$N$673,14,0),"🔗 открыть"),""))</f>
        <v/>
      </c>
      <c r="C60" s="11" t="str">
        <f>IFERROR(VLOOKUP($A60,'Мои блогеры'!$A:$N,5,0),"")</f>
        <v/>
      </c>
      <c r="D60" s="120" t="str">
        <f>IFERROR(VLOOKUP($A60,'Мои блогеры'!$A:$N,2,0),"")</f>
        <v/>
      </c>
      <c r="E60" s="21"/>
      <c r="F60" s="21"/>
      <c r="G60" s="21"/>
      <c r="H60" s="121"/>
      <c r="I60" s="21"/>
      <c r="J60" s="11" t="str">
        <f>IFERROR(VLOOKUP($A60,'Мои блогеры'!$A$2:$N$673,8,0),"")</f>
        <v/>
      </c>
      <c r="K60" s="122"/>
      <c r="L60" s="122"/>
      <c r="M60" s="11" t="str">
        <f t="shared" si="31"/>
        <v/>
      </c>
      <c r="N60" s="21"/>
      <c r="O60" s="21"/>
      <c r="P60" s="21"/>
      <c r="Q60" s="120" t="str">
        <f>IFERROR(VLOOKUP($A60,'Мои блогеры'!$A$2:$N$673,10,0)&amp;"-TRG","")</f>
        <v/>
      </c>
      <c r="R60" s="21"/>
      <c r="S60" s="21"/>
      <c r="T60" s="122"/>
      <c r="U60" s="123" t="str">
        <f t="shared" si="32"/>
        <v/>
      </c>
      <c r="V60" s="122"/>
      <c r="W60" s="122"/>
      <c r="X60" s="123" t="str">
        <f t="shared" si="33"/>
        <v/>
      </c>
      <c r="Y60" s="122"/>
      <c r="Z60" s="122"/>
      <c r="AA60" s="122"/>
      <c r="AB60" s="124"/>
      <c r="AC60" s="11" t="str">
        <f t="shared" si="34"/>
        <v/>
      </c>
      <c r="AD60" s="122"/>
      <c r="AE60" s="11" t="str">
        <f t="shared" si="35"/>
        <v/>
      </c>
      <c r="AF60" s="11" t="str">
        <f t="shared" si="36"/>
        <v/>
      </c>
      <c r="AG60" s="11" t="str">
        <f t="shared" si="37"/>
        <v/>
      </c>
      <c r="AH60" s="21"/>
    </row>
    <row r="61" ht="15.0" customHeight="1">
      <c r="A61" s="21"/>
      <c r="B61" s="120" t="str">
        <f>IF($A61="","",IFERROR(HYPERLINK(VLOOKUP($A61,'Мои блогеры'!$A$2:$N$673,14,0),"🔗 открыть"),""))</f>
        <v/>
      </c>
      <c r="C61" s="11" t="str">
        <f>IFERROR(VLOOKUP($A61,'Мои блогеры'!$A:$N,5,0),"")</f>
        <v/>
      </c>
      <c r="D61" s="120" t="str">
        <f>IFERROR(VLOOKUP($A61,'Мои блогеры'!$A:$N,2,0),"")</f>
        <v/>
      </c>
      <c r="E61" s="21"/>
      <c r="F61" s="21"/>
      <c r="G61" s="21"/>
      <c r="H61" s="121"/>
      <c r="I61" s="21"/>
      <c r="J61" s="11" t="str">
        <f>IFERROR(VLOOKUP($A61,'Мои блогеры'!$A$2:$N$673,8,0),"")</f>
        <v/>
      </c>
      <c r="K61" s="122"/>
      <c r="L61" s="122"/>
      <c r="M61" s="11" t="str">
        <f t="shared" si="31"/>
        <v/>
      </c>
      <c r="N61" s="21"/>
      <c r="O61" s="21"/>
      <c r="P61" s="21"/>
      <c r="Q61" s="120" t="str">
        <f>IFERROR(VLOOKUP($A61,'Мои блогеры'!$A$2:$N$673,10,0)&amp;"-TRG","")</f>
        <v/>
      </c>
      <c r="R61" s="21"/>
      <c r="S61" s="21"/>
      <c r="T61" s="122"/>
      <c r="U61" s="123" t="str">
        <f t="shared" si="32"/>
        <v/>
      </c>
      <c r="V61" s="122"/>
      <c r="W61" s="122"/>
      <c r="X61" s="123" t="str">
        <f t="shared" si="33"/>
        <v/>
      </c>
      <c r="Y61" s="122"/>
      <c r="Z61" s="122"/>
      <c r="AA61" s="122"/>
      <c r="AB61" s="124"/>
      <c r="AC61" s="11" t="str">
        <f t="shared" si="34"/>
        <v/>
      </c>
      <c r="AD61" s="122"/>
      <c r="AE61" s="11" t="str">
        <f t="shared" si="35"/>
        <v/>
      </c>
      <c r="AF61" s="11" t="str">
        <f t="shared" si="36"/>
        <v/>
      </c>
      <c r="AG61" s="11" t="str">
        <f t="shared" si="37"/>
        <v/>
      </c>
      <c r="AH61" s="21"/>
    </row>
    <row r="62" ht="15.75" customHeight="1">
      <c r="A62" s="21"/>
      <c r="B62" s="120" t="str">
        <f>IF($A62="","",IFERROR(HYPERLINK(VLOOKUP($A62,'Мои блогеры'!$A$2:$N$673,14,0),"🔗 открыть"),""))</f>
        <v/>
      </c>
      <c r="C62" s="11" t="str">
        <f>IFERROR(VLOOKUP($A62,'Мои блогеры'!$A:$N,5,0),"")</f>
        <v/>
      </c>
      <c r="D62" s="120" t="str">
        <f>IFERROR(VLOOKUP($A62,'Мои блогеры'!$A:$N,2,0),"")</f>
        <v/>
      </c>
      <c r="E62" s="21"/>
      <c r="F62" s="21"/>
      <c r="G62" s="21"/>
      <c r="H62" s="121"/>
      <c r="I62" s="21"/>
      <c r="J62" s="11" t="str">
        <f>IFERROR(VLOOKUP($A62,'Мои блогеры'!$A$2:$N$673,8,0),"")</f>
        <v/>
      </c>
      <c r="K62" s="122"/>
      <c r="L62" s="122"/>
      <c r="M62" s="11" t="str">
        <f t="shared" si="31"/>
        <v/>
      </c>
      <c r="N62" s="21"/>
      <c r="O62" s="21"/>
      <c r="P62" s="21"/>
      <c r="Q62" s="120" t="str">
        <f>IFERROR(VLOOKUP($A62,'Мои блогеры'!$A$2:$N$673,10,0)&amp;"-TRG","")</f>
        <v/>
      </c>
      <c r="R62" s="21"/>
      <c r="S62" s="21"/>
      <c r="T62" s="122"/>
      <c r="U62" s="123" t="str">
        <f t="shared" si="32"/>
        <v/>
      </c>
      <c r="V62" s="122"/>
      <c r="W62" s="122"/>
      <c r="X62" s="123" t="str">
        <f t="shared" si="33"/>
        <v/>
      </c>
      <c r="Y62" s="122"/>
      <c r="Z62" s="122"/>
      <c r="AA62" s="122"/>
      <c r="AB62" s="124"/>
      <c r="AC62" s="11" t="str">
        <f t="shared" si="34"/>
        <v/>
      </c>
      <c r="AD62" s="122"/>
      <c r="AE62" s="11" t="str">
        <f t="shared" si="35"/>
        <v/>
      </c>
      <c r="AF62" s="11" t="str">
        <f t="shared" si="36"/>
        <v/>
      </c>
      <c r="AG62" s="11" t="str">
        <f t="shared" si="37"/>
        <v/>
      </c>
      <c r="AH62" s="21"/>
    </row>
    <row r="63" ht="15.0" customHeight="1">
      <c r="A63" s="21"/>
      <c r="B63" s="120" t="str">
        <f>IF($A63="","",IFERROR(HYPERLINK(VLOOKUP($A63,'Мои блогеры'!$A$2:$N$673,14,0),"🔗 открыть"),""))</f>
        <v/>
      </c>
      <c r="C63" s="11" t="str">
        <f>IFERROR(VLOOKUP($A63,'Мои блогеры'!$A:$N,5,0),"")</f>
        <v/>
      </c>
      <c r="D63" s="120" t="str">
        <f>IFERROR(VLOOKUP($A63,'Мои блогеры'!$A:$N,2,0),"")</f>
        <v/>
      </c>
      <c r="E63" s="21"/>
      <c r="F63" s="21"/>
      <c r="G63" s="21"/>
      <c r="H63" s="121"/>
      <c r="I63" s="21"/>
      <c r="J63" s="11" t="str">
        <f>IFERROR(VLOOKUP($A63,'Мои блогеры'!$A$2:$N$673,8,0),"")</f>
        <v/>
      </c>
      <c r="K63" s="122"/>
      <c r="L63" s="122"/>
      <c r="M63" s="11" t="str">
        <f t="shared" si="31"/>
        <v/>
      </c>
      <c r="N63" s="21"/>
      <c r="O63" s="21"/>
      <c r="P63" s="21"/>
      <c r="Q63" s="120" t="str">
        <f>IFERROR(VLOOKUP($A63,'Мои блогеры'!$A$2:$N$673,10,0)&amp;"-TRG","")</f>
        <v/>
      </c>
      <c r="R63" s="21"/>
      <c r="S63" s="21"/>
      <c r="T63" s="122"/>
      <c r="U63" s="123" t="str">
        <f t="shared" si="32"/>
        <v/>
      </c>
      <c r="V63" s="122"/>
      <c r="W63" s="122"/>
      <c r="X63" s="123" t="str">
        <f t="shared" si="33"/>
        <v/>
      </c>
      <c r="Y63" s="122"/>
      <c r="Z63" s="122"/>
      <c r="AA63" s="122"/>
      <c r="AB63" s="124"/>
      <c r="AC63" s="11" t="str">
        <f t="shared" si="34"/>
        <v/>
      </c>
      <c r="AD63" s="122"/>
      <c r="AE63" s="11" t="str">
        <f t="shared" si="35"/>
        <v/>
      </c>
      <c r="AF63" s="11" t="str">
        <f t="shared" si="36"/>
        <v/>
      </c>
      <c r="AG63" s="11" t="str">
        <f t="shared" si="37"/>
        <v/>
      </c>
      <c r="AH63" s="21"/>
    </row>
    <row r="64" ht="15.0" customHeight="1">
      <c r="A64" s="21"/>
      <c r="B64" s="120" t="str">
        <f>IF($A64="","",IFERROR(HYPERLINK(VLOOKUP($A64,'Мои блогеры'!$A$2:$N$673,14,0),"🔗 открыть"),""))</f>
        <v/>
      </c>
      <c r="C64" s="11" t="str">
        <f>IFERROR(VLOOKUP($A64,'Мои блогеры'!$A:$N,5,0),"")</f>
        <v/>
      </c>
      <c r="D64" s="120" t="str">
        <f>IFERROR(VLOOKUP($A64,'Мои блогеры'!$A:$N,2,0),"")</f>
        <v/>
      </c>
      <c r="E64" s="21"/>
      <c r="F64" s="21"/>
      <c r="G64" s="21"/>
      <c r="H64" s="121"/>
      <c r="I64" s="21"/>
      <c r="J64" s="11" t="str">
        <f>IFERROR(VLOOKUP($A64,'Мои блогеры'!$A$2:$N$673,8,0),"")</f>
        <v/>
      </c>
      <c r="K64" s="122"/>
      <c r="L64" s="122"/>
      <c r="M64" s="11" t="str">
        <f t="shared" si="31"/>
        <v/>
      </c>
      <c r="N64" s="21"/>
      <c r="O64" s="21"/>
      <c r="P64" s="21"/>
      <c r="Q64" s="120" t="str">
        <f>IFERROR(VLOOKUP($A64,'Мои блогеры'!$A$2:$N$673,10,0)&amp;"-TRG","")</f>
        <v/>
      </c>
      <c r="R64" s="21"/>
      <c r="S64" s="21"/>
      <c r="T64" s="122"/>
      <c r="U64" s="123" t="str">
        <f t="shared" si="32"/>
        <v/>
      </c>
      <c r="V64" s="122"/>
      <c r="W64" s="122"/>
      <c r="X64" s="123" t="str">
        <f t="shared" si="33"/>
        <v/>
      </c>
      <c r="Y64" s="122"/>
      <c r="Z64" s="122"/>
      <c r="AA64" s="122"/>
      <c r="AB64" s="124"/>
      <c r="AC64" s="11" t="str">
        <f t="shared" si="34"/>
        <v/>
      </c>
      <c r="AD64" s="122"/>
      <c r="AE64" s="11" t="str">
        <f t="shared" si="35"/>
        <v/>
      </c>
      <c r="AF64" s="11" t="str">
        <f t="shared" si="36"/>
        <v/>
      </c>
      <c r="AG64" s="11" t="str">
        <f t="shared" si="37"/>
        <v/>
      </c>
      <c r="AH64" s="21"/>
    </row>
    <row r="65" ht="15.0" customHeight="1">
      <c r="A65" s="21"/>
      <c r="B65" s="120" t="str">
        <f>IF($A65="","",IFERROR(HYPERLINK(VLOOKUP($A65,'Мои блогеры'!$A$2:$N$673,14,0),"🔗 открыть"),""))</f>
        <v/>
      </c>
      <c r="C65" s="11" t="str">
        <f>IFERROR(VLOOKUP($A65,'Мои блогеры'!$A:$N,5,0),"")</f>
        <v/>
      </c>
      <c r="D65" s="120" t="str">
        <f>IFERROR(VLOOKUP($A65,'Мои блогеры'!$A:$N,2,0),"")</f>
        <v/>
      </c>
      <c r="E65" s="21"/>
      <c r="F65" s="21"/>
      <c r="G65" s="21"/>
      <c r="H65" s="121"/>
      <c r="I65" s="21"/>
      <c r="J65" s="11" t="str">
        <f>IFERROR(VLOOKUP($A65,'Мои блогеры'!$A$2:$N$673,8,0),"")</f>
        <v/>
      </c>
      <c r="K65" s="122"/>
      <c r="L65" s="122"/>
      <c r="M65" s="11" t="str">
        <f t="shared" si="31"/>
        <v/>
      </c>
      <c r="N65" s="21"/>
      <c r="O65" s="21"/>
      <c r="P65" s="21"/>
      <c r="Q65" s="120" t="str">
        <f>IFERROR(VLOOKUP($A65,'Мои блогеры'!$A$2:$N$673,10,0)&amp;"-TRG","")</f>
        <v/>
      </c>
      <c r="R65" s="21"/>
      <c r="S65" s="21"/>
      <c r="T65" s="122"/>
      <c r="U65" s="123" t="str">
        <f t="shared" si="32"/>
        <v/>
      </c>
      <c r="V65" s="122"/>
      <c r="W65" s="122"/>
      <c r="X65" s="123" t="str">
        <f t="shared" si="33"/>
        <v/>
      </c>
      <c r="Y65" s="122"/>
      <c r="Z65" s="122"/>
      <c r="AA65" s="122"/>
      <c r="AB65" s="124"/>
      <c r="AC65" s="11" t="str">
        <f t="shared" si="34"/>
        <v/>
      </c>
      <c r="AD65" s="122"/>
      <c r="AE65" s="11" t="str">
        <f t="shared" si="35"/>
        <v/>
      </c>
      <c r="AF65" s="11" t="str">
        <f t="shared" si="36"/>
        <v/>
      </c>
      <c r="AG65" s="11" t="str">
        <f t="shared" si="37"/>
        <v/>
      </c>
      <c r="AH65" s="21"/>
    </row>
    <row r="66" ht="15.0" customHeight="1">
      <c r="A66" s="21"/>
      <c r="B66" s="120" t="str">
        <f>IF($A66="","",IFERROR(HYPERLINK(VLOOKUP($A66,'Мои блогеры'!$A$2:$N$673,14,0),"🔗 открыть"),""))</f>
        <v/>
      </c>
      <c r="C66" s="11" t="str">
        <f>IFERROR(VLOOKUP($A66,'Мои блогеры'!$A:$N,5,0),"")</f>
        <v/>
      </c>
      <c r="D66" s="120" t="str">
        <f>IFERROR(VLOOKUP($A66,'Мои блогеры'!$A:$N,2,0),"")</f>
        <v/>
      </c>
      <c r="E66" s="21"/>
      <c r="F66" s="21"/>
      <c r="G66" s="21"/>
      <c r="H66" s="121"/>
      <c r="I66" s="21"/>
      <c r="J66" s="11" t="str">
        <f>IFERROR(VLOOKUP($A66,'Мои блогеры'!$A$2:$N$673,8,0),"")</f>
        <v/>
      </c>
      <c r="K66" s="122"/>
      <c r="L66" s="122"/>
      <c r="M66" s="11" t="str">
        <f t="shared" si="31"/>
        <v/>
      </c>
      <c r="N66" s="21"/>
      <c r="O66" s="21"/>
      <c r="P66" s="21"/>
      <c r="Q66" s="120" t="str">
        <f>IFERROR(VLOOKUP($A66,'Мои блогеры'!$A$2:$N$673,10,0)&amp;"-TRG","")</f>
        <v/>
      </c>
      <c r="R66" s="21"/>
      <c r="S66" s="21"/>
      <c r="T66" s="122"/>
      <c r="U66" s="123" t="str">
        <f t="shared" si="32"/>
        <v/>
      </c>
      <c r="V66" s="122"/>
      <c r="W66" s="122"/>
      <c r="X66" s="123" t="str">
        <f t="shared" si="33"/>
        <v/>
      </c>
      <c r="Y66" s="122"/>
      <c r="Z66" s="122"/>
      <c r="AA66" s="122"/>
      <c r="AB66" s="124"/>
      <c r="AC66" s="11" t="str">
        <f t="shared" si="34"/>
        <v/>
      </c>
      <c r="AD66" s="122"/>
      <c r="AE66" s="11" t="str">
        <f t="shared" si="35"/>
        <v/>
      </c>
      <c r="AF66" s="11" t="str">
        <f t="shared" si="36"/>
        <v/>
      </c>
      <c r="AG66" s="11" t="str">
        <f t="shared" si="37"/>
        <v/>
      </c>
      <c r="AH66" s="21"/>
    </row>
    <row r="67" ht="15.0" customHeight="1">
      <c r="A67" s="21"/>
      <c r="B67" s="120" t="str">
        <f>IF($A67="","",IFERROR(HYPERLINK(VLOOKUP($A67,'Мои блогеры'!$A$2:$N$673,14,0),"🔗 открыть"),""))</f>
        <v/>
      </c>
      <c r="C67" s="11" t="str">
        <f>IFERROR(VLOOKUP($A67,'Мои блогеры'!$A:$N,5,0),"")</f>
        <v/>
      </c>
      <c r="D67" s="120" t="str">
        <f>IFERROR(VLOOKUP($A67,'Мои блогеры'!$A:$N,2,0),"")</f>
        <v/>
      </c>
      <c r="E67" s="21"/>
      <c r="F67" s="21"/>
      <c r="G67" s="21"/>
      <c r="H67" s="121"/>
      <c r="I67" s="21"/>
      <c r="J67" s="11" t="str">
        <f>IFERROR(VLOOKUP($A67,'Мои блогеры'!$A$2:$N$673,8,0),"")</f>
        <v/>
      </c>
      <c r="K67" s="122"/>
      <c r="L67" s="122"/>
      <c r="M67" s="11" t="str">
        <f t="shared" si="31"/>
        <v/>
      </c>
      <c r="N67" s="21"/>
      <c r="O67" s="21"/>
      <c r="P67" s="21"/>
      <c r="Q67" s="120" t="str">
        <f>IFERROR(VLOOKUP($A67,'Мои блогеры'!$A$2:$N$673,10,0)&amp;"-TRG","")</f>
        <v/>
      </c>
      <c r="R67" s="21"/>
      <c r="S67" s="21"/>
      <c r="T67" s="122"/>
      <c r="U67" s="123" t="str">
        <f t="shared" si="32"/>
        <v/>
      </c>
      <c r="V67" s="122"/>
      <c r="W67" s="122"/>
      <c r="X67" s="123" t="str">
        <f t="shared" si="33"/>
        <v/>
      </c>
      <c r="Y67" s="122"/>
      <c r="Z67" s="122"/>
      <c r="AA67" s="122"/>
      <c r="AB67" s="124"/>
      <c r="AC67" s="11" t="str">
        <f t="shared" si="34"/>
        <v/>
      </c>
      <c r="AD67" s="122"/>
      <c r="AE67" s="11" t="str">
        <f t="shared" si="35"/>
        <v/>
      </c>
      <c r="AF67" s="11" t="str">
        <f t="shared" si="36"/>
        <v/>
      </c>
      <c r="AG67" s="11" t="str">
        <f t="shared" si="37"/>
        <v/>
      </c>
      <c r="AH67" s="21"/>
    </row>
    <row r="68" ht="15.0" customHeight="1">
      <c r="A68" s="21"/>
      <c r="B68" s="120" t="str">
        <f>IF($A68="","",IFERROR(HYPERLINK(VLOOKUP($A68,'Мои блогеры'!$A$2:$N$673,14,0),"🔗 открыть"),""))</f>
        <v/>
      </c>
      <c r="C68" s="11" t="str">
        <f>IFERROR(VLOOKUP($A68,'Мои блогеры'!$A:$N,5,0),"")</f>
        <v/>
      </c>
      <c r="D68" s="120" t="str">
        <f>IFERROR(VLOOKUP($A68,'Мои блогеры'!$A:$N,2,0),"")</f>
        <v/>
      </c>
      <c r="E68" s="21"/>
      <c r="F68" s="21"/>
      <c r="G68" s="21"/>
      <c r="H68" s="121"/>
      <c r="I68" s="21"/>
      <c r="J68" s="11" t="str">
        <f>IFERROR(VLOOKUP($A68,'Мои блогеры'!$A$2:$N$673,8,0),"")</f>
        <v/>
      </c>
      <c r="K68" s="122"/>
      <c r="L68" s="122"/>
      <c r="M68" s="11" t="str">
        <f t="shared" si="31"/>
        <v/>
      </c>
      <c r="N68" s="21"/>
      <c r="O68" s="21"/>
      <c r="P68" s="21"/>
      <c r="Q68" s="120" t="str">
        <f>IFERROR(VLOOKUP($A68,'Мои блогеры'!$A$2:$N$673,10,0)&amp;"-TRG","")</f>
        <v/>
      </c>
      <c r="R68" s="21"/>
      <c r="S68" s="21"/>
      <c r="T68" s="122"/>
      <c r="U68" s="123" t="str">
        <f t="shared" si="32"/>
        <v/>
      </c>
      <c r="V68" s="122"/>
      <c r="W68" s="122"/>
      <c r="X68" s="123" t="str">
        <f t="shared" si="33"/>
        <v/>
      </c>
      <c r="Y68" s="122"/>
      <c r="Z68" s="122"/>
      <c r="AA68" s="122"/>
      <c r="AB68" s="124"/>
      <c r="AC68" s="11" t="str">
        <f t="shared" si="34"/>
        <v/>
      </c>
      <c r="AD68" s="122"/>
      <c r="AE68" s="11" t="str">
        <f t="shared" si="35"/>
        <v/>
      </c>
      <c r="AF68" s="11" t="str">
        <f t="shared" si="36"/>
        <v/>
      </c>
      <c r="AG68" s="11" t="str">
        <f t="shared" si="37"/>
        <v/>
      </c>
      <c r="AH68" s="21"/>
    </row>
    <row r="69" ht="15.0" customHeight="1">
      <c r="A69" s="21"/>
      <c r="B69" s="120" t="str">
        <f>IF($A69="","",IFERROR(HYPERLINK(VLOOKUP($A69,'Мои блогеры'!$A$2:$N$673,14,0),"🔗 открыть"),""))</f>
        <v/>
      </c>
      <c r="C69" s="11" t="str">
        <f>IFERROR(VLOOKUP($A69,'Мои блогеры'!$A:$N,5,0),"")</f>
        <v/>
      </c>
      <c r="D69" s="120" t="str">
        <f>IFERROR(VLOOKUP($A69,'Мои блогеры'!$A:$N,2,0),"")</f>
        <v/>
      </c>
      <c r="E69" s="21"/>
      <c r="F69" s="21"/>
      <c r="G69" s="21"/>
      <c r="H69" s="121"/>
      <c r="I69" s="21"/>
      <c r="J69" s="11" t="str">
        <f>IFERROR(VLOOKUP($A69,'Мои блогеры'!$A$2:$N$673,8,0),"")</f>
        <v/>
      </c>
      <c r="K69" s="122"/>
      <c r="L69" s="122"/>
      <c r="M69" s="11" t="str">
        <f t="shared" si="31"/>
        <v/>
      </c>
      <c r="N69" s="21"/>
      <c r="O69" s="21"/>
      <c r="P69" s="21"/>
      <c r="Q69" s="120" t="str">
        <f>IFERROR(VLOOKUP($A69,'Мои блогеры'!$A$2:$N$673,10,0)&amp;"-TRG","")</f>
        <v/>
      </c>
      <c r="R69" s="21"/>
      <c r="S69" s="21"/>
      <c r="T69" s="122"/>
      <c r="U69" s="123" t="str">
        <f t="shared" si="32"/>
        <v/>
      </c>
      <c r="V69" s="122"/>
      <c r="W69" s="122"/>
      <c r="X69" s="123" t="str">
        <f t="shared" si="33"/>
        <v/>
      </c>
      <c r="Y69" s="122"/>
      <c r="Z69" s="122"/>
      <c r="AA69" s="122"/>
      <c r="AB69" s="124"/>
      <c r="AC69" s="11" t="str">
        <f t="shared" si="34"/>
        <v/>
      </c>
      <c r="AD69" s="122"/>
      <c r="AE69" s="11" t="str">
        <f t="shared" si="35"/>
        <v/>
      </c>
      <c r="AF69" s="11" t="str">
        <f t="shared" si="36"/>
        <v/>
      </c>
      <c r="AG69" s="11" t="str">
        <f t="shared" si="37"/>
        <v/>
      </c>
      <c r="AH69" s="21"/>
    </row>
    <row r="70" ht="15.0" customHeight="1">
      <c r="A70" s="21"/>
      <c r="B70" s="120" t="str">
        <f>IF($A70="","",IFERROR(HYPERLINK(VLOOKUP($A70,'Мои блогеры'!$A$2:$N$673,14,0),"🔗 открыть"),""))</f>
        <v/>
      </c>
      <c r="C70" s="11" t="str">
        <f>IFERROR(VLOOKUP($A70,'Мои блогеры'!$A:$N,5,0),"")</f>
        <v/>
      </c>
      <c r="D70" s="120" t="str">
        <f>IFERROR(VLOOKUP($A70,'Мои блогеры'!$A:$N,2,0),"")</f>
        <v/>
      </c>
      <c r="E70" s="21"/>
      <c r="F70" s="21"/>
      <c r="G70" s="21"/>
      <c r="H70" s="121"/>
      <c r="I70" s="21"/>
      <c r="J70" s="11" t="str">
        <f>IFERROR(VLOOKUP($A70,'Мои блогеры'!$A$2:$N$673,8,0),"")</f>
        <v/>
      </c>
      <c r="K70" s="122"/>
      <c r="L70" s="122"/>
      <c r="M70" s="11" t="str">
        <f t="shared" si="31"/>
        <v/>
      </c>
      <c r="N70" s="21"/>
      <c r="O70" s="21"/>
      <c r="P70" s="21"/>
      <c r="Q70" s="120" t="str">
        <f>IFERROR(VLOOKUP($A70,'Мои блогеры'!$A$2:$N$673,10,0)&amp;"-TRG","")</f>
        <v/>
      </c>
      <c r="R70" s="21"/>
      <c r="S70" s="21"/>
      <c r="T70" s="122"/>
      <c r="U70" s="123" t="str">
        <f t="shared" si="32"/>
        <v/>
      </c>
      <c r="V70" s="122"/>
      <c r="W70" s="122"/>
      <c r="X70" s="123" t="str">
        <f t="shared" si="33"/>
        <v/>
      </c>
      <c r="Y70" s="122"/>
      <c r="Z70" s="122"/>
      <c r="AA70" s="122"/>
      <c r="AB70" s="124"/>
      <c r="AC70" s="11" t="str">
        <f t="shared" si="34"/>
        <v/>
      </c>
      <c r="AD70" s="122"/>
      <c r="AE70" s="11" t="str">
        <f t="shared" si="35"/>
        <v/>
      </c>
      <c r="AF70" s="11" t="str">
        <f t="shared" si="36"/>
        <v/>
      </c>
      <c r="AG70" s="11" t="str">
        <f t="shared" si="37"/>
        <v/>
      </c>
      <c r="AH70" s="21"/>
    </row>
    <row r="71" ht="15.0" customHeight="1">
      <c r="A71" s="126" t="s">
        <v>917</v>
      </c>
      <c r="B71" s="126"/>
      <c r="C71" s="127"/>
      <c r="D71" s="126"/>
      <c r="E71" s="126"/>
      <c r="F71" s="126"/>
      <c r="G71" s="126"/>
      <c r="H71" s="126"/>
      <c r="I71" s="126" t="str">
        <f>COUNTIF(I58:I70,"Вышло")&amp;" / "&amp;COUNTA(A58:A70)</f>
        <v>1 / 1</v>
      </c>
      <c r="J71" s="127">
        <f t="shared" ref="J71:M71" si="38">SUM(J58:J70)</f>
        <v>42500</v>
      </c>
      <c r="K71" s="127">
        <f t="shared" si="38"/>
        <v>0</v>
      </c>
      <c r="L71" s="127">
        <f t="shared" si="38"/>
        <v>0</v>
      </c>
      <c r="M71" s="127">
        <f t="shared" si="38"/>
        <v>42500</v>
      </c>
      <c r="N71" s="126"/>
      <c r="O71" s="126"/>
      <c r="P71" s="126"/>
      <c r="Q71" s="126"/>
      <c r="R71" s="126"/>
      <c r="S71" s="126"/>
      <c r="T71" s="127">
        <f>SUM(T58:T70)</f>
        <v>38682</v>
      </c>
      <c r="U71" s="128">
        <f>IF(N(T71)=0,"",M71/T71)</f>
        <v>1.098702239</v>
      </c>
      <c r="V71" s="127">
        <f t="shared" ref="V71:W71" si="39">SUM(V58:V70)</f>
        <v>117</v>
      </c>
      <c r="W71" s="127">
        <f t="shared" si="39"/>
        <v>92</v>
      </c>
      <c r="X71" s="128">
        <f>IF(N(V71)=0,"",M71/V71)</f>
        <v>363.2478632</v>
      </c>
      <c r="Y71" s="127">
        <f t="shared" ref="Y71:AA71" si="40">SUM(Y58:Y70)</f>
        <v>36</v>
      </c>
      <c r="Z71" s="127">
        <f t="shared" si="40"/>
        <v>17</v>
      </c>
      <c r="AA71" s="127">
        <f t="shared" si="40"/>
        <v>11900</v>
      </c>
      <c r="AB71" s="129"/>
      <c r="AC71" s="127">
        <f>SUM(AC58:AC70)</f>
        <v>16</v>
      </c>
      <c r="AD71" s="127"/>
      <c r="AE71" s="127">
        <f>SUM(AE58:AE70)</f>
        <v>11200</v>
      </c>
      <c r="AF71" s="127">
        <f>IF(N(AC71)=0,"—",ROUND(M71/AC71,0))</f>
        <v>2656</v>
      </c>
      <c r="AG71" s="127">
        <f>IF(N(Z71)=0,"—",ROUND(M71/Z71,0))</f>
        <v>2500</v>
      </c>
      <c r="AH71" s="126"/>
    </row>
    <row r="72" ht="15.75" customHeight="1">
      <c r="A72" s="117" t="s">
        <v>918</v>
      </c>
      <c r="B72" s="117"/>
      <c r="C72" s="130"/>
      <c r="D72" s="117"/>
      <c r="E72" s="117"/>
      <c r="F72" s="117"/>
      <c r="G72" s="117"/>
      <c r="H72" s="117"/>
      <c r="I72" s="117"/>
      <c r="J72" s="130"/>
      <c r="K72" s="130"/>
      <c r="L72" s="130"/>
      <c r="M72" s="130"/>
      <c r="N72" s="117"/>
      <c r="O72" s="117"/>
      <c r="P72" s="117"/>
      <c r="Q72" s="117"/>
      <c r="R72" s="117"/>
      <c r="S72" s="117"/>
      <c r="T72" s="130"/>
      <c r="U72" s="131"/>
      <c r="V72" s="130"/>
      <c r="W72" s="130"/>
      <c r="X72" s="131"/>
      <c r="Y72" s="130"/>
      <c r="Z72" s="130"/>
      <c r="AA72" s="130"/>
      <c r="AB72" s="132"/>
      <c r="AC72" s="130"/>
      <c r="AD72" s="130"/>
      <c r="AE72" s="130"/>
      <c r="AF72" s="130"/>
      <c r="AG72" s="130"/>
      <c r="AH72" s="117"/>
    </row>
    <row r="73" ht="15.0" customHeight="1">
      <c r="A73" s="21"/>
      <c r="B73" s="120" t="str">
        <f>IF($A73="","",IFERROR(HYPERLINK(VLOOKUP($A73,'Мои блогеры'!$A$2:$N$673,14,0),"🔗 открыть"),""))</f>
        <v/>
      </c>
      <c r="C73" s="11" t="str">
        <f>IFERROR(VLOOKUP($A73,'Мои блогеры'!$A:$N,5,0),"")</f>
        <v/>
      </c>
      <c r="D73" s="120" t="str">
        <f>IFERROR(VLOOKUP($A73,'Мои блогеры'!$A:$N,2,0),"")</f>
        <v/>
      </c>
      <c r="E73" s="21"/>
      <c r="F73" s="21"/>
      <c r="G73" s="21"/>
      <c r="H73" s="121"/>
      <c r="I73" s="21"/>
      <c r="J73" s="11" t="str">
        <f>IFERROR(VLOOKUP($A73,'Мои блогеры'!$A$2:$N$673,8,0),"")</f>
        <v/>
      </c>
      <c r="K73" s="122"/>
      <c r="L73" s="122"/>
      <c r="M73" s="11" t="str">
        <f t="shared" ref="M73:M87" si="41">IF(N($J73)+N($K73)+N($L73)=0,"",N($J73)+N($K73)+N($L73))</f>
        <v/>
      </c>
      <c r="N73" s="21"/>
      <c r="O73" s="21"/>
      <c r="P73" s="21"/>
      <c r="Q73" s="120" t="str">
        <f>IFERROR(VLOOKUP($A73,'Мои блогеры'!$A$2:$N$673,10,0)&amp;"-TRG","")</f>
        <v/>
      </c>
      <c r="R73" s="21"/>
      <c r="S73" s="21"/>
      <c r="T73" s="122"/>
      <c r="U73" s="123" t="str">
        <f t="shared" ref="U73:U87" si="42">IF(N($T73)=0,"",$M73/$T73)</f>
        <v/>
      </c>
      <c r="V73" s="122"/>
      <c r="W73" s="122"/>
      <c r="X73" s="123" t="str">
        <f t="shared" ref="X73:X87" si="43">IF(N($V73)=0,"",$M73/$V73)</f>
        <v/>
      </c>
      <c r="Y73" s="122"/>
      <c r="Z73" s="122"/>
      <c r="AA73" s="122"/>
      <c r="AB73" s="124"/>
      <c r="AC73" s="11" t="str">
        <f t="shared" ref="AC73:AC87" si="44">IF(OR(N($Z73)=0,$AB73=""),"",ROUND($Z73*$AB73,0))</f>
        <v/>
      </c>
      <c r="AD73" s="122"/>
      <c r="AE73" s="11" t="str">
        <f t="shared" ref="AE73:AE87" si="45">IF(OR(N($AC73)=0,$AD73=""),"",ROUND($AC73*$AD73,0))</f>
        <v/>
      </c>
      <c r="AF73" s="11" t="str">
        <f t="shared" ref="AF73:AF87" si="46">IF(N($AC73)=0,"",ROUND($M73/$AC73,0))</f>
        <v/>
      </c>
      <c r="AG73" s="11" t="str">
        <f t="shared" ref="AG73:AG87" si="47">IF(N($Z73)=0,"",ROUND($M73/$Z73,0))</f>
        <v/>
      </c>
      <c r="AH73" s="21"/>
    </row>
    <row r="74" ht="15.75" customHeight="1">
      <c r="A74" s="21"/>
      <c r="B74" s="120" t="str">
        <f>IF($A74="","",IFERROR(HYPERLINK(VLOOKUP($A74,'Мои блогеры'!$A$2:$N$673,14,0),"🔗 открыть"),""))</f>
        <v/>
      </c>
      <c r="C74" s="11" t="str">
        <f>IFERROR(VLOOKUP($A74,'Мои блогеры'!$A:$N,5,0),"")</f>
        <v/>
      </c>
      <c r="D74" s="120" t="str">
        <f>IFERROR(VLOOKUP($A74,'Мои блогеры'!$A:$N,2,0),"")</f>
        <v/>
      </c>
      <c r="E74" s="21"/>
      <c r="F74" s="21"/>
      <c r="G74" s="21"/>
      <c r="H74" s="121"/>
      <c r="I74" s="21"/>
      <c r="J74" s="11" t="str">
        <f>IFERROR(VLOOKUP($A74,'Мои блогеры'!$A$2:$N$673,8,0),"")</f>
        <v/>
      </c>
      <c r="K74" s="122"/>
      <c r="L74" s="122"/>
      <c r="M74" s="11" t="str">
        <f t="shared" si="41"/>
        <v/>
      </c>
      <c r="N74" s="21"/>
      <c r="O74" s="21"/>
      <c r="P74" s="21"/>
      <c r="Q74" s="120" t="str">
        <f>IFERROR(VLOOKUP($A74,'Мои блогеры'!$A$2:$N$673,10,0)&amp;"-TRG","")</f>
        <v/>
      </c>
      <c r="R74" s="21"/>
      <c r="S74" s="21"/>
      <c r="T74" s="122"/>
      <c r="U74" s="123" t="str">
        <f t="shared" si="42"/>
        <v/>
      </c>
      <c r="V74" s="122"/>
      <c r="W74" s="122"/>
      <c r="X74" s="123" t="str">
        <f t="shared" si="43"/>
        <v/>
      </c>
      <c r="Y74" s="122"/>
      <c r="Z74" s="122"/>
      <c r="AA74" s="122"/>
      <c r="AB74" s="124"/>
      <c r="AC74" s="11" t="str">
        <f t="shared" si="44"/>
        <v/>
      </c>
      <c r="AD74" s="122"/>
      <c r="AE74" s="11" t="str">
        <f t="shared" si="45"/>
        <v/>
      </c>
      <c r="AF74" s="11" t="str">
        <f t="shared" si="46"/>
        <v/>
      </c>
      <c r="AG74" s="11" t="str">
        <f t="shared" si="47"/>
        <v/>
      </c>
      <c r="AH74" s="21"/>
    </row>
    <row r="75" ht="15.75" customHeight="1">
      <c r="A75" s="21"/>
      <c r="B75" s="120" t="str">
        <f>IF($A75="","",IFERROR(HYPERLINK(VLOOKUP($A75,'Мои блогеры'!$A$2:$N$673,14,0),"🔗 открыть"),""))</f>
        <v/>
      </c>
      <c r="C75" s="11" t="str">
        <f>IFERROR(VLOOKUP($A75,'Мои блогеры'!$A:$N,5,0),"")</f>
        <v/>
      </c>
      <c r="D75" s="120" t="str">
        <f>IFERROR(VLOOKUP($A75,'Мои блогеры'!$A:$N,2,0),"")</f>
        <v/>
      </c>
      <c r="E75" s="21"/>
      <c r="F75" s="21"/>
      <c r="G75" s="21"/>
      <c r="H75" s="121"/>
      <c r="I75" s="21"/>
      <c r="J75" s="11" t="str">
        <f>IFERROR(VLOOKUP($A75,'Мои блогеры'!$A$2:$N$673,8,0),"")</f>
        <v/>
      </c>
      <c r="K75" s="122"/>
      <c r="L75" s="122"/>
      <c r="M75" s="11" t="str">
        <f t="shared" si="41"/>
        <v/>
      </c>
      <c r="N75" s="21"/>
      <c r="O75" s="21"/>
      <c r="P75" s="21"/>
      <c r="Q75" s="120" t="str">
        <f>IFERROR(VLOOKUP($A75,'Мои блогеры'!$A$2:$N$673,10,0)&amp;"-TRG","")</f>
        <v/>
      </c>
      <c r="R75" s="21"/>
      <c r="S75" s="21"/>
      <c r="T75" s="122"/>
      <c r="U75" s="123" t="str">
        <f t="shared" si="42"/>
        <v/>
      </c>
      <c r="V75" s="122"/>
      <c r="W75" s="122"/>
      <c r="X75" s="123" t="str">
        <f t="shared" si="43"/>
        <v/>
      </c>
      <c r="Y75" s="122"/>
      <c r="Z75" s="122"/>
      <c r="AA75" s="122"/>
      <c r="AB75" s="124"/>
      <c r="AC75" s="11" t="str">
        <f t="shared" si="44"/>
        <v/>
      </c>
      <c r="AD75" s="122"/>
      <c r="AE75" s="11" t="str">
        <f t="shared" si="45"/>
        <v/>
      </c>
      <c r="AF75" s="11" t="str">
        <f t="shared" si="46"/>
        <v/>
      </c>
      <c r="AG75" s="11" t="str">
        <f t="shared" si="47"/>
        <v/>
      </c>
      <c r="AH75" s="21"/>
    </row>
    <row r="76" ht="15.75" customHeight="1">
      <c r="A76" s="21"/>
      <c r="B76" s="120" t="str">
        <f>IF($A76="","",IFERROR(HYPERLINK(VLOOKUP($A76,'Мои блогеры'!$A$2:$N$673,14,0),"🔗 открыть"),""))</f>
        <v/>
      </c>
      <c r="C76" s="11" t="str">
        <f>IFERROR(VLOOKUP($A76,'Мои блогеры'!$A:$N,5,0),"")</f>
        <v/>
      </c>
      <c r="D76" s="120" t="str">
        <f>IFERROR(VLOOKUP($A76,'Мои блогеры'!$A:$N,2,0),"")</f>
        <v/>
      </c>
      <c r="E76" s="21"/>
      <c r="F76" s="21"/>
      <c r="G76" s="21"/>
      <c r="H76" s="121"/>
      <c r="I76" s="21"/>
      <c r="J76" s="11" t="str">
        <f>IFERROR(VLOOKUP($A76,'Мои блогеры'!$A$2:$N$673,8,0),"")</f>
        <v/>
      </c>
      <c r="K76" s="122"/>
      <c r="L76" s="122"/>
      <c r="M76" s="11" t="str">
        <f t="shared" si="41"/>
        <v/>
      </c>
      <c r="N76" s="21"/>
      <c r="O76" s="21"/>
      <c r="P76" s="21"/>
      <c r="Q76" s="120" t="str">
        <f>IFERROR(VLOOKUP($A76,'Мои блогеры'!$A$2:$N$673,10,0)&amp;"-TRG","")</f>
        <v/>
      </c>
      <c r="R76" s="21"/>
      <c r="S76" s="21"/>
      <c r="T76" s="122"/>
      <c r="U76" s="123" t="str">
        <f t="shared" si="42"/>
        <v/>
      </c>
      <c r="V76" s="122"/>
      <c r="W76" s="122"/>
      <c r="X76" s="123" t="str">
        <f t="shared" si="43"/>
        <v/>
      </c>
      <c r="Y76" s="122"/>
      <c r="Z76" s="122"/>
      <c r="AA76" s="122"/>
      <c r="AB76" s="124"/>
      <c r="AC76" s="11" t="str">
        <f t="shared" si="44"/>
        <v/>
      </c>
      <c r="AD76" s="122"/>
      <c r="AE76" s="11" t="str">
        <f t="shared" si="45"/>
        <v/>
      </c>
      <c r="AF76" s="11" t="str">
        <f t="shared" si="46"/>
        <v/>
      </c>
      <c r="AG76" s="11" t="str">
        <f t="shared" si="47"/>
        <v/>
      </c>
      <c r="AH76" s="21"/>
    </row>
    <row r="77" ht="15.75" customHeight="1">
      <c r="A77" s="21"/>
      <c r="B77" s="120" t="str">
        <f>IF($A77="","",IFERROR(HYPERLINK(VLOOKUP($A77,'Мои блогеры'!$A$2:$N$673,14,0),"🔗 открыть"),""))</f>
        <v/>
      </c>
      <c r="C77" s="11" t="str">
        <f>IFERROR(VLOOKUP($A77,'Мои блогеры'!$A:$N,5,0),"")</f>
        <v/>
      </c>
      <c r="D77" s="120" t="str">
        <f>IFERROR(VLOOKUP($A77,'Мои блогеры'!$A:$N,2,0),"")</f>
        <v/>
      </c>
      <c r="E77" s="21"/>
      <c r="F77" s="21"/>
      <c r="G77" s="21"/>
      <c r="H77" s="121"/>
      <c r="I77" s="21"/>
      <c r="J77" s="11" t="str">
        <f>IFERROR(VLOOKUP($A77,'Мои блогеры'!$A$2:$N$673,8,0),"")</f>
        <v/>
      </c>
      <c r="K77" s="122"/>
      <c r="L77" s="122"/>
      <c r="M77" s="11" t="str">
        <f t="shared" si="41"/>
        <v/>
      </c>
      <c r="N77" s="21"/>
      <c r="O77" s="21"/>
      <c r="P77" s="21"/>
      <c r="Q77" s="120" t="str">
        <f>IFERROR(VLOOKUP($A77,'Мои блогеры'!$A$2:$N$673,10,0)&amp;"-TRG","")</f>
        <v/>
      </c>
      <c r="R77" s="21"/>
      <c r="S77" s="21"/>
      <c r="T77" s="122"/>
      <c r="U77" s="123" t="str">
        <f t="shared" si="42"/>
        <v/>
      </c>
      <c r="V77" s="122"/>
      <c r="W77" s="122"/>
      <c r="X77" s="123" t="str">
        <f t="shared" si="43"/>
        <v/>
      </c>
      <c r="Y77" s="122"/>
      <c r="Z77" s="122"/>
      <c r="AA77" s="122"/>
      <c r="AB77" s="124"/>
      <c r="AC77" s="11" t="str">
        <f t="shared" si="44"/>
        <v/>
      </c>
      <c r="AD77" s="122"/>
      <c r="AE77" s="11" t="str">
        <f t="shared" si="45"/>
        <v/>
      </c>
      <c r="AF77" s="11" t="str">
        <f t="shared" si="46"/>
        <v/>
      </c>
      <c r="AG77" s="11" t="str">
        <f t="shared" si="47"/>
        <v/>
      </c>
      <c r="AH77" s="21"/>
    </row>
    <row r="78" ht="15.75" customHeight="1">
      <c r="A78" s="21"/>
      <c r="B78" s="120" t="str">
        <f>IF($A78="","",IFERROR(HYPERLINK(VLOOKUP($A78,'Мои блогеры'!$A$2:$N$673,14,0),"🔗 открыть"),""))</f>
        <v/>
      </c>
      <c r="C78" s="11" t="str">
        <f>IFERROR(VLOOKUP($A78,'Мои блогеры'!$A:$N,5,0),"")</f>
        <v/>
      </c>
      <c r="D78" s="120" t="str">
        <f>IFERROR(VLOOKUP($A78,'Мои блогеры'!$A:$N,2,0),"")</f>
        <v/>
      </c>
      <c r="E78" s="21"/>
      <c r="F78" s="21"/>
      <c r="G78" s="21"/>
      <c r="H78" s="121"/>
      <c r="I78" s="21"/>
      <c r="J78" s="11" t="str">
        <f>IFERROR(VLOOKUP($A78,'Мои блогеры'!$A$2:$N$673,8,0),"")</f>
        <v/>
      </c>
      <c r="K78" s="122"/>
      <c r="L78" s="122"/>
      <c r="M78" s="11" t="str">
        <f t="shared" si="41"/>
        <v/>
      </c>
      <c r="N78" s="21"/>
      <c r="O78" s="21"/>
      <c r="P78" s="21"/>
      <c r="Q78" s="120" t="str">
        <f>IFERROR(VLOOKUP($A78,'Мои блогеры'!$A$2:$N$673,10,0)&amp;"-TRG","")</f>
        <v/>
      </c>
      <c r="R78" s="21"/>
      <c r="S78" s="21"/>
      <c r="T78" s="122"/>
      <c r="U78" s="123" t="str">
        <f t="shared" si="42"/>
        <v/>
      </c>
      <c r="V78" s="122"/>
      <c r="W78" s="122"/>
      <c r="X78" s="123" t="str">
        <f t="shared" si="43"/>
        <v/>
      </c>
      <c r="Y78" s="122"/>
      <c r="Z78" s="122"/>
      <c r="AA78" s="122"/>
      <c r="AB78" s="124"/>
      <c r="AC78" s="11" t="str">
        <f t="shared" si="44"/>
        <v/>
      </c>
      <c r="AD78" s="122"/>
      <c r="AE78" s="11" t="str">
        <f t="shared" si="45"/>
        <v/>
      </c>
      <c r="AF78" s="11" t="str">
        <f t="shared" si="46"/>
        <v/>
      </c>
      <c r="AG78" s="11" t="str">
        <f t="shared" si="47"/>
        <v/>
      </c>
      <c r="AH78" s="21"/>
    </row>
    <row r="79" ht="15.75" customHeight="1">
      <c r="A79" s="21"/>
      <c r="B79" s="120" t="str">
        <f>IF($A79="","",IFERROR(HYPERLINK(VLOOKUP($A79,'Мои блогеры'!$A$2:$N$673,14,0),"🔗 открыть"),""))</f>
        <v/>
      </c>
      <c r="C79" s="11" t="str">
        <f>IFERROR(VLOOKUP($A79,'Мои блогеры'!$A:$N,5,0),"")</f>
        <v/>
      </c>
      <c r="D79" s="120" t="str">
        <f>IFERROR(VLOOKUP($A79,'Мои блогеры'!$A:$N,2,0),"")</f>
        <v/>
      </c>
      <c r="E79" s="21"/>
      <c r="F79" s="21"/>
      <c r="G79" s="21"/>
      <c r="H79" s="121"/>
      <c r="I79" s="21"/>
      <c r="J79" s="11" t="str">
        <f>IFERROR(VLOOKUP($A79,'Мои блогеры'!$A$2:$N$673,8,0),"")</f>
        <v/>
      </c>
      <c r="K79" s="122"/>
      <c r="L79" s="122"/>
      <c r="M79" s="11" t="str">
        <f t="shared" si="41"/>
        <v/>
      </c>
      <c r="N79" s="21"/>
      <c r="O79" s="21"/>
      <c r="P79" s="21"/>
      <c r="Q79" s="120" t="str">
        <f>IFERROR(VLOOKUP($A79,'Мои блогеры'!$A$2:$N$673,10,0)&amp;"-TRG","")</f>
        <v/>
      </c>
      <c r="R79" s="21"/>
      <c r="S79" s="21"/>
      <c r="T79" s="122"/>
      <c r="U79" s="123" t="str">
        <f t="shared" si="42"/>
        <v/>
      </c>
      <c r="V79" s="122"/>
      <c r="W79" s="122"/>
      <c r="X79" s="123" t="str">
        <f t="shared" si="43"/>
        <v/>
      </c>
      <c r="Y79" s="122"/>
      <c r="Z79" s="122"/>
      <c r="AA79" s="122"/>
      <c r="AB79" s="124"/>
      <c r="AC79" s="11" t="str">
        <f t="shared" si="44"/>
        <v/>
      </c>
      <c r="AD79" s="122"/>
      <c r="AE79" s="11" t="str">
        <f t="shared" si="45"/>
        <v/>
      </c>
      <c r="AF79" s="11" t="str">
        <f t="shared" si="46"/>
        <v/>
      </c>
      <c r="AG79" s="11" t="str">
        <f t="shared" si="47"/>
        <v/>
      </c>
      <c r="AH79" s="21"/>
    </row>
    <row r="80" ht="15.75" customHeight="1">
      <c r="A80" s="21"/>
      <c r="B80" s="120" t="str">
        <f>IF($A80="","",IFERROR(HYPERLINK(VLOOKUP($A80,'Мои блогеры'!$A$2:$N$673,14,0),"🔗 открыть"),""))</f>
        <v/>
      </c>
      <c r="C80" s="11" t="str">
        <f>IFERROR(VLOOKUP($A80,'Мои блогеры'!$A:$N,5,0),"")</f>
        <v/>
      </c>
      <c r="D80" s="120" t="str">
        <f>IFERROR(VLOOKUP($A80,'Мои блогеры'!$A:$N,2,0),"")</f>
        <v/>
      </c>
      <c r="E80" s="21"/>
      <c r="F80" s="21"/>
      <c r="G80" s="21"/>
      <c r="H80" s="121"/>
      <c r="I80" s="21"/>
      <c r="J80" s="11" t="str">
        <f>IFERROR(VLOOKUP($A80,'Мои блогеры'!$A$2:$N$673,8,0),"")</f>
        <v/>
      </c>
      <c r="K80" s="122"/>
      <c r="L80" s="122"/>
      <c r="M80" s="11" t="str">
        <f t="shared" si="41"/>
        <v/>
      </c>
      <c r="N80" s="21"/>
      <c r="O80" s="21"/>
      <c r="P80" s="21"/>
      <c r="Q80" s="120" t="str">
        <f>IFERROR(VLOOKUP($A80,'Мои блогеры'!$A$2:$N$673,10,0)&amp;"-TRG","")</f>
        <v/>
      </c>
      <c r="R80" s="21"/>
      <c r="S80" s="21"/>
      <c r="T80" s="122"/>
      <c r="U80" s="123" t="str">
        <f t="shared" si="42"/>
        <v/>
      </c>
      <c r="V80" s="122"/>
      <c r="W80" s="122"/>
      <c r="X80" s="123" t="str">
        <f t="shared" si="43"/>
        <v/>
      </c>
      <c r="Y80" s="122"/>
      <c r="Z80" s="122"/>
      <c r="AA80" s="122"/>
      <c r="AB80" s="124"/>
      <c r="AC80" s="11" t="str">
        <f t="shared" si="44"/>
        <v/>
      </c>
      <c r="AD80" s="122"/>
      <c r="AE80" s="11" t="str">
        <f t="shared" si="45"/>
        <v/>
      </c>
      <c r="AF80" s="11" t="str">
        <f t="shared" si="46"/>
        <v/>
      </c>
      <c r="AG80" s="11" t="str">
        <f t="shared" si="47"/>
        <v/>
      </c>
      <c r="AH80" s="21"/>
    </row>
    <row r="81" ht="15.75" customHeight="1">
      <c r="A81" s="21"/>
      <c r="B81" s="120" t="str">
        <f>IF($A81="","",IFERROR(HYPERLINK(VLOOKUP($A81,'Мои блогеры'!$A$2:$N$673,14,0),"🔗 открыть"),""))</f>
        <v/>
      </c>
      <c r="C81" s="11" t="str">
        <f>IFERROR(VLOOKUP($A81,'Мои блогеры'!$A:$N,5,0),"")</f>
        <v/>
      </c>
      <c r="D81" s="120" t="str">
        <f>IFERROR(VLOOKUP($A81,'Мои блогеры'!$A:$N,2,0),"")</f>
        <v/>
      </c>
      <c r="E81" s="21"/>
      <c r="F81" s="21"/>
      <c r="G81" s="21"/>
      <c r="H81" s="121"/>
      <c r="I81" s="21"/>
      <c r="J81" s="11" t="str">
        <f>IFERROR(VLOOKUP($A81,'Мои блогеры'!$A$2:$N$673,8,0),"")</f>
        <v/>
      </c>
      <c r="K81" s="122"/>
      <c r="L81" s="122"/>
      <c r="M81" s="11" t="str">
        <f t="shared" si="41"/>
        <v/>
      </c>
      <c r="N81" s="21"/>
      <c r="O81" s="21"/>
      <c r="P81" s="21"/>
      <c r="Q81" s="120" t="str">
        <f>IFERROR(VLOOKUP($A81,'Мои блогеры'!$A$2:$N$673,10,0)&amp;"-TRG","")</f>
        <v/>
      </c>
      <c r="R81" s="21"/>
      <c r="S81" s="21"/>
      <c r="T81" s="122"/>
      <c r="U81" s="123" t="str">
        <f t="shared" si="42"/>
        <v/>
      </c>
      <c r="V81" s="122"/>
      <c r="W81" s="122"/>
      <c r="X81" s="123" t="str">
        <f t="shared" si="43"/>
        <v/>
      </c>
      <c r="Y81" s="122"/>
      <c r="Z81" s="122"/>
      <c r="AA81" s="122"/>
      <c r="AB81" s="124"/>
      <c r="AC81" s="11" t="str">
        <f t="shared" si="44"/>
        <v/>
      </c>
      <c r="AD81" s="122"/>
      <c r="AE81" s="11" t="str">
        <f t="shared" si="45"/>
        <v/>
      </c>
      <c r="AF81" s="11" t="str">
        <f t="shared" si="46"/>
        <v/>
      </c>
      <c r="AG81" s="11" t="str">
        <f t="shared" si="47"/>
        <v/>
      </c>
      <c r="AH81" s="21"/>
    </row>
    <row r="82" ht="15.75" customHeight="1">
      <c r="A82" s="21"/>
      <c r="B82" s="120" t="str">
        <f>IF($A82="","",IFERROR(HYPERLINK(VLOOKUP($A82,'Мои блогеры'!$A$2:$N$673,14,0),"🔗 открыть"),""))</f>
        <v/>
      </c>
      <c r="C82" s="11" t="str">
        <f>IFERROR(VLOOKUP($A82,'Мои блогеры'!$A:$N,5,0),"")</f>
        <v/>
      </c>
      <c r="D82" s="120" t="str">
        <f>IFERROR(VLOOKUP($A82,'Мои блогеры'!$A:$N,2,0),"")</f>
        <v/>
      </c>
      <c r="E82" s="21"/>
      <c r="F82" s="21"/>
      <c r="G82" s="21"/>
      <c r="H82" s="121"/>
      <c r="I82" s="21"/>
      <c r="J82" s="11" t="str">
        <f>IFERROR(VLOOKUP($A82,'Мои блогеры'!$A$2:$N$673,8,0),"")</f>
        <v/>
      </c>
      <c r="K82" s="122"/>
      <c r="L82" s="122"/>
      <c r="M82" s="11" t="str">
        <f t="shared" si="41"/>
        <v/>
      </c>
      <c r="N82" s="21"/>
      <c r="O82" s="21"/>
      <c r="P82" s="21"/>
      <c r="Q82" s="120" t="str">
        <f>IFERROR(VLOOKUP($A82,'Мои блогеры'!$A$2:$N$673,10,0)&amp;"-TRG","")</f>
        <v/>
      </c>
      <c r="R82" s="21"/>
      <c r="S82" s="21"/>
      <c r="T82" s="122"/>
      <c r="U82" s="123" t="str">
        <f t="shared" si="42"/>
        <v/>
      </c>
      <c r="V82" s="122"/>
      <c r="W82" s="122"/>
      <c r="X82" s="123" t="str">
        <f t="shared" si="43"/>
        <v/>
      </c>
      <c r="Y82" s="122"/>
      <c r="Z82" s="122"/>
      <c r="AA82" s="122"/>
      <c r="AB82" s="124"/>
      <c r="AC82" s="11" t="str">
        <f t="shared" si="44"/>
        <v/>
      </c>
      <c r="AD82" s="122"/>
      <c r="AE82" s="11" t="str">
        <f t="shared" si="45"/>
        <v/>
      </c>
      <c r="AF82" s="11" t="str">
        <f t="shared" si="46"/>
        <v/>
      </c>
      <c r="AG82" s="11" t="str">
        <f t="shared" si="47"/>
        <v/>
      </c>
      <c r="AH82" s="21"/>
    </row>
    <row r="83" ht="15.75" customHeight="1">
      <c r="A83" s="21"/>
      <c r="B83" s="120" t="str">
        <f>IF($A83="","",IFERROR(HYPERLINK(VLOOKUP($A83,'Мои блогеры'!$A$2:$N$673,14,0),"🔗 открыть"),""))</f>
        <v/>
      </c>
      <c r="C83" s="11" t="str">
        <f>IFERROR(VLOOKUP($A83,'Мои блогеры'!$A:$N,5,0),"")</f>
        <v/>
      </c>
      <c r="D83" s="120" t="str">
        <f>IFERROR(VLOOKUP($A83,'Мои блогеры'!$A:$N,2,0),"")</f>
        <v/>
      </c>
      <c r="E83" s="21"/>
      <c r="F83" s="21"/>
      <c r="G83" s="21"/>
      <c r="H83" s="121"/>
      <c r="I83" s="21"/>
      <c r="J83" s="11" t="str">
        <f>IFERROR(VLOOKUP($A83,'Мои блогеры'!$A$2:$N$673,8,0),"")</f>
        <v/>
      </c>
      <c r="K83" s="122"/>
      <c r="L83" s="122"/>
      <c r="M83" s="11" t="str">
        <f t="shared" si="41"/>
        <v/>
      </c>
      <c r="N83" s="21"/>
      <c r="O83" s="21"/>
      <c r="P83" s="21"/>
      <c r="Q83" s="120" t="str">
        <f>IFERROR(VLOOKUP($A83,'Мои блогеры'!$A$2:$N$673,10,0)&amp;"-TRG","")</f>
        <v/>
      </c>
      <c r="R83" s="21"/>
      <c r="S83" s="21"/>
      <c r="T83" s="122"/>
      <c r="U83" s="123" t="str">
        <f t="shared" si="42"/>
        <v/>
      </c>
      <c r="V83" s="122"/>
      <c r="W83" s="122"/>
      <c r="X83" s="123" t="str">
        <f t="shared" si="43"/>
        <v/>
      </c>
      <c r="Y83" s="122"/>
      <c r="Z83" s="122"/>
      <c r="AA83" s="122"/>
      <c r="AB83" s="124"/>
      <c r="AC83" s="11" t="str">
        <f t="shared" si="44"/>
        <v/>
      </c>
      <c r="AD83" s="122"/>
      <c r="AE83" s="11" t="str">
        <f t="shared" si="45"/>
        <v/>
      </c>
      <c r="AF83" s="11" t="str">
        <f t="shared" si="46"/>
        <v/>
      </c>
      <c r="AG83" s="11" t="str">
        <f t="shared" si="47"/>
        <v/>
      </c>
      <c r="AH83" s="21"/>
    </row>
    <row r="84" ht="15.75" customHeight="1">
      <c r="A84" s="21"/>
      <c r="B84" s="120" t="str">
        <f>IF($A84="","",IFERROR(HYPERLINK(VLOOKUP($A84,'Мои блогеры'!$A$2:$N$673,14,0),"🔗 открыть"),""))</f>
        <v/>
      </c>
      <c r="C84" s="11" t="str">
        <f>IFERROR(VLOOKUP($A84,'Мои блогеры'!$A:$N,5,0),"")</f>
        <v/>
      </c>
      <c r="D84" s="120" t="str">
        <f>IFERROR(VLOOKUP($A84,'Мои блогеры'!$A:$N,2,0),"")</f>
        <v/>
      </c>
      <c r="E84" s="21"/>
      <c r="F84" s="21"/>
      <c r="G84" s="21"/>
      <c r="H84" s="121"/>
      <c r="I84" s="21"/>
      <c r="J84" s="11" t="str">
        <f>IFERROR(VLOOKUP($A84,'Мои блогеры'!$A$2:$N$673,8,0),"")</f>
        <v/>
      </c>
      <c r="K84" s="122"/>
      <c r="L84" s="122"/>
      <c r="M84" s="11" t="str">
        <f t="shared" si="41"/>
        <v/>
      </c>
      <c r="N84" s="21"/>
      <c r="O84" s="21"/>
      <c r="P84" s="21"/>
      <c r="Q84" s="120" t="str">
        <f>IFERROR(VLOOKUP($A84,'Мои блогеры'!$A$2:$N$673,10,0)&amp;"-TRG","")</f>
        <v/>
      </c>
      <c r="R84" s="21"/>
      <c r="S84" s="21"/>
      <c r="T84" s="122"/>
      <c r="U84" s="123" t="str">
        <f t="shared" si="42"/>
        <v/>
      </c>
      <c r="V84" s="122"/>
      <c r="W84" s="122"/>
      <c r="X84" s="123" t="str">
        <f t="shared" si="43"/>
        <v/>
      </c>
      <c r="Y84" s="122"/>
      <c r="Z84" s="122"/>
      <c r="AA84" s="122"/>
      <c r="AB84" s="124"/>
      <c r="AC84" s="11" t="str">
        <f t="shared" si="44"/>
        <v/>
      </c>
      <c r="AD84" s="122"/>
      <c r="AE84" s="11" t="str">
        <f t="shared" si="45"/>
        <v/>
      </c>
      <c r="AF84" s="11" t="str">
        <f t="shared" si="46"/>
        <v/>
      </c>
      <c r="AG84" s="11" t="str">
        <f t="shared" si="47"/>
        <v/>
      </c>
      <c r="AH84" s="21"/>
    </row>
    <row r="85" ht="15.75" customHeight="1">
      <c r="A85" s="21"/>
      <c r="B85" s="120" t="str">
        <f>IF($A85="","",IFERROR(HYPERLINK(VLOOKUP($A85,'Мои блогеры'!$A$2:$N$673,14,0),"🔗 открыть"),""))</f>
        <v/>
      </c>
      <c r="C85" s="11" t="str">
        <f>IFERROR(VLOOKUP($A85,'Мои блогеры'!$A:$N,5,0),"")</f>
        <v/>
      </c>
      <c r="D85" s="120" t="str">
        <f>IFERROR(VLOOKUP($A85,'Мои блогеры'!$A:$N,2,0),"")</f>
        <v/>
      </c>
      <c r="E85" s="21"/>
      <c r="F85" s="21"/>
      <c r="G85" s="21"/>
      <c r="H85" s="121"/>
      <c r="I85" s="21"/>
      <c r="J85" s="11" t="str">
        <f>IFERROR(VLOOKUP($A85,'Мои блогеры'!$A$2:$N$673,8,0),"")</f>
        <v/>
      </c>
      <c r="K85" s="122"/>
      <c r="L85" s="122"/>
      <c r="M85" s="11" t="str">
        <f t="shared" si="41"/>
        <v/>
      </c>
      <c r="N85" s="21"/>
      <c r="O85" s="21"/>
      <c r="P85" s="21"/>
      <c r="Q85" s="120" t="str">
        <f>IFERROR(VLOOKUP($A85,'Мои блогеры'!$A$2:$N$673,10,0)&amp;"-TRG","")</f>
        <v/>
      </c>
      <c r="R85" s="21"/>
      <c r="S85" s="21"/>
      <c r="T85" s="122"/>
      <c r="U85" s="123" t="str">
        <f t="shared" si="42"/>
        <v/>
      </c>
      <c r="V85" s="122"/>
      <c r="W85" s="122"/>
      <c r="X85" s="123" t="str">
        <f t="shared" si="43"/>
        <v/>
      </c>
      <c r="Y85" s="122"/>
      <c r="Z85" s="122"/>
      <c r="AA85" s="122"/>
      <c r="AB85" s="124"/>
      <c r="AC85" s="11" t="str">
        <f t="shared" si="44"/>
        <v/>
      </c>
      <c r="AD85" s="122"/>
      <c r="AE85" s="11" t="str">
        <f t="shared" si="45"/>
        <v/>
      </c>
      <c r="AF85" s="11" t="str">
        <f t="shared" si="46"/>
        <v/>
      </c>
      <c r="AG85" s="11" t="str">
        <f t="shared" si="47"/>
        <v/>
      </c>
      <c r="AH85" s="21"/>
    </row>
    <row r="86" ht="15.75" customHeight="1">
      <c r="A86" s="21"/>
      <c r="B86" s="120" t="str">
        <f>IF($A86="","",IFERROR(HYPERLINK(VLOOKUP($A86,'Мои блогеры'!$A$2:$N$673,14,0),"🔗 открыть"),""))</f>
        <v/>
      </c>
      <c r="C86" s="11" t="str">
        <f>IFERROR(VLOOKUP($A86,'Мои блогеры'!$A:$N,5,0),"")</f>
        <v/>
      </c>
      <c r="D86" s="120" t="str">
        <f>IFERROR(VLOOKUP($A86,'Мои блогеры'!$A:$N,2,0),"")</f>
        <v/>
      </c>
      <c r="E86" s="21"/>
      <c r="F86" s="21"/>
      <c r="G86" s="21"/>
      <c r="H86" s="121"/>
      <c r="I86" s="21"/>
      <c r="J86" s="11" t="str">
        <f>IFERROR(VLOOKUP($A86,'Мои блогеры'!$A$2:$N$673,8,0),"")</f>
        <v/>
      </c>
      <c r="K86" s="122"/>
      <c r="L86" s="122"/>
      <c r="M86" s="11" t="str">
        <f t="shared" si="41"/>
        <v/>
      </c>
      <c r="N86" s="21"/>
      <c r="O86" s="21"/>
      <c r="P86" s="21"/>
      <c r="Q86" s="120" t="str">
        <f>IFERROR(VLOOKUP($A86,'Мои блогеры'!$A$2:$N$673,10,0)&amp;"-TRG","")</f>
        <v/>
      </c>
      <c r="R86" s="21"/>
      <c r="S86" s="21"/>
      <c r="T86" s="122"/>
      <c r="U86" s="123" t="str">
        <f t="shared" si="42"/>
        <v/>
      </c>
      <c r="V86" s="122"/>
      <c r="W86" s="122"/>
      <c r="X86" s="123" t="str">
        <f t="shared" si="43"/>
        <v/>
      </c>
      <c r="Y86" s="122"/>
      <c r="Z86" s="122"/>
      <c r="AA86" s="122"/>
      <c r="AB86" s="124"/>
      <c r="AC86" s="11" t="str">
        <f t="shared" si="44"/>
        <v/>
      </c>
      <c r="AD86" s="122"/>
      <c r="AE86" s="11" t="str">
        <f t="shared" si="45"/>
        <v/>
      </c>
      <c r="AF86" s="11" t="str">
        <f t="shared" si="46"/>
        <v/>
      </c>
      <c r="AG86" s="11" t="str">
        <f t="shared" si="47"/>
        <v/>
      </c>
      <c r="AH86" s="21"/>
    </row>
    <row r="87" ht="15.75" customHeight="1">
      <c r="A87" s="21"/>
      <c r="B87" s="120" t="str">
        <f>IF($A87="","",IFERROR(HYPERLINK(VLOOKUP($A87,'Мои блогеры'!$A$2:$N$673,14,0),"🔗 открыть"),""))</f>
        <v/>
      </c>
      <c r="C87" s="11" t="str">
        <f>IFERROR(VLOOKUP($A87,'Мои блогеры'!$A:$N,5,0),"")</f>
        <v/>
      </c>
      <c r="D87" s="120" t="str">
        <f>IFERROR(VLOOKUP($A87,'Мои блогеры'!$A:$N,2,0),"")</f>
        <v/>
      </c>
      <c r="E87" s="21"/>
      <c r="F87" s="21"/>
      <c r="G87" s="21"/>
      <c r="H87" s="121"/>
      <c r="I87" s="21"/>
      <c r="J87" s="11" t="str">
        <f>IFERROR(VLOOKUP($A87,'Мои блогеры'!$A$2:$N$673,8,0),"")</f>
        <v/>
      </c>
      <c r="K87" s="122"/>
      <c r="L87" s="122"/>
      <c r="M87" s="11" t="str">
        <f t="shared" si="41"/>
        <v/>
      </c>
      <c r="N87" s="21"/>
      <c r="O87" s="21"/>
      <c r="P87" s="21"/>
      <c r="Q87" s="120" t="str">
        <f>IFERROR(VLOOKUP($A87,'Мои блогеры'!$A$2:$N$673,10,0)&amp;"-TRG","")</f>
        <v/>
      </c>
      <c r="R87" s="21"/>
      <c r="S87" s="21"/>
      <c r="T87" s="122"/>
      <c r="U87" s="123" t="str">
        <f t="shared" si="42"/>
        <v/>
      </c>
      <c r="V87" s="122"/>
      <c r="W87" s="122"/>
      <c r="X87" s="123" t="str">
        <f t="shared" si="43"/>
        <v/>
      </c>
      <c r="Y87" s="122"/>
      <c r="Z87" s="122"/>
      <c r="AA87" s="122"/>
      <c r="AB87" s="124"/>
      <c r="AC87" s="11" t="str">
        <f t="shared" si="44"/>
        <v/>
      </c>
      <c r="AD87" s="122"/>
      <c r="AE87" s="11" t="str">
        <f t="shared" si="45"/>
        <v/>
      </c>
      <c r="AF87" s="11" t="str">
        <f t="shared" si="46"/>
        <v/>
      </c>
      <c r="AG87" s="11" t="str">
        <f t="shared" si="47"/>
        <v/>
      </c>
      <c r="AH87" s="21"/>
    </row>
    <row r="88" ht="15.75" customHeight="1">
      <c r="A88" s="126" t="s">
        <v>919</v>
      </c>
      <c r="B88" s="126"/>
      <c r="C88" s="127"/>
      <c r="D88" s="126"/>
      <c r="E88" s="126"/>
      <c r="F88" s="126"/>
      <c r="G88" s="126"/>
      <c r="H88" s="126"/>
      <c r="I88" s="126" t="str">
        <f>COUNTIF(I73:I87,"Вышло")&amp;" / "&amp;COUNTA(A73:A87)</f>
        <v>0 / 0</v>
      </c>
      <c r="J88" s="127">
        <f t="shared" ref="J88:M88" si="48">SUM(J73:J87)</f>
        <v>0</v>
      </c>
      <c r="K88" s="127">
        <f t="shared" si="48"/>
        <v>0</v>
      </c>
      <c r="L88" s="127">
        <f t="shared" si="48"/>
        <v>0</v>
      </c>
      <c r="M88" s="127">
        <f t="shared" si="48"/>
        <v>0</v>
      </c>
      <c r="N88" s="126"/>
      <c r="O88" s="126"/>
      <c r="P88" s="126"/>
      <c r="Q88" s="126"/>
      <c r="R88" s="126"/>
      <c r="S88" s="126"/>
      <c r="T88" s="127">
        <f>SUM(T73:T87)</f>
        <v>0</v>
      </c>
      <c r="U88" s="128" t="str">
        <f t="shared" ref="U88:U89" si="52">IF(N(T88)=0,"",M88/T88)</f>
        <v/>
      </c>
      <c r="V88" s="127">
        <f t="shared" ref="V88:W88" si="49">SUM(V73:V87)</f>
        <v>0</v>
      </c>
      <c r="W88" s="127">
        <f t="shared" si="49"/>
        <v>0</v>
      </c>
      <c r="X88" s="128" t="str">
        <f t="shared" ref="X88:X89" si="54">IF(N(V88)=0,"",M88/V88)</f>
        <v/>
      </c>
      <c r="Y88" s="127">
        <f t="shared" ref="Y88:AA88" si="50">SUM(Y73:Y87)</f>
        <v>0</v>
      </c>
      <c r="Z88" s="127">
        <f t="shared" si="50"/>
        <v>0</v>
      </c>
      <c r="AA88" s="127">
        <f t="shared" si="50"/>
        <v>0</v>
      </c>
      <c r="AB88" s="129"/>
      <c r="AC88" s="127">
        <f>SUM(AC73:AC87)</f>
        <v>0</v>
      </c>
      <c r="AD88" s="127"/>
      <c r="AE88" s="127">
        <f>SUM(AE73:AE87)</f>
        <v>0</v>
      </c>
      <c r="AF88" s="127" t="str">
        <f t="shared" ref="AF88:AF89" si="56">IF(N(AC88)=0,"—",ROUND(M88/AC88,0))</f>
        <v>—</v>
      </c>
      <c r="AG88" s="127" t="str">
        <f t="shared" ref="AG88:AG89" si="57">IF(N(Z88)=0,"—",ROUND(M88/Z88,0))</f>
        <v>—</v>
      </c>
      <c r="AH88" s="126"/>
    </row>
    <row r="89" ht="15.75" customHeight="1">
      <c r="A89" s="133" t="s">
        <v>683</v>
      </c>
      <c r="B89" s="133"/>
      <c r="C89" s="134"/>
      <c r="D89" s="133"/>
      <c r="E89" s="133"/>
      <c r="F89" s="133"/>
      <c r="G89" s="133"/>
      <c r="H89" s="133"/>
      <c r="I89" s="133" t="str">
        <f>SUM(COUNTIF(I7:I21,"Вышло"),COUNTIF(I24:I38,"Вышло"),COUNTIF(I41:I55,"Вышло"),COUNTIF(I58:I70,"Вышло"),COUNTIF(I73:I87,"Вышло"))&amp;" / "&amp;SUM(COUNTA(A7:A21),COUNTA(A24:A38),COUNTA(A41:A55),COUNTA(A58:A70),COUNTA(A73:A87))</f>
        <v>1 / 1</v>
      </c>
      <c r="J89" s="134">
        <f t="shared" ref="J89:M89" si="51">J22+J39+J56+J71+J88</f>
        <v>85550</v>
      </c>
      <c r="K89" s="134">
        <f t="shared" si="51"/>
        <v>0</v>
      </c>
      <c r="L89" s="134">
        <f t="shared" si="51"/>
        <v>0</v>
      </c>
      <c r="M89" s="134">
        <f t="shared" si="51"/>
        <v>85550</v>
      </c>
      <c r="N89" s="133"/>
      <c r="O89" s="133"/>
      <c r="P89" s="133"/>
      <c r="Q89" s="133"/>
      <c r="R89" s="133"/>
      <c r="S89" s="133"/>
      <c r="T89" s="134">
        <f>T22+T39+T56+T71+T88</f>
        <v>38682</v>
      </c>
      <c r="U89" s="135">
        <f t="shared" si="52"/>
        <v>2.211622977</v>
      </c>
      <c r="V89" s="134">
        <f t="shared" ref="V89:W89" si="53">V22+V39+V56+V71+V88</f>
        <v>117</v>
      </c>
      <c r="W89" s="134">
        <f t="shared" si="53"/>
        <v>92</v>
      </c>
      <c r="X89" s="135">
        <f t="shared" si="54"/>
        <v>731.1965812</v>
      </c>
      <c r="Y89" s="134">
        <f t="shared" ref="Y89:AA89" si="55">Y22+Y39+Y56+Y71+Y88</f>
        <v>36</v>
      </c>
      <c r="Z89" s="134">
        <f t="shared" si="55"/>
        <v>17</v>
      </c>
      <c r="AA89" s="134">
        <f t="shared" si="55"/>
        <v>11900</v>
      </c>
      <c r="AB89" s="136"/>
      <c r="AC89" s="134">
        <f>AC22+AC39+AC56+AC71+AC88</f>
        <v>16</v>
      </c>
      <c r="AD89" s="134"/>
      <c r="AE89" s="134">
        <f>AE22+AE39+AE56+AE71+AE88</f>
        <v>11200</v>
      </c>
      <c r="AF89" s="134">
        <f t="shared" si="56"/>
        <v>5347</v>
      </c>
      <c r="AG89" s="134">
        <f t="shared" si="57"/>
        <v>5032</v>
      </c>
      <c r="AH89" s="133"/>
    </row>
    <row r="90" ht="15.75" customHeight="1">
      <c r="A90" s="137" t="s">
        <v>920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ht="36.0" customHeight="1">
      <c r="A91" s="138" t="s">
        <v>1</v>
      </c>
      <c r="B91" s="138" t="s">
        <v>872</v>
      </c>
      <c r="C91" s="138" t="s">
        <v>873</v>
      </c>
      <c r="D91" s="138" t="s">
        <v>859</v>
      </c>
      <c r="E91" s="138" t="s">
        <v>729</v>
      </c>
      <c r="F91" s="138" t="s">
        <v>730</v>
      </c>
      <c r="G91" s="138" t="s">
        <v>851</v>
      </c>
      <c r="H91" s="138" t="s">
        <v>731</v>
      </c>
      <c r="I91" s="138" t="s">
        <v>853</v>
      </c>
      <c r="J91" s="138" t="s">
        <v>656</v>
      </c>
      <c r="K91" s="138" t="s">
        <v>854</v>
      </c>
      <c r="L91" s="138" t="s">
        <v>874</v>
      </c>
      <c r="M91" s="138" t="s">
        <v>875</v>
      </c>
      <c r="N91" s="138" t="s">
        <v>876</v>
      </c>
      <c r="O91" s="138" t="s">
        <v>657</v>
      </c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ht="15.75" customHeight="1">
      <c r="A92" s="139" t="s">
        <v>29</v>
      </c>
      <c r="B92" s="140">
        <f>SUMIFS($M$6:$M$88,$D$6:$D$88,"Telegram")+SUMIFS($M$6:$M$88,$D$6:$D$88,"Telegram ")+SUMIFS($M$6:$M$88,$D$6:$D$88,"Телеграм")+SUMIFS($M$6:$M$88,$D$6:$D$88,"ТГ")</f>
        <v>0</v>
      </c>
      <c r="C92" s="140">
        <f>SUMIFS($M$6:$M$88,$I$6:$I$88,"Вышло",$D$6:$D$88,"Telegram")+SUMIFS($M$6:$M$88,$I$6:$I$88,"Вышло",$D$6:$D$88,"Telegram ")+SUMIFS($M$6:$M$88,$I$6:$I$88,"Вышло",$D$6:$D$88,"Телеграм")+SUMIFS($M$6:$M$88,$I$6:$I$88,"Вышло",$D$6:$D$88,"ТГ")</f>
        <v>0</v>
      </c>
      <c r="D92" s="141">
        <f>COUNTIFS($I$6:$I$88,"Вышло",$D$6:$D$88,"Telegram")+COUNTIFS($I$6:$I$88,"Вышло",$D$6:$D$88,"Telegram ")+COUNTIFS($I$6:$I$88,"Вышло",$D$6:$D$88,"Телеграм")+COUNTIFS($I$6:$I$88,"Вышло",$D$6:$D$88,"ТГ")</f>
        <v>0</v>
      </c>
      <c r="E92" s="141">
        <f>SUMIFS($T$6:$T$88,$I$6:$I$88,"Вышло",$D$6:$D$88,"Telegram")+SUMIFS($T$6:$T$88,$I$6:$I$88,"Вышло",$D$6:$D$88,"Telegram ")+SUMIFS($T$6:$T$88,$I$6:$I$88,"Вышло",$D$6:$D$88,"Телеграм")+SUMIFS($T$6:$T$88,$I$6:$I$88,"Вышло",$D$6:$D$88,"ТГ")</f>
        <v>0</v>
      </c>
      <c r="F92" s="141">
        <f>SUMIFS($V$6:$V$88,$I$6:$I$88,"Вышло",$D$6:$D$88,"Telegram")+SUMIFS($V$6:$V$88,$I$6:$I$88,"Вышло",$D$6:$D$88,"Telegram ")+SUMIFS($V$6:$V$88,$I$6:$I$88,"Вышло",$D$6:$D$88,"Телеграм")+SUMIFS($V$6:$V$88,$I$6:$I$88,"Вышло",$D$6:$D$88,"ТГ")</f>
        <v>0</v>
      </c>
      <c r="G92" s="141">
        <f>SUMIFS($W$6:$W$88,$I$6:$I$88,"Вышло",$D$6:$D$88,"Telegram")+SUMIFS($W$6:$W$88,$I$6:$I$88,"Вышло",$D$6:$D$88,"Telegram ")+SUMIFS($W$6:$W$88,$I$6:$I$88,"Вышло",$D$6:$D$88,"Телеграм")+SUMIFS($W$6:$W$88,$I$6:$I$88,"Вышло",$D$6:$D$88,"ТГ")</f>
        <v>0</v>
      </c>
      <c r="H92" s="141">
        <f t="shared" ref="H92:H99" si="58">0</f>
        <v>0</v>
      </c>
      <c r="I92" s="141">
        <f>SUMIFS($Y$6:$Y$88,$I$6:$I$88,"Вышло",$D$6:$D$88,"Telegram")+SUMIFS($Y$6:$Y$88,$I$6:$I$88,"Вышло",$D$6:$D$88,"Telegram ")+SUMIFS($Y$6:$Y$88,$I$6:$I$88,"Вышло",$D$6:$D$88,"Телеграм")+SUMIFS($Y$6:$Y$88,$I$6:$I$88,"Вышло",$D$6:$D$88,"ТГ")</f>
        <v>0</v>
      </c>
      <c r="J92" s="141">
        <f>SUMIFS($Z$6:$Z$88,$I$6:$I$88,"Вышло",$D$6:$D$88,"Telegram")+SUMIFS($Z$6:$Z$88,$I$6:$I$88,"Вышло",$D$6:$D$88,"Telegram ")+SUMIFS($Z$6:$Z$88,$I$6:$I$88,"Вышло",$D$6:$D$88,"Телеграм")+SUMIFS($Z$6:$Z$88,$I$6:$I$88,"Вышло",$D$6:$D$88,"ТГ")</f>
        <v>0</v>
      </c>
      <c r="K92" s="140">
        <f>SUMIFS($AA$6:$AA$88,$I$6:$I$88,"Вышло",$D$6:$D$88,"Telegram")+SUMIFS($AA$6:$AA$88,$I$6:$I$88,"Вышло",$D$6:$D$88,"Telegram ")+SUMIFS($AA$6:$AA$88,$I$6:$I$88,"Вышло",$D$6:$D$88,"Телеграм")+SUMIFS($AA$6:$AA$88,$I$6:$I$88,"Вышло",$D$6:$D$88,"ТГ")</f>
        <v>0</v>
      </c>
      <c r="L92" s="140" t="str">
        <f>IF((SUMIFS($V$6:$V$88,$I$6:$I$88,"Вышло",$D$6:$D$88,"Telegram",$E$6:$E$88,"Сайт")+SUMIFS($V$6:$V$88,$I$6:$I$88,"Вышло",$D$6:$D$88,"Telegram",$E$6:$E$88,"сайт")+SUMIFS($V$6:$V$88,$I$6:$I$88,"Вышло",$D$6:$D$88,"Telegram ",$E$6:$E$88,"Сайт")+SUMIFS($V$6:$V$88,$I$6:$I$88,"Вышло",$D$6:$D$88,"Telegram ",$E$6:$E$88,"сайт")+SUMIFS($V$6:$V$88,$I$6:$I$88,"Вышло",$D$6:$D$88,"Телеграм",$E$6:$E$88,"Сайт")+SUMIFS($V$6:$V$88,$I$6:$I$88,"Вышло",$D$6:$D$88,"Телеграм",$E$6:$E$88,"сайт")+SUMIFS($V$6:$V$88,$I$6:$I$88,"Вышло",$D$6:$D$88,"ТГ",$E$6:$E$88,"Сайт")+SUMIFS($V$6:$V$88,$I$6:$I$88,"Вышло",$D$6:$D$88,"ТГ",$E$6:$E$88,"сайт")+SUMIFS($V$6:$V$88,$I$6:$I$88,"Вышло",$D$6:$D$88,"Telegram",$E$6:$E$88,"Ozon")+SUMIFS($V$6:$V$88,$I$6:$I$88,"Вышло",$D$6:$D$88,"Telegram",$E$6:$E$88,"OZON")+SUMIFS($V$6:$V$88,$I$6:$I$88,"Вышло",$D$6:$D$88,"Telegram",$E$6:$E$88,"Озон")+SUMIFS($V$6:$V$88,$I$6:$I$88,"Вышло",$D$6:$D$88,"Telegram",$E$6:$E$88,"озон")+SUMIFS($V$6:$V$88,$I$6:$I$88,"Вышло",$D$6:$D$88,"Telegram ",$E$6:$E$88,"Ozon")+SUMIFS($V$6:$V$88,$I$6:$I$88,"Вышло",$D$6:$D$88,"Telegram ",$E$6:$E$88,"OZON")+SUMIFS($V$6:$V$88,$I$6:$I$88,"Вышло",$D$6:$D$88,"Telegram ",$E$6:$E$88,"Озон")+SUMIFS($V$6:$V$88,$I$6:$I$88,"Вышло",$D$6:$D$88,"Telegram ",$E$6:$E$88,"озон")+SUMIFS($V$6:$V$88,$I$6:$I$88,"Вышло",$D$6:$D$88,"Телеграм",$E$6:$E$88,"Ozon")+SUMIFS($V$6:$V$88,$I$6:$I$88,"Вышло",$D$6:$D$88,"Телеграм",$E$6:$E$88,"OZON")+SUMIFS($V$6:$V$88,$I$6:$I$88,"Вышло",$D$6:$D$88,"Телеграм",$E$6:$E$88,"Озон")+SUMIFS($V$6:$V$88,$I$6:$I$88,"Вышло",$D$6:$D$88,"Телеграм",$E$6:$E$88,"озон")+SUMIFS($V$6:$V$88,$I$6:$I$88,"Вышло",$D$6:$D$88,"ТГ",$E$6:$E$88,"Ozon")+SUMIFS($V$6:$V$88,$I$6:$I$88,"Вышло",$D$6:$D$88,"ТГ",$E$6:$E$88,"OZON")+SUMIFS($V$6:$V$88,$I$6:$I$88,"Вышло",$D$6:$D$88,"ТГ",$E$6:$E$88,"Озон")+SUMIFS($V$6:$V$88,$I$6:$I$88,"Вышло",$D$6:$D$88,"ТГ",$E$6:$E$88,"озон"))=0,"—",ROUND((SUMIFS($M$6:$M$88,$I$6:$I$88,"Вышло",$D$6:$D$88,"Telegram",$E$6:$E$88,"Сайт",$V$6:$V$88,"&gt;0")+SUMIFS($M$6:$M$88,$I$6:$I$88,"Вышло",$D$6:$D$88,"Telegram",$E$6:$E$88,"сайт",$V$6:$V$88,"&gt;0")+SUMIFS($M$6:$M$88,$I$6:$I$88,"Вышло",$D$6:$D$88,"Telegram ",$E$6:$E$88,"Сайт",$V$6:$V$88,"&gt;0")+SUMIFS($M$6:$M$88,$I$6:$I$88,"Вышло",$D$6:$D$88,"Telegram ",$E$6:$E$88,"сайт",$V$6:$V$88,"&gt;0")+SUMIFS($M$6:$M$88,$I$6:$I$88,"Вышло",$D$6:$D$88,"Телеграм",$E$6:$E$88,"Сайт",$V$6:$V$88,"&gt;0")+SUMIFS($M$6:$M$88,$I$6:$I$88,"Вышло",$D$6:$D$88,"Телеграм",$E$6:$E$88,"сайт",$V$6:$V$88,"&gt;0")+SUMIFS($M$6:$M$88,$I$6:$I$88,"Вышло",$D$6:$D$88,"ТГ",$E$6:$E$88,"Сайт",$V$6:$V$88,"&gt;0")+SUMIFS($M$6:$M$88,$I$6:$I$88,"Вышло",$D$6:$D$88,"ТГ",$E$6:$E$88,"сайт",$V$6:$V$88,"&gt;0")+SUMIFS($M$6:$M$88,$I$6:$I$88,"Вышло",$D$6:$D$88,"Telegram",$E$6:$E$88,"Сайт",$V$6:$V$88,"&lt;=0",$P$6:$P$88,"&lt;&gt;")+SUMIFS($M$6:$M$88,$I$6:$I$88,"Вышло",$D$6:$D$88,"Telegram",$E$6:$E$88,"сайт",$V$6:$V$88,"&lt;=0",$P$6:$P$88,"&lt;&gt;")+SUMIFS($M$6:$M$88,$I$6:$I$88,"Вышло",$D$6:$D$88,"Telegram ",$E$6:$E$88,"Сайт",$V$6:$V$88,"&lt;=0",$P$6:$P$88,"&lt;&gt;")+SUMIFS($M$6:$M$88,$I$6:$I$88,"Вышло",$D$6:$D$88,"Telegram ",$E$6:$E$88,"сайт",$V$6:$V$88,"&lt;=0",$P$6:$P$88,"&lt;&gt;")+SUMIFS($M$6:$M$88,$I$6:$I$88,"Вышло",$D$6:$D$88,"Телеграм",$E$6:$E$88,"Сайт",$V$6:$V$88,"&lt;=0",$P$6:$P$88,"&lt;&gt;")+SUMIFS($M$6:$M$88,$I$6:$I$88,"Вышло",$D$6:$D$88,"Телеграм",$E$6:$E$88,"сайт",$V$6:$V$88,"&lt;=0",$P$6:$P$88,"&lt;&gt;")+SUMIFS($M$6:$M$88,$I$6:$I$88,"Вышло",$D$6:$D$88,"ТГ",$E$6:$E$88,"Сайт",$V$6:$V$88,"&lt;=0",$P$6:$P$88,"&lt;&gt;")+SUMIFS($M$6:$M$88,$I$6:$I$88,"Вышло",$D$6:$D$88,"ТГ",$E$6:$E$88,"сайт",$V$6:$V$88,"&lt;=0",$P$6:$P$88,"&lt;&gt;")+SUMIFS($M$6:$M$88,$I$6:$I$88,"Вышло",$D$6:$D$88,"Telegram",$E$6:$E$88,"Ozon",$V$6:$V$88,"&gt;0")+SUMIFS($M$6:$M$88,$I$6:$I$88,"Вышло",$D$6:$D$88,"Telegram",$E$6:$E$88,"OZON",$V$6:$V$88,"&gt;0")+SUMIFS($M$6:$M$88,$I$6:$I$88,"Вышло",$D$6:$D$88,"Telegram",$E$6:$E$88,"Озон",$V$6:$V$88,"&gt;0")+SUMIFS($M$6:$M$88,$I$6:$I$88,"Вышло",$D$6:$D$88,"Telegram",$E$6:$E$88,"озон",$V$6:$V$88,"&gt;0")+SUMIFS($M$6:$M$88,$I$6:$I$88,"Вышло",$D$6:$D$88,"Telegram ",$E$6:$E$88,"Ozon",$V$6:$V$88,"&gt;0")+SUMIFS($M$6:$M$88,$I$6:$I$88,"Вышло",$D$6:$D$88,"Telegram ",$E$6:$E$88,"OZON",$V$6:$V$88,"&gt;0")+SUMIFS($M$6:$M$88,$I$6:$I$88,"Вышло",$D$6:$D$88,"Telegram ",$E$6:$E$88,"Озон",$V$6:$V$88,"&gt;0")+SUMIFS($M$6:$M$88,$I$6:$I$88,"Вышло",$D$6:$D$88,"Telegram ",$E$6:$E$88,"озон",$V$6:$V$88,"&gt;0")+SUMIFS($M$6:$M$88,$I$6:$I$88,"Вышло",$D$6:$D$88,"Телеграм",$E$6:$E$88,"Ozon",$V$6:$V$88,"&gt;0")+SUMIFS($M$6:$M$88,$I$6:$I$88,"Вышло",$D$6:$D$88,"Телеграм",$E$6:$E$88,"OZON",$V$6:$V$88,"&gt;0")+SUMIFS($M$6:$M$88,$I$6:$I$88,"Вышло",$D$6:$D$88,"Телеграм",$E$6:$E$88,"Озон",$V$6:$V$88,"&gt;0")+SUMIFS($M$6:$M$88,$I$6:$I$88,"Вышло",$D$6:$D$88,"Телеграм",$E$6:$E$88,"озон",$V$6:$V$88,"&gt;0")+SUMIFS($M$6:$M$88,$I$6:$I$88,"Вышло",$D$6:$D$88,"ТГ",$E$6:$E$88,"Ozon",$V$6:$V$88,"&gt;0")+SUMIFS($M$6:$M$88,$I$6:$I$88,"Вышло",$D$6:$D$88,"ТГ",$E$6:$E$88,"OZON",$V$6:$V$88,"&gt;0")+SUMIFS($M$6:$M$88,$I$6:$I$88,"Вышло",$D$6:$D$88,"ТГ",$E$6:$E$88,"Озон",$V$6:$V$88,"&gt;0")+SUMIFS($M$6:$M$88,$I$6:$I$88,"Вышло",$D$6:$D$88,"ТГ",$E$6:$E$88,"озон",$V$6:$V$88,"&gt;0")+SUMIFS($M$6:$M$88,$I$6:$I$88,"Вышло",$D$6:$D$88,"Telegram",$E$6:$E$88,"Ozon",$V$6:$V$88,"&lt;=0",$P$6:$P$88,"&lt;&gt;")+SUMIFS($M$6:$M$88,$I$6:$I$88,"Вышло",$D$6:$D$88,"Telegram",$E$6:$E$88,"OZON",$V$6:$V$88,"&lt;=0",$P$6:$P$88,"&lt;&gt;")+SUMIFS($M$6:$M$88,$I$6:$I$88,"Вышло",$D$6:$D$88,"Telegram",$E$6:$E$88,"Озон",$V$6:$V$88,"&lt;=0",$P$6:$P$88,"&lt;&gt;")+SUMIFS($M$6:$M$88,$I$6:$I$88,"Вышло",$D$6:$D$88,"Telegram",$E$6:$E$88,"озон",$V$6:$V$88,"&lt;=0",$P$6:$P$88,"&lt;&gt;")+SUMIFS($M$6:$M$88,$I$6:$I$88,"Вышло",$D$6:$D$88,"Telegram ",$E$6:$E$88,"Ozon",$V$6:$V$88,"&lt;=0",$P$6:$P$88,"&lt;&gt;")+SUMIFS($M$6:$M$88,$I$6:$I$88,"Вышло",$D$6:$D$88,"Telegram ",$E$6:$E$88,"OZON",$V$6:$V$88,"&lt;=0",$P$6:$P$88,"&lt;&gt;")+SUMIFS($M$6:$M$88,$I$6:$I$88,"Вышло",$D$6:$D$88,"Telegram ",$E$6:$E$88,"Озон",$V$6:$V$88,"&lt;=0",$P$6:$P$88,"&lt;&gt;")+SUMIFS($M$6:$M$88,$I$6:$I$88,"Вышло",$D$6:$D$88,"Telegram ",$E$6:$E$88,"озон",$V$6:$V$88,"&lt;=0",$P$6:$P$88,"&lt;&gt;")+SUMIFS($M$6:$M$88,$I$6:$I$88,"Вышло",$D$6:$D$88,"Телеграм",$E$6:$E$88,"Ozon",$V$6:$V$88,"&lt;=0",$P$6:$P$88,"&lt;&gt;")+SUMIFS($M$6:$M$88,$I$6:$I$88,"Вышло",$D$6:$D$88,"Телеграм",$E$6:$E$88,"OZON",$V$6:$V$88,"&lt;=0",$P$6:$P$88,"&lt;&gt;")+SUMIFS($M$6:$M$88,$I$6:$I$88,"Вышло",$D$6:$D$88,"Телеграм",$E$6:$E$88,"Озон",$V$6:$V$88,"&lt;=0",$P$6:$P$88,"&lt;&gt;")+SUMIFS($M$6:$M$88,$I$6:$I$88,"Вышло",$D$6:$D$88,"Телеграм",$E$6:$E$88,"озон",$V$6:$V$88,"&lt;=0",$P$6:$P$88,"&lt;&gt;")+SUMIFS($M$6:$M$88,$I$6:$I$88,"Вышло",$D$6:$D$88,"ТГ",$E$6:$E$88,"Ozon",$V$6:$V$88,"&lt;=0",$P$6:$P$88,"&lt;&gt;")+SUMIFS($M$6:$M$88,$I$6:$I$88,"Вышло",$D$6:$D$88,"ТГ",$E$6:$E$88,"OZON",$V$6:$V$88,"&lt;=0",$P$6:$P$88,"&lt;&gt;")+SUMIFS($M$6:$M$88,$I$6:$I$88,"Вышло",$D$6:$D$88,"ТГ",$E$6:$E$88,"Озон",$V$6:$V$88,"&lt;=0",$P$6:$P$88,"&lt;&gt;")+SUMIFS($M$6:$M$88,$I$6:$I$88,"Вышло",$D$6:$D$88,"ТГ",$E$6:$E$88,"озон",$V$6:$V$88,"&lt;=0",$P$6:$P$88,"&lt;&gt;"))/(SUMIFS($V$6:$V$88,$I$6:$I$88,"Вышло",$D$6:$D$88,"Telegram",$E$6:$E$88,"Сайт")+SUMIFS($V$6:$V$88,$I$6:$I$88,"Вышло",$D$6:$D$88,"Telegram",$E$6:$E$88,"сайт")+SUMIFS($V$6:$V$88,$I$6:$I$88,"Вышло",$D$6:$D$88,"Telegram ",$E$6:$E$88,"Сайт")+SUMIFS($V$6:$V$88,$I$6:$I$88,"Вышло",$D$6:$D$88,"Telegram ",$E$6:$E$88,"сайт")+SUMIFS($V$6:$V$88,$I$6:$I$88,"Вышло",$D$6:$D$88,"Телеграм",$E$6:$E$88,"Сайт")+SUMIFS($V$6:$V$88,$I$6:$I$88,"Вышло",$D$6:$D$88,"Телеграм",$E$6:$E$88,"сайт")+SUMIFS($V$6:$V$88,$I$6:$I$88,"Вышло",$D$6:$D$88,"ТГ",$E$6:$E$88,"Сайт")+SUMIFS($V$6:$V$88,$I$6:$I$88,"Вышло",$D$6:$D$88,"ТГ",$E$6:$E$88,"сайт")+SUMIFS($V$6:$V$88,$I$6:$I$88,"Вышло",$D$6:$D$88,"Telegram",$E$6:$E$88,"Ozon")+SUMIFS($V$6:$V$88,$I$6:$I$88,"Вышло",$D$6:$D$88,"Telegram",$E$6:$E$88,"OZON")+SUMIFS($V$6:$V$88,$I$6:$I$88,"Вышло",$D$6:$D$88,"Telegram",$E$6:$E$88,"Озон")+SUMIFS($V$6:$V$88,$I$6:$I$88,"Вышло",$D$6:$D$88,"Telegram",$E$6:$E$88,"озон")+SUMIFS($V$6:$V$88,$I$6:$I$88,"Вышло",$D$6:$D$88,"Telegram ",$E$6:$E$88,"Ozon")+SUMIFS($V$6:$V$88,$I$6:$I$88,"Вышло",$D$6:$D$88,"Telegram ",$E$6:$E$88,"OZON")+SUMIFS($V$6:$V$88,$I$6:$I$88,"Вышло",$D$6:$D$88,"Telegram ",$E$6:$E$88,"Озон")+SUMIFS($V$6:$V$88,$I$6:$I$88,"Вышло",$D$6:$D$88,"Telegram ",$E$6:$E$88,"озон")+SUMIFS($V$6:$V$88,$I$6:$I$88,"Вышло",$D$6:$D$88,"Телеграм",$E$6:$E$88,"Ozon")+SUMIFS($V$6:$V$88,$I$6:$I$88,"Вышло",$D$6:$D$88,"Телеграм",$E$6:$E$88,"OZON")+SUMIFS($V$6:$V$88,$I$6:$I$88,"Вышло",$D$6:$D$88,"Телеграм",$E$6:$E$88,"Озон")+SUMIFS($V$6:$V$88,$I$6:$I$88,"Вышло",$D$6:$D$88,"Телеграм",$E$6:$E$88,"озон")+SUMIFS($V$6:$V$88,$I$6:$I$88,"Вышло",$D$6:$D$88,"ТГ",$E$6:$E$88,"Ozon")+SUMIFS($V$6:$V$88,$I$6:$I$88,"Вышло",$D$6:$D$88,"ТГ",$E$6:$E$88,"OZON")+SUMIFS($V$6:$V$88,$I$6:$I$88,"Вышло",$D$6:$D$88,"ТГ",$E$6:$E$88,"Озон")+SUMIFS($V$6:$V$88,$I$6:$I$88,"Вышло",$D$6:$D$88,"ТГ",$E$6:$E$88,"озон")),0))</f>
        <v>—</v>
      </c>
      <c r="M92" s="140" t="str">
        <f>IF((SUMIFS($W$6:$W$88,$I$6:$I$88,"Вышло",$D$6:$D$88,"Telegram",$E$6:$E$88,"WB")+SUMIFS($W$6:$W$88,$I$6:$I$88,"Вышло",$D$6:$D$88,"Telegram",$E$6:$E$88,"ВБ")+SUMIFS($W$6:$W$88,$I$6:$I$88,"Вышло",$D$6:$D$88,"Telegram ",$E$6:$E$88,"WB")+SUMIFS($W$6:$W$88,$I$6:$I$88,"Вышло",$D$6:$D$88,"Telegram ",$E$6:$E$88,"ВБ")+SUMIFS($W$6:$W$88,$I$6:$I$88,"Вышло",$D$6:$D$88,"Телеграм",$E$6:$E$88,"WB")+SUMIFS($W$6:$W$88,$I$6:$I$88,"Вышло",$D$6:$D$88,"Телеграм",$E$6:$E$88,"ВБ")+SUMIFS($W$6:$W$88,$I$6:$I$88,"Вышло",$D$6:$D$88,"ТГ",$E$6:$E$88,"WB")+SUMIFS($W$6:$W$88,$I$6:$I$88,"Вышло",$D$6:$D$88,"ТГ",$E$6:$E$88,"ВБ"))=0,"—",ROUND((SUMIFS($M$6:$M$88,$I$6:$I$88,"Вышло",$D$6:$D$88,"Telegram",$E$6:$E$88,"WB")+SUMIFS($M$6:$M$88,$I$6:$I$88,"Вышло",$D$6:$D$88,"Telegram",$E$6:$E$88,"ВБ")+SUMIFS($M$6:$M$88,$I$6:$I$88,"Вышло",$D$6:$D$88,"Telegram ",$E$6:$E$88,"WB")+SUMIFS($M$6:$M$88,$I$6:$I$88,"Вышло",$D$6:$D$88,"Telegram ",$E$6:$E$88,"ВБ")+SUMIFS($M$6:$M$88,$I$6:$I$88,"Вышло",$D$6:$D$88,"Телеграм",$E$6:$E$88,"WB")+SUMIFS($M$6:$M$88,$I$6:$I$88,"Вышло",$D$6:$D$88,"Телеграм",$E$6:$E$88,"ВБ")+SUMIFS($M$6:$M$88,$I$6:$I$88,"Вышло",$D$6:$D$88,"ТГ",$E$6:$E$88,"WB")+SUMIFS($M$6:$M$88,$I$6:$I$88,"Вышло",$D$6:$D$88,"ТГ",$E$6:$E$88,"ВБ")-(SUMIFS($M$6:$M$88,$I$6:$I$88,"Вышло",$D$6:$D$88,"Telegram",$E$6:$E$88,"WB",$W$6:$W$88,"&lt;=0",$V$6:$V$88,"&gt;0")+SUMIFS($M$6:$M$88,$I$6:$I$88,"Вышло",$D$6:$D$88,"Telegram",$E$6:$E$88,"ВБ",$W$6:$W$88,"&lt;=0",$V$6:$V$88,"&gt;0")+SUMIFS($M$6:$M$88,$I$6:$I$88,"Вышло",$D$6:$D$88,"Telegram ",$E$6:$E$88,"WB",$W$6:$W$88,"&lt;=0",$V$6:$V$88,"&gt;0")+SUMIFS($M$6:$M$88,$I$6:$I$88,"Вышло",$D$6:$D$88,"Telegram ",$E$6:$E$88,"ВБ",$W$6:$W$88,"&lt;=0",$V$6:$V$88,"&gt;0")+SUMIFS($M$6:$M$88,$I$6:$I$88,"Вышло",$D$6:$D$88,"Телеграм",$E$6:$E$88,"WB",$W$6:$W$88,"&lt;=0",$V$6:$V$88,"&gt;0")+SUMIFS($M$6:$M$88,$I$6:$I$88,"Вышло",$D$6:$D$88,"Телеграм",$E$6:$E$88,"ВБ",$W$6:$W$88,"&lt;=0",$V$6:$V$88,"&gt;0")+SUMIFS($M$6:$M$88,$I$6:$I$88,"Вышло",$D$6:$D$88,"ТГ",$E$6:$E$88,"WB",$W$6:$W$88,"&lt;=0",$V$6:$V$88,"&gt;0")+SUMIFS($M$6:$M$88,$I$6:$I$88,"Вышло",$D$6:$D$88,"ТГ",$E$6:$E$88,"ВБ",$W$6:$W$88,"&lt;=0",$V$6:$V$88,"&gt;0")))/(SUMIFS($W$6:$W$88,$I$6:$I$88,"Вышло",$D$6:$D$88,"Telegram",$E$6:$E$88,"WB")+SUMIFS($W$6:$W$88,$I$6:$I$88,"Вышло",$D$6:$D$88,"Telegram",$E$6:$E$88,"ВБ")+SUMIFS($W$6:$W$88,$I$6:$I$88,"Вышло",$D$6:$D$88,"Telegram ",$E$6:$E$88,"WB")+SUMIFS($W$6:$W$88,$I$6:$I$88,"Вышло",$D$6:$D$88,"Telegram ",$E$6:$E$88,"ВБ")+SUMIFS($W$6:$W$88,$I$6:$I$88,"Вышло",$D$6:$D$88,"Телеграм",$E$6:$E$88,"WB")+SUMIFS($W$6:$W$88,$I$6:$I$88,"Вышло",$D$6:$D$88,"Телеграм",$E$6:$E$88,"ВБ")+SUMIFS($W$6:$W$88,$I$6:$I$88,"Вышло",$D$6:$D$88,"ТГ",$E$6:$E$88,"WB")+SUMIFS($W$6:$W$88,$I$6:$I$88,"Вышло",$D$6:$D$88,"ТГ",$E$6:$E$88,"ВБ")),0))</f>
        <v>—</v>
      </c>
      <c r="N92" s="140" t="str">
        <f t="shared" ref="N92:N100" si="59">"—"</f>
        <v>—</v>
      </c>
      <c r="O92" s="140" t="str">
        <f>IF((SUMIFS($Z$6:$Z$88,$I$6:$I$88,"Вышло",$D$6:$D$88,"Telegram")+SUMIFS($Z$6:$Z$88,$I$6:$I$88,"Вышло",$D$6:$D$88,"Telegram ")+SUMIFS($Z$6:$Z$88,$I$6:$I$88,"Вышло",$D$6:$D$88,"Телеграм")+SUMIFS($Z$6:$Z$88,$I$6:$I$88,"Вышло",$D$6:$D$88,"ТГ"))=0,"—",ROUND((SUMIFS($M$6:$M$88,$I$6:$I$88,"Вышло",$D$6:$D$88,"Telegram")+SUMIFS($M$6:$M$88,$I$6:$I$88,"Вышло",$D$6:$D$88,"Telegram ")+SUMIFS($M$6:$M$88,$I$6:$I$88,"Вышло",$D$6:$D$88,"Телеграм")+SUMIFS($M$6:$M$88,$I$6:$I$88,"Вышло",$D$6:$D$88,"ТГ"))/(SUMIFS($Z$6:$Z$88,$I$6:$I$88,"Вышло",$D$6:$D$88,"Telegram")+SUMIFS($Z$6:$Z$88,$I$6:$I$88,"Вышло",$D$6:$D$88,"Telegram ")+SUMIFS($Z$6:$Z$88,$I$6:$I$88,"Вышло",$D$6:$D$88,"Телеграм")+SUMIFS($Z$6:$Z$88,$I$6:$I$88,"Вышло",$D$6:$D$88,"ТГ")),0))</f>
        <v>—</v>
      </c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ht="15.75" customHeight="1">
      <c r="A93" s="139" t="s">
        <v>37</v>
      </c>
      <c r="B93" s="140">
        <f>SUMIFS($M$6:$M$88,$D$6:$D$88,"MAX")+SUMIFS($M$6:$M$88,$D$6:$D$88,"Макс")+SUMIFS($M$6:$M$88,$D$6:$D$88,"МАКС")</f>
        <v>0</v>
      </c>
      <c r="C93" s="140">
        <f>SUMIFS($M$6:$M$88,$I$6:$I$88,"Вышло",$D$6:$D$88,"MAX")+SUMIFS($M$6:$M$88,$I$6:$I$88,"Вышло",$D$6:$D$88,"Макс")+SUMIFS($M$6:$M$88,$I$6:$I$88,"Вышло",$D$6:$D$88,"МАКС")</f>
        <v>0</v>
      </c>
      <c r="D93" s="141">
        <f>COUNTIFS($I$6:$I$88,"Вышло",$D$6:$D$88,"MAX")+COUNTIFS($I$6:$I$88,"Вышло",$D$6:$D$88,"Макс")</f>
        <v>0</v>
      </c>
      <c r="E93" s="141">
        <f>SUMIFS($T$6:$T$88,$I$6:$I$88,"Вышло",$D$6:$D$88,"MAX")+SUMIFS($T$6:$T$88,$I$6:$I$88,"Вышло",$D$6:$D$88,"Макс")+SUMIFS($T$6:$T$88,$I$6:$I$88,"Вышло",$D$6:$D$88,"МАКС")</f>
        <v>0</v>
      </c>
      <c r="F93" s="141">
        <f>SUMIFS($V$6:$V$88,$I$6:$I$88,"Вышло",$D$6:$D$88,"MAX")+SUMIFS($V$6:$V$88,$I$6:$I$88,"Вышло",$D$6:$D$88,"Макс")+SUMIFS($V$6:$V$88,$I$6:$I$88,"Вышло",$D$6:$D$88,"МАКС")</f>
        <v>0</v>
      </c>
      <c r="G93" s="141">
        <f>SUMIFS($W$6:$W$88,$I$6:$I$88,"Вышло",$D$6:$D$88,"MAX")+SUMIFS($W$6:$W$88,$I$6:$I$88,"Вышло",$D$6:$D$88,"Макс")+SUMIFS($W$6:$W$88,$I$6:$I$88,"Вышло",$D$6:$D$88,"МАКС")</f>
        <v>0</v>
      </c>
      <c r="H93" s="141">
        <f t="shared" si="58"/>
        <v>0</v>
      </c>
      <c r="I93" s="141">
        <f>SUMIFS($Y$6:$Y$88,$I$6:$I$88,"Вышло",$D$6:$D$88,"MAX")+SUMIFS($Y$6:$Y$88,$I$6:$I$88,"Вышло",$D$6:$D$88,"Макс")+SUMIFS($Y$6:$Y$88,$I$6:$I$88,"Вышло",$D$6:$D$88,"МАКС")</f>
        <v>0</v>
      </c>
      <c r="J93" s="141">
        <f>SUMIFS($Z$6:$Z$88,$I$6:$I$88,"Вышло",$D$6:$D$88,"MAX")+SUMIFS($Z$6:$Z$88,$I$6:$I$88,"Вышло",$D$6:$D$88,"Макс")+SUMIFS($Z$6:$Z$88,$I$6:$I$88,"Вышло",$D$6:$D$88,"МАКС")</f>
        <v>0</v>
      </c>
      <c r="K93" s="140">
        <f>SUMIFS($AA$6:$AA$88,$I$6:$I$88,"Вышло",$D$6:$D$88,"MAX")+SUMIFS($AA$6:$AA$88,$I$6:$I$88,"Вышло",$D$6:$D$88,"Макс")+SUMIFS($AA$6:$AA$88,$I$6:$I$88,"Вышло",$D$6:$D$88,"МАКС")</f>
        <v>0</v>
      </c>
      <c r="L93" s="140" t="str">
        <f>IF((SUMIFS($V$6:$V$88,$I$6:$I$88,"Вышло",$D$6:$D$88,"MAX",$E$6:$E$88,"Сайт")+SUMIFS($V$6:$V$88,$I$6:$I$88,"Вышло",$D$6:$D$88,"MAX",$E$6:$E$88,"сайт")+SUMIFS($V$6:$V$88,$I$6:$I$88,"Вышло",$D$6:$D$88,"Макс",$E$6:$E$88,"Сайт")+SUMIFS($V$6:$V$88,$I$6:$I$88,"Вышло",$D$6:$D$88,"Макс",$E$6:$E$88,"сайт")+SUMIFS($V$6:$V$88,$I$6:$I$88,"Вышло",$D$6:$D$88,"МАКС",$E$6:$E$88,"Сайт")+SUMIFS($V$6:$V$88,$I$6:$I$88,"Вышло",$D$6:$D$88,"МАКС",$E$6:$E$88,"сайт")+SUMIFS($V$6:$V$88,$I$6:$I$88,"Вышло",$D$6:$D$88,"MAX",$E$6:$E$88,"Ozon")+SUMIFS($V$6:$V$88,$I$6:$I$88,"Вышло",$D$6:$D$88,"MAX",$E$6:$E$88,"OZON")+SUMIFS($V$6:$V$88,$I$6:$I$88,"Вышло",$D$6:$D$88,"MAX",$E$6:$E$88,"Озон")+SUMIFS($V$6:$V$88,$I$6:$I$88,"Вышло",$D$6:$D$88,"MAX",$E$6:$E$88,"озон")+SUMIFS($V$6:$V$88,$I$6:$I$88,"Вышло",$D$6:$D$88,"Макс",$E$6:$E$88,"Ozon")+SUMIFS($V$6:$V$88,$I$6:$I$88,"Вышло",$D$6:$D$88,"Макс",$E$6:$E$88,"OZON")+SUMIFS($V$6:$V$88,$I$6:$I$88,"Вышло",$D$6:$D$88,"Макс",$E$6:$E$88,"Озон")+SUMIFS($V$6:$V$88,$I$6:$I$88,"Вышло",$D$6:$D$88,"Макс",$E$6:$E$88,"озон")+SUMIFS($V$6:$V$88,$I$6:$I$88,"Вышло",$D$6:$D$88,"МАКС",$E$6:$E$88,"Ozon")+SUMIFS($V$6:$V$88,$I$6:$I$88,"Вышло",$D$6:$D$88,"МАКС",$E$6:$E$88,"OZON")+SUMIFS($V$6:$V$88,$I$6:$I$88,"Вышло",$D$6:$D$88,"МАКС",$E$6:$E$88,"Озон")+SUMIFS($V$6:$V$88,$I$6:$I$88,"Вышло",$D$6:$D$88,"МАКС",$E$6:$E$88,"озон"))=0,"—",ROUND((SUMIFS($M$6:$M$88,$I$6:$I$88,"Вышло",$D$6:$D$88,"MAX",$E$6:$E$88,"Сайт",$V$6:$V$88,"&gt;0")+SUMIFS($M$6:$M$88,$I$6:$I$88,"Вышло",$D$6:$D$88,"MAX",$E$6:$E$88,"сайт",$V$6:$V$88,"&gt;0")+SUMIFS($M$6:$M$88,$I$6:$I$88,"Вышло",$D$6:$D$88,"Макс",$E$6:$E$88,"Сайт",$V$6:$V$88,"&gt;0")+SUMIFS($M$6:$M$88,$I$6:$I$88,"Вышло",$D$6:$D$88,"Макс",$E$6:$E$88,"сайт",$V$6:$V$88,"&gt;0")+SUMIFS($M$6:$M$88,$I$6:$I$88,"Вышло",$D$6:$D$88,"МАКС",$E$6:$E$88,"Сайт",$V$6:$V$88,"&gt;0")+SUMIFS($M$6:$M$88,$I$6:$I$88,"Вышло",$D$6:$D$88,"МАКС",$E$6:$E$88,"сайт",$V$6:$V$88,"&gt;0")+SUMIFS($M$6:$M$88,$I$6:$I$88,"Вышло",$D$6:$D$88,"MAX",$E$6:$E$88,"Сайт",$V$6:$V$88,"&lt;=0",$P$6:$P$88,"&lt;&gt;")+SUMIFS($M$6:$M$88,$I$6:$I$88,"Вышло",$D$6:$D$88,"MAX",$E$6:$E$88,"сайт",$V$6:$V$88,"&lt;=0",$P$6:$P$88,"&lt;&gt;")+SUMIFS($M$6:$M$88,$I$6:$I$88,"Вышло",$D$6:$D$88,"Макс",$E$6:$E$88,"Сайт",$V$6:$V$88,"&lt;=0",$P$6:$P$88,"&lt;&gt;")+SUMIFS($M$6:$M$88,$I$6:$I$88,"Вышло",$D$6:$D$88,"Макс",$E$6:$E$88,"сайт",$V$6:$V$88,"&lt;=0",$P$6:$P$88,"&lt;&gt;")+SUMIFS($M$6:$M$88,$I$6:$I$88,"Вышло",$D$6:$D$88,"МАКС",$E$6:$E$88,"Сайт",$V$6:$V$88,"&lt;=0",$P$6:$P$88,"&lt;&gt;")+SUMIFS($M$6:$M$88,$I$6:$I$88,"Вышло",$D$6:$D$88,"МАКС",$E$6:$E$88,"сайт",$V$6:$V$88,"&lt;=0",$P$6:$P$88,"&lt;&gt;")+SUMIFS($M$6:$M$88,$I$6:$I$88,"Вышло",$D$6:$D$88,"MAX",$E$6:$E$88,"Ozon",$V$6:$V$88,"&gt;0")+SUMIFS($M$6:$M$88,$I$6:$I$88,"Вышло",$D$6:$D$88,"MAX",$E$6:$E$88,"OZON",$V$6:$V$88,"&gt;0")+SUMIFS($M$6:$M$88,$I$6:$I$88,"Вышло",$D$6:$D$88,"MAX",$E$6:$E$88,"Озон",$V$6:$V$88,"&gt;0")+SUMIFS($M$6:$M$88,$I$6:$I$88,"Вышло",$D$6:$D$88,"MAX",$E$6:$E$88,"озон",$V$6:$V$88,"&gt;0")+SUMIFS($M$6:$M$88,$I$6:$I$88,"Вышло",$D$6:$D$88,"Макс",$E$6:$E$88,"Ozon",$V$6:$V$88,"&gt;0")+SUMIFS($M$6:$M$88,$I$6:$I$88,"Вышло",$D$6:$D$88,"Макс",$E$6:$E$88,"OZON",$V$6:$V$88,"&gt;0")+SUMIFS($M$6:$M$88,$I$6:$I$88,"Вышло",$D$6:$D$88,"Макс",$E$6:$E$88,"Озон",$V$6:$V$88,"&gt;0")+SUMIFS($M$6:$M$88,$I$6:$I$88,"Вышло",$D$6:$D$88,"Макс",$E$6:$E$88,"озон",$V$6:$V$88,"&gt;0")+SUMIFS($M$6:$M$88,$I$6:$I$88,"Вышло",$D$6:$D$88,"МАКС",$E$6:$E$88,"Ozon",$V$6:$V$88,"&gt;0")+SUMIFS($M$6:$M$88,$I$6:$I$88,"Вышло",$D$6:$D$88,"МАКС",$E$6:$E$88,"OZON",$V$6:$V$88,"&gt;0")+SUMIFS($M$6:$M$88,$I$6:$I$88,"Вышло",$D$6:$D$88,"МАКС",$E$6:$E$88,"Озон",$V$6:$V$88,"&gt;0")+SUMIFS($M$6:$M$88,$I$6:$I$88,"Вышло",$D$6:$D$88,"МАКС",$E$6:$E$88,"озон",$V$6:$V$88,"&gt;0")+SUMIFS($M$6:$M$88,$I$6:$I$88,"Вышло",$D$6:$D$88,"MAX",$E$6:$E$88,"Ozon",$V$6:$V$88,"&lt;=0",$P$6:$P$88,"&lt;&gt;")+SUMIFS($M$6:$M$88,$I$6:$I$88,"Вышло",$D$6:$D$88,"MAX",$E$6:$E$88,"OZON",$V$6:$V$88,"&lt;=0",$P$6:$P$88,"&lt;&gt;")+SUMIFS($M$6:$M$88,$I$6:$I$88,"Вышло",$D$6:$D$88,"MAX",$E$6:$E$88,"Озон",$V$6:$V$88,"&lt;=0",$P$6:$P$88,"&lt;&gt;")+SUMIFS($M$6:$M$88,$I$6:$I$88,"Вышло",$D$6:$D$88,"MAX",$E$6:$E$88,"озон",$V$6:$V$88,"&lt;=0",$P$6:$P$88,"&lt;&gt;")+SUMIFS($M$6:$M$88,$I$6:$I$88,"Вышло",$D$6:$D$88,"Макс",$E$6:$E$88,"Ozon",$V$6:$V$88,"&lt;=0",$P$6:$P$88,"&lt;&gt;")+SUMIFS($M$6:$M$88,$I$6:$I$88,"Вышло",$D$6:$D$88,"Макс",$E$6:$E$88,"OZON",$V$6:$V$88,"&lt;=0",$P$6:$P$88,"&lt;&gt;")+SUMIFS($M$6:$M$88,$I$6:$I$88,"Вышло",$D$6:$D$88,"Макс",$E$6:$E$88,"Озон",$V$6:$V$88,"&lt;=0",$P$6:$P$88,"&lt;&gt;")+SUMIFS($M$6:$M$88,$I$6:$I$88,"Вышло",$D$6:$D$88,"Макс",$E$6:$E$88,"озон",$V$6:$V$88,"&lt;=0",$P$6:$P$88,"&lt;&gt;")+SUMIFS($M$6:$M$88,$I$6:$I$88,"Вышло",$D$6:$D$88,"МАКС",$E$6:$E$88,"Ozon",$V$6:$V$88,"&lt;=0",$P$6:$P$88,"&lt;&gt;")+SUMIFS($M$6:$M$88,$I$6:$I$88,"Вышло",$D$6:$D$88,"МАКС",$E$6:$E$88,"OZON",$V$6:$V$88,"&lt;=0",$P$6:$P$88,"&lt;&gt;")+SUMIFS($M$6:$M$88,$I$6:$I$88,"Вышло",$D$6:$D$88,"МАКС",$E$6:$E$88,"Озон",$V$6:$V$88,"&lt;=0",$P$6:$P$88,"&lt;&gt;")+SUMIFS($M$6:$M$88,$I$6:$I$88,"Вышло",$D$6:$D$88,"МАКС",$E$6:$E$88,"озон",$V$6:$V$88,"&lt;=0",$P$6:$P$88,"&lt;&gt;"))/(SUMIFS($V$6:$V$88,$I$6:$I$88,"Вышло",$D$6:$D$88,"MAX",$E$6:$E$88,"Сайт")+SUMIFS($V$6:$V$88,$I$6:$I$88,"Вышло",$D$6:$D$88,"MAX",$E$6:$E$88,"сайт")+SUMIFS($V$6:$V$88,$I$6:$I$88,"Вышло",$D$6:$D$88,"Макс",$E$6:$E$88,"Сайт")+SUMIFS($V$6:$V$88,$I$6:$I$88,"Вышло",$D$6:$D$88,"Макс",$E$6:$E$88,"сайт")+SUMIFS($V$6:$V$88,$I$6:$I$88,"Вышло",$D$6:$D$88,"МАКС",$E$6:$E$88,"Сайт")+SUMIFS($V$6:$V$88,$I$6:$I$88,"Вышло",$D$6:$D$88,"МАКС",$E$6:$E$88,"сайт")+SUMIFS($V$6:$V$88,$I$6:$I$88,"Вышло",$D$6:$D$88,"MAX",$E$6:$E$88,"Ozon")+SUMIFS($V$6:$V$88,$I$6:$I$88,"Вышло",$D$6:$D$88,"MAX",$E$6:$E$88,"OZON")+SUMIFS($V$6:$V$88,$I$6:$I$88,"Вышло",$D$6:$D$88,"MAX",$E$6:$E$88,"Озон")+SUMIFS($V$6:$V$88,$I$6:$I$88,"Вышло",$D$6:$D$88,"MAX",$E$6:$E$88,"озон")+SUMIFS($V$6:$V$88,$I$6:$I$88,"Вышло",$D$6:$D$88,"Макс",$E$6:$E$88,"Ozon")+SUMIFS($V$6:$V$88,$I$6:$I$88,"Вышло",$D$6:$D$88,"Макс",$E$6:$E$88,"OZON")+SUMIFS($V$6:$V$88,$I$6:$I$88,"Вышло",$D$6:$D$88,"Макс",$E$6:$E$88,"Озон")+SUMIFS($V$6:$V$88,$I$6:$I$88,"Вышло",$D$6:$D$88,"Макс",$E$6:$E$88,"озон")+SUMIFS($V$6:$V$88,$I$6:$I$88,"Вышло",$D$6:$D$88,"МАКС",$E$6:$E$88,"Ozon")+SUMIFS($V$6:$V$88,$I$6:$I$88,"Вышло",$D$6:$D$88,"МАКС",$E$6:$E$88,"OZON")+SUMIFS($V$6:$V$88,$I$6:$I$88,"Вышло",$D$6:$D$88,"МАКС",$E$6:$E$88,"Озон")+SUMIFS($V$6:$V$88,$I$6:$I$88,"Вышло",$D$6:$D$88,"МАКС",$E$6:$E$88,"озон")),0))</f>
        <v>—</v>
      </c>
      <c r="M93" s="140" t="str">
        <f>IF((SUMIFS($W$6:$W$88,$I$6:$I$88,"Вышло",$D$6:$D$88,"MAX",$E$6:$E$88,"WB")+SUMIFS($W$6:$W$88,$I$6:$I$88,"Вышло",$D$6:$D$88,"MAX",$E$6:$E$88,"ВБ")+SUMIFS($W$6:$W$88,$I$6:$I$88,"Вышло",$D$6:$D$88,"Макс",$E$6:$E$88,"WB")+SUMIFS($W$6:$W$88,$I$6:$I$88,"Вышло",$D$6:$D$88,"Макс",$E$6:$E$88,"ВБ")+SUMIFS($W$6:$W$88,$I$6:$I$88,"Вышло",$D$6:$D$88,"МАКС",$E$6:$E$88,"WB")+SUMIFS($W$6:$W$88,$I$6:$I$88,"Вышло",$D$6:$D$88,"МАКС",$E$6:$E$88,"ВБ"))=0,"—",ROUND((SUMIFS($M$6:$M$88,$I$6:$I$88,"Вышло",$D$6:$D$88,"MAX",$E$6:$E$88,"WB")+SUMIFS($M$6:$M$88,$I$6:$I$88,"Вышло",$D$6:$D$88,"MAX",$E$6:$E$88,"ВБ")+SUMIFS($M$6:$M$88,$I$6:$I$88,"Вышло",$D$6:$D$88,"Макс",$E$6:$E$88,"WB")+SUMIFS($M$6:$M$88,$I$6:$I$88,"Вышло",$D$6:$D$88,"Макс",$E$6:$E$88,"ВБ")+SUMIFS($M$6:$M$88,$I$6:$I$88,"Вышло",$D$6:$D$88,"МАКС",$E$6:$E$88,"WB")+SUMIFS($M$6:$M$88,$I$6:$I$88,"Вышло",$D$6:$D$88,"МАКС",$E$6:$E$88,"ВБ")-(SUMIFS($M$6:$M$88,$I$6:$I$88,"Вышло",$D$6:$D$88,"MAX",$E$6:$E$88,"WB",$W$6:$W$88,"&lt;=0",$V$6:$V$88,"&gt;0")+SUMIFS($M$6:$M$88,$I$6:$I$88,"Вышло",$D$6:$D$88,"MAX",$E$6:$E$88,"ВБ",$W$6:$W$88,"&lt;=0",$V$6:$V$88,"&gt;0")+SUMIFS($M$6:$M$88,$I$6:$I$88,"Вышло",$D$6:$D$88,"Макс",$E$6:$E$88,"WB",$W$6:$W$88,"&lt;=0",$V$6:$V$88,"&gt;0")+SUMIFS($M$6:$M$88,$I$6:$I$88,"Вышло",$D$6:$D$88,"Макс",$E$6:$E$88,"ВБ",$W$6:$W$88,"&lt;=0",$V$6:$V$88,"&gt;0")+SUMIFS($M$6:$M$88,$I$6:$I$88,"Вышло",$D$6:$D$88,"МАКС",$E$6:$E$88,"WB",$W$6:$W$88,"&lt;=0",$V$6:$V$88,"&gt;0")+SUMIFS($M$6:$M$88,$I$6:$I$88,"Вышло",$D$6:$D$88,"МАКС",$E$6:$E$88,"ВБ",$W$6:$W$88,"&lt;=0",$V$6:$V$88,"&gt;0")))/(SUMIFS($W$6:$W$88,$I$6:$I$88,"Вышло",$D$6:$D$88,"MAX",$E$6:$E$88,"WB")+SUMIFS($W$6:$W$88,$I$6:$I$88,"Вышло",$D$6:$D$88,"MAX",$E$6:$E$88,"ВБ")+SUMIFS($W$6:$W$88,$I$6:$I$88,"Вышло",$D$6:$D$88,"Макс",$E$6:$E$88,"WB")+SUMIFS($W$6:$W$88,$I$6:$I$88,"Вышло",$D$6:$D$88,"Макс",$E$6:$E$88,"ВБ")+SUMIFS($W$6:$W$88,$I$6:$I$88,"Вышло",$D$6:$D$88,"МАКС",$E$6:$E$88,"WB")+SUMIFS($W$6:$W$88,$I$6:$I$88,"Вышло",$D$6:$D$88,"МАКС",$E$6:$E$88,"ВБ")),0))</f>
        <v>—</v>
      </c>
      <c r="N93" s="140" t="str">
        <f t="shared" si="59"/>
        <v>—</v>
      </c>
      <c r="O93" s="140" t="str">
        <f>IF((SUMIFS($Z$6:$Z$88,$I$6:$I$88,"Вышло",$D$6:$D$88,"MAX")+SUMIFS($Z$6:$Z$88,$I$6:$I$88,"Вышло",$D$6:$D$88,"Макс")+SUMIFS($Z$6:$Z$88,$I$6:$I$88,"Вышло",$D$6:$D$88,"МАКС"))=0,"—",ROUND((SUMIFS($M$6:$M$88,$I$6:$I$88,"Вышло",$D$6:$D$88,"MAX")+SUMIFS($M$6:$M$88,$I$6:$I$88,"Вышло",$D$6:$D$88,"Макс")+SUMIFS($M$6:$M$88,$I$6:$I$88,"Вышло",$D$6:$D$88,"МАКС"))/(SUMIFS($Z$6:$Z$88,$I$6:$I$88,"Вышло",$D$6:$D$88,"MAX")+SUMIFS($Z$6:$Z$88,$I$6:$I$88,"Вышло",$D$6:$D$88,"Макс")+SUMIFS($Z$6:$Z$88,$I$6:$I$88,"Вышло",$D$6:$D$88,"МАКС")),0))</f>
        <v>—</v>
      </c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ht="15.75" customHeight="1">
      <c r="A94" s="139" t="s">
        <v>244</v>
      </c>
      <c r="B94" s="140">
        <f>SUMIFS($M$6:$M$88,$D$6:$D$88,"VK")+SUMIFS($M$6:$M$88,$D$6:$D$88,"Vk")+SUMIFS($M$6:$M$88,$D$6:$D$88,"ВК")</f>
        <v>0</v>
      </c>
      <c r="C94" s="140">
        <f>SUMIFS($M$6:$M$88,$I$6:$I$88,"Вышло",$D$6:$D$88,"VK")+SUMIFS($M$6:$M$88,$I$6:$I$88,"Вышло",$D$6:$D$88,"Vk")+SUMIFS($M$6:$M$88,$I$6:$I$88,"Вышло",$D$6:$D$88,"ВК")</f>
        <v>0</v>
      </c>
      <c r="D94" s="141">
        <f>COUNTIFS($I$6:$I$88,"Вышло",$D$6:$D$88,"VK")+COUNTIFS($I$6:$I$88,"Вышло",$D$6:$D$88,"ВК")</f>
        <v>0</v>
      </c>
      <c r="E94" s="141">
        <f>SUMIFS($T$6:$T$88,$I$6:$I$88,"Вышло",$D$6:$D$88,"VK")+SUMIFS($T$6:$T$88,$I$6:$I$88,"Вышло",$D$6:$D$88,"Vk")+SUMIFS($T$6:$T$88,$I$6:$I$88,"Вышло",$D$6:$D$88,"ВК")</f>
        <v>0</v>
      </c>
      <c r="F94" s="141">
        <f>SUMIFS($V$6:$V$88,$I$6:$I$88,"Вышло",$D$6:$D$88,"VK")+SUMIFS($V$6:$V$88,$I$6:$I$88,"Вышло",$D$6:$D$88,"Vk")+SUMIFS($V$6:$V$88,$I$6:$I$88,"Вышло",$D$6:$D$88,"ВК")</f>
        <v>0</v>
      </c>
      <c r="G94" s="141">
        <f>SUMIFS($W$6:$W$88,$I$6:$I$88,"Вышло",$D$6:$D$88,"VK")+SUMIFS($W$6:$W$88,$I$6:$I$88,"Вышло",$D$6:$D$88,"Vk")+SUMIFS($W$6:$W$88,$I$6:$I$88,"Вышло",$D$6:$D$88,"ВК")</f>
        <v>0</v>
      </c>
      <c r="H94" s="141">
        <f t="shared" si="58"/>
        <v>0</v>
      </c>
      <c r="I94" s="141">
        <f>SUMIFS($Y$6:$Y$88,$I$6:$I$88,"Вышло",$D$6:$D$88,"VK")+SUMIFS($Y$6:$Y$88,$I$6:$I$88,"Вышло",$D$6:$D$88,"Vk")+SUMIFS($Y$6:$Y$88,$I$6:$I$88,"Вышло",$D$6:$D$88,"ВК")</f>
        <v>0</v>
      </c>
      <c r="J94" s="141">
        <f>SUMIFS($Z$6:$Z$88,$I$6:$I$88,"Вышло",$D$6:$D$88,"VK")+SUMIFS($Z$6:$Z$88,$I$6:$I$88,"Вышло",$D$6:$D$88,"Vk")+SUMIFS($Z$6:$Z$88,$I$6:$I$88,"Вышло",$D$6:$D$88,"ВК")</f>
        <v>0</v>
      </c>
      <c r="K94" s="140">
        <f>SUMIFS($AA$6:$AA$88,$I$6:$I$88,"Вышло",$D$6:$D$88,"VK")+SUMIFS($AA$6:$AA$88,$I$6:$I$88,"Вышло",$D$6:$D$88,"Vk")+SUMIFS($AA$6:$AA$88,$I$6:$I$88,"Вышло",$D$6:$D$88,"ВК")</f>
        <v>0</v>
      </c>
      <c r="L94" s="140" t="str">
        <f>IF((SUMIFS($V$6:$V$88,$I$6:$I$88,"Вышло",$D$6:$D$88,"VK",$E$6:$E$88,"Сайт")+SUMIFS($V$6:$V$88,$I$6:$I$88,"Вышло",$D$6:$D$88,"VK",$E$6:$E$88,"сайт")+SUMIFS($V$6:$V$88,$I$6:$I$88,"Вышло",$D$6:$D$88,"Vk",$E$6:$E$88,"Сайт")+SUMIFS($V$6:$V$88,$I$6:$I$88,"Вышло",$D$6:$D$88,"Vk",$E$6:$E$88,"сайт")+SUMIFS($V$6:$V$88,$I$6:$I$88,"Вышло",$D$6:$D$88,"ВК",$E$6:$E$88,"Сайт")+SUMIFS($V$6:$V$88,$I$6:$I$88,"Вышло",$D$6:$D$88,"ВК",$E$6:$E$88,"сайт")+SUMIFS($V$6:$V$88,$I$6:$I$88,"Вышло",$D$6:$D$88,"VK",$E$6:$E$88,"Ozon")+SUMIFS($V$6:$V$88,$I$6:$I$88,"Вышло",$D$6:$D$88,"VK",$E$6:$E$88,"OZON")+SUMIFS($V$6:$V$88,$I$6:$I$88,"Вышло",$D$6:$D$88,"VK",$E$6:$E$88,"Озон")+SUMIFS($V$6:$V$88,$I$6:$I$88,"Вышло",$D$6:$D$88,"VK",$E$6:$E$88,"озон")+SUMIFS($V$6:$V$88,$I$6:$I$88,"Вышло",$D$6:$D$88,"Vk",$E$6:$E$88,"Ozon")+SUMIFS($V$6:$V$88,$I$6:$I$88,"Вышло",$D$6:$D$88,"Vk",$E$6:$E$88,"OZON")+SUMIFS($V$6:$V$88,$I$6:$I$88,"Вышло",$D$6:$D$88,"Vk",$E$6:$E$88,"Озон")+SUMIFS($V$6:$V$88,$I$6:$I$88,"Вышло",$D$6:$D$88,"Vk",$E$6:$E$88,"озон")+SUMIFS($V$6:$V$88,$I$6:$I$88,"Вышло",$D$6:$D$88,"ВК",$E$6:$E$88,"Ozon")+SUMIFS($V$6:$V$88,$I$6:$I$88,"Вышло",$D$6:$D$88,"ВК",$E$6:$E$88,"OZON")+SUMIFS($V$6:$V$88,$I$6:$I$88,"Вышло",$D$6:$D$88,"ВК",$E$6:$E$88,"Озон")+SUMIFS($V$6:$V$88,$I$6:$I$88,"Вышло",$D$6:$D$88,"ВК",$E$6:$E$88,"озон"))=0,"—",ROUND((SUMIFS($M$6:$M$88,$I$6:$I$88,"Вышло",$D$6:$D$88,"VK",$E$6:$E$88,"Сайт",$V$6:$V$88,"&gt;0")+SUMIFS($M$6:$M$88,$I$6:$I$88,"Вышло",$D$6:$D$88,"VK",$E$6:$E$88,"сайт",$V$6:$V$88,"&gt;0")+SUMIFS($M$6:$M$88,$I$6:$I$88,"Вышло",$D$6:$D$88,"Vk",$E$6:$E$88,"Сайт",$V$6:$V$88,"&gt;0")+SUMIFS($M$6:$M$88,$I$6:$I$88,"Вышло",$D$6:$D$88,"Vk",$E$6:$E$88,"сайт",$V$6:$V$88,"&gt;0")+SUMIFS($M$6:$M$88,$I$6:$I$88,"Вышло",$D$6:$D$88,"ВК",$E$6:$E$88,"Сайт",$V$6:$V$88,"&gt;0")+SUMIFS($M$6:$M$88,$I$6:$I$88,"Вышло",$D$6:$D$88,"ВК",$E$6:$E$88,"сайт",$V$6:$V$88,"&gt;0")+SUMIFS($M$6:$M$88,$I$6:$I$88,"Вышло",$D$6:$D$88,"VK",$E$6:$E$88,"Сайт",$V$6:$V$88,"&lt;=0",$P$6:$P$88,"&lt;&gt;")+SUMIFS($M$6:$M$88,$I$6:$I$88,"Вышло",$D$6:$D$88,"VK",$E$6:$E$88,"сайт",$V$6:$V$88,"&lt;=0",$P$6:$P$88,"&lt;&gt;")+SUMIFS($M$6:$M$88,$I$6:$I$88,"Вышло",$D$6:$D$88,"Vk",$E$6:$E$88,"Сайт",$V$6:$V$88,"&lt;=0",$P$6:$P$88,"&lt;&gt;")+SUMIFS($M$6:$M$88,$I$6:$I$88,"Вышло",$D$6:$D$88,"Vk",$E$6:$E$88,"сайт",$V$6:$V$88,"&lt;=0",$P$6:$P$88,"&lt;&gt;")+SUMIFS($M$6:$M$88,$I$6:$I$88,"Вышло",$D$6:$D$88,"ВК",$E$6:$E$88,"Сайт",$V$6:$V$88,"&lt;=0",$P$6:$P$88,"&lt;&gt;")+SUMIFS($M$6:$M$88,$I$6:$I$88,"Вышло",$D$6:$D$88,"ВК",$E$6:$E$88,"сайт",$V$6:$V$88,"&lt;=0",$P$6:$P$88,"&lt;&gt;")+SUMIFS($M$6:$M$88,$I$6:$I$88,"Вышло",$D$6:$D$88,"VK",$E$6:$E$88,"Ozon",$V$6:$V$88,"&gt;0")+SUMIFS($M$6:$M$88,$I$6:$I$88,"Вышло",$D$6:$D$88,"VK",$E$6:$E$88,"OZON",$V$6:$V$88,"&gt;0")+SUMIFS($M$6:$M$88,$I$6:$I$88,"Вышло",$D$6:$D$88,"VK",$E$6:$E$88,"Озон",$V$6:$V$88,"&gt;0")+SUMIFS($M$6:$M$88,$I$6:$I$88,"Вышло",$D$6:$D$88,"VK",$E$6:$E$88,"озон",$V$6:$V$88,"&gt;0")+SUMIFS($M$6:$M$88,$I$6:$I$88,"Вышло",$D$6:$D$88,"Vk",$E$6:$E$88,"Ozon",$V$6:$V$88,"&gt;0")+SUMIFS($M$6:$M$88,$I$6:$I$88,"Вышло",$D$6:$D$88,"Vk",$E$6:$E$88,"OZON",$V$6:$V$88,"&gt;0")+SUMIFS($M$6:$M$88,$I$6:$I$88,"Вышло",$D$6:$D$88,"Vk",$E$6:$E$88,"Озон",$V$6:$V$88,"&gt;0")+SUMIFS($M$6:$M$88,$I$6:$I$88,"Вышло",$D$6:$D$88,"Vk",$E$6:$E$88,"озон",$V$6:$V$88,"&gt;0")+SUMIFS($M$6:$M$88,$I$6:$I$88,"Вышло",$D$6:$D$88,"ВК",$E$6:$E$88,"Ozon",$V$6:$V$88,"&gt;0")+SUMIFS($M$6:$M$88,$I$6:$I$88,"Вышло",$D$6:$D$88,"ВК",$E$6:$E$88,"OZON",$V$6:$V$88,"&gt;0")+SUMIFS($M$6:$M$88,$I$6:$I$88,"Вышло",$D$6:$D$88,"ВК",$E$6:$E$88,"Озон",$V$6:$V$88,"&gt;0")+SUMIFS($M$6:$M$88,$I$6:$I$88,"Вышло",$D$6:$D$88,"ВК",$E$6:$E$88,"озон",$V$6:$V$88,"&gt;0")+SUMIFS($M$6:$M$88,$I$6:$I$88,"Вышло",$D$6:$D$88,"VK",$E$6:$E$88,"Ozon",$V$6:$V$88,"&lt;=0",$P$6:$P$88,"&lt;&gt;")+SUMIFS($M$6:$M$88,$I$6:$I$88,"Вышло",$D$6:$D$88,"VK",$E$6:$E$88,"OZON",$V$6:$V$88,"&lt;=0",$P$6:$P$88,"&lt;&gt;")+SUMIFS($M$6:$M$88,$I$6:$I$88,"Вышло",$D$6:$D$88,"VK",$E$6:$E$88,"Озон",$V$6:$V$88,"&lt;=0",$P$6:$P$88,"&lt;&gt;")+SUMIFS($M$6:$M$88,$I$6:$I$88,"Вышло",$D$6:$D$88,"VK",$E$6:$E$88,"озон",$V$6:$V$88,"&lt;=0",$P$6:$P$88,"&lt;&gt;")+SUMIFS($M$6:$M$88,$I$6:$I$88,"Вышло",$D$6:$D$88,"Vk",$E$6:$E$88,"Ozon",$V$6:$V$88,"&lt;=0",$P$6:$P$88,"&lt;&gt;")+SUMIFS($M$6:$M$88,$I$6:$I$88,"Вышло",$D$6:$D$88,"Vk",$E$6:$E$88,"OZON",$V$6:$V$88,"&lt;=0",$P$6:$P$88,"&lt;&gt;")+SUMIFS($M$6:$M$88,$I$6:$I$88,"Вышло",$D$6:$D$88,"Vk",$E$6:$E$88,"Озон",$V$6:$V$88,"&lt;=0",$P$6:$P$88,"&lt;&gt;")+SUMIFS($M$6:$M$88,$I$6:$I$88,"Вышло",$D$6:$D$88,"Vk",$E$6:$E$88,"озон",$V$6:$V$88,"&lt;=0",$P$6:$P$88,"&lt;&gt;")+SUMIFS($M$6:$M$88,$I$6:$I$88,"Вышло",$D$6:$D$88,"ВК",$E$6:$E$88,"Ozon",$V$6:$V$88,"&lt;=0",$P$6:$P$88,"&lt;&gt;")+SUMIFS($M$6:$M$88,$I$6:$I$88,"Вышло",$D$6:$D$88,"ВК",$E$6:$E$88,"OZON",$V$6:$V$88,"&lt;=0",$P$6:$P$88,"&lt;&gt;")+SUMIFS($M$6:$M$88,$I$6:$I$88,"Вышло",$D$6:$D$88,"ВК",$E$6:$E$88,"Озон",$V$6:$V$88,"&lt;=0",$P$6:$P$88,"&lt;&gt;")+SUMIFS($M$6:$M$88,$I$6:$I$88,"Вышло",$D$6:$D$88,"ВК",$E$6:$E$88,"озон",$V$6:$V$88,"&lt;=0",$P$6:$P$88,"&lt;&gt;"))/(SUMIFS($V$6:$V$88,$I$6:$I$88,"Вышло",$D$6:$D$88,"VK",$E$6:$E$88,"Сайт")+SUMIFS($V$6:$V$88,$I$6:$I$88,"Вышло",$D$6:$D$88,"VK",$E$6:$E$88,"сайт")+SUMIFS($V$6:$V$88,$I$6:$I$88,"Вышло",$D$6:$D$88,"Vk",$E$6:$E$88,"Сайт")+SUMIFS($V$6:$V$88,$I$6:$I$88,"Вышло",$D$6:$D$88,"Vk",$E$6:$E$88,"сайт")+SUMIFS($V$6:$V$88,$I$6:$I$88,"Вышло",$D$6:$D$88,"ВК",$E$6:$E$88,"Сайт")+SUMIFS($V$6:$V$88,$I$6:$I$88,"Вышло",$D$6:$D$88,"ВК",$E$6:$E$88,"сайт")+SUMIFS($V$6:$V$88,$I$6:$I$88,"Вышло",$D$6:$D$88,"VK",$E$6:$E$88,"Ozon")+SUMIFS($V$6:$V$88,$I$6:$I$88,"Вышло",$D$6:$D$88,"VK",$E$6:$E$88,"OZON")+SUMIFS($V$6:$V$88,$I$6:$I$88,"Вышло",$D$6:$D$88,"VK",$E$6:$E$88,"Озон")+SUMIFS($V$6:$V$88,$I$6:$I$88,"Вышло",$D$6:$D$88,"VK",$E$6:$E$88,"озон")+SUMIFS($V$6:$V$88,$I$6:$I$88,"Вышло",$D$6:$D$88,"Vk",$E$6:$E$88,"Ozon")+SUMIFS($V$6:$V$88,$I$6:$I$88,"Вышло",$D$6:$D$88,"Vk",$E$6:$E$88,"OZON")+SUMIFS($V$6:$V$88,$I$6:$I$88,"Вышло",$D$6:$D$88,"Vk",$E$6:$E$88,"Озон")+SUMIFS($V$6:$V$88,$I$6:$I$88,"Вышло",$D$6:$D$88,"Vk",$E$6:$E$88,"озон")+SUMIFS($V$6:$V$88,$I$6:$I$88,"Вышло",$D$6:$D$88,"ВК",$E$6:$E$88,"Ozon")+SUMIFS($V$6:$V$88,$I$6:$I$88,"Вышло",$D$6:$D$88,"ВК",$E$6:$E$88,"OZON")+SUMIFS($V$6:$V$88,$I$6:$I$88,"Вышло",$D$6:$D$88,"ВК",$E$6:$E$88,"Озон")+SUMIFS($V$6:$V$88,$I$6:$I$88,"Вышло",$D$6:$D$88,"ВК",$E$6:$E$88,"озон")),0))</f>
        <v>—</v>
      </c>
      <c r="M94" s="140" t="str">
        <f>IF((SUMIFS($W$6:$W$88,$I$6:$I$88,"Вышло",$D$6:$D$88,"VK",$E$6:$E$88,"WB")+SUMIFS($W$6:$W$88,$I$6:$I$88,"Вышло",$D$6:$D$88,"VK",$E$6:$E$88,"ВБ")+SUMIFS($W$6:$W$88,$I$6:$I$88,"Вышло",$D$6:$D$88,"Vk",$E$6:$E$88,"WB")+SUMIFS($W$6:$W$88,$I$6:$I$88,"Вышло",$D$6:$D$88,"Vk",$E$6:$E$88,"ВБ")+SUMIFS($W$6:$W$88,$I$6:$I$88,"Вышло",$D$6:$D$88,"ВК",$E$6:$E$88,"WB")+SUMIFS($W$6:$W$88,$I$6:$I$88,"Вышло",$D$6:$D$88,"ВК",$E$6:$E$88,"ВБ"))=0,"—",ROUND((SUMIFS($M$6:$M$88,$I$6:$I$88,"Вышло",$D$6:$D$88,"VK",$E$6:$E$88,"WB")+SUMIFS($M$6:$M$88,$I$6:$I$88,"Вышло",$D$6:$D$88,"VK",$E$6:$E$88,"ВБ")+SUMIFS($M$6:$M$88,$I$6:$I$88,"Вышло",$D$6:$D$88,"Vk",$E$6:$E$88,"WB")+SUMIFS($M$6:$M$88,$I$6:$I$88,"Вышло",$D$6:$D$88,"Vk",$E$6:$E$88,"ВБ")+SUMIFS($M$6:$M$88,$I$6:$I$88,"Вышло",$D$6:$D$88,"ВК",$E$6:$E$88,"WB")+SUMIFS($M$6:$M$88,$I$6:$I$88,"Вышло",$D$6:$D$88,"ВК",$E$6:$E$88,"ВБ")-(SUMIFS($M$6:$M$88,$I$6:$I$88,"Вышло",$D$6:$D$88,"VK",$E$6:$E$88,"WB",$W$6:$W$88,"&lt;=0",$V$6:$V$88,"&gt;0")+SUMIFS($M$6:$M$88,$I$6:$I$88,"Вышло",$D$6:$D$88,"VK",$E$6:$E$88,"ВБ",$W$6:$W$88,"&lt;=0",$V$6:$V$88,"&gt;0")+SUMIFS($M$6:$M$88,$I$6:$I$88,"Вышло",$D$6:$D$88,"Vk",$E$6:$E$88,"WB",$W$6:$W$88,"&lt;=0",$V$6:$V$88,"&gt;0")+SUMIFS($M$6:$M$88,$I$6:$I$88,"Вышло",$D$6:$D$88,"Vk",$E$6:$E$88,"ВБ",$W$6:$W$88,"&lt;=0",$V$6:$V$88,"&gt;0")+SUMIFS($M$6:$M$88,$I$6:$I$88,"Вышло",$D$6:$D$88,"ВК",$E$6:$E$88,"WB",$W$6:$W$88,"&lt;=0",$V$6:$V$88,"&gt;0")+SUMIFS($M$6:$M$88,$I$6:$I$88,"Вышло",$D$6:$D$88,"ВК",$E$6:$E$88,"ВБ",$W$6:$W$88,"&lt;=0",$V$6:$V$88,"&gt;0")))/(SUMIFS($W$6:$W$88,$I$6:$I$88,"Вышло",$D$6:$D$88,"VK",$E$6:$E$88,"WB")+SUMIFS($W$6:$W$88,$I$6:$I$88,"Вышло",$D$6:$D$88,"VK",$E$6:$E$88,"ВБ")+SUMIFS($W$6:$W$88,$I$6:$I$88,"Вышло",$D$6:$D$88,"Vk",$E$6:$E$88,"WB")+SUMIFS($W$6:$W$88,$I$6:$I$88,"Вышло",$D$6:$D$88,"Vk",$E$6:$E$88,"ВБ")+SUMIFS($W$6:$W$88,$I$6:$I$88,"Вышло",$D$6:$D$88,"ВК",$E$6:$E$88,"WB")+SUMIFS($W$6:$W$88,$I$6:$I$88,"Вышло",$D$6:$D$88,"ВК",$E$6:$E$88,"ВБ")),0))</f>
        <v>—</v>
      </c>
      <c r="N94" s="140" t="str">
        <f t="shared" si="59"/>
        <v>—</v>
      </c>
      <c r="O94" s="140" t="str">
        <f>IF((SUMIFS($Z$6:$Z$88,$I$6:$I$88,"Вышло",$D$6:$D$88,"VK")+SUMIFS($Z$6:$Z$88,$I$6:$I$88,"Вышло",$D$6:$D$88,"Vk")+SUMIFS($Z$6:$Z$88,$I$6:$I$88,"Вышло",$D$6:$D$88,"ВК"))=0,"—",ROUND((SUMIFS($M$6:$M$88,$I$6:$I$88,"Вышло",$D$6:$D$88,"VK")+SUMIFS($M$6:$M$88,$I$6:$I$88,"Вышло",$D$6:$D$88,"Vk")+SUMIFS($M$6:$M$88,$I$6:$I$88,"Вышло",$D$6:$D$88,"ВК"))/(SUMIFS($Z$6:$Z$88,$I$6:$I$88,"Вышло",$D$6:$D$88,"VK")+SUMIFS($Z$6:$Z$88,$I$6:$I$88,"Вышло",$D$6:$D$88,"Vk")+SUMIFS($Z$6:$Z$88,$I$6:$I$88,"Вышло",$D$6:$D$88,"ВК")),0))</f>
        <v>—</v>
      </c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ht="15.75" customHeight="1">
      <c r="A95" s="139" t="s">
        <v>24</v>
      </c>
      <c r="B95" s="140">
        <f>SUMIFS($M$6:$M$88,$D$6:$D$88,"YouTube")+SUMIFS($M$6:$M$88,$D$6:$D$88,"Youtube")</f>
        <v>85000</v>
      </c>
      <c r="C95" s="140">
        <f>SUMIFS($M$6:$M$88,$I$6:$I$88,"Вышло",$D$6:$D$88,"YouTube")+SUMIFS($M$6:$M$88,$I$6:$I$88,"Вышло",$D$6:$D$88,"Youtube")</f>
        <v>85000</v>
      </c>
      <c r="D95" s="141">
        <f>COUNTIFS($I$6:$I$88,"Вышло",$D$6:$D$88,"YouTube")</f>
        <v>1</v>
      </c>
      <c r="E95" s="141">
        <f>SUMIFS($T$6:$T$88,$I$6:$I$88,"Вышло",$D$6:$D$88,"YouTube")+SUMIFS($T$6:$T$88,$I$6:$I$88,"Вышло",$D$6:$D$88,"Youtube")</f>
        <v>77364</v>
      </c>
      <c r="F95" s="141">
        <f>SUMIFS($V$6:$V$88,$I$6:$I$88,"Вышло",$D$6:$D$88,"YouTube")+SUMIFS($V$6:$V$88,$I$6:$I$88,"Вышло",$D$6:$D$88,"Youtube")</f>
        <v>234</v>
      </c>
      <c r="G95" s="141">
        <f>SUMIFS($W$6:$W$88,$I$6:$I$88,"Вышло",$D$6:$D$88,"YouTube")+SUMIFS($W$6:$W$88,$I$6:$I$88,"Вышло",$D$6:$D$88,"Youtube")</f>
        <v>184</v>
      </c>
      <c r="H95" s="141">
        <f t="shared" si="58"/>
        <v>0</v>
      </c>
      <c r="I95" s="141">
        <f>SUMIFS($Y$6:$Y$88,$I$6:$I$88,"Вышло",$D$6:$D$88,"YouTube")+SUMIFS($Y$6:$Y$88,$I$6:$I$88,"Вышло",$D$6:$D$88,"Youtube")</f>
        <v>72</v>
      </c>
      <c r="J95" s="141">
        <f>SUMIFS($Z$6:$Z$88,$I$6:$I$88,"Вышло",$D$6:$D$88,"YouTube")+SUMIFS($Z$6:$Z$88,$I$6:$I$88,"Вышло",$D$6:$D$88,"Youtube")</f>
        <v>34</v>
      </c>
      <c r="K95" s="140">
        <f>SUMIFS($AA$6:$AA$88,$I$6:$I$88,"Вышло",$D$6:$D$88,"YouTube")+SUMIFS($AA$6:$AA$88,$I$6:$I$88,"Вышло",$D$6:$D$88,"Youtube")</f>
        <v>23800</v>
      </c>
      <c r="L95" s="140" t="str">
        <f>IF((SUMIFS($V$6:$V$88,$I$6:$I$88,"Вышло",$D$6:$D$88,"YouTube",$E$6:$E$88,"Сайт")+SUMIFS($V$6:$V$88,$I$6:$I$88,"Вышло",$D$6:$D$88,"YouTube",$E$6:$E$88,"сайт")+SUMIFS($V$6:$V$88,$I$6:$I$88,"Вышло",$D$6:$D$88,"Youtube",$E$6:$E$88,"Сайт")+SUMIFS($V$6:$V$88,$I$6:$I$88,"Вышло",$D$6:$D$88,"Youtube",$E$6:$E$88,"сайт")+SUMIFS($V$6:$V$88,$I$6:$I$88,"Вышло",$D$6:$D$88,"YouTube",$E$6:$E$88,"Ozon")+SUMIFS($V$6:$V$88,$I$6:$I$88,"Вышло",$D$6:$D$88,"YouTube",$E$6:$E$88,"OZON")+SUMIFS($V$6:$V$88,$I$6:$I$88,"Вышло",$D$6:$D$88,"YouTube",$E$6:$E$88,"Озон")+SUMIFS($V$6:$V$88,$I$6:$I$88,"Вышло",$D$6:$D$88,"YouTube",$E$6:$E$88,"озон")+SUMIFS($V$6:$V$88,$I$6:$I$88,"Вышло",$D$6:$D$88,"Youtube",$E$6:$E$88,"Ozon")+SUMIFS($V$6:$V$88,$I$6:$I$88,"Вышло",$D$6:$D$88,"Youtube",$E$6:$E$88,"OZON")+SUMIFS($V$6:$V$88,$I$6:$I$88,"Вышло",$D$6:$D$88,"Youtube",$E$6:$E$88,"Озон")+SUMIFS($V$6:$V$88,$I$6:$I$88,"Вышло",$D$6:$D$88,"Youtube",$E$6:$E$88,"озон"))=0,"—",ROUND((SUMIFS($M$6:$M$88,$I$6:$I$88,"Вышло",$D$6:$D$88,"YouTube",$E$6:$E$88,"Сайт",$V$6:$V$88,"&gt;0")+SUMIFS($M$6:$M$88,$I$6:$I$88,"Вышло",$D$6:$D$88,"YouTube",$E$6:$E$88,"сайт",$V$6:$V$88,"&gt;0")+SUMIFS($M$6:$M$88,$I$6:$I$88,"Вышло",$D$6:$D$88,"Youtube",$E$6:$E$88,"Сайт",$V$6:$V$88,"&gt;0")+SUMIFS($M$6:$M$88,$I$6:$I$88,"Вышло",$D$6:$D$88,"Youtube",$E$6:$E$88,"сайт",$V$6:$V$88,"&gt;0")+SUMIFS($M$6:$M$88,$I$6:$I$88,"Вышло",$D$6:$D$88,"YouTube",$E$6:$E$88,"Сайт",$V$6:$V$88,"&lt;=0",$P$6:$P$88,"&lt;&gt;")+SUMIFS($M$6:$M$88,$I$6:$I$88,"Вышло",$D$6:$D$88,"YouTube",$E$6:$E$88,"сайт",$V$6:$V$88,"&lt;=0",$P$6:$P$88,"&lt;&gt;")+SUMIFS($M$6:$M$88,$I$6:$I$88,"Вышло",$D$6:$D$88,"Youtube",$E$6:$E$88,"Сайт",$V$6:$V$88,"&lt;=0",$P$6:$P$88,"&lt;&gt;")+SUMIFS($M$6:$M$88,$I$6:$I$88,"Вышло",$D$6:$D$88,"Youtube",$E$6:$E$88,"сайт",$V$6:$V$88,"&lt;=0",$P$6:$P$88,"&lt;&gt;")+SUMIFS($M$6:$M$88,$I$6:$I$88,"Вышло",$D$6:$D$88,"YouTube",$E$6:$E$88,"Ozon",$V$6:$V$88,"&gt;0")+SUMIFS($M$6:$M$88,$I$6:$I$88,"Вышло",$D$6:$D$88,"YouTube",$E$6:$E$88,"OZON",$V$6:$V$88,"&gt;0")+SUMIFS($M$6:$M$88,$I$6:$I$88,"Вышло",$D$6:$D$88,"YouTube",$E$6:$E$88,"Озон",$V$6:$V$88,"&gt;0")+SUMIFS($M$6:$M$88,$I$6:$I$88,"Вышло",$D$6:$D$88,"YouTube",$E$6:$E$88,"озон",$V$6:$V$88,"&gt;0")+SUMIFS($M$6:$M$88,$I$6:$I$88,"Вышло",$D$6:$D$88,"Youtube",$E$6:$E$88,"Ozon",$V$6:$V$88,"&gt;0")+SUMIFS($M$6:$M$88,$I$6:$I$88,"Вышло",$D$6:$D$88,"Youtube",$E$6:$E$88,"OZON",$V$6:$V$88,"&gt;0")+SUMIFS($M$6:$M$88,$I$6:$I$88,"Вышло",$D$6:$D$88,"Youtube",$E$6:$E$88,"Озон",$V$6:$V$88,"&gt;0")+SUMIFS($M$6:$M$88,$I$6:$I$88,"Вышло",$D$6:$D$88,"Youtube",$E$6:$E$88,"озон",$V$6:$V$88,"&gt;0")+SUMIFS($M$6:$M$88,$I$6:$I$88,"Вышло",$D$6:$D$88,"YouTube",$E$6:$E$88,"Ozon",$V$6:$V$88,"&lt;=0",$P$6:$P$88,"&lt;&gt;")+SUMIFS($M$6:$M$88,$I$6:$I$88,"Вышло",$D$6:$D$88,"YouTube",$E$6:$E$88,"OZON",$V$6:$V$88,"&lt;=0",$P$6:$P$88,"&lt;&gt;")+SUMIFS($M$6:$M$88,$I$6:$I$88,"Вышло",$D$6:$D$88,"YouTube",$E$6:$E$88,"Озон",$V$6:$V$88,"&lt;=0",$P$6:$P$88,"&lt;&gt;")+SUMIFS($M$6:$M$88,$I$6:$I$88,"Вышло",$D$6:$D$88,"YouTube",$E$6:$E$88,"озон",$V$6:$V$88,"&lt;=0",$P$6:$P$88,"&lt;&gt;")+SUMIFS($M$6:$M$88,$I$6:$I$88,"Вышло",$D$6:$D$88,"Youtube",$E$6:$E$88,"Ozon",$V$6:$V$88,"&lt;=0",$P$6:$P$88,"&lt;&gt;")+SUMIFS($M$6:$M$88,$I$6:$I$88,"Вышло",$D$6:$D$88,"Youtube",$E$6:$E$88,"OZON",$V$6:$V$88,"&lt;=0",$P$6:$P$88,"&lt;&gt;")+SUMIFS($M$6:$M$88,$I$6:$I$88,"Вышло",$D$6:$D$88,"Youtube",$E$6:$E$88,"Озон",$V$6:$V$88,"&lt;=0",$P$6:$P$88,"&lt;&gt;")+SUMIFS($M$6:$M$88,$I$6:$I$88,"Вышло",$D$6:$D$88,"Youtube",$E$6:$E$88,"озон",$V$6:$V$88,"&lt;=0",$P$6:$P$88,"&lt;&gt;"))/(SUMIFS($V$6:$V$88,$I$6:$I$88,"Вышло",$D$6:$D$88,"YouTube",$E$6:$E$88,"Сайт")+SUMIFS($V$6:$V$88,$I$6:$I$88,"Вышло",$D$6:$D$88,"YouTube",$E$6:$E$88,"сайт")+SUMIFS($V$6:$V$88,$I$6:$I$88,"Вышло",$D$6:$D$88,"Youtube",$E$6:$E$88,"Сайт")+SUMIFS($V$6:$V$88,$I$6:$I$88,"Вышло",$D$6:$D$88,"Youtube",$E$6:$E$88,"сайт")+SUMIFS($V$6:$V$88,$I$6:$I$88,"Вышло",$D$6:$D$88,"YouTube",$E$6:$E$88,"Ozon")+SUMIFS($V$6:$V$88,$I$6:$I$88,"Вышло",$D$6:$D$88,"YouTube",$E$6:$E$88,"OZON")+SUMIFS($V$6:$V$88,$I$6:$I$88,"Вышло",$D$6:$D$88,"YouTube",$E$6:$E$88,"Озон")+SUMIFS($V$6:$V$88,$I$6:$I$88,"Вышло",$D$6:$D$88,"YouTube",$E$6:$E$88,"озон")+SUMIFS($V$6:$V$88,$I$6:$I$88,"Вышло",$D$6:$D$88,"Youtube",$E$6:$E$88,"Ozon")+SUMIFS($V$6:$V$88,$I$6:$I$88,"Вышло",$D$6:$D$88,"Youtube",$E$6:$E$88,"OZON")+SUMIFS($V$6:$V$88,$I$6:$I$88,"Вышло",$D$6:$D$88,"Youtube",$E$6:$E$88,"Озон")+SUMIFS($V$6:$V$88,$I$6:$I$88,"Вышло",$D$6:$D$88,"Youtube",$E$6:$E$88,"озон")),0))</f>
        <v>—</v>
      </c>
      <c r="M95" s="140" t="str">
        <f>IF((SUMIFS($W$6:$W$88,$I$6:$I$88,"Вышло",$D$6:$D$88,"YouTube",$E$6:$E$88,"WB")+SUMIFS($W$6:$W$88,$I$6:$I$88,"Вышло",$D$6:$D$88,"YouTube",$E$6:$E$88,"ВБ")+SUMIFS($W$6:$W$88,$I$6:$I$88,"Вышло",$D$6:$D$88,"Youtube",$E$6:$E$88,"WB")+SUMIFS($W$6:$W$88,$I$6:$I$88,"Вышло",$D$6:$D$88,"Youtube",$E$6:$E$88,"ВБ"))=0,"—",ROUND((SUMIFS($M$6:$M$88,$I$6:$I$88,"Вышло",$D$6:$D$88,"YouTube",$E$6:$E$88,"WB")+SUMIFS($M$6:$M$88,$I$6:$I$88,"Вышло",$D$6:$D$88,"YouTube",$E$6:$E$88,"ВБ")+SUMIFS($M$6:$M$88,$I$6:$I$88,"Вышло",$D$6:$D$88,"Youtube",$E$6:$E$88,"WB")+SUMIFS($M$6:$M$88,$I$6:$I$88,"Вышло",$D$6:$D$88,"Youtube",$E$6:$E$88,"ВБ")-(SUMIFS($M$6:$M$88,$I$6:$I$88,"Вышло",$D$6:$D$88,"YouTube",$E$6:$E$88,"WB",$W$6:$W$88,"&lt;=0",$V$6:$V$88,"&gt;0")+SUMIFS($M$6:$M$88,$I$6:$I$88,"Вышло",$D$6:$D$88,"YouTube",$E$6:$E$88,"ВБ",$W$6:$W$88,"&lt;=0",$V$6:$V$88,"&gt;0")+SUMIFS($M$6:$M$88,$I$6:$I$88,"Вышло",$D$6:$D$88,"Youtube",$E$6:$E$88,"WB",$W$6:$W$88,"&lt;=0",$V$6:$V$88,"&gt;0")+SUMIFS($M$6:$M$88,$I$6:$I$88,"Вышло",$D$6:$D$88,"Youtube",$E$6:$E$88,"ВБ",$W$6:$W$88,"&lt;=0",$V$6:$V$88,"&gt;0")))/(SUMIFS($W$6:$W$88,$I$6:$I$88,"Вышло",$D$6:$D$88,"YouTube",$E$6:$E$88,"WB")+SUMIFS($W$6:$W$88,$I$6:$I$88,"Вышло",$D$6:$D$88,"YouTube",$E$6:$E$88,"ВБ")+SUMIFS($W$6:$W$88,$I$6:$I$88,"Вышло",$D$6:$D$88,"Youtube",$E$6:$E$88,"WB")+SUMIFS($W$6:$W$88,$I$6:$I$88,"Вышло",$D$6:$D$88,"Youtube",$E$6:$E$88,"ВБ")),0))</f>
        <v>—</v>
      </c>
      <c r="N95" s="140" t="str">
        <f t="shared" si="59"/>
        <v>—</v>
      </c>
      <c r="O95" s="140">
        <f>IF((SUMIFS($Z$6:$Z$88,$I$6:$I$88,"Вышло",$D$6:$D$88,"YouTube")+SUMIFS($Z$6:$Z$88,$I$6:$I$88,"Вышло",$D$6:$D$88,"Youtube"))=0,"—",ROUND((SUMIFS($M$6:$M$88,$I$6:$I$88,"Вышло",$D$6:$D$88,"YouTube")+SUMIFS($M$6:$M$88,$I$6:$I$88,"Вышло",$D$6:$D$88,"Youtube"))/(SUMIFS($Z$6:$Z$88,$I$6:$I$88,"Вышло",$D$6:$D$88,"YouTube")+SUMIFS($Z$6:$Z$88,$I$6:$I$88,"Вышло",$D$6:$D$88,"Youtube")),0))</f>
        <v>2500</v>
      </c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ht="15.75" customHeight="1">
      <c r="A96" s="139" t="s">
        <v>120</v>
      </c>
      <c r="B96" s="140">
        <f>SUMIFS($M$6:$M$88,$D$6:$D$88,"TikTok")+SUMIFS($M$6:$M$88,$D$6:$D$88,"Tiktok")</f>
        <v>0</v>
      </c>
      <c r="C96" s="140">
        <f>SUMIFS($M$6:$M$88,$I$6:$I$88,"Вышло",$D$6:$D$88,"TikTok")+SUMIFS($M$6:$M$88,$I$6:$I$88,"Вышло",$D$6:$D$88,"Tiktok")</f>
        <v>0</v>
      </c>
      <c r="D96" s="141">
        <f>COUNTIFS($I$6:$I$88,"Вышло",$D$6:$D$88,"TikTok")</f>
        <v>0</v>
      </c>
      <c r="E96" s="141">
        <f>SUMIFS($T$6:$T$88,$I$6:$I$88,"Вышло",$D$6:$D$88,"TikTok")+SUMIFS($T$6:$T$88,$I$6:$I$88,"Вышло",$D$6:$D$88,"Tiktok")</f>
        <v>0</v>
      </c>
      <c r="F96" s="141">
        <f>SUMIFS($V$6:$V$88,$I$6:$I$88,"Вышло",$D$6:$D$88,"TikTok")+SUMIFS($V$6:$V$88,$I$6:$I$88,"Вышло",$D$6:$D$88,"Tiktok")</f>
        <v>0</v>
      </c>
      <c r="G96" s="141">
        <f>SUMIFS($W$6:$W$88,$I$6:$I$88,"Вышло",$D$6:$D$88,"TikTok")+SUMIFS($W$6:$W$88,$I$6:$I$88,"Вышло",$D$6:$D$88,"Tiktok")</f>
        <v>0</v>
      </c>
      <c r="H96" s="141">
        <f t="shared" si="58"/>
        <v>0</v>
      </c>
      <c r="I96" s="141">
        <f>SUMIFS($Y$6:$Y$88,$I$6:$I$88,"Вышло",$D$6:$D$88,"TikTok")+SUMIFS($Y$6:$Y$88,$I$6:$I$88,"Вышло",$D$6:$D$88,"Tiktok")</f>
        <v>0</v>
      </c>
      <c r="J96" s="141">
        <f>SUMIFS($Z$6:$Z$88,$I$6:$I$88,"Вышло",$D$6:$D$88,"TikTok")+SUMIFS($Z$6:$Z$88,$I$6:$I$88,"Вышло",$D$6:$D$88,"Tiktok")</f>
        <v>0</v>
      </c>
      <c r="K96" s="140">
        <f>SUMIFS($AA$6:$AA$88,$I$6:$I$88,"Вышло",$D$6:$D$88,"TikTok")+SUMIFS($AA$6:$AA$88,$I$6:$I$88,"Вышло",$D$6:$D$88,"Tiktok")</f>
        <v>0</v>
      </c>
      <c r="L96" s="140" t="str">
        <f>IF((SUMIFS($V$6:$V$88,$I$6:$I$88,"Вышло",$D$6:$D$88,"TikTok",$E$6:$E$88,"Сайт")+SUMIFS($V$6:$V$88,$I$6:$I$88,"Вышло",$D$6:$D$88,"TikTok",$E$6:$E$88,"сайт")+SUMIFS($V$6:$V$88,$I$6:$I$88,"Вышло",$D$6:$D$88,"Tiktok",$E$6:$E$88,"Сайт")+SUMIFS($V$6:$V$88,$I$6:$I$88,"Вышло",$D$6:$D$88,"Tiktok",$E$6:$E$88,"сайт")+SUMIFS($V$6:$V$88,$I$6:$I$88,"Вышло",$D$6:$D$88,"TikTok",$E$6:$E$88,"Ozon")+SUMIFS($V$6:$V$88,$I$6:$I$88,"Вышло",$D$6:$D$88,"TikTok",$E$6:$E$88,"OZON")+SUMIFS($V$6:$V$88,$I$6:$I$88,"Вышло",$D$6:$D$88,"TikTok",$E$6:$E$88,"Озон")+SUMIFS($V$6:$V$88,$I$6:$I$88,"Вышло",$D$6:$D$88,"TikTok",$E$6:$E$88,"озон")+SUMIFS($V$6:$V$88,$I$6:$I$88,"Вышло",$D$6:$D$88,"Tiktok",$E$6:$E$88,"Ozon")+SUMIFS($V$6:$V$88,$I$6:$I$88,"Вышло",$D$6:$D$88,"Tiktok",$E$6:$E$88,"OZON")+SUMIFS($V$6:$V$88,$I$6:$I$88,"Вышло",$D$6:$D$88,"Tiktok",$E$6:$E$88,"Озон")+SUMIFS($V$6:$V$88,$I$6:$I$88,"Вышло",$D$6:$D$88,"Tiktok",$E$6:$E$88,"озон"))=0,"—",ROUND((SUMIFS($M$6:$M$88,$I$6:$I$88,"Вышло",$D$6:$D$88,"TikTok",$E$6:$E$88,"Сайт",$V$6:$V$88,"&gt;0")+SUMIFS($M$6:$M$88,$I$6:$I$88,"Вышло",$D$6:$D$88,"TikTok",$E$6:$E$88,"сайт",$V$6:$V$88,"&gt;0")+SUMIFS($M$6:$M$88,$I$6:$I$88,"Вышло",$D$6:$D$88,"Tiktok",$E$6:$E$88,"Сайт",$V$6:$V$88,"&gt;0")+SUMIFS($M$6:$M$88,$I$6:$I$88,"Вышло",$D$6:$D$88,"Tiktok",$E$6:$E$88,"сайт",$V$6:$V$88,"&gt;0")+SUMIFS($M$6:$M$88,$I$6:$I$88,"Вышло",$D$6:$D$88,"TikTok",$E$6:$E$88,"Сайт",$V$6:$V$88,"&lt;=0",$P$6:$P$88,"&lt;&gt;")+SUMIFS($M$6:$M$88,$I$6:$I$88,"Вышло",$D$6:$D$88,"TikTok",$E$6:$E$88,"сайт",$V$6:$V$88,"&lt;=0",$P$6:$P$88,"&lt;&gt;")+SUMIFS($M$6:$M$88,$I$6:$I$88,"Вышло",$D$6:$D$88,"Tiktok",$E$6:$E$88,"Сайт",$V$6:$V$88,"&lt;=0",$P$6:$P$88,"&lt;&gt;")+SUMIFS($M$6:$M$88,$I$6:$I$88,"Вышло",$D$6:$D$88,"Tiktok",$E$6:$E$88,"сайт",$V$6:$V$88,"&lt;=0",$P$6:$P$88,"&lt;&gt;")+SUMIFS($M$6:$M$88,$I$6:$I$88,"Вышло",$D$6:$D$88,"TikTok",$E$6:$E$88,"Ozon",$V$6:$V$88,"&gt;0")+SUMIFS($M$6:$M$88,$I$6:$I$88,"Вышло",$D$6:$D$88,"TikTok",$E$6:$E$88,"OZON",$V$6:$V$88,"&gt;0")+SUMIFS($M$6:$M$88,$I$6:$I$88,"Вышло",$D$6:$D$88,"TikTok",$E$6:$E$88,"Озон",$V$6:$V$88,"&gt;0")+SUMIFS($M$6:$M$88,$I$6:$I$88,"Вышло",$D$6:$D$88,"TikTok",$E$6:$E$88,"озон",$V$6:$V$88,"&gt;0")+SUMIFS($M$6:$M$88,$I$6:$I$88,"Вышло",$D$6:$D$88,"Tiktok",$E$6:$E$88,"Ozon",$V$6:$V$88,"&gt;0")+SUMIFS($M$6:$M$88,$I$6:$I$88,"Вышло",$D$6:$D$88,"Tiktok",$E$6:$E$88,"OZON",$V$6:$V$88,"&gt;0")+SUMIFS($M$6:$M$88,$I$6:$I$88,"Вышло",$D$6:$D$88,"Tiktok",$E$6:$E$88,"Озон",$V$6:$V$88,"&gt;0")+SUMIFS($M$6:$M$88,$I$6:$I$88,"Вышло",$D$6:$D$88,"Tiktok",$E$6:$E$88,"озон",$V$6:$V$88,"&gt;0")+SUMIFS($M$6:$M$88,$I$6:$I$88,"Вышло",$D$6:$D$88,"TikTok",$E$6:$E$88,"Ozon",$V$6:$V$88,"&lt;=0",$P$6:$P$88,"&lt;&gt;")+SUMIFS($M$6:$M$88,$I$6:$I$88,"Вышло",$D$6:$D$88,"TikTok",$E$6:$E$88,"OZON",$V$6:$V$88,"&lt;=0",$P$6:$P$88,"&lt;&gt;")+SUMIFS($M$6:$M$88,$I$6:$I$88,"Вышло",$D$6:$D$88,"TikTok",$E$6:$E$88,"Озон",$V$6:$V$88,"&lt;=0",$P$6:$P$88,"&lt;&gt;")+SUMIFS($M$6:$M$88,$I$6:$I$88,"Вышло",$D$6:$D$88,"TikTok",$E$6:$E$88,"озон",$V$6:$V$88,"&lt;=0",$P$6:$P$88,"&lt;&gt;")+SUMIFS($M$6:$M$88,$I$6:$I$88,"Вышло",$D$6:$D$88,"Tiktok",$E$6:$E$88,"Ozon",$V$6:$V$88,"&lt;=0",$P$6:$P$88,"&lt;&gt;")+SUMIFS($M$6:$M$88,$I$6:$I$88,"Вышло",$D$6:$D$88,"Tiktok",$E$6:$E$88,"OZON",$V$6:$V$88,"&lt;=0",$P$6:$P$88,"&lt;&gt;")+SUMIFS($M$6:$M$88,$I$6:$I$88,"Вышло",$D$6:$D$88,"Tiktok",$E$6:$E$88,"Озон",$V$6:$V$88,"&lt;=0",$P$6:$P$88,"&lt;&gt;")+SUMIFS($M$6:$M$88,$I$6:$I$88,"Вышло",$D$6:$D$88,"Tiktok",$E$6:$E$88,"озон",$V$6:$V$88,"&lt;=0",$P$6:$P$88,"&lt;&gt;"))/(SUMIFS($V$6:$V$88,$I$6:$I$88,"Вышло",$D$6:$D$88,"TikTok",$E$6:$E$88,"Сайт")+SUMIFS($V$6:$V$88,$I$6:$I$88,"Вышло",$D$6:$D$88,"TikTok",$E$6:$E$88,"сайт")+SUMIFS($V$6:$V$88,$I$6:$I$88,"Вышло",$D$6:$D$88,"Tiktok",$E$6:$E$88,"Сайт")+SUMIFS($V$6:$V$88,$I$6:$I$88,"Вышло",$D$6:$D$88,"Tiktok",$E$6:$E$88,"сайт")+SUMIFS($V$6:$V$88,$I$6:$I$88,"Вышло",$D$6:$D$88,"TikTok",$E$6:$E$88,"Ozon")+SUMIFS($V$6:$V$88,$I$6:$I$88,"Вышло",$D$6:$D$88,"TikTok",$E$6:$E$88,"OZON")+SUMIFS($V$6:$V$88,$I$6:$I$88,"Вышло",$D$6:$D$88,"TikTok",$E$6:$E$88,"Озон")+SUMIFS($V$6:$V$88,$I$6:$I$88,"Вышло",$D$6:$D$88,"TikTok",$E$6:$E$88,"озон")+SUMIFS($V$6:$V$88,$I$6:$I$88,"Вышло",$D$6:$D$88,"Tiktok",$E$6:$E$88,"Ozon")+SUMIFS($V$6:$V$88,$I$6:$I$88,"Вышло",$D$6:$D$88,"Tiktok",$E$6:$E$88,"OZON")+SUMIFS($V$6:$V$88,$I$6:$I$88,"Вышло",$D$6:$D$88,"Tiktok",$E$6:$E$88,"Озон")+SUMIFS($V$6:$V$88,$I$6:$I$88,"Вышло",$D$6:$D$88,"Tiktok",$E$6:$E$88,"озон")),0))</f>
        <v>—</v>
      </c>
      <c r="M96" s="140" t="str">
        <f>IF((SUMIFS($W$6:$W$88,$I$6:$I$88,"Вышло",$D$6:$D$88,"TikTok",$E$6:$E$88,"WB")+SUMIFS($W$6:$W$88,$I$6:$I$88,"Вышло",$D$6:$D$88,"TikTok",$E$6:$E$88,"ВБ")+SUMIFS($W$6:$W$88,$I$6:$I$88,"Вышло",$D$6:$D$88,"Tiktok",$E$6:$E$88,"WB")+SUMIFS($W$6:$W$88,$I$6:$I$88,"Вышло",$D$6:$D$88,"Tiktok",$E$6:$E$88,"ВБ"))=0,"—",ROUND((SUMIFS($M$6:$M$88,$I$6:$I$88,"Вышло",$D$6:$D$88,"TikTok",$E$6:$E$88,"WB")+SUMIFS($M$6:$M$88,$I$6:$I$88,"Вышло",$D$6:$D$88,"TikTok",$E$6:$E$88,"ВБ")+SUMIFS($M$6:$M$88,$I$6:$I$88,"Вышло",$D$6:$D$88,"Tiktok",$E$6:$E$88,"WB")+SUMIFS($M$6:$M$88,$I$6:$I$88,"Вышло",$D$6:$D$88,"Tiktok",$E$6:$E$88,"ВБ")-(SUMIFS($M$6:$M$88,$I$6:$I$88,"Вышло",$D$6:$D$88,"TikTok",$E$6:$E$88,"WB",$W$6:$W$88,"&lt;=0",$V$6:$V$88,"&gt;0")+SUMIFS($M$6:$M$88,$I$6:$I$88,"Вышло",$D$6:$D$88,"TikTok",$E$6:$E$88,"ВБ",$W$6:$W$88,"&lt;=0",$V$6:$V$88,"&gt;0")+SUMIFS($M$6:$M$88,$I$6:$I$88,"Вышло",$D$6:$D$88,"Tiktok",$E$6:$E$88,"WB",$W$6:$W$88,"&lt;=0",$V$6:$V$88,"&gt;0")+SUMIFS($M$6:$M$88,$I$6:$I$88,"Вышло",$D$6:$D$88,"Tiktok",$E$6:$E$88,"ВБ",$W$6:$W$88,"&lt;=0",$V$6:$V$88,"&gt;0")))/(SUMIFS($W$6:$W$88,$I$6:$I$88,"Вышло",$D$6:$D$88,"TikTok",$E$6:$E$88,"WB")+SUMIFS($W$6:$W$88,$I$6:$I$88,"Вышло",$D$6:$D$88,"TikTok",$E$6:$E$88,"ВБ")+SUMIFS($W$6:$W$88,$I$6:$I$88,"Вышло",$D$6:$D$88,"Tiktok",$E$6:$E$88,"WB")+SUMIFS($W$6:$W$88,$I$6:$I$88,"Вышло",$D$6:$D$88,"Tiktok",$E$6:$E$88,"ВБ")),0))</f>
        <v>—</v>
      </c>
      <c r="N96" s="140" t="str">
        <f t="shared" si="59"/>
        <v>—</v>
      </c>
      <c r="O96" s="140" t="str">
        <f>IF((SUMIFS($Z$6:$Z$88,$I$6:$I$88,"Вышло",$D$6:$D$88,"TikTok")+SUMIFS($Z$6:$Z$88,$I$6:$I$88,"Вышло",$D$6:$D$88,"Tiktok"))=0,"—",ROUND((SUMIFS($M$6:$M$88,$I$6:$I$88,"Вышло",$D$6:$D$88,"TikTok")+SUMIFS($M$6:$M$88,$I$6:$I$88,"Вышло",$D$6:$D$88,"Tiktok"))/(SUMIFS($Z$6:$Z$88,$I$6:$I$88,"Вышло",$D$6:$D$88,"TikTok")+SUMIFS($Z$6:$Z$88,$I$6:$I$88,"Вышло",$D$6:$D$88,"Tiktok")),0))</f>
        <v>—</v>
      </c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ht="15.75" customHeight="1">
      <c r="A97" s="139" t="s">
        <v>297</v>
      </c>
      <c r="B97" s="140">
        <f>SUMIFS($M$6:$M$88,$D$6:$D$88,"Rutube")</f>
        <v>0</v>
      </c>
      <c r="C97" s="140">
        <f>SUMIFS($M$6:$M$88,$I$6:$I$88,"Вышло",$D$6:$D$88,"Rutube")</f>
        <v>0</v>
      </c>
      <c r="D97" s="141">
        <f>COUNTIFS($I$6:$I$88,"Вышло",$D$6:$D$88,"Rutube")</f>
        <v>0</v>
      </c>
      <c r="E97" s="141">
        <f>SUMIFS($T$6:$T$88,$I$6:$I$88,"Вышло",$D$6:$D$88,"Rutube")</f>
        <v>0</v>
      </c>
      <c r="F97" s="141">
        <f>SUMIFS($V$6:$V$88,$I$6:$I$88,"Вышло",$D$6:$D$88,"Rutube")</f>
        <v>0</v>
      </c>
      <c r="G97" s="141">
        <f>SUMIFS($W$6:$W$88,$I$6:$I$88,"Вышло",$D$6:$D$88,"Rutube")</f>
        <v>0</v>
      </c>
      <c r="H97" s="141">
        <f t="shared" si="58"/>
        <v>0</v>
      </c>
      <c r="I97" s="141">
        <f>SUMIFS($Y$6:$Y$88,$I$6:$I$88,"Вышло",$D$6:$D$88,"Rutube")</f>
        <v>0</v>
      </c>
      <c r="J97" s="141">
        <f>SUMIFS($Z$6:$Z$88,$I$6:$I$88,"Вышло",$D$6:$D$88,"Rutube")</f>
        <v>0</v>
      </c>
      <c r="K97" s="140">
        <f>SUMIFS($AA$6:$AA$88,$I$6:$I$88,"Вышло",$D$6:$D$88,"Rutube")</f>
        <v>0</v>
      </c>
      <c r="L97" s="140" t="str">
        <f>IF((SUMIFS($V$6:$V$88,$I$6:$I$88,"Вышло",$D$6:$D$88,"Rutube",$E$6:$E$88,"Сайт")+SUMIFS($V$6:$V$88,$I$6:$I$88,"Вышло",$D$6:$D$88,"Rutube",$E$6:$E$88,"сайт")+SUMIFS($V$6:$V$88,$I$6:$I$88,"Вышло",$D$6:$D$88,"Rutube",$E$6:$E$88,"Ozon")+SUMIFS($V$6:$V$88,$I$6:$I$88,"Вышло",$D$6:$D$88,"Rutube",$E$6:$E$88,"OZON")+SUMIFS($V$6:$V$88,$I$6:$I$88,"Вышло",$D$6:$D$88,"Rutube",$E$6:$E$88,"Озон")+SUMIFS($V$6:$V$88,$I$6:$I$88,"Вышло",$D$6:$D$88,"Rutube",$E$6:$E$88,"озон"))=0,"—",ROUND((SUMIFS($M$6:$M$88,$I$6:$I$88,"Вышло",$D$6:$D$88,"Rutube",$E$6:$E$88,"Сайт",$V$6:$V$88,"&gt;0")+SUMIFS($M$6:$M$88,$I$6:$I$88,"Вышло",$D$6:$D$88,"Rutube",$E$6:$E$88,"сайт",$V$6:$V$88,"&gt;0")+SUMIFS($M$6:$M$88,$I$6:$I$88,"Вышло",$D$6:$D$88,"Rutube",$E$6:$E$88,"Сайт",$V$6:$V$88,"&lt;=0",$P$6:$P$88,"&lt;&gt;")+SUMIFS($M$6:$M$88,$I$6:$I$88,"Вышло",$D$6:$D$88,"Rutube",$E$6:$E$88,"сайт",$V$6:$V$88,"&lt;=0",$P$6:$P$88,"&lt;&gt;")+SUMIFS($M$6:$M$88,$I$6:$I$88,"Вышло",$D$6:$D$88,"Rutube",$E$6:$E$88,"Ozon",$V$6:$V$88,"&gt;0")+SUMIFS($M$6:$M$88,$I$6:$I$88,"Вышло",$D$6:$D$88,"Rutube",$E$6:$E$88,"OZON",$V$6:$V$88,"&gt;0")+SUMIFS($M$6:$M$88,$I$6:$I$88,"Вышло",$D$6:$D$88,"Rutube",$E$6:$E$88,"Озон",$V$6:$V$88,"&gt;0")+SUMIFS($M$6:$M$88,$I$6:$I$88,"Вышло",$D$6:$D$88,"Rutube",$E$6:$E$88,"озон",$V$6:$V$88,"&gt;0")+SUMIFS($M$6:$M$88,$I$6:$I$88,"Вышло",$D$6:$D$88,"Rutube",$E$6:$E$88,"Ozon",$V$6:$V$88,"&lt;=0",$P$6:$P$88,"&lt;&gt;")+SUMIFS($M$6:$M$88,$I$6:$I$88,"Вышло",$D$6:$D$88,"Rutube",$E$6:$E$88,"OZON",$V$6:$V$88,"&lt;=0",$P$6:$P$88,"&lt;&gt;")+SUMIFS($M$6:$M$88,$I$6:$I$88,"Вышло",$D$6:$D$88,"Rutube",$E$6:$E$88,"Озон",$V$6:$V$88,"&lt;=0",$P$6:$P$88,"&lt;&gt;")+SUMIFS($M$6:$M$88,$I$6:$I$88,"Вышло",$D$6:$D$88,"Rutube",$E$6:$E$88,"озон",$V$6:$V$88,"&lt;=0",$P$6:$P$88,"&lt;&gt;"))/(SUMIFS($V$6:$V$88,$I$6:$I$88,"Вышло",$D$6:$D$88,"Rutube",$E$6:$E$88,"Сайт")+SUMIFS($V$6:$V$88,$I$6:$I$88,"Вышло",$D$6:$D$88,"Rutube",$E$6:$E$88,"сайт")+SUMIFS($V$6:$V$88,$I$6:$I$88,"Вышло",$D$6:$D$88,"Rutube",$E$6:$E$88,"Ozon")+SUMIFS($V$6:$V$88,$I$6:$I$88,"Вышло",$D$6:$D$88,"Rutube",$E$6:$E$88,"OZON")+SUMIFS($V$6:$V$88,$I$6:$I$88,"Вышло",$D$6:$D$88,"Rutube",$E$6:$E$88,"Озон")+SUMIFS($V$6:$V$88,$I$6:$I$88,"Вышло",$D$6:$D$88,"Rutube",$E$6:$E$88,"озон")),0))</f>
        <v>—</v>
      </c>
      <c r="M97" s="140" t="str">
        <f>IF((SUMIFS($W$6:$W$88,$I$6:$I$88,"Вышло",$D$6:$D$88,"Rutube",$E$6:$E$88,"WB")+SUMIFS($W$6:$W$88,$I$6:$I$88,"Вышло",$D$6:$D$88,"Rutube",$E$6:$E$88,"ВБ"))=0,"—",ROUND((SUMIFS($M$6:$M$88,$I$6:$I$88,"Вышло",$D$6:$D$88,"Rutube",$E$6:$E$88,"WB")+SUMIFS($M$6:$M$88,$I$6:$I$88,"Вышло",$D$6:$D$88,"Rutube",$E$6:$E$88,"ВБ")-(SUMIFS($M$6:$M$88,$I$6:$I$88,"Вышло",$D$6:$D$88,"Rutube",$E$6:$E$88,"WB",$W$6:$W$88,"&lt;=0",$V$6:$V$88,"&gt;0")+SUMIFS($M$6:$M$88,$I$6:$I$88,"Вышло",$D$6:$D$88,"Rutube",$E$6:$E$88,"ВБ",$W$6:$W$88,"&lt;=0",$V$6:$V$88,"&gt;0")))/(SUMIFS($W$6:$W$88,$I$6:$I$88,"Вышло",$D$6:$D$88,"Rutube",$E$6:$E$88,"WB")+SUMIFS($W$6:$W$88,$I$6:$I$88,"Вышло",$D$6:$D$88,"Rutube",$E$6:$E$88,"ВБ")),0))</f>
        <v>—</v>
      </c>
      <c r="N97" s="140" t="str">
        <f t="shared" si="59"/>
        <v>—</v>
      </c>
      <c r="O97" s="140" t="str">
        <f>IF((SUMIFS($Z$6:$Z$88,$I$6:$I$88,"Вышло",$D$6:$D$88,"Rutube"))=0,"—",ROUND((SUMIFS($M$6:$M$88,$I$6:$I$88,"Вышло",$D$6:$D$88,"Rutube"))/(SUMIFS($Z$6:$Z$88,$I$6:$I$88,"Вышло",$D$6:$D$88,"Rutube")),0))</f>
        <v>—</v>
      </c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ht="15.75" customHeight="1">
      <c r="A98" s="139" t="s">
        <v>665</v>
      </c>
      <c r="B98" s="140">
        <f>SUMIFS($M$6:$M$88,$D$6:$D$88,"Instagram")+SUMIFS($M$6:$M$88,$D$6:$D$88,"Inst")</f>
        <v>0</v>
      </c>
      <c r="C98" s="140">
        <f>SUMIFS($M$6:$M$88,$I$6:$I$88,"Вышло",$D$6:$D$88,"Instagram")+SUMIFS($M$6:$M$88,$I$6:$I$88,"Вышло",$D$6:$D$88,"Inst")</f>
        <v>0</v>
      </c>
      <c r="D98" s="141">
        <f>COUNTIFS($I$6:$I$88,"Вышло",$D$6:$D$88,"Instagram")+COUNTIFS($I$6:$I$88,"Вышло",$D$6:$D$88,"Inst")</f>
        <v>0</v>
      </c>
      <c r="E98" s="141">
        <f>SUMIFS($T$6:$T$88,$I$6:$I$88,"Вышло",$D$6:$D$88,"Instagram")+SUMIFS($T$6:$T$88,$I$6:$I$88,"Вышло",$D$6:$D$88,"Inst")</f>
        <v>0</v>
      </c>
      <c r="F98" s="141">
        <f>SUMIFS($V$6:$V$88,$I$6:$I$88,"Вышло",$D$6:$D$88,"Instagram")+SUMIFS($V$6:$V$88,$I$6:$I$88,"Вышло",$D$6:$D$88,"Inst")</f>
        <v>0</v>
      </c>
      <c r="G98" s="141">
        <f>SUMIFS($W$6:$W$88,$I$6:$I$88,"Вышло",$D$6:$D$88,"Instagram")+SUMIFS($W$6:$W$88,$I$6:$I$88,"Вышло",$D$6:$D$88,"Inst")</f>
        <v>0</v>
      </c>
      <c r="H98" s="141">
        <f t="shared" si="58"/>
        <v>0</v>
      </c>
      <c r="I98" s="141">
        <f>SUMIFS($Y$6:$Y$88,$I$6:$I$88,"Вышло",$D$6:$D$88,"Instagram")+SUMIFS($Y$6:$Y$88,$I$6:$I$88,"Вышло",$D$6:$D$88,"Inst")</f>
        <v>0</v>
      </c>
      <c r="J98" s="141">
        <f>SUMIFS($Z$6:$Z$88,$I$6:$I$88,"Вышло",$D$6:$D$88,"Instagram")+SUMIFS($Z$6:$Z$88,$I$6:$I$88,"Вышло",$D$6:$D$88,"Inst")</f>
        <v>0</v>
      </c>
      <c r="K98" s="140">
        <f>SUMIFS($AA$6:$AA$88,$I$6:$I$88,"Вышло",$D$6:$D$88,"Instagram")+SUMIFS($AA$6:$AA$88,$I$6:$I$88,"Вышло",$D$6:$D$88,"Inst")</f>
        <v>0</v>
      </c>
      <c r="L98" s="140" t="str">
        <f>IF((SUMIFS($V$6:$V$88,$I$6:$I$88,"Вышло",$D$6:$D$88,"Instagram",$E$6:$E$88,"Сайт")+SUMIFS($V$6:$V$88,$I$6:$I$88,"Вышло",$D$6:$D$88,"Instagram",$E$6:$E$88,"сайт")+SUMIFS($V$6:$V$88,$I$6:$I$88,"Вышло",$D$6:$D$88,"Inst",$E$6:$E$88,"Сайт")+SUMIFS($V$6:$V$88,$I$6:$I$88,"Вышло",$D$6:$D$88,"Inst",$E$6:$E$88,"сайт")+SUMIFS($V$6:$V$88,$I$6:$I$88,"Вышло",$D$6:$D$88,"Instagram",$E$6:$E$88,"Ozon")+SUMIFS($V$6:$V$88,$I$6:$I$88,"Вышло",$D$6:$D$88,"Instagram",$E$6:$E$88,"OZON")+SUMIFS($V$6:$V$88,$I$6:$I$88,"Вышло",$D$6:$D$88,"Instagram",$E$6:$E$88,"Озон")+SUMIFS($V$6:$V$88,$I$6:$I$88,"Вышло",$D$6:$D$88,"Instagram",$E$6:$E$88,"озон")+SUMIFS($V$6:$V$88,$I$6:$I$88,"Вышло",$D$6:$D$88,"Inst",$E$6:$E$88,"Ozon")+SUMIFS($V$6:$V$88,$I$6:$I$88,"Вышло",$D$6:$D$88,"Inst",$E$6:$E$88,"OZON")+SUMIFS($V$6:$V$88,$I$6:$I$88,"Вышло",$D$6:$D$88,"Inst",$E$6:$E$88,"Озон")+SUMIFS($V$6:$V$88,$I$6:$I$88,"Вышло",$D$6:$D$88,"Inst",$E$6:$E$88,"озон"))=0,"—",ROUND((SUMIFS($M$6:$M$88,$I$6:$I$88,"Вышло",$D$6:$D$88,"Instagram",$E$6:$E$88,"Сайт",$V$6:$V$88,"&gt;0")+SUMIFS($M$6:$M$88,$I$6:$I$88,"Вышло",$D$6:$D$88,"Instagram",$E$6:$E$88,"сайт",$V$6:$V$88,"&gt;0")+SUMIFS($M$6:$M$88,$I$6:$I$88,"Вышло",$D$6:$D$88,"Inst",$E$6:$E$88,"Сайт",$V$6:$V$88,"&gt;0")+SUMIFS($M$6:$M$88,$I$6:$I$88,"Вышло",$D$6:$D$88,"Inst",$E$6:$E$88,"сайт",$V$6:$V$88,"&gt;0")+SUMIFS($M$6:$M$88,$I$6:$I$88,"Вышло",$D$6:$D$88,"Instagram",$E$6:$E$88,"Сайт",$V$6:$V$88,"&lt;=0",$P$6:$P$88,"&lt;&gt;")+SUMIFS($M$6:$M$88,$I$6:$I$88,"Вышло",$D$6:$D$88,"Instagram",$E$6:$E$88,"сайт",$V$6:$V$88,"&lt;=0",$P$6:$P$88,"&lt;&gt;")+SUMIFS($M$6:$M$88,$I$6:$I$88,"Вышло",$D$6:$D$88,"Inst",$E$6:$E$88,"Сайт",$V$6:$V$88,"&lt;=0",$P$6:$P$88,"&lt;&gt;")+SUMIFS($M$6:$M$88,$I$6:$I$88,"Вышло",$D$6:$D$88,"Inst",$E$6:$E$88,"сайт",$V$6:$V$88,"&lt;=0",$P$6:$P$88,"&lt;&gt;")+SUMIFS($M$6:$M$88,$I$6:$I$88,"Вышло",$D$6:$D$88,"Instagram",$E$6:$E$88,"Ozon",$V$6:$V$88,"&gt;0")+SUMIFS($M$6:$M$88,$I$6:$I$88,"Вышло",$D$6:$D$88,"Instagram",$E$6:$E$88,"OZON",$V$6:$V$88,"&gt;0")+SUMIFS($M$6:$M$88,$I$6:$I$88,"Вышло",$D$6:$D$88,"Instagram",$E$6:$E$88,"Озон",$V$6:$V$88,"&gt;0")+SUMIFS($M$6:$M$88,$I$6:$I$88,"Вышло",$D$6:$D$88,"Instagram",$E$6:$E$88,"озон",$V$6:$V$88,"&gt;0")+SUMIFS($M$6:$M$88,$I$6:$I$88,"Вышло",$D$6:$D$88,"Inst",$E$6:$E$88,"Ozon",$V$6:$V$88,"&gt;0")+SUMIFS($M$6:$M$88,$I$6:$I$88,"Вышло",$D$6:$D$88,"Inst",$E$6:$E$88,"OZON",$V$6:$V$88,"&gt;0")+SUMIFS($M$6:$M$88,$I$6:$I$88,"Вышло",$D$6:$D$88,"Inst",$E$6:$E$88,"Озон",$V$6:$V$88,"&gt;0")+SUMIFS($M$6:$M$88,$I$6:$I$88,"Вышло",$D$6:$D$88,"Inst",$E$6:$E$88,"озон",$V$6:$V$88,"&gt;0")+SUMIFS($M$6:$M$88,$I$6:$I$88,"Вышло",$D$6:$D$88,"Instagram",$E$6:$E$88,"Ozon",$V$6:$V$88,"&lt;=0",$P$6:$P$88,"&lt;&gt;")+SUMIFS($M$6:$M$88,$I$6:$I$88,"Вышло",$D$6:$D$88,"Instagram",$E$6:$E$88,"OZON",$V$6:$V$88,"&lt;=0",$P$6:$P$88,"&lt;&gt;")+SUMIFS($M$6:$M$88,$I$6:$I$88,"Вышло",$D$6:$D$88,"Instagram",$E$6:$E$88,"Озон",$V$6:$V$88,"&lt;=0",$P$6:$P$88,"&lt;&gt;")+SUMIFS($M$6:$M$88,$I$6:$I$88,"Вышло",$D$6:$D$88,"Instagram",$E$6:$E$88,"озон",$V$6:$V$88,"&lt;=0",$P$6:$P$88,"&lt;&gt;")+SUMIFS($M$6:$M$88,$I$6:$I$88,"Вышло",$D$6:$D$88,"Inst",$E$6:$E$88,"Ozon",$V$6:$V$88,"&lt;=0",$P$6:$P$88,"&lt;&gt;")+SUMIFS($M$6:$M$88,$I$6:$I$88,"Вышло",$D$6:$D$88,"Inst",$E$6:$E$88,"OZON",$V$6:$V$88,"&lt;=0",$P$6:$P$88,"&lt;&gt;")+SUMIFS($M$6:$M$88,$I$6:$I$88,"Вышло",$D$6:$D$88,"Inst",$E$6:$E$88,"Озон",$V$6:$V$88,"&lt;=0",$P$6:$P$88,"&lt;&gt;")+SUMIFS($M$6:$M$88,$I$6:$I$88,"Вышло",$D$6:$D$88,"Inst",$E$6:$E$88,"озон",$V$6:$V$88,"&lt;=0",$P$6:$P$88,"&lt;&gt;"))/(SUMIFS($V$6:$V$88,$I$6:$I$88,"Вышло",$D$6:$D$88,"Instagram",$E$6:$E$88,"Сайт")+SUMIFS($V$6:$V$88,$I$6:$I$88,"Вышло",$D$6:$D$88,"Instagram",$E$6:$E$88,"сайт")+SUMIFS($V$6:$V$88,$I$6:$I$88,"Вышло",$D$6:$D$88,"Inst",$E$6:$E$88,"Сайт")+SUMIFS($V$6:$V$88,$I$6:$I$88,"Вышло",$D$6:$D$88,"Inst",$E$6:$E$88,"сайт")+SUMIFS($V$6:$V$88,$I$6:$I$88,"Вышло",$D$6:$D$88,"Instagram",$E$6:$E$88,"Ozon")+SUMIFS($V$6:$V$88,$I$6:$I$88,"Вышло",$D$6:$D$88,"Instagram",$E$6:$E$88,"OZON")+SUMIFS($V$6:$V$88,$I$6:$I$88,"Вышло",$D$6:$D$88,"Instagram",$E$6:$E$88,"Озон")+SUMIFS($V$6:$V$88,$I$6:$I$88,"Вышло",$D$6:$D$88,"Instagram",$E$6:$E$88,"озон")+SUMIFS($V$6:$V$88,$I$6:$I$88,"Вышло",$D$6:$D$88,"Inst",$E$6:$E$88,"Ozon")+SUMIFS($V$6:$V$88,$I$6:$I$88,"Вышло",$D$6:$D$88,"Inst",$E$6:$E$88,"OZON")+SUMIFS($V$6:$V$88,$I$6:$I$88,"Вышло",$D$6:$D$88,"Inst",$E$6:$E$88,"Озон")+SUMIFS($V$6:$V$88,$I$6:$I$88,"Вышло",$D$6:$D$88,"Inst",$E$6:$E$88,"озон")),0))</f>
        <v>—</v>
      </c>
      <c r="M98" s="140" t="str">
        <f>IF((SUMIFS($W$6:$W$88,$I$6:$I$88,"Вышло",$D$6:$D$88,"Instagram",$E$6:$E$88,"WB")+SUMIFS($W$6:$W$88,$I$6:$I$88,"Вышло",$D$6:$D$88,"Instagram",$E$6:$E$88,"ВБ")+SUMIFS($W$6:$W$88,$I$6:$I$88,"Вышло",$D$6:$D$88,"Inst",$E$6:$E$88,"WB")+SUMIFS($W$6:$W$88,$I$6:$I$88,"Вышло",$D$6:$D$88,"Inst",$E$6:$E$88,"ВБ"))=0,"—",ROUND((SUMIFS($M$6:$M$88,$I$6:$I$88,"Вышло",$D$6:$D$88,"Instagram",$E$6:$E$88,"WB")+SUMIFS($M$6:$M$88,$I$6:$I$88,"Вышло",$D$6:$D$88,"Instagram",$E$6:$E$88,"ВБ")+SUMIFS($M$6:$M$88,$I$6:$I$88,"Вышло",$D$6:$D$88,"Inst",$E$6:$E$88,"WB")+SUMIFS($M$6:$M$88,$I$6:$I$88,"Вышло",$D$6:$D$88,"Inst",$E$6:$E$88,"ВБ")-(SUMIFS($M$6:$M$88,$I$6:$I$88,"Вышло",$D$6:$D$88,"Instagram",$E$6:$E$88,"WB",$W$6:$W$88,"&lt;=0",$V$6:$V$88,"&gt;0")+SUMIFS($M$6:$M$88,$I$6:$I$88,"Вышло",$D$6:$D$88,"Instagram",$E$6:$E$88,"ВБ",$W$6:$W$88,"&lt;=0",$V$6:$V$88,"&gt;0")+SUMIFS($M$6:$M$88,$I$6:$I$88,"Вышло",$D$6:$D$88,"Inst",$E$6:$E$88,"WB",$W$6:$W$88,"&lt;=0",$V$6:$V$88,"&gt;0")+SUMIFS($M$6:$M$88,$I$6:$I$88,"Вышло",$D$6:$D$88,"Inst",$E$6:$E$88,"ВБ",$W$6:$W$88,"&lt;=0",$V$6:$V$88,"&gt;0")))/(SUMIFS($W$6:$W$88,$I$6:$I$88,"Вышло",$D$6:$D$88,"Instagram",$E$6:$E$88,"WB")+SUMIFS($W$6:$W$88,$I$6:$I$88,"Вышло",$D$6:$D$88,"Instagram",$E$6:$E$88,"ВБ")+SUMIFS($W$6:$W$88,$I$6:$I$88,"Вышло",$D$6:$D$88,"Inst",$E$6:$E$88,"WB")+SUMIFS($W$6:$W$88,$I$6:$I$88,"Вышло",$D$6:$D$88,"Inst",$E$6:$E$88,"ВБ")),0))</f>
        <v>—</v>
      </c>
      <c r="N98" s="140" t="str">
        <f t="shared" si="59"/>
        <v>—</v>
      </c>
      <c r="O98" s="140" t="str">
        <f>IF((SUMIFS($Z$6:$Z$88,$I$6:$I$88,"Вышло",$D$6:$D$88,"Instagram")+SUMIFS($Z$6:$Z$88,$I$6:$I$88,"Вышло",$D$6:$D$88,"Inst"))=0,"—",ROUND((SUMIFS($M$6:$M$88,$I$6:$I$88,"Вышло",$D$6:$D$88,"Instagram")+SUMIFS($M$6:$M$88,$I$6:$I$88,"Вышло",$D$6:$D$88,"Inst"))/(SUMIFS($Z$6:$Z$88,$I$6:$I$88,"Вышло",$D$6:$D$88,"Instagram")+SUMIFS($Z$6:$Z$88,$I$6:$I$88,"Вышло",$D$6:$D$88,"Inst")),0))</f>
        <v>—</v>
      </c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ht="15.75" customHeight="1">
      <c r="A99" s="139" t="s">
        <v>860</v>
      </c>
      <c r="B99" s="140">
        <f>SUMIFS($M$6:$M$88,$D$6:$D$88,"WB")</f>
        <v>0</v>
      </c>
      <c r="C99" s="140">
        <f>SUMIFS($M$6:$M$88,$I$6:$I$88,"Вышло",$D$6:$D$88,"WB")</f>
        <v>0</v>
      </c>
      <c r="D99" s="141">
        <f>COUNTIFS($I$6:$I$88,"Вышло",$D$6:$D$88,"WB")</f>
        <v>0</v>
      </c>
      <c r="E99" s="141">
        <f>SUMIFS($T$6:$T$88,$I$6:$I$88,"Вышло",$D$6:$D$88,"WB")</f>
        <v>0</v>
      </c>
      <c r="F99" s="141">
        <f>SUMIFS($V$6:$V$88,$I$6:$I$88,"Вышло",$D$6:$D$88,"WB")</f>
        <v>0</v>
      </c>
      <c r="G99" s="141">
        <f>SUMIFS($W$6:$W$88,$I$6:$I$88,"Вышло",$D$6:$D$88,"WB")</f>
        <v>0</v>
      </c>
      <c r="H99" s="141">
        <f t="shared" si="58"/>
        <v>0</v>
      </c>
      <c r="I99" s="141">
        <f>SUMIFS($Y$6:$Y$88,$I$6:$I$88,"Вышло",$D$6:$D$88,"WB")</f>
        <v>0</v>
      </c>
      <c r="J99" s="141">
        <f>SUMIFS($Z$6:$Z$88,$I$6:$I$88,"Вышло",$D$6:$D$88,"WB")</f>
        <v>0</v>
      </c>
      <c r="K99" s="140">
        <f>SUMIFS($AA$6:$AA$88,$I$6:$I$88,"Вышло",$D$6:$D$88,"WB")</f>
        <v>0</v>
      </c>
      <c r="L99" s="140" t="str">
        <f>IF((SUMIFS($V$6:$V$88,$I$6:$I$88,"Вышло",$D$6:$D$88,"WB",$E$6:$E$88,"Сайт")+SUMIFS($V$6:$V$88,$I$6:$I$88,"Вышло",$D$6:$D$88,"WB",$E$6:$E$88,"сайт")+SUMIFS($V$6:$V$88,$I$6:$I$88,"Вышло",$D$6:$D$88,"WB",$E$6:$E$88,"Ozon")+SUMIFS($V$6:$V$88,$I$6:$I$88,"Вышло",$D$6:$D$88,"WB",$E$6:$E$88,"OZON")+SUMIFS($V$6:$V$88,$I$6:$I$88,"Вышло",$D$6:$D$88,"WB",$E$6:$E$88,"Озон")+SUMIFS($V$6:$V$88,$I$6:$I$88,"Вышло",$D$6:$D$88,"WB",$E$6:$E$88,"озон"))=0,"—",ROUND((SUMIFS($M$6:$M$88,$I$6:$I$88,"Вышло",$D$6:$D$88,"WB",$E$6:$E$88,"Сайт",$V$6:$V$88,"&gt;0")+SUMIFS($M$6:$M$88,$I$6:$I$88,"Вышло",$D$6:$D$88,"WB",$E$6:$E$88,"сайт",$V$6:$V$88,"&gt;0")+SUMIFS($M$6:$M$88,$I$6:$I$88,"Вышло",$D$6:$D$88,"WB",$E$6:$E$88,"Сайт",$V$6:$V$88,"&lt;=0",$P$6:$P$88,"&lt;&gt;")+SUMIFS($M$6:$M$88,$I$6:$I$88,"Вышло",$D$6:$D$88,"WB",$E$6:$E$88,"сайт",$V$6:$V$88,"&lt;=0",$P$6:$P$88,"&lt;&gt;")+SUMIFS($M$6:$M$88,$I$6:$I$88,"Вышло",$D$6:$D$88,"WB",$E$6:$E$88,"Ozon",$V$6:$V$88,"&gt;0")+SUMIFS($M$6:$M$88,$I$6:$I$88,"Вышло",$D$6:$D$88,"WB",$E$6:$E$88,"OZON",$V$6:$V$88,"&gt;0")+SUMIFS($M$6:$M$88,$I$6:$I$88,"Вышло",$D$6:$D$88,"WB",$E$6:$E$88,"Озон",$V$6:$V$88,"&gt;0")+SUMIFS($M$6:$M$88,$I$6:$I$88,"Вышло",$D$6:$D$88,"WB",$E$6:$E$88,"озон",$V$6:$V$88,"&gt;0")+SUMIFS($M$6:$M$88,$I$6:$I$88,"Вышло",$D$6:$D$88,"WB",$E$6:$E$88,"Ozon",$V$6:$V$88,"&lt;=0",$P$6:$P$88,"&lt;&gt;")+SUMIFS($M$6:$M$88,$I$6:$I$88,"Вышло",$D$6:$D$88,"WB",$E$6:$E$88,"OZON",$V$6:$V$88,"&lt;=0",$P$6:$P$88,"&lt;&gt;")+SUMIFS($M$6:$M$88,$I$6:$I$88,"Вышло",$D$6:$D$88,"WB",$E$6:$E$88,"Озон",$V$6:$V$88,"&lt;=0",$P$6:$P$88,"&lt;&gt;")+SUMIFS($M$6:$M$88,$I$6:$I$88,"Вышло",$D$6:$D$88,"WB",$E$6:$E$88,"озон",$V$6:$V$88,"&lt;=0",$P$6:$P$88,"&lt;&gt;"))/(SUMIFS($V$6:$V$88,$I$6:$I$88,"Вышло",$D$6:$D$88,"WB",$E$6:$E$88,"Сайт")+SUMIFS($V$6:$V$88,$I$6:$I$88,"Вышло",$D$6:$D$88,"WB",$E$6:$E$88,"сайт")+SUMIFS($V$6:$V$88,$I$6:$I$88,"Вышло",$D$6:$D$88,"WB",$E$6:$E$88,"Ozon")+SUMIFS($V$6:$V$88,$I$6:$I$88,"Вышло",$D$6:$D$88,"WB",$E$6:$E$88,"OZON")+SUMIFS($V$6:$V$88,$I$6:$I$88,"Вышло",$D$6:$D$88,"WB",$E$6:$E$88,"Озон")+SUMIFS($V$6:$V$88,$I$6:$I$88,"Вышло",$D$6:$D$88,"WB",$E$6:$E$88,"озон")),0))</f>
        <v>—</v>
      </c>
      <c r="M99" s="140" t="str">
        <f>IF((SUMIFS($W$6:$W$88,$I$6:$I$88,"Вышло",$D$6:$D$88,"WB",$E$6:$E$88,"WB")+SUMIFS($W$6:$W$88,$I$6:$I$88,"Вышло",$D$6:$D$88,"WB",$E$6:$E$88,"ВБ"))=0,"—",ROUND((SUMIFS($M$6:$M$88,$I$6:$I$88,"Вышло",$D$6:$D$88,"WB",$E$6:$E$88,"WB")+SUMIFS($M$6:$M$88,$I$6:$I$88,"Вышло",$D$6:$D$88,"WB",$E$6:$E$88,"ВБ")-(SUMIFS($M$6:$M$88,$I$6:$I$88,"Вышло",$D$6:$D$88,"WB",$E$6:$E$88,"WB",$W$6:$W$88,"&lt;=0",$V$6:$V$88,"&gt;0")+SUMIFS($M$6:$M$88,$I$6:$I$88,"Вышло",$D$6:$D$88,"WB",$E$6:$E$88,"ВБ",$W$6:$W$88,"&lt;=0",$V$6:$V$88,"&gt;0")))/(SUMIFS($W$6:$W$88,$I$6:$I$88,"Вышло",$D$6:$D$88,"WB",$E$6:$E$88,"WB")+SUMIFS($W$6:$W$88,$I$6:$I$88,"Вышло",$D$6:$D$88,"WB",$E$6:$E$88,"ВБ")),0))</f>
        <v>—</v>
      </c>
      <c r="N99" s="140" t="str">
        <f t="shared" si="59"/>
        <v>—</v>
      </c>
      <c r="O99" s="140" t="str">
        <f>IF((SUMIFS($Z$6:$Z$88,$I$6:$I$88,"Вышло",$D$6:$D$88,"WB"))=0,"—",ROUND((SUMIFS($M$6:$M$88,$I$6:$I$88,"Вышло",$D$6:$D$88,"WB"))/(SUMIFS($Z$6:$Z$88,$I$6:$I$88,"Вышло",$D$6:$D$88,"WB")),0))</f>
        <v>—</v>
      </c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ht="15.75" customHeight="1">
      <c r="A100" s="142" t="s">
        <v>877</v>
      </c>
      <c r="B100" s="143">
        <f t="shared" ref="B100:K100" si="60">SUM(B92:B99)</f>
        <v>85000</v>
      </c>
      <c r="C100" s="143">
        <f t="shared" si="60"/>
        <v>85000</v>
      </c>
      <c r="D100" s="144">
        <f t="shared" si="60"/>
        <v>1</v>
      </c>
      <c r="E100" s="144">
        <f t="shared" si="60"/>
        <v>77364</v>
      </c>
      <c r="F100" s="144">
        <f t="shared" si="60"/>
        <v>234</v>
      </c>
      <c r="G100" s="144">
        <f t="shared" si="60"/>
        <v>184</v>
      </c>
      <c r="H100" s="144">
        <f t="shared" si="60"/>
        <v>0</v>
      </c>
      <c r="I100" s="144">
        <f t="shared" si="60"/>
        <v>72</v>
      </c>
      <c r="J100" s="144">
        <f t="shared" si="60"/>
        <v>34</v>
      </c>
      <c r="K100" s="143">
        <f t="shared" si="60"/>
        <v>23800</v>
      </c>
      <c r="L100" s="143" t="str">
        <f>IF((SUMIFS($V$6:$V$88,$I$6:$I$88,"Вышло",$E$6:$E$88,"Сайт")+SUMIFS($V$6:$V$88,$I$6:$I$88,"Вышло",$E$6:$E$88,"сайт")+SUMIFS($V$6:$V$88,$I$6:$I$88,"Вышло",$E$6:$E$88,"Ozon")+SUMIFS($V$6:$V$88,$I$6:$I$88,"Вышло",$E$6:$E$88,"OZON")+SUMIFS($V$6:$V$88,$I$6:$I$88,"Вышло",$E$6:$E$88,"Озон")+SUMIFS($V$6:$V$88,$I$6:$I$88,"Вышло",$E$6:$E$88,"озон"))=0,"—",ROUND((SUMIFS($M$6:$M$88,$I$6:$I$88,"Вышло",$E$6:$E$88,"Сайт",$V$6:$V$88,"&gt;0")+SUMIFS($M$6:$M$88,$I$6:$I$88,"Вышло",$E$6:$E$88,"сайт",$V$6:$V$88,"&gt;0")+SUMIFS($M$6:$M$88,$I$6:$I$88,"Вышло",$E$6:$E$88,"Сайт",$V$6:$V$88,"&lt;=0",$P$6:$P$88,"&lt;&gt;")+SUMIFS($M$6:$M$88,$I$6:$I$88,"Вышло",$E$6:$E$88,"сайт",$V$6:$V$88,"&lt;=0",$P$6:$P$88,"&lt;&gt;")+SUMIFS($M$6:$M$88,$I$6:$I$88,"Вышло",$E$6:$E$88,"Ozon",$V$6:$V$88,"&gt;0")+SUMIFS($M$6:$M$88,$I$6:$I$88,"Вышло",$E$6:$E$88,"OZON",$V$6:$V$88,"&gt;0")+SUMIFS($M$6:$M$88,$I$6:$I$88,"Вышло",$E$6:$E$88,"Озон",$V$6:$V$88,"&gt;0")+SUMIFS($M$6:$M$88,$I$6:$I$88,"Вышло",$E$6:$E$88,"озон",$V$6:$V$88,"&gt;0")+SUMIFS($M$6:$M$88,$I$6:$I$88,"Вышло",$E$6:$E$88,"Ozon",$V$6:$V$88,"&lt;=0",$P$6:$P$88,"&lt;&gt;")+SUMIFS($M$6:$M$88,$I$6:$I$88,"Вышло",$E$6:$E$88,"OZON",$V$6:$V$88,"&lt;=0",$P$6:$P$88,"&lt;&gt;")+SUMIFS($M$6:$M$88,$I$6:$I$88,"Вышло",$E$6:$E$88,"Озон",$V$6:$V$88,"&lt;=0",$P$6:$P$88,"&lt;&gt;")+SUMIFS($M$6:$M$88,$I$6:$I$88,"Вышло",$E$6:$E$88,"озон",$V$6:$V$88,"&lt;=0",$P$6:$P$88,"&lt;&gt;"))/(SUMIFS($V$6:$V$88,$I$6:$I$88,"Вышло",$E$6:$E$88,"Сайт")+SUMIFS($V$6:$V$88,$I$6:$I$88,"Вышло",$E$6:$E$88,"сайт")+SUMIFS($V$6:$V$88,$I$6:$I$88,"Вышло",$E$6:$E$88,"Ozon")+SUMIFS($V$6:$V$88,$I$6:$I$88,"Вышло",$E$6:$E$88,"OZON")+SUMIFS($V$6:$V$88,$I$6:$I$88,"Вышло",$E$6:$E$88,"Озон")+SUMIFS($V$6:$V$88,$I$6:$I$88,"Вышло",$E$6:$E$88,"озон")),0))</f>
        <v>—</v>
      </c>
      <c r="M100" s="143" t="str">
        <f>IF((SUMIFS($W$6:$W$88,$I$6:$I$88,"Вышло",$E$6:$E$88,"WB")+SUMIFS($W$6:$W$88,$I$6:$I$88,"Вышло",$E$6:$E$88,"ВБ"))=0,"—",ROUND((SUMIFS($M$6:$M$88,$I$6:$I$88,"Вышло",$E$6:$E$88,"WB")+SUMIFS($M$6:$M$88,$I$6:$I$88,"Вышло",$E$6:$E$88,"ВБ")-(SUMIFS($M$6:$M$88,$I$6:$I$88,"Вышло",$E$6:$E$88,"WB",$W$6:$W$88,"&lt;=0",$V$6:$V$88,"&gt;0")+SUMIFS($M$6:$M$88,$I$6:$I$88,"Вышло",$E$6:$E$88,"ВБ",$W$6:$W$88,"&lt;=0",$V$6:$V$88,"&gt;0")))/(SUMIFS($W$6:$W$88,$I$6:$I$88,"Вышло",$E$6:$E$88,"WB")+SUMIFS($W$6:$W$88,$I$6:$I$88,"Вышло",$E$6:$E$88,"ВБ")),0))</f>
        <v>—</v>
      </c>
      <c r="N100" s="143" t="str">
        <f t="shared" si="59"/>
        <v>—</v>
      </c>
      <c r="O100" s="143">
        <f>IF((SUMIFS($Z$6:$Z$88,$I$6:$I$88,"Вышло"))=0,"—",ROUND((SUMIFS($M$6:$M$88,$I$6:$I$88,"Вышло"))/(SUMIFS($Z$6:$Z$88,$I$6:$I$88,"Вышло")),0))</f>
        <v>2500</v>
      </c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ht="15.75" customHeight="1">
      <c r="A101" s="145"/>
      <c r="B101" s="145"/>
      <c r="C101" s="145"/>
      <c r="D101" s="145"/>
      <c r="E101" s="145"/>
      <c r="F101" s="145"/>
      <c r="G101" s="145"/>
      <c r="H101" s="145"/>
      <c r="I101" s="145"/>
      <c r="J101" s="145"/>
      <c r="K101" s="145"/>
      <c r="L101" s="145"/>
      <c r="M101" s="145"/>
      <c r="N101" s="145"/>
      <c r="O101" s="145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ht="15.75" customHeight="1">
      <c r="A102" s="137" t="s">
        <v>921</v>
      </c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ht="36.0" customHeight="1">
      <c r="A103" s="138" t="s">
        <v>726</v>
      </c>
      <c r="B103" s="138" t="s">
        <v>872</v>
      </c>
      <c r="C103" s="138" t="s">
        <v>873</v>
      </c>
      <c r="D103" s="138" t="s">
        <v>859</v>
      </c>
      <c r="E103" s="138" t="s">
        <v>729</v>
      </c>
      <c r="F103" s="138" t="s">
        <v>730</v>
      </c>
      <c r="G103" s="138" t="s">
        <v>851</v>
      </c>
      <c r="H103" s="138" t="s">
        <v>731</v>
      </c>
      <c r="I103" s="138" t="s">
        <v>853</v>
      </c>
      <c r="J103" s="138" t="s">
        <v>656</v>
      </c>
      <c r="K103" s="138" t="s">
        <v>854</v>
      </c>
      <c r="L103" s="138" t="s">
        <v>874</v>
      </c>
      <c r="M103" s="138" t="s">
        <v>875</v>
      </c>
      <c r="N103" s="138" t="s">
        <v>876</v>
      </c>
      <c r="O103" s="138" t="s">
        <v>657</v>
      </c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ht="15.75" customHeight="1">
      <c r="A104" s="139" t="s">
        <v>735</v>
      </c>
      <c r="B104" s="140">
        <f>SUMIFS($M$6:$M$88,$D$6:$D$88,"Telegram")+SUMIFS($M$6:$M$88,$D$6:$D$88,"Telegram ")+SUMIFS($M$6:$M$88,$D$6:$D$88,"Телеграм")+SUMIFS($M$6:$M$88,$D$6:$D$88,"ТГ")+SUMIFS($M$6:$M$88,$D$6:$D$88,"MAX")+SUMIFS($M$6:$M$88,$D$6:$D$88,"Макс")+SUMIFS($M$6:$M$88,$D$6:$D$88,"МАКС")+SUMIFS($M$6:$M$88,$D$6:$D$88,"VK")+SUMIFS($M$6:$M$88,$D$6:$D$88,"Vk")+SUMIFS($M$6:$M$88,$D$6:$D$88,"ВК")+SUMIFS($M$6:$M$88,$D$6:$D$88,"YouTube")+SUMIFS($M$6:$M$88,$D$6:$D$88,"Youtube")+SUMIFS($M$6:$M$88,$D$6:$D$88,"TikTok")+SUMIFS($M$6:$M$88,$D$6:$D$88,"Tiktok")+SUMIFS($M$6:$M$88,$D$6:$D$88,"Rutube")+SUMIFS($M$6:$M$88,$D$6:$D$88,"Instagram")+SUMIFS($M$6:$M$88,$D$6:$D$88,"Inst")+SUMIFS($M$6:$M$88,$D$6:$D$88,"WB")</f>
        <v>85000</v>
      </c>
      <c r="C104" s="140">
        <f>SUMIFS($M$6:$M$88,$I$6:$I$88,"Вышло")</f>
        <v>42500</v>
      </c>
      <c r="D104" s="141">
        <f>COUNTIFS($I$6:$I$88,"Вышло")</f>
        <v>1</v>
      </c>
      <c r="E104" s="141">
        <f>SUMIFS($T$6:$T$88,$I$6:$I$88,"Вышло")</f>
        <v>38682</v>
      </c>
      <c r="F104" s="141">
        <f>SUMIFS($V$6:$V$88,$I$6:$I$88,"Вышло")</f>
        <v>117</v>
      </c>
      <c r="G104" s="141">
        <f>SUMIFS($W$6:$W$88,$I$6:$I$88,"Вышло")</f>
        <v>92</v>
      </c>
      <c r="H104" s="141">
        <f>0</f>
        <v>0</v>
      </c>
      <c r="I104" s="141">
        <f>SUMIFS($Y$6:$Y$88,$I$6:$I$88,"Вышло")</f>
        <v>36</v>
      </c>
      <c r="J104" s="141">
        <f>SUMIFS($Z$6:$Z$88,$I$6:$I$88,"Вышло")</f>
        <v>17</v>
      </c>
      <c r="K104" s="140">
        <f>SUMIFS($AA$6:$AA$88,$I$6:$I$88,"Вышло")</f>
        <v>11900</v>
      </c>
      <c r="L104" s="140" t="str">
        <f>IF((SUMIFS($V$6:$V$88,$I$6:$I$88,"Вышло",$E$6:$E$88,"Сайт")+SUMIFS($V$6:$V$88,$I$6:$I$88,"Вышло",$E$6:$E$88,"сайт")+SUMIFS($V$6:$V$88,$I$6:$I$88,"Вышло",$E$6:$E$88,"Ozon")+SUMIFS($V$6:$V$88,$I$6:$I$88,"Вышло",$E$6:$E$88,"OZON")+SUMIFS($V$6:$V$88,$I$6:$I$88,"Вышло",$E$6:$E$88,"Озон")+SUMIFS($V$6:$V$88,$I$6:$I$88,"Вышло",$E$6:$E$88,"озон"))=0,"—",ROUND((SUMIFS($M$6:$M$88,$I$6:$I$88,"Вышло",$E$6:$E$88,"Сайт",$V$6:$V$88,"&gt;0")+SUMIFS($M$6:$M$88,$I$6:$I$88,"Вышло",$E$6:$E$88,"сайт",$V$6:$V$88,"&gt;0")+SUMIFS($M$6:$M$88,$I$6:$I$88,"Вышло",$E$6:$E$88,"Сайт",$V$6:$V$88,"&lt;=0",$P$6:$P$88,"&lt;&gt;")+SUMIFS($M$6:$M$88,$I$6:$I$88,"Вышло",$E$6:$E$88,"сайт",$V$6:$V$88,"&lt;=0",$P$6:$P$88,"&lt;&gt;")+SUMIFS($M$6:$M$88,$I$6:$I$88,"Вышло",$E$6:$E$88,"Ozon",$V$6:$V$88,"&gt;0")+SUMIFS($M$6:$M$88,$I$6:$I$88,"Вышло",$E$6:$E$88,"OZON",$V$6:$V$88,"&gt;0")+SUMIFS($M$6:$M$88,$I$6:$I$88,"Вышло",$E$6:$E$88,"Озон",$V$6:$V$88,"&gt;0")+SUMIFS($M$6:$M$88,$I$6:$I$88,"Вышло",$E$6:$E$88,"озон",$V$6:$V$88,"&gt;0")+SUMIFS($M$6:$M$88,$I$6:$I$88,"Вышло",$E$6:$E$88,"Ozon",$V$6:$V$88,"&lt;=0",$P$6:$P$88,"&lt;&gt;")+SUMIFS($M$6:$M$88,$I$6:$I$88,"Вышло",$E$6:$E$88,"OZON",$V$6:$V$88,"&lt;=0",$P$6:$P$88,"&lt;&gt;")+SUMIFS($M$6:$M$88,$I$6:$I$88,"Вышло",$E$6:$E$88,"Озон",$V$6:$V$88,"&lt;=0",$P$6:$P$88,"&lt;&gt;")+SUMIFS($M$6:$M$88,$I$6:$I$88,"Вышло",$E$6:$E$88,"озон",$V$6:$V$88,"&lt;=0",$P$6:$P$88,"&lt;&gt;"))/(SUMIFS($V$6:$V$88,$I$6:$I$88,"Вышло",$E$6:$E$88,"Сайт")+SUMIFS($V$6:$V$88,$I$6:$I$88,"Вышло",$E$6:$E$88,"сайт")+SUMIFS($V$6:$V$88,$I$6:$I$88,"Вышло",$E$6:$E$88,"Ozon")+SUMIFS($V$6:$V$88,$I$6:$I$88,"Вышло",$E$6:$E$88,"OZON")+SUMIFS($V$6:$V$88,$I$6:$I$88,"Вышло",$E$6:$E$88,"Озон")+SUMIFS($V$6:$V$88,$I$6:$I$88,"Вышло",$E$6:$E$88,"озон")),0))</f>
        <v>—</v>
      </c>
      <c r="M104" s="140" t="str">
        <f>IF((SUMIFS($W$6:$W$88,$I$6:$I$88,"Вышло",$E$6:$E$88,"WB")+SUMIFS($W$6:$W$88,$I$6:$I$88,"Вышло",$E$6:$E$88,"ВБ"))=0,"—",ROUND((SUMIFS($M$6:$M$88,$I$6:$I$88,"Вышло",$E$6:$E$88,"WB")+SUMIFS($M$6:$M$88,$I$6:$I$88,"Вышло",$E$6:$E$88,"ВБ")-(SUMIFS($M$6:$M$88,$I$6:$I$88,"Вышло",$E$6:$E$88,"WB",$W$6:$W$88,"&lt;=0",$V$6:$V$88,"&gt;0")+SUMIFS($M$6:$M$88,$I$6:$I$88,"Вышло",$E$6:$E$88,"ВБ",$W$6:$W$88,"&lt;=0",$V$6:$V$88,"&gt;0")))/(SUMIFS($W$6:$W$88,$I$6:$I$88,"Вышло",$E$6:$E$88,"WB")+SUMIFS($W$6:$W$88,$I$6:$I$88,"Вышло",$E$6:$E$88,"ВБ")),0))</f>
        <v>—</v>
      </c>
      <c r="N104" s="140" t="str">
        <f>"—"</f>
        <v>—</v>
      </c>
      <c r="O104" s="140">
        <f>IF((SUMIFS($Z$6:$Z$88,$I$6:$I$88,"Вышло"))=0,"—",ROUND((SUMIFS($M$6:$M$88,$I$6:$I$88,"Вышло"))/(SUMIFS($Z$6:$Z$88,$I$6:$I$88,"Вышло")),0))</f>
        <v>2500</v>
      </c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ht="15.75" customHeight="1">
      <c r="A105" s="139" t="s">
        <v>736</v>
      </c>
      <c r="B105" s="140">
        <f t="shared" ref="B105:K105" si="61">0</f>
        <v>0</v>
      </c>
      <c r="C105" s="140">
        <f t="shared" si="61"/>
        <v>0</v>
      </c>
      <c r="D105" s="141">
        <f t="shared" si="61"/>
        <v>0</v>
      </c>
      <c r="E105" s="141">
        <f t="shared" si="61"/>
        <v>0</v>
      </c>
      <c r="F105" s="141">
        <f t="shared" si="61"/>
        <v>0</v>
      </c>
      <c r="G105" s="141">
        <f t="shared" si="61"/>
        <v>0</v>
      </c>
      <c r="H105" s="141">
        <f t="shared" si="61"/>
        <v>0</v>
      </c>
      <c r="I105" s="141">
        <f t="shared" si="61"/>
        <v>0</v>
      </c>
      <c r="J105" s="141">
        <f t="shared" si="61"/>
        <v>0</v>
      </c>
      <c r="K105" s="140">
        <f t="shared" si="61"/>
        <v>0</v>
      </c>
      <c r="L105" s="140" t="s">
        <v>879</v>
      </c>
      <c r="M105" s="140" t="s">
        <v>879</v>
      </c>
      <c r="N105" s="140" t="s">
        <v>879</v>
      </c>
      <c r="O105" s="140" t="s">
        <v>879</v>
      </c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ht="15.75" customHeight="1">
      <c r="A106" s="139" t="s">
        <v>737</v>
      </c>
      <c r="B106" s="140">
        <f t="shared" ref="B106:K106" si="62">0</f>
        <v>0</v>
      </c>
      <c r="C106" s="140">
        <f t="shared" si="62"/>
        <v>0</v>
      </c>
      <c r="D106" s="141">
        <f t="shared" si="62"/>
        <v>0</v>
      </c>
      <c r="E106" s="141">
        <f t="shared" si="62"/>
        <v>0</v>
      </c>
      <c r="F106" s="141">
        <f t="shared" si="62"/>
        <v>0</v>
      </c>
      <c r="G106" s="141">
        <f t="shared" si="62"/>
        <v>0</v>
      </c>
      <c r="H106" s="141">
        <f t="shared" si="62"/>
        <v>0</v>
      </c>
      <c r="I106" s="141">
        <f t="shared" si="62"/>
        <v>0</v>
      </c>
      <c r="J106" s="141">
        <f t="shared" si="62"/>
        <v>0</v>
      </c>
      <c r="K106" s="140">
        <f t="shared" si="62"/>
        <v>0</v>
      </c>
      <c r="L106" s="140" t="s">
        <v>879</v>
      </c>
      <c r="M106" s="140" t="s">
        <v>879</v>
      </c>
      <c r="N106" s="140" t="s">
        <v>879</v>
      </c>
      <c r="O106" s="140" t="s">
        <v>879</v>
      </c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ht="15.75" customHeight="1">
      <c r="A107" s="142" t="s">
        <v>877</v>
      </c>
      <c r="B107" s="143">
        <f t="shared" ref="B107:K107" si="63">SUM(B104:B106)</f>
        <v>85000</v>
      </c>
      <c r="C107" s="143">
        <f t="shared" si="63"/>
        <v>42500</v>
      </c>
      <c r="D107" s="144">
        <f t="shared" si="63"/>
        <v>1</v>
      </c>
      <c r="E107" s="144">
        <f t="shared" si="63"/>
        <v>38682</v>
      </c>
      <c r="F107" s="144">
        <f t="shared" si="63"/>
        <v>117</v>
      </c>
      <c r="G107" s="144">
        <f t="shared" si="63"/>
        <v>92</v>
      </c>
      <c r="H107" s="144">
        <f t="shared" si="63"/>
        <v>0</v>
      </c>
      <c r="I107" s="144">
        <f t="shared" si="63"/>
        <v>36</v>
      </c>
      <c r="J107" s="144">
        <f t="shared" si="63"/>
        <v>17</v>
      </c>
      <c r="K107" s="143">
        <f t="shared" si="63"/>
        <v>11900</v>
      </c>
      <c r="L107" s="143" t="str">
        <f>IF((SUMIFS($V$6:$V$88,$I$6:$I$88,"Вышло",$E$6:$E$88,"Сайт")+SUMIFS($V$6:$V$88,$I$6:$I$88,"Вышло",$E$6:$E$88,"сайт")+SUMIFS($V$6:$V$88,$I$6:$I$88,"Вышло",$E$6:$E$88,"Ozon")+SUMIFS($V$6:$V$88,$I$6:$I$88,"Вышло",$E$6:$E$88,"OZON")+SUMIFS($V$6:$V$88,$I$6:$I$88,"Вышло",$E$6:$E$88,"Озон")+SUMIFS($V$6:$V$88,$I$6:$I$88,"Вышло",$E$6:$E$88,"озон"))=0,"—",ROUND((SUMIFS($M$6:$M$88,$I$6:$I$88,"Вышло",$E$6:$E$88,"Сайт",$V$6:$V$88,"&gt;0")+SUMIFS($M$6:$M$88,$I$6:$I$88,"Вышло",$E$6:$E$88,"сайт",$V$6:$V$88,"&gt;0")+SUMIFS($M$6:$M$88,$I$6:$I$88,"Вышло",$E$6:$E$88,"Сайт",$V$6:$V$88,"&lt;=0",$P$6:$P$88,"&lt;&gt;")+SUMIFS($M$6:$M$88,$I$6:$I$88,"Вышло",$E$6:$E$88,"сайт",$V$6:$V$88,"&lt;=0",$P$6:$P$88,"&lt;&gt;")+SUMIFS($M$6:$M$88,$I$6:$I$88,"Вышло",$E$6:$E$88,"Ozon",$V$6:$V$88,"&gt;0")+SUMIFS($M$6:$M$88,$I$6:$I$88,"Вышло",$E$6:$E$88,"OZON",$V$6:$V$88,"&gt;0")+SUMIFS($M$6:$M$88,$I$6:$I$88,"Вышло",$E$6:$E$88,"Озон",$V$6:$V$88,"&gt;0")+SUMIFS($M$6:$M$88,$I$6:$I$88,"Вышло",$E$6:$E$88,"озон",$V$6:$V$88,"&gt;0")+SUMIFS($M$6:$M$88,$I$6:$I$88,"Вышло",$E$6:$E$88,"Ozon",$V$6:$V$88,"&lt;=0",$P$6:$P$88,"&lt;&gt;")+SUMIFS($M$6:$M$88,$I$6:$I$88,"Вышло",$E$6:$E$88,"OZON",$V$6:$V$88,"&lt;=0",$P$6:$P$88,"&lt;&gt;")+SUMIFS($M$6:$M$88,$I$6:$I$88,"Вышло",$E$6:$E$88,"Озон",$V$6:$V$88,"&lt;=0",$P$6:$P$88,"&lt;&gt;")+SUMIFS($M$6:$M$88,$I$6:$I$88,"Вышло",$E$6:$E$88,"озон",$V$6:$V$88,"&lt;=0",$P$6:$P$88,"&lt;&gt;"))/(SUMIFS($V$6:$V$88,$I$6:$I$88,"Вышло",$E$6:$E$88,"Сайт")+SUMIFS($V$6:$V$88,$I$6:$I$88,"Вышло",$E$6:$E$88,"сайт")+SUMIFS($V$6:$V$88,$I$6:$I$88,"Вышло",$E$6:$E$88,"Ozon")+SUMIFS($V$6:$V$88,$I$6:$I$88,"Вышло",$E$6:$E$88,"OZON")+SUMIFS($V$6:$V$88,$I$6:$I$88,"Вышло",$E$6:$E$88,"Озон")+SUMIFS($V$6:$V$88,$I$6:$I$88,"Вышло",$E$6:$E$88,"озон")),0))</f>
        <v>—</v>
      </c>
      <c r="M107" s="143" t="str">
        <f>IF((SUMIFS($W$6:$W$88,$I$6:$I$88,"Вышло",$E$6:$E$88,"WB")+SUMIFS($W$6:$W$88,$I$6:$I$88,"Вышло",$E$6:$E$88,"ВБ"))=0,"—",ROUND((SUMIFS($M$6:$M$88,$I$6:$I$88,"Вышло",$E$6:$E$88,"WB")+SUMIFS($M$6:$M$88,$I$6:$I$88,"Вышло",$E$6:$E$88,"ВБ")-(SUMIFS($M$6:$M$88,$I$6:$I$88,"Вышло",$E$6:$E$88,"WB",$W$6:$W$88,"&lt;=0",$V$6:$V$88,"&gt;0")+SUMIFS($M$6:$M$88,$I$6:$I$88,"Вышло",$E$6:$E$88,"ВБ",$W$6:$W$88,"&lt;=0",$V$6:$V$88,"&gt;0")))/(SUMIFS($W$6:$W$88,$I$6:$I$88,"Вышло",$E$6:$E$88,"WB")+SUMIFS($W$6:$W$88,$I$6:$I$88,"Вышло",$E$6:$E$88,"ВБ")),0))</f>
        <v>—</v>
      </c>
      <c r="N107" s="143" t="str">
        <f>"—"</f>
        <v>—</v>
      </c>
      <c r="O107" s="143">
        <f>IF((SUMIFS($Z$6:$Z$88,$I$6:$I$88,"Вышло"))=0,"—",ROUND((SUMIFS($M$6:$M$88,$I$6:$I$88,"Вышло"))/(SUMIFS($Z$6:$Z$88,$I$6:$I$88,"Вышло")),0))</f>
        <v>2500</v>
      </c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ht="15.75" customHeight="1">
      <c r="A108" s="145"/>
      <c r="B108" s="145"/>
      <c r="C108" s="145"/>
      <c r="D108" s="145"/>
      <c r="E108" s="145"/>
      <c r="F108" s="145"/>
      <c r="G108" s="145"/>
      <c r="H108" s="145"/>
      <c r="I108" s="145"/>
      <c r="J108" s="145"/>
      <c r="K108" s="145"/>
      <c r="L108" s="145"/>
      <c r="M108" s="145"/>
      <c r="N108" s="145"/>
      <c r="O108" s="145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ht="15.75" customHeight="1">
      <c r="A109" s="137" t="s">
        <v>922</v>
      </c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ht="33.75" customHeight="1">
      <c r="A110" s="138" t="s">
        <v>881</v>
      </c>
      <c r="B110" s="138" t="s">
        <v>873</v>
      </c>
      <c r="C110" s="138" t="s">
        <v>882</v>
      </c>
      <c r="D110" s="138" t="s">
        <v>883</v>
      </c>
      <c r="E110" s="138" t="s">
        <v>884</v>
      </c>
      <c r="F110" s="138" t="s">
        <v>859</v>
      </c>
      <c r="G110" s="138" t="s">
        <v>729</v>
      </c>
      <c r="H110" s="138" t="s">
        <v>885</v>
      </c>
      <c r="I110" s="145"/>
      <c r="J110" s="145"/>
      <c r="K110" s="145"/>
      <c r="L110" s="145"/>
      <c r="M110" s="145"/>
      <c r="N110" s="145"/>
      <c r="O110" s="145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ht="27.75" customHeight="1">
      <c r="A111" s="146" t="s">
        <v>886</v>
      </c>
      <c r="B111" s="147">
        <f>SUMIFS($M$6:$M$88,$I$6:$I$88,"Вышло",$E$6:$E$88,"БОТ")+SUMIFS($M$6:$M$88,$I$6:$I$88,"Вышло",$E$6:$E$88,"Бот")+SUMIFS($M$6:$M$88,$I$6:$I$88,"Вышло",$E$6:$E$88,"бот")</f>
        <v>0</v>
      </c>
      <c r="C111" s="146" t="s">
        <v>731</v>
      </c>
      <c r="D111" s="148">
        <f>0</f>
        <v>0</v>
      </c>
      <c r="E111" s="147" t="str">
        <f>IF((0)=0,"—",ROUND((SUMIFS($M$6:$M$88,$I$6:$I$88,"Вышло",$E$6:$E$88,"БОТ")+SUMIFS($M$6:$M$88,$I$6:$I$88,"Вышло",$E$6:$E$88,"Бот")+SUMIFS($M$6:$M$88,$I$6:$I$88,"Вышло",$E$6:$E$88,"бот"))/(0),0))</f>
        <v>—</v>
      </c>
      <c r="F111" s="148">
        <f>COUNTIFS($I$6:$I$88,"Вышло",$E$6:$E$88,"БОТ")</f>
        <v>0</v>
      </c>
      <c r="G111" s="148">
        <f>SUMIFS($T$6:$T$88,$I$6:$I$88,"Вышло",$E$6:$E$88,"БОТ")+SUMIFS($T$6:$T$88,$I$6:$I$88,"Вышло",$E$6:$E$88,"Бот")+SUMIFS($T$6:$T$88,$I$6:$I$88,"Вышло",$E$6:$E$88,"бот")</f>
        <v>0</v>
      </c>
      <c r="H111" s="146" t="s">
        <v>887</v>
      </c>
      <c r="I111" s="145"/>
      <c r="J111" s="145"/>
      <c r="K111" s="145"/>
      <c r="L111" s="145"/>
      <c r="M111" s="145"/>
      <c r="N111" s="145"/>
      <c r="O111" s="145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ht="27.75" customHeight="1">
      <c r="A112" s="146" t="s">
        <v>888</v>
      </c>
      <c r="B112" s="147">
        <f>SUMIFS($M$6:$M$88,$I$6:$I$88,"Вышло",$E$6:$E$88,"Сайт",$V$6:$V$88,"&gt;0")+SUMIFS($M$6:$M$88,$I$6:$I$88,"Вышло",$E$6:$E$88,"сайт",$V$6:$V$88,"&gt;0")+SUMIFS($M$6:$M$88,$I$6:$I$88,"Вышло",$E$6:$E$88,"Сайт",$V$6:$V$88,"&lt;=0",$P$6:$P$88,"&lt;&gt;")+SUMIFS($M$6:$M$88,$I$6:$I$88,"Вышло",$E$6:$E$88,"сайт",$V$6:$V$88,"&lt;=0",$P$6:$P$88,"&lt;&gt;")</f>
        <v>0</v>
      </c>
      <c r="C112" s="146" t="s">
        <v>730</v>
      </c>
      <c r="D112" s="148">
        <f>SUMIFS($V$6:$V$88,$I$6:$I$88,"Вышло",$E$6:$E$88,"Сайт")+SUMIFS($V$6:$V$88,$I$6:$I$88,"Вышло",$E$6:$E$88,"сайт")</f>
        <v>0</v>
      </c>
      <c r="E112" s="147" t="str">
        <f>IF((SUMIFS($V$6:$V$88,$I$6:$I$88,"Вышло",$E$6:$E$88,"Сайт")+SUMIFS($V$6:$V$88,$I$6:$I$88,"Вышло",$E$6:$E$88,"сайт"))=0,"—",ROUND((SUMIFS($M$6:$M$88,$I$6:$I$88,"Вышло",$E$6:$E$88,"Сайт",$V$6:$V$88,"&gt;0")+SUMIFS($M$6:$M$88,$I$6:$I$88,"Вышло",$E$6:$E$88,"сайт",$V$6:$V$88,"&gt;0")+SUMIFS($M$6:$M$88,$I$6:$I$88,"Вышло",$E$6:$E$88,"Сайт",$V$6:$V$88,"&lt;=0",$P$6:$P$88,"&lt;&gt;")+SUMIFS($M$6:$M$88,$I$6:$I$88,"Вышло",$E$6:$E$88,"сайт",$V$6:$V$88,"&lt;=0",$P$6:$P$88,"&lt;&gt;"))/(SUMIFS($V$6:$V$88,$I$6:$I$88,"Вышло",$E$6:$E$88,"Сайт")+SUMIFS($V$6:$V$88,$I$6:$I$88,"Вышло",$E$6:$E$88,"сайт")),0))</f>
        <v>—</v>
      </c>
      <c r="F112" s="148">
        <f>COUNTIFS($I$6:$I$88,"Вышло",$E$6:$E$88,"Сайт",$V$6:$V$88,"&gt;0")+COUNTIFS($I$6:$I$88,"Вышло",$E$6:$E$88,"Сайт",$V$6:$V$88,"&lt;=0",$P$6:$P$88,"&lt;&gt;")</f>
        <v>0</v>
      </c>
      <c r="G112" s="148">
        <f>SUMIFS($T$6:$T$88,$I$6:$I$88,"Вышло",$E$6:$E$88,"Сайт")+SUMIFS($T$6:$T$88,$I$6:$I$88,"Вышло",$E$6:$E$88,"сайт")</f>
        <v>0</v>
      </c>
      <c r="H112" s="146" t="s">
        <v>889</v>
      </c>
      <c r="I112" s="145"/>
      <c r="J112" s="145"/>
      <c r="K112" s="145"/>
      <c r="L112" s="145"/>
      <c r="M112" s="145"/>
      <c r="N112" s="145"/>
      <c r="O112" s="145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ht="27.75" customHeight="1">
      <c r="A113" s="146" t="s">
        <v>890</v>
      </c>
      <c r="B113" s="147">
        <f>SUMIFS($M$6:$M$88,$I$6:$I$88,"Вышло",$E$6:$E$88,"Ozon",$V$6:$V$88,"&gt;0")+SUMIFS($M$6:$M$88,$I$6:$I$88,"Вышло",$E$6:$E$88,"OZON",$V$6:$V$88,"&gt;0")+SUMIFS($M$6:$M$88,$I$6:$I$88,"Вышло",$E$6:$E$88,"Озон",$V$6:$V$88,"&gt;0")+SUMIFS($M$6:$M$88,$I$6:$I$88,"Вышло",$E$6:$E$88,"озон",$V$6:$V$88,"&gt;0")+SUMIFS($M$6:$M$88,$I$6:$I$88,"Вышло",$E$6:$E$88,"Ozon",$V$6:$V$88,"&lt;=0",$P$6:$P$88,"&lt;&gt;")+SUMIFS($M$6:$M$88,$I$6:$I$88,"Вышло",$E$6:$E$88,"OZON",$V$6:$V$88,"&lt;=0",$P$6:$P$88,"&lt;&gt;")+SUMIFS($M$6:$M$88,$I$6:$I$88,"Вышло",$E$6:$E$88,"Озон",$V$6:$V$88,"&lt;=0",$P$6:$P$88,"&lt;&gt;")+SUMIFS($M$6:$M$88,$I$6:$I$88,"Вышло",$E$6:$E$88,"озон",$V$6:$V$88,"&lt;=0",$P$6:$P$88,"&lt;&gt;")</f>
        <v>0</v>
      </c>
      <c r="C113" s="146" t="s">
        <v>730</v>
      </c>
      <c r="D113" s="148">
        <f>SUMIFS($V$6:$V$88,$I$6:$I$88,"Вышло",$E$6:$E$88,"Ozon")+SUMIFS($V$6:$V$88,$I$6:$I$88,"Вышло",$E$6:$E$88,"OZON")+SUMIFS($V$6:$V$88,$I$6:$I$88,"Вышло",$E$6:$E$88,"Озон")+SUMIFS($V$6:$V$88,$I$6:$I$88,"Вышло",$E$6:$E$88,"озон")</f>
        <v>0</v>
      </c>
      <c r="E113" s="147" t="str">
        <f>IF((SUMIFS($V$6:$V$88,$I$6:$I$88,"Вышло",$E$6:$E$88,"Ozon")+SUMIFS($V$6:$V$88,$I$6:$I$88,"Вышло",$E$6:$E$88,"OZON")+SUMIFS($V$6:$V$88,$I$6:$I$88,"Вышло",$E$6:$E$88,"Озон")+SUMIFS($V$6:$V$88,$I$6:$I$88,"Вышло",$E$6:$E$88,"озон"))=0,"—",ROUND((SUMIFS($M$6:$M$88,$I$6:$I$88,"Вышло",$E$6:$E$88,"Ozon",$V$6:$V$88,"&gt;0")+SUMIFS($M$6:$M$88,$I$6:$I$88,"Вышло",$E$6:$E$88,"OZON",$V$6:$V$88,"&gt;0")+SUMIFS($M$6:$M$88,$I$6:$I$88,"Вышло",$E$6:$E$88,"Озон",$V$6:$V$88,"&gt;0")+SUMIFS($M$6:$M$88,$I$6:$I$88,"Вышло",$E$6:$E$88,"озон",$V$6:$V$88,"&gt;0")+SUMIFS($M$6:$M$88,$I$6:$I$88,"Вышло",$E$6:$E$88,"Ozon",$V$6:$V$88,"&lt;=0",$P$6:$P$88,"&lt;&gt;")+SUMIFS($M$6:$M$88,$I$6:$I$88,"Вышло",$E$6:$E$88,"OZON",$V$6:$V$88,"&lt;=0",$P$6:$P$88,"&lt;&gt;")+SUMIFS($M$6:$M$88,$I$6:$I$88,"Вышло",$E$6:$E$88,"Озон",$V$6:$V$88,"&lt;=0",$P$6:$P$88,"&lt;&gt;")+SUMIFS($M$6:$M$88,$I$6:$I$88,"Вышло",$E$6:$E$88,"озон",$V$6:$V$88,"&lt;=0",$P$6:$P$88,"&lt;&gt;"))/(SUMIFS($V$6:$V$88,$I$6:$I$88,"Вышло",$E$6:$E$88,"Ozon")+SUMIFS($V$6:$V$88,$I$6:$I$88,"Вышло",$E$6:$E$88,"OZON")+SUMIFS($V$6:$V$88,$I$6:$I$88,"Вышло",$E$6:$E$88,"Озон")+SUMIFS($V$6:$V$88,$I$6:$I$88,"Вышло",$E$6:$E$88,"озон")),0))</f>
        <v>—</v>
      </c>
      <c r="F113" s="148">
        <f>COUNTIFS($I$6:$I$88,"Вышло",$E$6:$E$88,"Ozon",$V$6:$V$88,"&gt;0")+COUNTIFS($I$6:$I$88,"Вышло",$E$6:$E$88,"Озон",$V$6:$V$88,"&gt;0")+COUNTIFS($I$6:$I$88,"Вышло",$E$6:$E$88,"Ozon",$V$6:$V$88,"&lt;=0",$P$6:$P$88,"&lt;&gt;")+COUNTIFS($I$6:$I$88,"Вышло",$E$6:$E$88,"Озон",$V$6:$V$88,"&lt;=0",$P$6:$P$88,"&lt;&gt;")</f>
        <v>0</v>
      </c>
      <c r="G113" s="148">
        <f>SUMIFS($T$6:$T$88,$I$6:$I$88,"Вышло",$E$6:$E$88,"Ozon")+SUMIFS($T$6:$T$88,$I$6:$I$88,"Вышло",$E$6:$E$88,"OZON")+SUMIFS($T$6:$T$88,$I$6:$I$88,"Вышло",$E$6:$E$88,"Озон")+SUMIFS($T$6:$T$88,$I$6:$I$88,"Вышло",$E$6:$E$88,"озон")</f>
        <v>0</v>
      </c>
      <c r="H113" s="146" t="s">
        <v>891</v>
      </c>
      <c r="I113" s="145"/>
      <c r="J113" s="145"/>
      <c r="K113" s="145"/>
      <c r="L113" s="145"/>
      <c r="M113" s="145"/>
      <c r="N113" s="145"/>
      <c r="O113" s="145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ht="27.75" customHeight="1">
      <c r="A114" s="146" t="s">
        <v>892</v>
      </c>
      <c r="B114" s="147">
        <f>SUMIFS($M$6:$M$88,$I$6:$I$88,"Вышло",$E$6:$E$88,"WB")+SUMIFS($M$6:$M$88,$I$6:$I$88,"Вышло",$E$6:$E$88,"ВБ")-(SUMIFS($M$6:$M$88,$I$6:$I$88,"Вышло",$E$6:$E$88,"WB",$W$6:$W$88,"&lt;=0",$V$6:$V$88,"&gt;0")+SUMIFS($M$6:$M$88,$I$6:$I$88,"Вышло",$E$6:$E$88,"ВБ",$W$6:$W$88,"&lt;=0",$V$6:$V$88,"&gt;0"))</f>
        <v>0</v>
      </c>
      <c r="C114" s="146" t="s">
        <v>851</v>
      </c>
      <c r="D114" s="148">
        <f>SUMIFS($W$6:$W$88,$I$6:$I$88,"Вышло",$E$6:$E$88,"WB")+SUMIFS($W$6:$W$88,$I$6:$I$88,"Вышло",$E$6:$E$88,"ВБ")</f>
        <v>0</v>
      </c>
      <c r="E114" s="147" t="str">
        <f>IF((SUMIFS($W$6:$W$88,$I$6:$I$88,"Вышло",$E$6:$E$88,"WB")+SUMIFS($W$6:$W$88,$I$6:$I$88,"Вышло",$E$6:$E$88,"ВБ"))=0,"—",ROUND((SUMIFS($M$6:$M$88,$I$6:$I$88,"Вышло",$E$6:$E$88,"WB")+SUMIFS($M$6:$M$88,$I$6:$I$88,"Вышло",$E$6:$E$88,"ВБ")-(SUMIFS($M$6:$M$88,$I$6:$I$88,"Вышло",$E$6:$E$88,"WB",$W$6:$W$88,"&lt;=0",$V$6:$V$88,"&gt;0")+SUMIFS($M$6:$M$88,$I$6:$I$88,"Вышло",$E$6:$E$88,"ВБ",$W$6:$W$88,"&lt;=0",$V$6:$V$88,"&gt;0")))/(SUMIFS($W$6:$W$88,$I$6:$I$88,"Вышло",$E$6:$E$88,"WB")+SUMIFS($W$6:$W$88,$I$6:$I$88,"Вышло",$E$6:$E$88,"ВБ")),0))</f>
        <v>—</v>
      </c>
      <c r="F114" s="148">
        <f>COUNTIFS($I$6:$I$88,"Вышло",$E$6:$E$88,"WB")+COUNTIFS($I$6:$I$88,"Вышло",$E$6:$E$88,"ВБ")-(COUNTIFS($I$6:$I$88,"Вышло",$E$6:$E$88,"WB",$W$6:$W$88,"&lt;=0",$V$6:$V$88,"&gt;0")+COUNTIFS($I$6:$I$88,"Вышло",$E$6:$E$88,"ВБ",$W$6:$W$88,"&lt;=0",$V$6:$V$88,"&gt;0"))</f>
        <v>0</v>
      </c>
      <c r="G114" s="148">
        <f>SUMIFS($T$6:$T$88,$I$6:$I$88,"Вышло",$E$6:$E$88,"WB")+SUMIFS($T$6:$T$88,$I$6:$I$88,"Вышло",$E$6:$E$88,"ВБ")-(SUMIFS($T$6:$T$88,$I$6:$I$88,"Вышло",$E$6:$E$88,"WB",$W$6:$W$88,"&lt;=0",$V$6:$V$88,"&gt;0")+SUMIFS($T$6:$T$88,$I$6:$I$88,"Вышло",$E$6:$E$88,"ВБ",$W$6:$W$88,"&lt;=0",$V$6:$V$88,"&gt;0"))</f>
        <v>0</v>
      </c>
      <c r="H114" s="146" t="s">
        <v>893</v>
      </c>
      <c r="I114" s="145"/>
      <c r="J114" s="145"/>
      <c r="K114" s="145"/>
      <c r="L114" s="145"/>
      <c r="M114" s="145"/>
      <c r="N114" s="145"/>
      <c r="O114" s="145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ht="27.75" customHeight="1">
      <c r="A115" s="146" t="s">
        <v>894</v>
      </c>
      <c r="B115" s="147">
        <f>SUMIFS($M$6:$M$88,$I$6:$I$88,"Вышло",$E$6:$E$88,"Сайт")+SUMIFS($M$6:$M$88,$I$6:$I$88,"Вышло",$E$6:$E$88,"сайт")-(SUMIFS($M$6:$M$88,$I$6:$I$88,"Вышло",$E$6:$E$88,"Сайт",$V$6:$V$88,"&gt;0")+SUMIFS($M$6:$M$88,$I$6:$I$88,"Вышло",$E$6:$E$88,"сайт",$V$6:$V$88,"&gt;0")+SUMIFS($M$6:$M$88,$I$6:$I$88,"Вышло",$E$6:$E$88,"Сайт",$V$6:$V$88,"&lt;=0",$P$6:$P$88,"&lt;&gt;")+SUMIFS($M$6:$M$88,$I$6:$I$88,"Вышло",$E$6:$E$88,"сайт",$V$6:$V$88,"&lt;=0",$P$6:$P$88,"&lt;&gt;"))-(SUMIFS($M$6:$M$88,$I$6:$I$88,"Вышло",$E$6:$E$88,"Сайт",$V$6:$V$88,"&lt;=0",$W$6:$W$88,"&gt;0")+SUMIFS($M$6:$M$88,$I$6:$I$88,"Вышло",$E$6:$E$88,"сайт",$V$6:$V$88,"&lt;=0",$W$6:$W$88,"&gt;0")-(SUMIFS($M$6:$M$88,$I$6:$I$88,"Вышло",$E$6:$E$88,"Сайт",$V$6:$V$88,"&lt;=0",$W$6:$W$88,"&gt;0",$P$6:$P$88,"&lt;&gt;")+SUMIFS($M$6:$M$88,$I$6:$I$88,"Вышло",$E$6:$E$88,"сайт",$V$6:$V$88,"&lt;=0",$W$6:$W$88,"&gt;0",$P$6:$P$88,"&lt;&gt;")))+SUMIFS($M$6:$M$88,$I$6:$I$88,"Вышло",$E$6:$E$88,"Ozon")+SUMIFS($M$6:$M$88,$I$6:$I$88,"Вышло",$E$6:$E$88,"OZON")+SUMIFS($M$6:$M$88,$I$6:$I$88,"Вышло",$E$6:$E$88,"Озон")+SUMIFS($M$6:$M$88,$I$6:$I$88,"Вышло",$E$6:$E$88,"озон")-(SUMIFS($M$6:$M$88,$I$6:$I$88,"Вышло",$E$6:$E$88,"Ozon",$V$6:$V$88,"&gt;0")+SUMIFS($M$6:$M$88,$I$6:$I$88,"Вышло",$E$6:$E$88,"OZON",$V$6:$V$88,"&gt;0")+SUMIFS($M$6:$M$88,$I$6:$I$88,"Вышло",$E$6:$E$88,"Озон",$V$6:$V$88,"&gt;0")+SUMIFS($M$6:$M$88,$I$6:$I$88,"Вышло",$E$6:$E$88,"озон",$V$6:$V$88,"&gt;0")+SUMIFS($M$6:$M$88,$I$6:$I$88,"Вышло",$E$6:$E$88,"Ozon",$V$6:$V$88,"&lt;=0",$P$6:$P$88,"&lt;&gt;")+SUMIFS($M$6:$M$88,$I$6:$I$88,"Вышло",$E$6:$E$88,"OZON",$V$6:$V$88,"&lt;=0",$P$6:$P$88,"&lt;&gt;")+SUMIFS($M$6:$M$88,$I$6:$I$88,"Вышло",$E$6:$E$88,"Озон",$V$6:$V$88,"&lt;=0",$P$6:$P$88,"&lt;&gt;")+SUMIFS($M$6:$M$88,$I$6:$I$88,"Вышло",$E$6:$E$88,"озон",$V$6:$V$88,"&lt;=0",$P$6:$P$88,"&lt;&gt;"))-(SUMIFS($M$6:$M$88,$I$6:$I$88,"Вышло",$E$6:$E$88,"Ozon",$V$6:$V$88,"&lt;=0",$W$6:$W$88,"&gt;0")+SUMIFS($M$6:$M$88,$I$6:$I$88,"Вышло",$E$6:$E$88,"OZON",$V$6:$V$88,"&lt;=0",$W$6:$W$88,"&gt;0")+SUMIFS($M$6:$M$88,$I$6:$I$88,"Вышло",$E$6:$E$88,"Озон",$V$6:$V$88,"&lt;=0",$W$6:$W$88,"&gt;0")+SUMIFS($M$6:$M$88,$I$6:$I$88,"Вышло",$E$6:$E$88,"озон",$V$6:$V$88,"&lt;=0",$W$6:$W$88,"&gt;0")-(SUMIFS($M$6:$M$88,$I$6:$I$88,"Вышло",$E$6:$E$88,"Ozon",$V$6:$V$88,"&lt;=0",$W$6:$W$88,"&gt;0",$P$6:$P$88,"&lt;&gt;")+SUMIFS($M$6:$M$88,$I$6:$I$88,"Вышло",$E$6:$E$88,"OZON",$V$6:$V$88,"&lt;=0",$W$6:$W$88,"&gt;0",$P$6:$P$88,"&lt;&gt;")+SUMIFS($M$6:$M$88,$I$6:$I$88,"Вышло",$E$6:$E$88,"Озон",$V$6:$V$88,"&lt;=0",$W$6:$W$88,"&gt;0",$P$6:$P$88,"&lt;&gt;")+SUMIFS($M$6:$M$88,$I$6:$I$88,"Вышло",$E$6:$E$88,"озон",$V$6:$V$88,"&lt;=0",$W$6:$W$88,"&gt;0",$P$6:$P$88,"&lt;&gt;")))</f>
        <v>0</v>
      </c>
      <c r="C115" s="146" t="s">
        <v>656</v>
      </c>
      <c r="D115" s="148">
        <f>SUMIFS($Z$6:$Z$88,$I$6:$I$88,"Вышло",$E$6:$E$88,"Сайт")+SUMIFS($Z$6:$Z$88,$I$6:$I$88,"Вышло",$E$6:$E$88,"сайт")-(SUMIFS($Z$6:$Z$88,$I$6:$I$88,"Вышло",$E$6:$E$88,"Сайт")+SUMIFS($Z$6:$Z$88,$I$6:$I$88,"Вышло",$E$6:$E$88,"сайт"))-(SUMIFS($Z$6:$Z$88,$I$6:$I$88,"Вышло",$E$6:$E$88,"Сайт",$V$6:$V$88,"&lt;=0",$W$6:$W$88,"&gt;0")+SUMIFS($Z$6:$Z$88,$I$6:$I$88,"Вышло",$E$6:$E$88,"сайт",$V$6:$V$88,"&lt;=0",$W$6:$W$88,"&gt;0")-(SUMIFS($Z$6:$Z$88,$I$6:$I$88,"Вышло",$E$6:$E$88,"Сайт",$V$6:$V$88,"&lt;=0",$W$6:$W$88,"&gt;0",$P$6:$P$88,"&lt;&gt;")+SUMIFS($Z$6:$Z$88,$I$6:$I$88,"Вышло",$E$6:$E$88,"сайт",$V$6:$V$88,"&lt;=0",$W$6:$W$88,"&gt;0",$P$6:$P$88,"&lt;&gt;")))+SUMIFS($Z$6:$Z$88,$I$6:$I$88,"Вышло",$E$6:$E$88,"Ozon")+SUMIFS($Z$6:$Z$88,$I$6:$I$88,"Вышло",$E$6:$E$88,"OZON")+SUMIFS($Z$6:$Z$88,$I$6:$I$88,"Вышло",$E$6:$E$88,"Озон")+SUMIFS($Z$6:$Z$88,$I$6:$I$88,"Вышло",$E$6:$E$88,"озон")-(SUMIFS($Z$6:$Z$88,$I$6:$I$88,"Вышло",$E$6:$E$88,"Ozon")+SUMIFS($Z$6:$Z$88,$I$6:$I$88,"Вышло",$E$6:$E$88,"OZON")+SUMIFS($Z$6:$Z$88,$I$6:$I$88,"Вышло",$E$6:$E$88,"Озон")+SUMIFS($Z$6:$Z$88,$I$6:$I$88,"Вышло",$E$6:$E$88,"озон"))-(SUMIFS($Z$6:$Z$88,$I$6:$I$88,"Вышло",$E$6:$E$88,"Ozon",$V$6:$V$88,"&lt;=0",$W$6:$W$88,"&gt;0")+SUMIFS($Z$6:$Z$88,$I$6:$I$88,"Вышло",$E$6:$E$88,"OZON",$V$6:$V$88,"&lt;=0",$W$6:$W$88,"&gt;0")+SUMIFS($Z$6:$Z$88,$I$6:$I$88,"Вышло",$E$6:$E$88,"Озон",$V$6:$V$88,"&lt;=0",$W$6:$W$88,"&gt;0")+SUMIFS($Z$6:$Z$88,$I$6:$I$88,"Вышло",$E$6:$E$88,"озон",$V$6:$V$88,"&lt;=0",$W$6:$W$88,"&gt;0")-(SUMIFS($Z$6:$Z$88,$I$6:$I$88,"Вышло",$E$6:$E$88,"Ozon",$V$6:$V$88,"&lt;=0",$W$6:$W$88,"&gt;0",$P$6:$P$88,"&lt;&gt;")+SUMIFS($Z$6:$Z$88,$I$6:$I$88,"Вышло",$E$6:$E$88,"OZON",$V$6:$V$88,"&lt;=0",$W$6:$W$88,"&gt;0",$P$6:$P$88,"&lt;&gt;")+SUMIFS($Z$6:$Z$88,$I$6:$I$88,"Вышло",$E$6:$E$88,"Озон",$V$6:$V$88,"&lt;=0",$W$6:$W$88,"&gt;0",$P$6:$P$88,"&lt;&gt;")+SUMIFS($Z$6:$Z$88,$I$6:$I$88,"Вышло",$E$6:$E$88,"озон",$V$6:$V$88,"&lt;=0",$W$6:$W$88,"&gt;0",$P$6:$P$88,"&lt;&gt;")))</f>
        <v>0</v>
      </c>
      <c r="E115" s="147" t="str">
        <f>IF((SUMIFS($Z$6:$Z$88,$I$6:$I$88,"Вышло",$E$6:$E$88,"Сайт")+SUMIFS($Z$6:$Z$88,$I$6:$I$88,"Вышло",$E$6:$E$88,"сайт")-(SUMIFS($Z$6:$Z$88,$I$6:$I$88,"Вышло",$E$6:$E$88,"Сайт")+SUMIFS($Z$6:$Z$88,$I$6:$I$88,"Вышло",$E$6:$E$88,"сайт"))-(SUMIFS($Z$6:$Z$88,$I$6:$I$88,"Вышло",$E$6:$E$88,"Сайт",$V$6:$V$88,"&lt;=0",$W$6:$W$88,"&gt;0")+SUMIFS($Z$6:$Z$88,$I$6:$I$88,"Вышло",$E$6:$E$88,"сайт",$V$6:$V$88,"&lt;=0",$W$6:$W$88,"&gt;0")-(SUMIFS($Z$6:$Z$88,$I$6:$I$88,"Вышло",$E$6:$E$88,"Сайт",$V$6:$V$88,"&lt;=0",$W$6:$W$88,"&gt;0",$P$6:$P$88,"&lt;&gt;")+SUMIFS($Z$6:$Z$88,$I$6:$I$88,"Вышло",$E$6:$E$88,"сайт",$V$6:$V$88,"&lt;=0",$W$6:$W$88,"&gt;0",$P$6:$P$88,"&lt;&gt;")))+SUMIFS($Z$6:$Z$88,$I$6:$I$88,"Вышло",$E$6:$E$88,"Ozon")+SUMIFS($Z$6:$Z$88,$I$6:$I$88,"Вышло",$E$6:$E$88,"OZON")+SUMIFS($Z$6:$Z$88,$I$6:$I$88,"Вышло",$E$6:$E$88,"Озон")+SUMIFS($Z$6:$Z$88,$I$6:$I$88,"Вышло",$E$6:$E$88,"озон")-(SUMIFS($Z$6:$Z$88,$I$6:$I$88,"Вышло",$E$6:$E$88,"Ozon")+SUMIFS($Z$6:$Z$88,$I$6:$I$88,"Вышло",$E$6:$E$88,"OZON")+SUMIFS($Z$6:$Z$88,$I$6:$I$88,"Вышло",$E$6:$E$88,"Озон")+SUMIFS($Z$6:$Z$88,$I$6:$I$88,"Вышло",$E$6:$E$88,"озон"))-(SUMIFS($Z$6:$Z$88,$I$6:$I$88,"Вышло",$E$6:$E$88,"Ozon",$V$6:$V$88,"&lt;=0",$W$6:$W$88,"&gt;0")+SUMIFS($Z$6:$Z$88,$I$6:$I$88,"Вышло",$E$6:$E$88,"OZON",$V$6:$V$88,"&lt;=0",$W$6:$W$88,"&gt;0")+SUMIFS($Z$6:$Z$88,$I$6:$I$88,"Вышло",$E$6:$E$88,"Озон",$V$6:$V$88,"&lt;=0",$W$6:$W$88,"&gt;0")+SUMIFS($Z$6:$Z$88,$I$6:$I$88,"Вышло",$E$6:$E$88,"озон",$V$6:$V$88,"&lt;=0",$W$6:$W$88,"&gt;0")-(SUMIFS($Z$6:$Z$88,$I$6:$I$88,"Вышло",$E$6:$E$88,"Ozon",$V$6:$V$88,"&lt;=0",$W$6:$W$88,"&gt;0",$P$6:$P$88,"&lt;&gt;")+SUMIFS($Z$6:$Z$88,$I$6:$I$88,"Вышло",$E$6:$E$88,"OZON",$V$6:$V$88,"&lt;=0",$W$6:$W$88,"&gt;0",$P$6:$P$88,"&lt;&gt;")+SUMIFS($Z$6:$Z$88,$I$6:$I$88,"Вышло",$E$6:$E$88,"Озон",$V$6:$V$88,"&lt;=0",$W$6:$W$88,"&gt;0",$P$6:$P$88,"&lt;&gt;")+SUMIFS($Z$6:$Z$88,$I$6:$I$88,"Вышло",$E$6:$E$88,"озон",$V$6:$V$88,"&lt;=0",$W$6:$W$88,"&gt;0",$P$6:$P$88,"&lt;&gt;"))))=0,"—",ROUND((SUMIFS($M$6:$M$88,$I$6:$I$88,"Вышло",$E$6:$E$88,"Сайт")+SUMIFS($M$6:$M$88,$I$6:$I$88,"Вышло",$E$6:$E$88,"сайт")-(SUMIFS($M$6:$M$88,$I$6:$I$88,"Вышло",$E$6:$E$88,"Сайт",$V$6:$V$88,"&gt;0")+SUMIFS($M$6:$M$88,$I$6:$I$88,"Вышло",$E$6:$E$88,"сайт",$V$6:$V$88,"&gt;0")+SUMIFS($M$6:$M$88,$I$6:$I$88,"Вышло",$E$6:$E$88,"Сайт",$V$6:$V$88,"&lt;=0",$P$6:$P$88,"&lt;&gt;")+SUMIFS($M$6:$M$88,$I$6:$I$88,"Вышло",$E$6:$E$88,"сайт",$V$6:$V$88,"&lt;=0",$P$6:$P$88,"&lt;&gt;"))-(SUMIFS($M$6:$M$88,$I$6:$I$88,"Вышло",$E$6:$E$88,"Сайт",$V$6:$V$88,"&lt;=0",$W$6:$W$88,"&gt;0")+SUMIFS($M$6:$M$88,$I$6:$I$88,"Вышло",$E$6:$E$88,"сайт",$V$6:$V$88,"&lt;=0",$W$6:$W$88,"&gt;0")-(SUMIFS($M$6:$M$88,$I$6:$I$88,"Вышло",$E$6:$E$88,"Сайт",$V$6:$V$88,"&lt;=0",$W$6:$W$88,"&gt;0",$P$6:$P$88,"&lt;&gt;")+SUMIFS($M$6:$M$88,$I$6:$I$88,"Вышло",$E$6:$E$88,"сайт",$V$6:$V$88,"&lt;=0",$W$6:$W$88,"&gt;0",$P$6:$P$88,"&lt;&gt;")))+SUMIFS($M$6:$M$88,$I$6:$I$88,"Вышло",$E$6:$E$88,"Ozon")+SUMIFS($M$6:$M$88,$I$6:$I$88,"Вышло",$E$6:$E$88,"OZON")+SUMIFS($M$6:$M$88,$I$6:$I$88,"Вышло",$E$6:$E$88,"Озон")+SUMIFS($M$6:$M$88,$I$6:$I$88,"Вышло",$E$6:$E$88,"озон")-(SUMIFS($M$6:$M$88,$I$6:$I$88,"Вышло",$E$6:$E$88,"Ozon",$V$6:$V$88,"&gt;0")+SUMIFS($M$6:$M$88,$I$6:$I$88,"Вышло",$E$6:$E$88,"OZON",$V$6:$V$88,"&gt;0")+SUMIFS($M$6:$M$88,$I$6:$I$88,"Вышло",$E$6:$E$88,"Озон",$V$6:$V$88,"&gt;0")+SUMIFS($M$6:$M$88,$I$6:$I$88,"Вышло",$E$6:$E$88,"озон",$V$6:$V$88,"&gt;0")+SUMIFS($M$6:$M$88,$I$6:$I$88,"Вышло",$E$6:$E$88,"Ozon",$V$6:$V$88,"&lt;=0",$P$6:$P$88,"&lt;&gt;")+SUMIFS($M$6:$M$88,$I$6:$I$88,"Вышло",$E$6:$E$88,"OZON",$V$6:$V$88,"&lt;=0",$P$6:$P$88,"&lt;&gt;")+SUMIFS($M$6:$M$88,$I$6:$I$88,"Вышло",$E$6:$E$88,"Озон",$V$6:$V$88,"&lt;=0",$P$6:$P$88,"&lt;&gt;")+SUMIFS($M$6:$M$88,$I$6:$I$88,"Вышло",$E$6:$E$88,"озон",$V$6:$V$88,"&lt;=0",$P$6:$P$88,"&lt;&gt;"))-(SUMIFS($M$6:$M$88,$I$6:$I$88,"Вышло",$E$6:$E$88,"Ozon",$V$6:$V$88,"&lt;=0",$W$6:$W$88,"&gt;0")+SUMIFS($M$6:$M$88,$I$6:$I$88,"Вышло",$E$6:$E$88,"OZON",$V$6:$V$88,"&lt;=0",$W$6:$W$88,"&gt;0")+SUMIFS($M$6:$M$88,$I$6:$I$88,"Вышло",$E$6:$E$88,"Озон",$V$6:$V$88,"&lt;=0",$W$6:$W$88,"&gt;0")+SUMIFS($M$6:$M$88,$I$6:$I$88,"Вышло",$E$6:$E$88,"озон",$V$6:$V$88,"&lt;=0",$W$6:$W$88,"&gt;0")-(SUMIFS($M$6:$M$88,$I$6:$I$88,"Вышло",$E$6:$E$88,"Ozon",$V$6:$V$88,"&lt;=0",$W$6:$W$88,"&gt;0",$P$6:$P$88,"&lt;&gt;")+SUMIFS($M$6:$M$88,$I$6:$I$88,"Вышло",$E$6:$E$88,"OZON",$V$6:$V$88,"&lt;=0",$W$6:$W$88,"&gt;0",$P$6:$P$88,"&lt;&gt;")+SUMIFS($M$6:$M$88,$I$6:$I$88,"Вышло",$E$6:$E$88,"Озон",$V$6:$V$88,"&lt;=0",$W$6:$W$88,"&gt;0",$P$6:$P$88,"&lt;&gt;")+SUMIFS($M$6:$M$88,$I$6:$I$88,"Вышло",$E$6:$E$88,"озон",$V$6:$V$88,"&lt;=0",$W$6:$W$88,"&gt;0",$P$6:$P$88,"&lt;&gt;"))))/(SUMIFS($Z$6:$Z$88,$I$6:$I$88,"Вышло",$E$6:$E$88,"Сайт")+SUMIFS($Z$6:$Z$88,$I$6:$I$88,"Вышло",$E$6:$E$88,"сайт")-(SUMIFS($Z$6:$Z$88,$I$6:$I$88,"Вышло",$E$6:$E$88,"Сайт")+SUMIFS($Z$6:$Z$88,$I$6:$I$88,"Вышло",$E$6:$E$88,"сайт"))-(SUMIFS($Z$6:$Z$88,$I$6:$I$88,"Вышло",$E$6:$E$88,"Сайт",$V$6:$V$88,"&lt;=0",$W$6:$W$88,"&gt;0")+SUMIFS($Z$6:$Z$88,$I$6:$I$88,"Вышло",$E$6:$E$88,"сайт",$V$6:$V$88,"&lt;=0",$W$6:$W$88,"&gt;0")-(SUMIFS($Z$6:$Z$88,$I$6:$I$88,"Вышло",$E$6:$E$88,"Сайт",$V$6:$V$88,"&lt;=0",$W$6:$W$88,"&gt;0",$P$6:$P$88,"&lt;&gt;")+SUMIFS($Z$6:$Z$88,$I$6:$I$88,"Вышло",$E$6:$E$88,"сайт",$V$6:$V$88,"&lt;=0",$W$6:$W$88,"&gt;0",$P$6:$P$88,"&lt;&gt;")))+SUMIFS($Z$6:$Z$88,$I$6:$I$88,"Вышло",$E$6:$E$88,"Ozon")+SUMIFS($Z$6:$Z$88,$I$6:$I$88,"Вышло",$E$6:$E$88,"OZON")+SUMIFS($Z$6:$Z$88,$I$6:$I$88,"Вышло",$E$6:$E$88,"Озон")+SUMIFS($Z$6:$Z$88,$I$6:$I$88,"Вышло",$E$6:$E$88,"озон")-(SUMIFS($Z$6:$Z$88,$I$6:$I$88,"Вышло",$E$6:$E$88,"Ozon")+SUMIFS($Z$6:$Z$88,$I$6:$I$88,"Вышло",$E$6:$E$88,"OZON")+SUMIFS($Z$6:$Z$88,$I$6:$I$88,"Вышло",$E$6:$E$88,"Озон")+SUMIFS($Z$6:$Z$88,$I$6:$I$88,"Вышло",$E$6:$E$88,"озон"))-(SUMIFS($Z$6:$Z$88,$I$6:$I$88,"Вышло",$E$6:$E$88,"Ozon",$V$6:$V$88,"&lt;=0",$W$6:$W$88,"&gt;0")+SUMIFS($Z$6:$Z$88,$I$6:$I$88,"Вышло",$E$6:$E$88,"OZON",$V$6:$V$88,"&lt;=0",$W$6:$W$88,"&gt;0")+SUMIFS($Z$6:$Z$88,$I$6:$I$88,"Вышло",$E$6:$E$88,"Озон",$V$6:$V$88,"&lt;=0",$W$6:$W$88,"&gt;0")+SUMIFS($Z$6:$Z$88,$I$6:$I$88,"Вышло",$E$6:$E$88,"озон",$V$6:$V$88,"&lt;=0",$W$6:$W$88,"&gt;0")-(SUMIFS($Z$6:$Z$88,$I$6:$I$88,"Вышло",$E$6:$E$88,"Ozon",$V$6:$V$88,"&lt;=0",$W$6:$W$88,"&gt;0",$P$6:$P$88,"&lt;&gt;")+SUMIFS($Z$6:$Z$88,$I$6:$I$88,"Вышло",$E$6:$E$88,"OZON",$V$6:$V$88,"&lt;=0",$W$6:$W$88,"&gt;0",$P$6:$P$88,"&lt;&gt;")+SUMIFS($Z$6:$Z$88,$I$6:$I$88,"Вышло",$E$6:$E$88,"Озон",$V$6:$V$88,"&lt;=0",$W$6:$W$88,"&gt;0",$P$6:$P$88,"&lt;&gt;")+SUMIFS($Z$6:$Z$88,$I$6:$I$88,"Вышло",$E$6:$E$88,"озон",$V$6:$V$88,"&lt;=0",$W$6:$W$88,"&gt;0",$P$6:$P$88,"&lt;&gt;")))),0))</f>
        <v>—</v>
      </c>
      <c r="F115" s="148">
        <f>COUNTIFS($I$6:$I$88,"Вышло",$E$6:$E$88,"Сайт")-(COUNTIFS($I$6:$I$88,"Вышло",$E$6:$E$88,"Сайт",$V$6:$V$88,"&gt;0")+COUNTIFS($I$6:$I$88,"Вышло",$E$6:$E$88,"Сайт",$V$6:$V$88,"&lt;=0",$P$6:$P$88,"&lt;&gt;"))-(COUNTIFS($I$6:$I$88,"Вышло",$E$6:$E$88,"Сайт",$V$6:$V$88,"&lt;=0",$W$6:$W$88,"&gt;0")-(COUNTIFS($I$6:$I$88,"Вышло",$E$6:$E$88,"Сайт",$V$6:$V$88,"&lt;=0",$W$6:$W$88,"&gt;0",$P$6:$P$88,"&lt;&gt;")))+COUNTIFS($I$6:$I$88,"Вышло",$E$6:$E$88,"Ozon")+COUNTIFS($I$6:$I$88,"Вышло",$E$6:$E$88,"Озон")-(COUNTIFS($I$6:$I$88,"Вышло",$E$6:$E$88,"Ozon",$V$6:$V$88,"&gt;0")+COUNTIFS($I$6:$I$88,"Вышло",$E$6:$E$88,"Озон",$V$6:$V$88,"&gt;0")+COUNTIFS($I$6:$I$88,"Вышло",$E$6:$E$88,"Ozon",$V$6:$V$88,"&lt;=0",$P$6:$P$88,"&lt;&gt;")+COUNTIFS($I$6:$I$88,"Вышло",$E$6:$E$88,"Озон",$V$6:$V$88,"&lt;=0",$P$6:$P$88,"&lt;&gt;"))-(COUNTIFS($I$6:$I$88,"Вышло",$E$6:$E$88,"Ozon",$V$6:$V$88,"&lt;=0",$W$6:$W$88,"&gt;0")+COUNTIFS($I$6:$I$88,"Вышло",$E$6:$E$88,"Озон",$V$6:$V$88,"&lt;=0",$W$6:$W$88,"&gt;0")-(COUNTIFS($I$6:$I$88,"Вышло",$E$6:$E$88,"Ozon",$V$6:$V$88,"&lt;=0",$W$6:$W$88,"&gt;0",$P$6:$P$88,"&lt;&gt;")+COUNTIFS($I$6:$I$88,"Вышло",$E$6:$E$88,"Озон",$V$6:$V$88,"&lt;=0",$W$6:$W$88,"&gt;0",$P$6:$P$88,"&lt;&gt;")))</f>
        <v>0</v>
      </c>
      <c r="G115" s="148">
        <f>SUMIFS($T$6:$T$88,$I$6:$I$88,"Вышло",$E$6:$E$88,"Сайт")+SUMIFS($T$6:$T$88,$I$6:$I$88,"Вышло",$E$6:$E$88,"сайт")-(SUMIFS($T$6:$T$88,$I$6:$I$88,"Вышло",$E$6:$E$88,"Сайт")+SUMIFS($T$6:$T$88,$I$6:$I$88,"Вышло",$E$6:$E$88,"сайт"))-(SUMIFS($T$6:$T$88,$I$6:$I$88,"Вышло",$E$6:$E$88,"Сайт",$V$6:$V$88,"&lt;=0",$W$6:$W$88,"&gt;0")+SUMIFS($T$6:$T$88,$I$6:$I$88,"Вышло",$E$6:$E$88,"сайт",$V$6:$V$88,"&lt;=0",$W$6:$W$88,"&gt;0")-(SUMIFS($T$6:$T$88,$I$6:$I$88,"Вышло",$E$6:$E$88,"Сайт",$V$6:$V$88,"&lt;=0",$W$6:$W$88,"&gt;0",$P$6:$P$88,"&lt;&gt;")+SUMIFS($T$6:$T$88,$I$6:$I$88,"Вышло",$E$6:$E$88,"сайт",$V$6:$V$88,"&lt;=0",$W$6:$W$88,"&gt;0",$P$6:$P$88,"&lt;&gt;")))+SUMIFS($T$6:$T$88,$I$6:$I$88,"Вышло",$E$6:$E$88,"Ozon")+SUMIFS($T$6:$T$88,$I$6:$I$88,"Вышло",$E$6:$E$88,"OZON")+SUMIFS($T$6:$T$88,$I$6:$I$88,"Вышло",$E$6:$E$88,"Озон")+SUMIFS($T$6:$T$88,$I$6:$I$88,"Вышло",$E$6:$E$88,"озон")-(SUMIFS($T$6:$T$88,$I$6:$I$88,"Вышло",$E$6:$E$88,"Ozon")+SUMIFS($T$6:$T$88,$I$6:$I$88,"Вышло",$E$6:$E$88,"OZON")+SUMIFS($T$6:$T$88,$I$6:$I$88,"Вышло",$E$6:$E$88,"Озон")+SUMIFS($T$6:$T$88,$I$6:$I$88,"Вышло",$E$6:$E$88,"озон"))-(SUMIFS($T$6:$T$88,$I$6:$I$88,"Вышло",$E$6:$E$88,"Ozon",$V$6:$V$88,"&lt;=0",$W$6:$W$88,"&gt;0")+SUMIFS($T$6:$T$88,$I$6:$I$88,"Вышло",$E$6:$E$88,"OZON",$V$6:$V$88,"&lt;=0",$W$6:$W$88,"&gt;0")+SUMIFS($T$6:$T$88,$I$6:$I$88,"Вышло",$E$6:$E$88,"Озон",$V$6:$V$88,"&lt;=0",$W$6:$W$88,"&gt;0")+SUMIFS($T$6:$T$88,$I$6:$I$88,"Вышло",$E$6:$E$88,"озон",$V$6:$V$88,"&lt;=0",$W$6:$W$88,"&gt;0")-(SUMIFS($T$6:$T$88,$I$6:$I$88,"Вышло",$E$6:$E$88,"Ozon",$V$6:$V$88,"&lt;=0",$W$6:$W$88,"&gt;0",$P$6:$P$88,"&lt;&gt;")+SUMIFS($T$6:$T$88,$I$6:$I$88,"Вышло",$E$6:$E$88,"OZON",$V$6:$V$88,"&lt;=0",$W$6:$W$88,"&gt;0",$P$6:$P$88,"&lt;&gt;")+SUMIFS($T$6:$T$88,$I$6:$I$88,"Вышло",$E$6:$E$88,"Озон",$V$6:$V$88,"&lt;=0",$W$6:$W$88,"&gt;0",$P$6:$P$88,"&lt;&gt;")+SUMIFS($T$6:$T$88,$I$6:$I$88,"Вышло",$E$6:$E$88,"озон",$V$6:$V$88,"&lt;=0",$W$6:$W$88,"&gt;0",$P$6:$P$88,"&lt;&gt;")))</f>
        <v>0</v>
      </c>
      <c r="H115" s="146" t="s">
        <v>895</v>
      </c>
      <c r="I115" s="145"/>
      <c r="J115" s="145"/>
      <c r="K115" s="145"/>
      <c r="L115" s="145"/>
      <c r="M115" s="145"/>
      <c r="N115" s="145"/>
      <c r="O115" s="14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ht="27.75" customHeight="1">
      <c r="A116" s="146" t="s">
        <v>896</v>
      </c>
      <c r="B116" s="147">
        <f>SUMIFS($M$6:$M$88,$I$6:$I$88,"Вышло")-(SUMIFS($M$6:$M$88,$I$6:$I$88,"Вышло",$E$6:$E$88,"БОТ")+SUMIFS($M$6:$M$88,$I$6:$I$88,"Вышло",$E$6:$E$88,"Бот")+SUMIFS($M$6:$M$88,$I$6:$I$88,"Вышло",$E$6:$E$88,"бот")+SUMIFS($M$6:$M$88,$I$6:$I$88,"Вышло",$E$6:$E$88,"WB")+SUMIFS($M$6:$M$88,$I$6:$I$88,"Вышло",$E$6:$E$88,"ВБ")+SUMIFS($M$6:$M$88,$I$6:$I$88,"Вышло",$E$6:$E$88,"Сайт")+SUMIFS($M$6:$M$88,$I$6:$I$88,"Вышло",$E$6:$E$88,"сайт")+SUMIFS($M$6:$M$88,$I$6:$I$88,"Вышло",$E$6:$E$88,"Ozon")+SUMIFS($M$6:$M$88,$I$6:$I$88,"Вышло",$E$6:$E$88,"OZON")+SUMIFS($M$6:$M$88,$I$6:$I$88,"Вышло",$E$6:$E$88,"Озон")+SUMIFS($M$6:$M$88,$I$6:$I$88,"Вышло",$E$6:$E$88,"озон"))+SUMIFS($M$6:$M$88,$I$6:$I$88,"Вышло",$E$6:$E$88,"WB",$W$6:$W$88,"&lt;=0",$V$6:$V$88,"&gt;0")+SUMIFS($M$6:$M$88,$I$6:$I$88,"Вышло",$E$6:$E$88,"ВБ",$W$6:$W$88,"&lt;=0",$V$6:$V$88,"&gt;0")+SUMIFS($M$6:$M$88,$I$6:$I$88,"Вышло",$E$6:$E$88,"Сайт",$V$6:$V$88,"&lt;=0",$W$6:$W$88,"&gt;0")+SUMIFS($M$6:$M$88,$I$6:$I$88,"Вышло",$E$6:$E$88,"сайт",$V$6:$V$88,"&lt;=0",$W$6:$W$88,"&gt;0")-(SUMIFS($M$6:$M$88,$I$6:$I$88,"Вышло",$E$6:$E$88,"Сайт",$V$6:$V$88,"&lt;=0",$W$6:$W$88,"&gt;0",$P$6:$P$88,"&lt;&gt;")+SUMIFS($M$6:$M$88,$I$6:$I$88,"Вышло",$E$6:$E$88,"сайт",$V$6:$V$88,"&lt;=0",$W$6:$W$88,"&gt;0",$P$6:$P$88,"&lt;&gt;"))+SUMIFS($M$6:$M$88,$I$6:$I$88,"Вышло",$E$6:$E$88,"Ozon",$V$6:$V$88,"&lt;=0",$W$6:$W$88,"&gt;0")+SUMIFS($M$6:$M$88,$I$6:$I$88,"Вышло",$E$6:$E$88,"OZON",$V$6:$V$88,"&lt;=0",$W$6:$W$88,"&gt;0")+SUMIFS($M$6:$M$88,$I$6:$I$88,"Вышло",$E$6:$E$88,"Озон",$V$6:$V$88,"&lt;=0",$W$6:$W$88,"&gt;0")+SUMIFS($M$6:$M$88,$I$6:$I$88,"Вышло",$E$6:$E$88,"озон",$V$6:$V$88,"&lt;=0",$W$6:$W$88,"&gt;0")-(SUMIFS($M$6:$M$88,$I$6:$I$88,"Вышло",$E$6:$E$88,"Ozon",$V$6:$V$88,"&lt;=0",$W$6:$W$88,"&gt;0",$P$6:$P$88,"&lt;&gt;")+SUMIFS($M$6:$M$88,$I$6:$I$88,"Вышло",$E$6:$E$88,"OZON",$V$6:$V$88,"&lt;=0",$W$6:$W$88,"&gt;0",$P$6:$P$88,"&lt;&gt;")+SUMIFS($M$6:$M$88,$I$6:$I$88,"Вышло",$E$6:$E$88,"Озон",$V$6:$V$88,"&lt;=0",$W$6:$W$88,"&gt;0",$P$6:$P$88,"&lt;&gt;")+SUMIFS($M$6:$M$88,$I$6:$I$88,"Вышло",$E$6:$E$88,"озон",$V$6:$V$88,"&lt;=0",$W$6:$W$88,"&gt;0",$P$6:$P$88,"&lt;&gt;"))</f>
        <v>42500</v>
      </c>
      <c r="C116" s="146" t="s">
        <v>879</v>
      </c>
      <c r="D116" s="148" t="str">
        <f t="shared" ref="D116:E116" si="64">"—"</f>
        <v>—</v>
      </c>
      <c r="E116" s="147" t="str">
        <f t="shared" si="64"/>
        <v>—</v>
      </c>
      <c r="F116" s="148">
        <f>COUNTIFS($I$6:$I$88,"Вышло")-(COUNTIFS($I$6:$I$88,"Вышло",$E$6:$E$88,"БОТ")+COUNTIFS($I$6:$I$88,"Вышло",$E$6:$E$88,"WB")+COUNTIFS($I$6:$I$88,"Вышло",$E$6:$E$88,"ВБ")+COUNTIFS($I$6:$I$88,"Вышло",$E$6:$E$88,"Сайт")+COUNTIFS($I$6:$I$88,"Вышло",$E$6:$E$88,"Ozon")+COUNTIFS($I$6:$I$88,"Вышло",$E$6:$E$88,"Озон"))+COUNTIFS($I$6:$I$88,"Вышло",$E$6:$E$88,"WB",$W$6:$W$88,"&lt;=0",$V$6:$V$88,"&gt;0")+COUNTIFS($I$6:$I$88,"Вышло",$E$6:$E$88,"ВБ",$W$6:$W$88,"&lt;=0",$V$6:$V$88,"&gt;0")+COUNTIFS($I$6:$I$88,"Вышло",$E$6:$E$88,"Сайт",$V$6:$V$88,"&lt;=0",$W$6:$W$88,"&gt;0")-(COUNTIFS($I$6:$I$88,"Вышло",$E$6:$E$88,"Сайт",$V$6:$V$88,"&lt;=0",$W$6:$W$88,"&gt;0",$P$6:$P$88,"&lt;&gt;"))+COUNTIFS($I$6:$I$88,"Вышло",$E$6:$E$88,"Ozon",$V$6:$V$88,"&lt;=0",$W$6:$W$88,"&gt;0")+COUNTIFS($I$6:$I$88,"Вышло",$E$6:$E$88,"Озон",$V$6:$V$88,"&lt;=0",$W$6:$W$88,"&gt;0")-(COUNTIFS($I$6:$I$88,"Вышло",$E$6:$E$88,"Ozon",$V$6:$V$88,"&lt;=0",$W$6:$W$88,"&gt;0",$P$6:$P$88,"&lt;&gt;")+COUNTIFS($I$6:$I$88,"Вышло",$E$6:$E$88,"Озон",$V$6:$V$88,"&lt;=0",$W$6:$W$88,"&gt;0",$P$6:$P$88,"&lt;&gt;"))</f>
        <v>1</v>
      </c>
      <c r="G116" s="148">
        <f>SUMIFS($T$6:$T$88,$I$6:$I$88,"Вышло")-(SUMIFS($T$6:$T$88,$I$6:$I$88,"Вышло",$E$6:$E$88,"БОТ")+SUMIFS($T$6:$T$88,$I$6:$I$88,"Вышло",$E$6:$E$88,"Бот")+SUMIFS($T$6:$T$88,$I$6:$I$88,"Вышло",$E$6:$E$88,"бот")+SUMIFS($T$6:$T$88,$I$6:$I$88,"Вышло",$E$6:$E$88,"WB")+SUMIFS($T$6:$T$88,$I$6:$I$88,"Вышло",$E$6:$E$88,"ВБ")+SUMIFS($T$6:$T$88,$I$6:$I$88,"Вышло",$E$6:$E$88,"Сайт")+SUMIFS($T$6:$T$88,$I$6:$I$88,"Вышло",$E$6:$E$88,"сайт")+SUMIFS($T$6:$T$88,$I$6:$I$88,"Вышло",$E$6:$E$88,"Ozon")+SUMIFS($T$6:$T$88,$I$6:$I$88,"Вышло",$E$6:$E$88,"OZON")+SUMIFS($T$6:$T$88,$I$6:$I$88,"Вышло",$E$6:$E$88,"Озон")+SUMIFS($T$6:$T$88,$I$6:$I$88,"Вышло",$E$6:$E$88,"озон"))+SUMIFS($T$6:$T$88,$I$6:$I$88,"Вышло",$E$6:$E$88,"WB",$W$6:$W$88,"&lt;=0",$V$6:$V$88,"&gt;0")+SUMIFS($T$6:$T$88,$I$6:$I$88,"Вышло",$E$6:$E$88,"ВБ",$W$6:$W$88,"&lt;=0",$V$6:$V$88,"&gt;0")+SUMIFS($T$6:$T$88,$I$6:$I$88,"Вышло",$E$6:$E$88,"Сайт",$V$6:$V$88,"&lt;=0",$W$6:$W$88,"&gt;0")+SUMIFS($T$6:$T$88,$I$6:$I$88,"Вышло",$E$6:$E$88,"сайт",$V$6:$V$88,"&lt;=0",$W$6:$W$88,"&gt;0")-(SUMIFS($T$6:$T$88,$I$6:$I$88,"Вышло",$E$6:$E$88,"Сайт",$V$6:$V$88,"&lt;=0",$W$6:$W$88,"&gt;0",$P$6:$P$88,"&lt;&gt;")+SUMIFS($T$6:$T$88,$I$6:$I$88,"Вышло",$E$6:$E$88,"сайт",$V$6:$V$88,"&lt;=0",$W$6:$W$88,"&gt;0",$P$6:$P$88,"&lt;&gt;"))+SUMIFS($T$6:$T$88,$I$6:$I$88,"Вышло",$E$6:$E$88,"Ozon",$V$6:$V$88,"&lt;=0",$W$6:$W$88,"&gt;0")+SUMIFS($T$6:$T$88,$I$6:$I$88,"Вышло",$E$6:$E$88,"OZON",$V$6:$V$88,"&lt;=0",$W$6:$W$88,"&gt;0")+SUMIFS($T$6:$T$88,$I$6:$I$88,"Вышло",$E$6:$E$88,"Озон",$V$6:$V$88,"&lt;=0",$W$6:$W$88,"&gt;0")+SUMIFS($T$6:$T$88,$I$6:$I$88,"Вышло",$E$6:$E$88,"озон",$V$6:$V$88,"&lt;=0",$W$6:$W$88,"&gt;0")-(SUMIFS($T$6:$T$88,$I$6:$I$88,"Вышло",$E$6:$E$88,"Ozon",$V$6:$V$88,"&lt;=0",$W$6:$W$88,"&gt;0",$P$6:$P$88,"&lt;&gt;")+SUMIFS($T$6:$T$88,$I$6:$I$88,"Вышло",$E$6:$E$88,"OZON",$V$6:$V$88,"&lt;=0",$W$6:$W$88,"&gt;0",$P$6:$P$88,"&lt;&gt;")+SUMIFS($T$6:$T$88,$I$6:$I$88,"Вышло",$E$6:$E$88,"Озон",$V$6:$V$88,"&lt;=0",$W$6:$W$88,"&gt;0",$P$6:$P$88,"&lt;&gt;")+SUMIFS($T$6:$T$88,$I$6:$I$88,"Вышло",$E$6:$E$88,"озон",$V$6:$V$88,"&lt;=0",$W$6:$W$88,"&gt;0",$P$6:$P$88,"&lt;&gt;"))</f>
        <v>38682</v>
      </c>
      <c r="H116" s="146" t="s">
        <v>897</v>
      </c>
      <c r="I116" s="145"/>
      <c r="J116" s="145"/>
      <c r="K116" s="145"/>
      <c r="L116" s="145"/>
      <c r="M116" s="145"/>
      <c r="N116" s="145"/>
      <c r="O116" s="145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ht="15.75" customHeight="1">
      <c r="A117" s="142" t="s">
        <v>877</v>
      </c>
      <c r="B117" s="143">
        <f>SUM(B111:B116)</f>
        <v>42500</v>
      </c>
      <c r="C117" s="142" t="s">
        <v>879</v>
      </c>
      <c r="D117" s="144" t="s">
        <v>879</v>
      </c>
      <c r="E117" s="143" t="s">
        <v>879</v>
      </c>
      <c r="F117" s="144">
        <f t="shared" ref="F117:G117" si="65">SUM(F111:F116)</f>
        <v>1</v>
      </c>
      <c r="G117" s="144">
        <f t="shared" si="65"/>
        <v>38682</v>
      </c>
      <c r="H117" s="142"/>
      <c r="I117" s="145"/>
      <c r="J117" s="145"/>
      <c r="K117" s="145"/>
      <c r="L117" s="145"/>
      <c r="M117" s="145"/>
      <c r="N117" s="145"/>
      <c r="O117" s="145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ht="15.75" customHeight="1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M118" s="145"/>
      <c r="N118" s="145"/>
      <c r="O118" s="145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ht="15.75" customHeight="1">
      <c r="A119" s="137" t="s">
        <v>923</v>
      </c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ht="15.75" customHeight="1">
      <c r="A120" s="138" t="s">
        <v>899</v>
      </c>
      <c r="B120" s="138" t="s">
        <v>780</v>
      </c>
      <c r="C120" s="138" t="s">
        <v>12</v>
      </c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ht="15.75" customHeight="1">
      <c r="A121" s="139" t="str">
        <f>"Площадки = фактический расход"</f>
        <v>Площадки = фактический расход</v>
      </c>
      <c r="B121" s="139" t="str">
        <f>IF(ABS(C100-B117)&lt;0.01,"OK","ПРОВЕРИТЬ")</f>
        <v>ПРОВЕРИТЬ</v>
      </c>
      <c r="C121" s="140">
        <f>C100-B117</f>
        <v>42500</v>
      </c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ht="15.75" customHeight="1">
      <c r="A122" s="139" t="str">
        <f>"Продукты = фактический расход"</f>
        <v>Продукты = фактический расход</v>
      </c>
      <c r="B122" s="139" t="str">
        <f>IF(ABS(C107-B117)&lt;0.01,"OK","ПРОВЕРИТЬ")</f>
        <v>OK</v>
      </c>
      <c r="C122" s="140">
        <f>C107-B117</f>
        <v>0</v>
      </c>
      <c r="D122" s="145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ht="15.75" customHeight="1">
      <c r="A123" s="139" t="str">
        <f>"Воронки без двойного учёта"</f>
        <v>Воронки без двойного учёта</v>
      </c>
      <c r="B123" s="139" t="str">
        <f>IF(ABS(B117-(SUMIFS($M$6:$M$88,$I$6:$I$88,"Вышло")))&lt;0.01,"OK","ПРОВЕРИТЬ")</f>
        <v>OK</v>
      </c>
      <c r="C123" s="140">
        <f>B117-(SUMIFS($M$6:$M$88,$I$6:$I$88,"Вышло"))</f>
        <v>0</v>
      </c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ht="15.75" customHeight="1">
      <c r="A124" s="139" t="str">
        <f>"Неоднозначные строки"</f>
        <v>Неоднозначные строки</v>
      </c>
      <c r="B124" s="139" t="str">
        <f>IF(B116=0,"OK","ТРЕБУЕТ УТОЧНЕНИЯ")</f>
        <v>ТРЕБУЕТ УТОЧНЕНИЯ</v>
      </c>
      <c r="C124" s="140">
        <f>B116</f>
        <v>42500</v>
      </c>
      <c r="D124" s="145"/>
      <c r="E124" s="145"/>
      <c r="F124" s="145"/>
      <c r="G124" s="145"/>
      <c r="H124" s="145"/>
      <c r="I124" s="145"/>
      <c r="J124" s="145"/>
      <c r="K124" s="145"/>
      <c r="L124" s="145"/>
      <c r="M124" s="145"/>
      <c r="N124" s="145"/>
      <c r="O124" s="145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ht="15.75" customHeight="1">
      <c r="A125" s="145"/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ht="15.75" customHeight="1">
      <c r="A126" s="137" t="s">
        <v>900</v>
      </c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ht="15.75" customHeight="1">
      <c r="A127" s="138" t="s">
        <v>901</v>
      </c>
      <c r="B127" s="138" t="s">
        <v>778</v>
      </c>
      <c r="C127" s="138" t="s">
        <v>835</v>
      </c>
      <c r="D127" s="138" t="s">
        <v>728</v>
      </c>
      <c r="E127" s="138" t="s">
        <v>902</v>
      </c>
      <c r="F127" s="145"/>
      <c r="G127" s="145"/>
      <c r="H127" s="145"/>
      <c r="I127" s="145"/>
      <c r="J127" s="145"/>
      <c r="K127" s="145"/>
      <c r="L127" s="145"/>
      <c r="M127" s="145"/>
      <c r="N127" s="145"/>
      <c r="O127" s="145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ht="36.0" customHeight="1">
      <c r="A128" s="149">
        <v>58.0</v>
      </c>
      <c r="B128" s="149" t="s">
        <v>39</v>
      </c>
      <c r="C128" s="149" t="s">
        <v>924</v>
      </c>
      <c r="D128" s="150">
        <v>42500.0</v>
      </c>
      <c r="E128" s="149" t="s">
        <v>925</v>
      </c>
      <c r="F128" s="145"/>
      <c r="G128" s="145"/>
      <c r="H128" s="145"/>
      <c r="I128" s="145"/>
      <c r="J128" s="145"/>
      <c r="K128" s="145"/>
      <c r="L128" s="145"/>
      <c r="M128" s="145"/>
      <c r="N128" s="145"/>
      <c r="O128" s="145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ht="15.75" customHeight="1">
      <c r="A129" s="145"/>
      <c r="B129" s="145"/>
      <c r="C129" s="145"/>
      <c r="D129" s="145"/>
      <c r="E129" s="145"/>
      <c r="F129" s="145"/>
      <c r="G129" s="145"/>
      <c r="H129" s="145"/>
      <c r="I129" s="145"/>
      <c r="J129" s="145"/>
      <c r="K129" s="145"/>
      <c r="L129" s="145"/>
      <c r="M129" s="145"/>
      <c r="N129" s="145"/>
      <c r="O129" s="145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ht="15.75" customHeight="1">
      <c r="A130" s="145"/>
      <c r="B130" s="145"/>
      <c r="C130" s="145"/>
      <c r="D130" s="145"/>
      <c r="E130" s="145"/>
      <c r="F130" s="145"/>
      <c r="G130" s="145"/>
      <c r="H130" s="145"/>
      <c r="I130" s="145"/>
      <c r="J130" s="145"/>
      <c r="K130" s="145"/>
      <c r="L130" s="145"/>
      <c r="M130" s="145"/>
      <c r="N130" s="145"/>
      <c r="O130" s="145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ht="15.75" customHeight="1">
      <c r="A131" s="145"/>
      <c r="B131" s="145"/>
      <c r="C131" s="145"/>
      <c r="D131" s="145"/>
      <c r="E131" s="145"/>
      <c r="F131" s="145"/>
      <c r="G131" s="145"/>
      <c r="H131" s="145"/>
      <c r="I131" s="145"/>
      <c r="J131" s="145"/>
      <c r="K131" s="145"/>
      <c r="L131" s="145"/>
      <c r="M131" s="145"/>
      <c r="N131" s="145"/>
      <c r="O131" s="145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ht="15.75" customHeight="1">
      <c r="A132" s="145"/>
      <c r="B132" s="145"/>
      <c r="C132" s="145"/>
      <c r="D132" s="145"/>
      <c r="E132" s="145"/>
      <c r="F132" s="145"/>
      <c r="G132" s="145"/>
      <c r="H132" s="145"/>
      <c r="I132" s="145"/>
      <c r="J132" s="145"/>
      <c r="K132" s="145"/>
      <c r="L132" s="145"/>
      <c r="M132" s="145"/>
      <c r="N132" s="145"/>
      <c r="O132" s="145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ht="15.75" customHeight="1">
      <c r="A133" s="145"/>
      <c r="B133" s="145"/>
      <c r="C133" s="145"/>
      <c r="D133" s="145"/>
      <c r="E133" s="145"/>
      <c r="F133" s="145"/>
      <c r="G133" s="145"/>
      <c r="H133" s="145"/>
      <c r="I133" s="145"/>
      <c r="J133" s="145"/>
      <c r="K133" s="145"/>
      <c r="L133" s="145"/>
      <c r="M133" s="145"/>
      <c r="N133" s="145"/>
      <c r="O133" s="145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ht="15.75" customHeight="1">
      <c r="A134" s="145"/>
      <c r="B134" s="145"/>
      <c r="C134" s="145"/>
      <c r="D134" s="145"/>
      <c r="E134" s="145"/>
      <c r="F134" s="145"/>
      <c r="G134" s="145"/>
      <c r="H134" s="145"/>
      <c r="I134" s="145"/>
      <c r="J134" s="145"/>
      <c r="K134" s="145"/>
      <c r="L134" s="145"/>
      <c r="M134" s="145"/>
      <c r="N134" s="145"/>
      <c r="O134" s="145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ht="15.75" customHeight="1">
      <c r="A135" s="145"/>
      <c r="B135" s="145"/>
      <c r="C135" s="145"/>
      <c r="D135" s="145"/>
      <c r="E135" s="145"/>
      <c r="F135" s="145"/>
      <c r="G135" s="145"/>
      <c r="H135" s="145"/>
      <c r="I135" s="145"/>
      <c r="J135" s="145"/>
      <c r="K135" s="145"/>
      <c r="L135" s="145"/>
      <c r="M135" s="145"/>
      <c r="N135" s="145"/>
      <c r="O135" s="14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ht="15.75" customHeight="1">
      <c r="A136" s="145"/>
      <c r="B136" s="145"/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  <c r="M136" s="145"/>
      <c r="N136" s="145"/>
      <c r="O136" s="145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ht="15.75" customHeight="1">
      <c r="A137" s="145"/>
      <c r="B137" s="145"/>
      <c r="C137" s="145"/>
      <c r="D137" s="145"/>
      <c r="E137" s="145"/>
      <c r="F137" s="145"/>
      <c r="G137" s="145"/>
      <c r="H137" s="145"/>
      <c r="I137" s="145"/>
      <c r="J137" s="145"/>
      <c r="K137" s="145"/>
      <c r="L137" s="145"/>
      <c r="M137" s="145"/>
      <c r="N137" s="145"/>
      <c r="O137" s="145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ht="15.75" customHeight="1">
      <c r="A138" s="145"/>
      <c r="B138" s="145"/>
      <c r="C138" s="145"/>
      <c r="D138" s="145"/>
      <c r="E138" s="145"/>
      <c r="F138" s="145"/>
      <c r="G138" s="145"/>
      <c r="H138" s="145"/>
      <c r="I138" s="145"/>
      <c r="J138" s="145"/>
      <c r="K138" s="145"/>
      <c r="L138" s="145"/>
      <c r="M138" s="145"/>
      <c r="N138" s="145"/>
      <c r="O138" s="145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ht="15.75" customHeight="1">
      <c r="A139" s="145"/>
      <c r="B139" s="145"/>
      <c r="C139" s="145"/>
      <c r="D139" s="145"/>
      <c r="E139" s="145"/>
      <c r="F139" s="145"/>
      <c r="G139" s="145"/>
      <c r="H139" s="145"/>
      <c r="I139" s="145"/>
      <c r="J139" s="145"/>
      <c r="K139" s="145"/>
      <c r="L139" s="145"/>
      <c r="M139" s="145"/>
      <c r="N139" s="145"/>
      <c r="O139" s="145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ht="15.75" customHeight="1">
      <c r="A140" s="145"/>
      <c r="B140" s="145"/>
      <c r="C140" s="145"/>
      <c r="D140" s="145"/>
      <c r="E140" s="145"/>
      <c r="F140" s="145"/>
      <c r="G140" s="145"/>
      <c r="H140" s="145"/>
      <c r="I140" s="145"/>
      <c r="J140" s="145"/>
      <c r="K140" s="145"/>
      <c r="L140" s="145"/>
      <c r="M140" s="145"/>
      <c r="N140" s="145"/>
      <c r="O140" s="145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ht="15.75" customHeight="1">
      <c r="A141" s="145"/>
      <c r="B141" s="145"/>
      <c r="C141" s="145"/>
      <c r="D141" s="145"/>
      <c r="E141" s="145"/>
      <c r="F141" s="145"/>
      <c r="G141" s="145"/>
      <c r="H141" s="145"/>
      <c r="I141" s="145"/>
      <c r="J141" s="145"/>
      <c r="K141" s="145"/>
      <c r="L141" s="145"/>
      <c r="M141" s="145"/>
      <c r="N141" s="145"/>
      <c r="O141" s="145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ht="15.75" customHeight="1">
      <c r="A142" s="145"/>
      <c r="B142" s="145"/>
      <c r="C142" s="145"/>
      <c r="D142" s="145"/>
      <c r="E142" s="145"/>
      <c r="F142" s="145"/>
      <c r="G142" s="145"/>
      <c r="H142" s="145"/>
      <c r="I142" s="145"/>
      <c r="J142" s="145"/>
      <c r="K142" s="145"/>
      <c r="L142" s="145"/>
      <c r="M142" s="145"/>
      <c r="N142" s="145"/>
      <c r="O142" s="145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ht="15.75" customHeight="1">
      <c r="A143" s="145"/>
      <c r="B143" s="145"/>
      <c r="C143" s="145"/>
      <c r="D143" s="145"/>
      <c r="E143" s="145"/>
      <c r="F143" s="145"/>
      <c r="G143" s="145"/>
      <c r="H143" s="145"/>
      <c r="I143" s="145"/>
      <c r="J143" s="145"/>
      <c r="K143" s="145"/>
      <c r="L143" s="145"/>
      <c r="M143" s="145"/>
      <c r="N143" s="145"/>
      <c r="O143" s="145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ht="15.75" customHeight="1">
      <c r="A144" s="145"/>
      <c r="B144" s="145"/>
      <c r="C144" s="145"/>
      <c r="D144" s="145"/>
      <c r="E144" s="145"/>
      <c r="F144" s="145"/>
      <c r="G144" s="145"/>
      <c r="H144" s="145"/>
      <c r="I144" s="145"/>
      <c r="J144" s="145"/>
      <c r="K144" s="145"/>
      <c r="L144" s="145"/>
      <c r="M144" s="145"/>
      <c r="N144" s="145"/>
      <c r="O144" s="145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ht="15.75" customHeight="1">
      <c r="A145" s="145"/>
      <c r="B145" s="145"/>
      <c r="C145" s="145"/>
      <c r="D145" s="145"/>
      <c r="E145" s="145"/>
      <c r="F145" s="145"/>
      <c r="G145" s="145"/>
      <c r="H145" s="145"/>
      <c r="I145" s="145"/>
      <c r="J145" s="145"/>
      <c r="K145" s="145"/>
      <c r="L145" s="145"/>
      <c r="M145" s="145"/>
      <c r="N145" s="145"/>
      <c r="O145" s="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</row>
  </sheetData>
  <conditionalFormatting sqref="A8:AB14 A18:AB41 A45:AB52 A56:AB60 A64:AB70">
    <cfRule type="expression" dxfId="0" priority="1">
      <formula>AND($H8="Вышло",$G8="")</formula>
    </cfRule>
  </conditionalFormatting>
  <conditionalFormatting sqref="A8:AB14 A18:AB41 A45:AB52 A56:AB60 A64:AB70">
    <cfRule type="expression" dxfId="3" priority="2">
      <formula>AND($H8="Вышло",N($Y8)=0,N($U8)=0)</formula>
    </cfRule>
  </conditionalFormatting>
  <conditionalFormatting sqref="A8:AB22 A25:AB39 A42:AB56 A58 A59:AB71 A74:AB88 N58">
    <cfRule type="expression" dxfId="0" priority="3">
      <formula>AND($H8="Вышло",$G8="")</formula>
    </cfRule>
  </conditionalFormatting>
  <conditionalFormatting sqref="A8:AB22 A25:AB39 A42:AB56 A58 A59:AB71 A74:AB88 N58">
    <cfRule type="expression" dxfId="1" priority="4">
      <formula>AND($H8="Вышло",N($Y8)=0,N($U8)=0)</formula>
    </cfRule>
  </conditionalFormatting>
  <conditionalFormatting sqref="A8:AB22 A25:AB39 A42:AB56 A58 A59:AB71 A74:AB88 N58">
    <cfRule type="expression" dxfId="0" priority="5">
      <formula>AND($H8="Вышло",$G8="")</formula>
    </cfRule>
  </conditionalFormatting>
  <conditionalFormatting sqref="A8:AB22 A25:AB39 A42:AB56 A58 A59:AB71 A74:AB88 N58">
    <cfRule type="expression" dxfId="1" priority="6">
      <formula>AND($H8="Вышло",N($Y8)=0,N($U8)=0)</formula>
    </cfRule>
  </conditionalFormatting>
  <conditionalFormatting sqref="A8:AG22 A25:AG39 A42:AG56 A58 A59:AG71 A74:AG88 N58">
    <cfRule type="expression" dxfId="0" priority="7">
      <formula>AND($H8="Вышло",$G8="")</formula>
    </cfRule>
  </conditionalFormatting>
  <conditionalFormatting sqref="A8:AG22 A25:AG39 A42:AG56 A58 A59:AG71 A74:AG88 N58">
    <cfRule type="expression" dxfId="1" priority="8">
      <formula>AND($H8="Вышло",N($Y8)=0,N($U8)=0)</formula>
    </cfRule>
  </conditionalFormatting>
  <conditionalFormatting sqref="A7:AH21 A24:AH38 A41:AH55 A58:AH70 A73:AH87">
    <cfRule type="expression" dxfId="0" priority="9">
      <formula>AND($I7="Вышло",$H7="")</formula>
    </cfRule>
  </conditionalFormatting>
  <conditionalFormatting sqref="A7:AH21 A24:AH38 A41:AH55 A58:AH70 A73:AH87">
    <cfRule type="expression" dxfId="1" priority="10">
      <formula>AND($I7="Вышло",N($Z7)=0,N($V7)=0)</formula>
    </cfRule>
  </conditionalFormatting>
  <dataValidations>
    <dataValidation type="list" allowBlank="1" sqref="I7:I21 H22 I24:I38 H39 I41:I55 H56 I58:I70 H71 I73:I87 H88">
      <formula1>"Ожидаем выхода,Вышло,Перенос,Отказ"</formula1>
    </dataValidation>
    <dataValidation type="date" allowBlank="1" showInputMessage="1" showErrorMessage="1" prompt="Только дата - Введи дату, например 14.07.2026" sqref="G23:G24 G40:G41 G57:G58">
      <formula1>DATE(2026,1,1)</formula1>
      <formula2>DATE(2027,12,31)</formula2>
    </dataValidation>
    <dataValidation type="list" allowBlank="1" sqref="A7:A71 A73:A88">
      <formula1>bloggers_list</formula1>
    </dataValidation>
    <dataValidation type="list" allowBlank="1" sqref="E7 D8:E21 D22:D23 D24:E38 D39:D40 D41:E55 D56:D57 D58:E70 D71 E73 D74:E87 D88">
      <formula1>"WB,Ozon,Сайт"</formula1>
    </dataValidation>
    <dataValidation type="list" allowBlank="1" showErrorMessage="1" sqref="H23 H40 H57">
      <formula1>"Ожидаем выхода,Вышло,Перенос,Отказ"</formula1>
    </dataValidation>
    <dataValidation type="date" allowBlank="1" sqref="H7 G8:H21 G22 H24 G25:H38 G39 H41 G42:H55 G56 H58 G59:H70 G71 H73 G74:H87 G88">
      <formula1>DATE(2026,1,1)</formula1>
      <formula2>0.0</formula2>
    </dataValidation>
  </dataValidations>
  <hyperlinks>
    <hyperlink r:id="rId1" ref="O41"/>
    <hyperlink r:id="rId2" ref="P41"/>
    <hyperlink r:id="rId3" ref="A58"/>
    <hyperlink r:id="rId4" ref="P58"/>
  </hyperlinks>
  <printOptions/>
  <pageMargins bottom="0.75" footer="0.0" header="0.0" left="0.7" right="0.7" top="0.75"/>
  <pageSetup paperSize="9" orientation="portrait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2.63" defaultRowHeight="15.0"/>
  <cols>
    <col customWidth="1" min="1" max="1" width="30.0"/>
    <col customWidth="1" min="2" max="3" width="16.0"/>
    <col customWidth="1" min="4" max="10" width="13.0"/>
    <col customWidth="1" min="11" max="15" width="16.0"/>
    <col customWidth="1" min="16" max="19" width="12.0"/>
    <col customWidth="1" min="20" max="20" width="15.0"/>
    <col customWidth="1" min="21" max="21" width="9.0"/>
    <col customWidth="1" min="22" max="22" width="8.0"/>
    <col customWidth="1" min="23" max="23" width="10.0"/>
    <col customWidth="1" min="24" max="24" width="9.0"/>
    <col customWidth="1" min="25" max="26" width="10.0"/>
    <col customWidth="1" min="27" max="27" width="8.0"/>
    <col customWidth="1" min="28" max="29" width="11.0"/>
    <col customWidth="1" min="30" max="30" width="8.0"/>
    <col customWidth="1" min="31" max="31" width="10.0"/>
    <col customWidth="1" min="32" max="32" width="12.0"/>
    <col customWidth="1" min="33" max="33" width="11.0"/>
    <col customWidth="1" min="34" max="34" width="8.0"/>
    <col customWidth="1" min="35" max="35" width="16.0"/>
  </cols>
  <sheetData>
    <row r="1" ht="15.0" customHeight="1">
      <c r="A1" s="114" t="s">
        <v>926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55"/>
      <c r="P1" s="3"/>
      <c r="Q1" s="3"/>
      <c r="R1" s="3"/>
      <c r="S1" s="154"/>
      <c r="T1" s="55"/>
      <c r="U1" s="3"/>
      <c r="V1" s="155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ht="15.0" hidden="1" customHeight="1">
      <c r="A2" s="115" t="s">
        <v>832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55"/>
      <c r="P2" s="3"/>
      <c r="Q2" s="3"/>
      <c r="R2" s="3"/>
      <c r="S2" s="154"/>
      <c r="T2" s="55"/>
      <c r="U2" s="3"/>
      <c r="V2" s="155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ht="15.0" hidden="1" customHeight="1">
      <c r="A3" s="115" t="s">
        <v>833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55"/>
      <c r="P3" s="3"/>
      <c r="Q3" s="3"/>
      <c r="R3" s="3"/>
      <c r="S3" s="154"/>
      <c r="T3" s="55"/>
      <c r="U3" s="3"/>
      <c r="V3" s="155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</row>
    <row r="4" ht="15.0" hidden="1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55"/>
      <c r="P4" s="3"/>
      <c r="Q4" s="3"/>
      <c r="R4" s="3"/>
      <c r="S4" s="154"/>
      <c r="T4" s="55"/>
      <c r="U4" s="3"/>
      <c r="V4" s="155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</row>
    <row r="5" ht="31.5" customHeight="1">
      <c r="A5" s="116" t="s">
        <v>778</v>
      </c>
      <c r="B5" s="116" t="s">
        <v>834</v>
      </c>
      <c r="C5" s="116" t="s">
        <v>4</v>
      </c>
      <c r="D5" s="116" t="s">
        <v>1</v>
      </c>
      <c r="E5" s="116" t="s">
        <v>835</v>
      </c>
      <c r="F5" s="116" t="s">
        <v>836</v>
      </c>
      <c r="G5" s="116" t="s">
        <v>837</v>
      </c>
      <c r="H5" s="116" t="s">
        <v>838</v>
      </c>
      <c r="I5" s="116" t="s">
        <v>839</v>
      </c>
      <c r="J5" s="116" t="s">
        <v>840</v>
      </c>
      <c r="K5" s="116" t="s">
        <v>841</v>
      </c>
      <c r="L5" s="116" t="s">
        <v>842</v>
      </c>
      <c r="M5" s="116" t="s">
        <v>843</v>
      </c>
      <c r="N5" s="116" t="s">
        <v>844</v>
      </c>
      <c r="O5" s="116" t="s">
        <v>845</v>
      </c>
      <c r="P5" s="116" t="s">
        <v>846</v>
      </c>
      <c r="Q5" s="116" t="s">
        <v>847</v>
      </c>
      <c r="R5" s="116" t="s">
        <v>848</v>
      </c>
      <c r="S5" s="116" t="s">
        <v>927</v>
      </c>
      <c r="T5" s="116" t="s">
        <v>779</v>
      </c>
      <c r="U5" s="116" t="s">
        <v>729</v>
      </c>
      <c r="V5" s="156" t="s">
        <v>849</v>
      </c>
      <c r="W5" s="116" t="s">
        <v>850</v>
      </c>
      <c r="X5" s="116" t="s">
        <v>851</v>
      </c>
      <c r="Y5" s="116" t="s">
        <v>852</v>
      </c>
      <c r="Z5" s="116" t="s">
        <v>853</v>
      </c>
      <c r="AA5" s="116" t="s">
        <v>656</v>
      </c>
      <c r="AB5" s="116" t="s">
        <v>854</v>
      </c>
      <c r="AC5" s="116" t="s">
        <v>664</v>
      </c>
      <c r="AD5" s="116" t="s">
        <v>658</v>
      </c>
      <c r="AE5" s="116" t="s">
        <v>855</v>
      </c>
      <c r="AF5" s="116" t="s">
        <v>856</v>
      </c>
      <c r="AG5" s="116" t="s">
        <v>659</v>
      </c>
      <c r="AH5" s="116" t="s">
        <v>657</v>
      </c>
      <c r="AI5" s="116" t="s">
        <v>12</v>
      </c>
    </row>
    <row r="6" ht="33.75" customHeight="1">
      <c r="A6" s="117" t="s">
        <v>928</v>
      </c>
      <c r="B6" s="117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57"/>
      <c r="P6" s="117"/>
      <c r="Q6" s="117"/>
      <c r="R6" s="117"/>
      <c r="S6" s="158"/>
      <c r="T6" s="157"/>
      <c r="U6" s="117"/>
      <c r="V6" s="131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  <c r="AI6" s="117"/>
    </row>
    <row r="7" ht="15.0" customHeight="1">
      <c r="A7" s="159" t="s">
        <v>929</v>
      </c>
      <c r="B7" s="120" t="str">
        <f>IF($A7="","",IFERROR(HYPERLINK(VLOOKUP($A7,'Мои блогеры'!$A$2:$N$673,14,0),"🔗 открыть"),""))</f>
        <v/>
      </c>
      <c r="C7" s="11">
        <v>14999.0</v>
      </c>
      <c r="D7" s="120" t="s">
        <v>860</v>
      </c>
      <c r="E7" s="21" t="s">
        <v>860</v>
      </c>
      <c r="F7" s="21" t="s">
        <v>913</v>
      </c>
      <c r="G7" s="21" t="s">
        <v>930</v>
      </c>
      <c r="H7" s="121">
        <v>46240.0</v>
      </c>
      <c r="I7" s="21" t="s">
        <v>859</v>
      </c>
      <c r="J7" s="11">
        <v>1.0</v>
      </c>
      <c r="K7" s="122">
        <v>1.0</v>
      </c>
      <c r="L7" s="122">
        <v>1.0</v>
      </c>
      <c r="M7" s="11">
        <f>IF(N($J7)+N($K7)+N($L7)=0,"",N($J7)+N($K7)+N($L7))</f>
        <v>3</v>
      </c>
      <c r="N7" s="21" t="s">
        <v>931</v>
      </c>
      <c r="O7" s="160" t="s">
        <v>932</v>
      </c>
      <c r="P7" s="118" t="s">
        <v>933</v>
      </c>
      <c r="Q7" s="120" t="str">
        <f>IFERROR(VLOOKUP($A7,'Мои блогеры'!$A$2:$N$673,10,0)&amp;"-TRG","")</f>
        <v/>
      </c>
      <c r="R7" s="21" t="s">
        <v>934</v>
      </c>
      <c r="S7" s="161" t="s">
        <v>935</v>
      </c>
      <c r="T7" s="162" t="s">
        <v>936</v>
      </c>
      <c r="U7" s="122">
        <v>9320.0</v>
      </c>
      <c r="V7" s="123">
        <f t="shared" ref="V7:V8" si="2">IF(N($U7)=0,"",$M7/$U7)</f>
        <v>0.000321888412</v>
      </c>
      <c r="W7" s="122">
        <v>94.0</v>
      </c>
      <c r="X7" s="122">
        <v>37.0</v>
      </c>
      <c r="Y7" s="123">
        <f>IF(N($W7)=0,"",$M7/$W7)</f>
        <v>0.03191489362</v>
      </c>
      <c r="Z7" s="122">
        <v>19.0</v>
      </c>
      <c r="AA7" s="122">
        <v>0.0</v>
      </c>
      <c r="AB7" s="122">
        <v>0.0</v>
      </c>
      <c r="AC7" s="124">
        <v>0.95</v>
      </c>
      <c r="AD7" s="11" t="str">
        <f>IF(OR(N($AA7)=0,$AC7=""),"",ROUND($AA7*$AC7,0))</f>
        <v/>
      </c>
      <c r="AE7" s="122">
        <v>600.0</v>
      </c>
      <c r="AF7" s="11" t="str">
        <f>IF(OR(N($AD7)=0,$AE7=""),"",ROUND($AD7*$AE7,0))</f>
        <v/>
      </c>
      <c r="AG7" s="11" t="str">
        <f>IF(N($AD7)=0,"",ROUND($M7/$AD7,0))</f>
        <v/>
      </c>
      <c r="AH7" s="11" t="str">
        <f>IF(N($AA7)=0,"",ROUND($M7/$AA7,0))</f>
        <v/>
      </c>
      <c r="AI7" s="21"/>
    </row>
    <row r="8" ht="15.0" customHeight="1">
      <c r="A8" s="126" t="s">
        <v>937</v>
      </c>
      <c r="B8" s="126"/>
      <c r="C8" s="127"/>
      <c r="D8" s="126"/>
      <c r="E8" s="126"/>
      <c r="F8" s="126"/>
      <c r="G8" s="126"/>
      <c r="H8" s="126"/>
      <c r="I8" s="126" t="str">
        <f>COUNTIF(I7,"Вышло")&amp;" / "&amp;COUNTA(A7)</f>
        <v>1 / 1</v>
      </c>
      <c r="J8" s="127">
        <f t="shared" ref="J8:M8" si="1">SUM(J7)</f>
        <v>1</v>
      </c>
      <c r="K8" s="127">
        <f t="shared" si="1"/>
        <v>1</v>
      </c>
      <c r="L8" s="127">
        <f t="shared" si="1"/>
        <v>1</v>
      </c>
      <c r="M8" s="127">
        <f t="shared" si="1"/>
        <v>3</v>
      </c>
      <c r="N8" s="126"/>
      <c r="O8" s="163"/>
      <c r="P8" s="126"/>
      <c r="Q8" s="126"/>
      <c r="R8" s="126"/>
      <c r="S8" s="164"/>
      <c r="T8" s="163"/>
      <c r="U8" s="127">
        <f>SUM(U7)</f>
        <v>9320</v>
      </c>
      <c r="V8" s="128">
        <f t="shared" si="2"/>
        <v>0.000321888412</v>
      </c>
      <c r="W8" s="127">
        <f t="shared" ref="W8:X8" si="3">SUM(W7)</f>
        <v>94</v>
      </c>
      <c r="X8" s="127">
        <f t="shared" si="3"/>
        <v>37</v>
      </c>
      <c r="Y8" s="128">
        <f>IF(N(W8)=0,"",M8/W8)</f>
        <v>0.03191489362</v>
      </c>
      <c r="Z8" s="127">
        <f t="shared" ref="Z8:AB8" si="4">SUM(Z7)</f>
        <v>19</v>
      </c>
      <c r="AA8" s="127">
        <f t="shared" si="4"/>
        <v>0</v>
      </c>
      <c r="AB8" s="127">
        <f t="shared" si="4"/>
        <v>0</v>
      </c>
      <c r="AC8" s="129"/>
      <c r="AD8" s="127">
        <f>SUM(AD7)</f>
        <v>0</v>
      </c>
      <c r="AE8" s="127"/>
      <c r="AF8" s="127">
        <f>SUM(AF7)</f>
        <v>0</v>
      </c>
      <c r="AG8" s="127" t="str">
        <f>IF(N(AD8)=0,"—",ROUND(M8/AD8,0))</f>
        <v>—</v>
      </c>
      <c r="AH8" s="127" t="str">
        <f>IF(N(AA8)=0,"—",ROUND(M8/AA8,0))</f>
        <v>—</v>
      </c>
      <c r="AI8" s="126"/>
    </row>
    <row r="9" ht="15.0" customHeight="1">
      <c r="A9" s="117" t="s">
        <v>938</v>
      </c>
      <c r="B9" s="117"/>
      <c r="C9" s="130"/>
      <c r="D9" s="117"/>
      <c r="E9" s="117"/>
      <c r="F9" s="117"/>
      <c r="G9" s="117"/>
      <c r="H9" s="117"/>
      <c r="I9" s="117"/>
      <c r="J9" s="130"/>
      <c r="K9" s="130"/>
      <c r="L9" s="130"/>
      <c r="M9" s="130"/>
      <c r="N9" s="117"/>
      <c r="O9" s="157"/>
      <c r="P9" s="117"/>
      <c r="Q9" s="117"/>
      <c r="R9" s="117"/>
      <c r="S9" s="158"/>
      <c r="T9" s="157"/>
      <c r="U9" s="130"/>
      <c r="V9" s="131"/>
      <c r="W9" s="130"/>
      <c r="X9" s="130"/>
      <c r="Y9" s="131"/>
      <c r="Z9" s="130"/>
      <c r="AA9" s="130"/>
      <c r="AB9" s="130"/>
      <c r="AC9" s="132"/>
      <c r="AD9" s="130"/>
      <c r="AE9" s="130"/>
      <c r="AF9" s="130"/>
      <c r="AG9" s="130"/>
      <c r="AH9" s="130"/>
      <c r="AI9" s="117"/>
    </row>
    <row r="10" ht="15.0" customHeight="1">
      <c r="A10" s="151" t="s">
        <v>317</v>
      </c>
      <c r="B10" s="120" t="str">
        <f>IF($A10="","",IFERROR(HYPERLINK(VLOOKUP($A10,'Мои блогеры'!$A$2:$N$673,14,0),"🔗 открыть"),""))</f>
        <v>🔗 открыть</v>
      </c>
      <c r="C10" s="11">
        <f>IFERROR(VLOOKUP($A10,'Мои блогеры'!$A:$N,5,0),"")</f>
        <v>1600000</v>
      </c>
      <c r="D10" s="120" t="str">
        <f>IFERROR(VLOOKUP($A10,'Мои блогеры'!$A:$N,2,0),"")</f>
        <v>Tiktok</v>
      </c>
      <c r="E10" s="21" t="s">
        <v>860</v>
      </c>
      <c r="F10" s="165">
        <v>2.0</v>
      </c>
      <c r="G10" s="21" t="s">
        <v>939</v>
      </c>
      <c r="H10" s="121">
        <v>46248.0</v>
      </c>
      <c r="I10" s="21" t="s">
        <v>859</v>
      </c>
      <c r="J10" s="11">
        <v>53000.0</v>
      </c>
      <c r="K10" s="122">
        <v>700.0</v>
      </c>
      <c r="L10" s="122"/>
      <c r="M10" s="11">
        <f>IF(N($J10)+N($K10)+N($L10)=0,"",N($J10)+N($K10)+N($L10))</f>
        <v>53700</v>
      </c>
      <c r="N10" s="153" t="s">
        <v>940</v>
      </c>
      <c r="O10" s="162" t="s">
        <v>941</v>
      </c>
      <c r="P10" s="162" t="s">
        <v>942</v>
      </c>
      <c r="Q10" s="120" t="str">
        <f>IFERROR(VLOOKUP($A10,'Мои блогеры'!$A$2:$N$673,10,0)&amp;"-TRG","")</f>
        <v>-TRG</v>
      </c>
      <c r="R10" s="21" t="s">
        <v>943</v>
      </c>
      <c r="S10" s="161" t="s">
        <v>935</v>
      </c>
      <c r="T10" s="162" t="s">
        <v>944</v>
      </c>
      <c r="U10" s="122">
        <v>1345824.0</v>
      </c>
      <c r="V10" s="123">
        <f>IF(N($U10)=0,"",$M10/$U10)</f>
        <v>0.03990120551</v>
      </c>
      <c r="W10" s="122">
        <v>24.0</v>
      </c>
      <c r="X10" s="122">
        <v>29.0</v>
      </c>
      <c r="Y10" s="123">
        <f>IF(N($W10)=0,"",$M10/$W10)</f>
        <v>2237.5</v>
      </c>
      <c r="Z10" s="122">
        <v>12.0</v>
      </c>
      <c r="AA10" s="122">
        <v>5.0</v>
      </c>
      <c r="AB10" s="122">
        <v>4259.0</v>
      </c>
      <c r="AC10" s="124">
        <v>0.95</v>
      </c>
      <c r="AD10" s="11">
        <f>IF(OR(N($AA10)=0,$AC10=""),"",ROUND($AA10*$AC10,0))</f>
        <v>5</v>
      </c>
      <c r="AE10" s="122">
        <v>850.0</v>
      </c>
      <c r="AF10" s="11">
        <f>IF(OR(N($AD10)=0,$AE10=""),"",ROUND($AD10*$AE10,0))</f>
        <v>4250</v>
      </c>
      <c r="AG10" s="11">
        <f>IF(N($AD10)=0,"",ROUND($M10/$AD10,0))</f>
        <v>10740</v>
      </c>
      <c r="AH10" s="11">
        <f>IF(N($AA10)=0,"",ROUND($M10/$AA10,0))</f>
        <v>10740</v>
      </c>
      <c r="AI10" s="21"/>
    </row>
    <row r="11" ht="15.0" customHeight="1">
      <c r="A11" s="126" t="s">
        <v>945</v>
      </c>
      <c r="B11" s="126"/>
      <c r="C11" s="127"/>
      <c r="D11" s="126"/>
      <c r="E11" s="126"/>
      <c r="F11" s="126"/>
      <c r="G11" s="126"/>
      <c r="H11" s="126"/>
      <c r="I11" s="126" t="str">
        <f>COUNTIF(I10,"Вышло")&amp;" / "&amp;COUNTA(A10)</f>
        <v>1 / 1</v>
      </c>
      <c r="J11" s="127">
        <f t="shared" ref="J11:M11" si="5">SUM(J10)</f>
        <v>53000</v>
      </c>
      <c r="K11" s="127">
        <f t="shared" si="5"/>
        <v>700</v>
      </c>
      <c r="L11" s="127">
        <f t="shared" si="5"/>
        <v>0</v>
      </c>
      <c r="M11" s="127">
        <f t="shared" si="5"/>
        <v>53700</v>
      </c>
      <c r="N11" s="126"/>
      <c r="O11" s="163"/>
      <c r="P11" s="126"/>
      <c r="Q11" s="126"/>
      <c r="R11" s="126"/>
      <c r="S11" s="164"/>
      <c r="T11" s="163"/>
      <c r="U11" s="127">
        <f>SUM(U10)</f>
        <v>1345824</v>
      </c>
      <c r="V11" s="128">
        <f>IF(N(U11)=0,"",M11/U11)</f>
        <v>0.03990120551</v>
      </c>
      <c r="W11" s="127">
        <f t="shared" ref="W11:X11" si="6">SUM(W10)</f>
        <v>24</v>
      </c>
      <c r="X11" s="127">
        <f t="shared" si="6"/>
        <v>29</v>
      </c>
      <c r="Y11" s="128">
        <f>IF(N(W11)=0,"",M11/W11)</f>
        <v>2237.5</v>
      </c>
      <c r="Z11" s="127">
        <f t="shared" ref="Z11:AB11" si="7">SUM(Z10)</f>
        <v>12</v>
      </c>
      <c r="AA11" s="127">
        <f t="shared" si="7"/>
        <v>5</v>
      </c>
      <c r="AB11" s="127">
        <f t="shared" si="7"/>
        <v>4259</v>
      </c>
      <c r="AC11" s="129"/>
      <c r="AD11" s="127">
        <f>SUM(AD10)</f>
        <v>5</v>
      </c>
      <c r="AE11" s="127"/>
      <c r="AF11" s="127">
        <f>SUM(AF10)</f>
        <v>4250</v>
      </c>
      <c r="AG11" s="127">
        <f>IF(N(AD11)=0,"—",ROUND(M11/AD11,0))</f>
        <v>10740</v>
      </c>
      <c r="AH11" s="127">
        <f>IF(N(AA11)=0,"—",ROUND(M11/AA11,0))</f>
        <v>10740</v>
      </c>
      <c r="AI11" s="126"/>
    </row>
    <row r="12" ht="15.0" customHeight="1">
      <c r="A12" s="117" t="s">
        <v>946</v>
      </c>
      <c r="B12" s="117"/>
      <c r="C12" s="130"/>
      <c r="D12" s="117"/>
      <c r="E12" s="117"/>
      <c r="F12" s="117"/>
      <c r="G12" s="117"/>
      <c r="H12" s="117"/>
      <c r="I12" s="117"/>
      <c r="J12" s="130"/>
      <c r="K12" s="130"/>
      <c r="L12" s="130"/>
      <c r="M12" s="130"/>
      <c r="N12" s="117"/>
      <c r="O12" s="157"/>
      <c r="P12" s="117"/>
      <c r="Q12" s="117"/>
      <c r="R12" s="117"/>
      <c r="S12" s="158"/>
      <c r="T12" s="157"/>
      <c r="U12" s="130"/>
      <c r="V12" s="131"/>
      <c r="W12" s="130"/>
      <c r="X12" s="130"/>
      <c r="Y12" s="131"/>
      <c r="Z12" s="130"/>
      <c r="AA12" s="130"/>
      <c r="AB12" s="130"/>
      <c r="AC12" s="132"/>
      <c r="AD12" s="130"/>
      <c r="AE12" s="130"/>
      <c r="AF12" s="130"/>
      <c r="AG12" s="130"/>
      <c r="AH12" s="130"/>
      <c r="AI12" s="117"/>
    </row>
    <row r="13" ht="15.0" customHeight="1">
      <c r="A13" s="125" t="s">
        <v>289</v>
      </c>
      <c r="B13" s="119" t="str">
        <f>IF($A13="","",IFERROR(HYPERLINK(VLOOKUP($A13,'Мои блогеры'!$A$2:$N$673,14,0),"🔗 открыть"),""))</f>
        <v>🔗 открыть</v>
      </c>
      <c r="C13" s="11">
        <f>IFERROR(VLOOKUP($A13,'Мои блогеры'!$A:$N,5,0),"")</f>
        <v>902000</v>
      </c>
      <c r="D13" s="120" t="str">
        <f>IFERROR(VLOOKUP($A13,'Мои блогеры'!$A:$N,2,0),"")</f>
        <v>YouTube</v>
      </c>
      <c r="E13" s="21" t="s">
        <v>861</v>
      </c>
      <c r="F13" s="21" t="s">
        <v>930</v>
      </c>
      <c r="G13" s="21" t="s">
        <v>947</v>
      </c>
      <c r="H13" s="121">
        <v>46253.0</v>
      </c>
      <c r="I13" s="21" t="s">
        <v>859</v>
      </c>
      <c r="J13" s="11">
        <f>IFERROR(VLOOKUP($A13,'Мои блогеры'!$A$2:$N$673,8,0),"")</f>
        <v>1</v>
      </c>
      <c r="K13" s="122"/>
      <c r="L13" s="122"/>
      <c r="M13" s="11">
        <f t="shared" ref="M13:M19" si="8">IF(N($J13)+N($K13)+N($L13)=0,"",N($J13)+N($K13)+N($L13))</f>
        <v>1</v>
      </c>
      <c r="N13" s="21"/>
      <c r="O13" s="153"/>
      <c r="P13" s="21"/>
      <c r="Q13" s="120" t="str">
        <f>IFERROR(VLOOKUP($A13,'Мои блогеры'!$A$2:$N$673,10,0)&amp;"-TRG","")</f>
        <v>-TRG</v>
      </c>
      <c r="R13" s="21">
        <v>5.3403614E9</v>
      </c>
      <c r="S13" s="161" t="s">
        <v>935</v>
      </c>
      <c r="T13" s="162" t="s">
        <v>948</v>
      </c>
      <c r="U13" s="122">
        <v>166272.0</v>
      </c>
      <c r="V13" s="123">
        <f t="shared" ref="V13:V20" si="9">IF(N($U13)=0,"",$M13/$U13)</f>
        <v>0.000006014241724</v>
      </c>
      <c r="W13" s="122"/>
      <c r="X13" s="122"/>
      <c r="Y13" s="123" t="str">
        <f t="shared" ref="Y13:Y19" si="10">IF(N($W13)=0,"",$M13/$W13)</f>
        <v/>
      </c>
      <c r="Z13" s="122"/>
      <c r="AA13" s="122"/>
      <c r="AB13" s="122"/>
      <c r="AC13" s="124"/>
      <c r="AD13" s="11" t="str">
        <f t="shared" ref="AD13:AD19" si="11">IF(OR(N($AA13)=0,$AC13=""),"",ROUND($AA13*$AC13,0))</f>
        <v/>
      </c>
      <c r="AE13" s="122"/>
      <c r="AF13" s="11" t="str">
        <f t="shared" ref="AF13:AF19" si="12">IF(OR(N($AD13)=0,$AE13=""),"",ROUND($AD13*$AE13,0))</f>
        <v/>
      </c>
      <c r="AG13" s="11" t="str">
        <f t="shared" ref="AG13:AG19" si="13">IF(N($AD13)=0,"",ROUND($M13/$AD13,0))</f>
        <v/>
      </c>
      <c r="AH13" s="11" t="str">
        <f t="shared" ref="AH13:AH19" si="14">IF(N($AA13)=0,"",ROUND($M13/$AA13,0))</f>
        <v/>
      </c>
      <c r="AI13" s="21"/>
    </row>
    <row r="14" ht="15.0" customHeight="1">
      <c r="A14" s="125" t="s">
        <v>268</v>
      </c>
      <c r="B14" s="119" t="str">
        <f>IF($A14="","",IFERROR(HYPERLINK(VLOOKUP($A14,'Мои блогеры'!$A$2:$N$673,14,0),"🔗 открыть"),""))</f>
        <v>🔗 открыть</v>
      </c>
      <c r="C14" s="166">
        <f>IFERROR(VLOOKUP($A14,'Мои блогеры'!$A:$N,5,0),"")</f>
        <v>156000</v>
      </c>
      <c r="D14" s="120" t="str">
        <f>IFERROR(VLOOKUP($A14,'Мои блогеры'!$A:$N,2,0),"")</f>
        <v>Inst</v>
      </c>
      <c r="E14" s="21" t="s">
        <v>861</v>
      </c>
      <c r="F14" s="21" t="s">
        <v>930</v>
      </c>
      <c r="G14" s="21" t="s">
        <v>947</v>
      </c>
      <c r="H14" s="121">
        <v>46253.0</v>
      </c>
      <c r="I14" s="21" t="s">
        <v>859</v>
      </c>
      <c r="J14" s="11">
        <v>1.0</v>
      </c>
      <c r="K14" s="122"/>
      <c r="L14" s="122"/>
      <c r="M14" s="11">
        <f t="shared" si="8"/>
        <v>1</v>
      </c>
      <c r="N14" s="21"/>
      <c r="O14" s="153"/>
      <c r="P14" s="21"/>
      <c r="Q14" s="120" t="str">
        <f>IFERROR(VLOOKUP($A14,'Мои блогеры'!$A$2:$N$673,10,0)&amp;"-TRG","")</f>
        <v>-TRG</v>
      </c>
      <c r="R14" s="21">
        <v>5.3403614E9</v>
      </c>
      <c r="S14" s="161" t="s">
        <v>935</v>
      </c>
      <c r="T14" s="162" t="s">
        <v>949</v>
      </c>
      <c r="U14" s="122">
        <v>26500.0</v>
      </c>
      <c r="V14" s="123">
        <f t="shared" si="9"/>
        <v>0.00003773584906</v>
      </c>
      <c r="W14" s="122"/>
      <c r="X14" s="122"/>
      <c r="Y14" s="123" t="str">
        <f t="shared" si="10"/>
        <v/>
      </c>
      <c r="Z14" s="122"/>
      <c r="AA14" s="122"/>
      <c r="AB14" s="122"/>
      <c r="AC14" s="124"/>
      <c r="AD14" s="11" t="str">
        <f t="shared" si="11"/>
        <v/>
      </c>
      <c r="AE14" s="122"/>
      <c r="AF14" s="11" t="str">
        <f t="shared" si="12"/>
        <v/>
      </c>
      <c r="AG14" s="11" t="str">
        <f t="shared" si="13"/>
        <v/>
      </c>
      <c r="AH14" s="11" t="str">
        <f t="shared" si="14"/>
        <v/>
      </c>
      <c r="AI14" s="21"/>
    </row>
    <row r="15" ht="15.0" customHeight="1">
      <c r="A15" s="125" t="s">
        <v>33</v>
      </c>
      <c r="B15" s="119" t="str">
        <f>IF($A15="","",IFERROR(HYPERLINK(VLOOKUP($A15,'Мои блогеры'!$A$2:$N$673,14,0),"🔗 открыть"),""))</f>
        <v>🔗 открыть</v>
      </c>
      <c r="C15" s="166">
        <f>IFERROR(VLOOKUP($A15,'Мои блогеры'!$A:$N,5,0),"")</f>
        <v>156159</v>
      </c>
      <c r="D15" s="120" t="str">
        <f>IFERROR(VLOOKUP($A15,'Мои блогеры'!$A:$N,2,0),"")</f>
        <v>Telegram</v>
      </c>
      <c r="E15" s="21" t="s">
        <v>861</v>
      </c>
      <c r="F15" s="21" t="s">
        <v>950</v>
      </c>
      <c r="G15" s="21" t="s">
        <v>951</v>
      </c>
      <c r="H15" s="121">
        <v>46255.0</v>
      </c>
      <c r="I15" s="21" t="s">
        <v>859</v>
      </c>
      <c r="J15" s="11">
        <v>22500.0</v>
      </c>
      <c r="K15" s="122">
        <v>2000.0</v>
      </c>
      <c r="L15" s="122"/>
      <c r="M15" s="11">
        <f t="shared" si="8"/>
        <v>24500</v>
      </c>
      <c r="N15" s="21" t="s">
        <v>952</v>
      </c>
      <c r="O15" s="162" t="s">
        <v>953</v>
      </c>
      <c r="P15" s="162" t="s">
        <v>953</v>
      </c>
      <c r="Q15" s="120" t="str">
        <f>IFERROR(VLOOKUP($A15,'Мои блогеры'!$A$2:$N$673,10,0)&amp;"-TRG","")</f>
        <v>-TRG</v>
      </c>
      <c r="R15" s="21"/>
      <c r="S15" s="161"/>
      <c r="T15" s="162" t="s">
        <v>954</v>
      </c>
      <c r="U15" s="122">
        <v>59100.0</v>
      </c>
      <c r="V15" s="123">
        <f t="shared" si="9"/>
        <v>0.4145516074</v>
      </c>
      <c r="W15" s="122">
        <v>432.0</v>
      </c>
      <c r="X15" s="122">
        <v>231.0</v>
      </c>
      <c r="Y15" s="123">
        <f t="shared" si="10"/>
        <v>56.71296296</v>
      </c>
      <c r="Z15" s="122">
        <v>90.0</v>
      </c>
      <c r="AA15" s="122">
        <v>22.0</v>
      </c>
      <c r="AB15" s="122">
        <v>38114.0</v>
      </c>
      <c r="AC15" s="124">
        <v>0.95</v>
      </c>
      <c r="AD15" s="11">
        <f t="shared" si="11"/>
        <v>21</v>
      </c>
      <c r="AE15" s="122">
        <v>850.0</v>
      </c>
      <c r="AF15" s="11">
        <f t="shared" si="12"/>
        <v>17850</v>
      </c>
      <c r="AG15" s="11">
        <f t="shared" si="13"/>
        <v>1167</v>
      </c>
      <c r="AH15" s="11">
        <f t="shared" si="14"/>
        <v>1114</v>
      </c>
      <c r="AI15" s="21"/>
    </row>
    <row r="16" ht="15.0" customHeight="1">
      <c r="A16" s="151" t="s">
        <v>42</v>
      </c>
      <c r="B16" s="119" t="str">
        <f>IF($A16="","",IFERROR(HYPERLINK(VLOOKUP($A16,'Мои блогеры'!$A$2:$N$673,14,0),"🔗 открыть"),""))</f>
        <v>🔗 открыть</v>
      </c>
      <c r="C16" s="11">
        <f>IFERROR(VLOOKUP($A16,'Мои блогеры'!$A:$N,5,0),"")</f>
        <v>8829</v>
      </c>
      <c r="D16" s="120" t="str">
        <f>IFERROR(VLOOKUP($A16,'Мои блогеры'!$A:$N,2,0),"")</f>
        <v>MAX</v>
      </c>
      <c r="E16" s="21" t="s">
        <v>861</v>
      </c>
      <c r="F16" s="21" t="s">
        <v>955</v>
      </c>
      <c r="G16" s="21" t="s">
        <v>956</v>
      </c>
      <c r="H16" s="121">
        <v>46256.0</v>
      </c>
      <c r="I16" s="21" t="s">
        <v>859</v>
      </c>
      <c r="J16" s="11">
        <f>IFERROR(VLOOKUP($A16,'Мои блогеры'!$A$2:$N$673,8,0),"")</f>
        <v>2000</v>
      </c>
      <c r="K16" s="122"/>
      <c r="L16" s="122"/>
      <c r="M16" s="11">
        <f t="shared" si="8"/>
        <v>2000</v>
      </c>
      <c r="N16" s="21" t="s">
        <v>957</v>
      </c>
      <c r="O16" s="162" t="s">
        <v>958</v>
      </c>
      <c r="P16" s="162" t="s">
        <v>959</v>
      </c>
      <c r="Q16" s="120" t="str">
        <f>IFERROR(VLOOKUP($A16,'Мои блогеры'!$A$2:$N$673,10,0)&amp;"-TRG","")</f>
        <v>-TRG</v>
      </c>
      <c r="R16" s="21"/>
      <c r="S16" s="161"/>
      <c r="T16" s="162" t="s">
        <v>960</v>
      </c>
      <c r="U16" s="122">
        <v>2800.0</v>
      </c>
      <c r="V16" s="123">
        <f t="shared" si="9"/>
        <v>0.7142857143</v>
      </c>
      <c r="W16" s="122">
        <v>38.0</v>
      </c>
      <c r="X16" s="122">
        <v>26.0</v>
      </c>
      <c r="Y16" s="123">
        <f t="shared" si="10"/>
        <v>52.63157895</v>
      </c>
      <c r="Z16" s="122">
        <v>9.0</v>
      </c>
      <c r="AA16" s="122">
        <v>0.0</v>
      </c>
      <c r="AB16" s="122">
        <v>0.0</v>
      </c>
      <c r="AC16" s="124">
        <v>0.95</v>
      </c>
      <c r="AD16" s="11" t="str">
        <f t="shared" si="11"/>
        <v/>
      </c>
      <c r="AE16" s="122">
        <v>0.0</v>
      </c>
      <c r="AF16" s="11" t="str">
        <f t="shared" si="12"/>
        <v/>
      </c>
      <c r="AG16" s="11" t="str">
        <f t="shared" si="13"/>
        <v/>
      </c>
      <c r="AH16" s="11" t="str">
        <f t="shared" si="14"/>
        <v/>
      </c>
      <c r="AI16" s="21"/>
    </row>
    <row r="17" ht="15.0" customHeight="1">
      <c r="A17" s="151" t="s">
        <v>44</v>
      </c>
      <c r="B17" s="119" t="str">
        <f>IF($A17="","",IFERROR(HYPERLINK(VLOOKUP($A17,'Мои блогеры'!$A$2:$N$673,14,0),"🔗 открыть"),""))</f>
        <v>🔗 открыть</v>
      </c>
      <c r="C17" s="11">
        <f>IFERROR(VLOOKUP($A17,'Мои блогеры'!$A:$N,5,0),"")</f>
        <v>15000</v>
      </c>
      <c r="D17" s="120" t="str">
        <f>IFERROR(VLOOKUP($A17,'Мои блогеры'!$A:$N,2,0),"")</f>
        <v>Telegram</v>
      </c>
      <c r="E17" s="21" t="s">
        <v>861</v>
      </c>
      <c r="F17" s="21" t="s">
        <v>955</v>
      </c>
      <c r="G17" s="21" t="s">
        <v>956</v>
      </c>
      <c r="H17" s="121">
        <v>46256.0</v>
      </c>
      <c r="I17" s="21" t="s">
        <v>859</v>
      </c>
      <c r="J17" s="11">
        <f>IFERROR(VLOOKUP($A17,'Мои блогеры'!$A$2:$N$673,8,0),"")</f>
        <v>2000</v>
      </c>
      <c r="K17" s="122"/>
      <c r="L17" s="122"/>
      <c r="M17" s="11">
        <f t="shared" si="8"/>
        <v>2000</v>
      </c>
      <c r="N17" s="21" t="s">
        <v>961</v>
      </c>
      <c r="O17" s="162" t="s">
        <v>962</v>
      </c>
      <c r="P17" s="160" t="s">
        <v>963</v>
      </c>
      <c r="Q17" s="120" t="str">
        <f>IFERROR(VLOOKUP($A17,'Мои блогеры'!$A$2:$N$673,10,0)&amp;"-TRG","")</f>
        <v>-TRG</v>
      </c>
      <c r="R17" s="21"/>
      <c r="S17" s="161" t="s">
        <v>935</v>
      </c>
      <c r="T17" s="162" t="s">
        <v>964</v>
      </c>
      <c r="U17" s="122">
        <v>1500.0</v>
      </c>
      <c r="V17" s="123">
        <f t="shared" si="9"/>
        <v>1.333333333</v>
      </c>
      <c r="W17" s="122">
        <v>10.0</v>
      </c>
      <c r="X17" s="122">
        <v>8.0</v>
      </c>
      <c r="Y17" s="123">
        <f t="shared" si="10"/>
        <v>200</v>
      </c>
      <c r="Z17" s="122">
        <v>1.0</v>
      </c>
      <c r="AA17" s="122">
        <v>0.0</v>
      </c>
      <c r="AB17" s="122">
        <v>0.0</v>
      </c>
      <c r="AC17" s="124">
        <v>0.0</v>
      </c>
      <c r="AD17" s="11" t="str">
        <f t="shared" si="11"/>
        <v/>
      </c>
      <c r="AE17" s="122">
        <v>0.0</v>
      </c>
      <c r="AF17" s="11" t="str">
        <f t="shared" si="12"/>
        <v/>
      </c>
      <c r="AG17" s="11" t="str">
        <f t="shared" si="13"/>
        <v/>
      </c>
      <c r="AH17" s="11" t="str">
        <f t="shared" si="14"/>
        <v/>
      </c>
      <c r="AI17" s="21"/>
    </row>
    <row r="18" ht="15.0" customHeight="1">
      <c r="A18" s="125" t="s">
        <v>264</v>
      </c>
      <c r="B18" s="119" t="str">
        <f>IF($A18="","",IFERROR(HYPERLINK(VLOOKUP($A18,'Мои блогеры'!$A$2:$N$673,14,0),"🔗 открыть"),""))</f>
        <v>🔗 открыть</v>
      </c>
      <c r="C18" s="11">
        <f>IFERROR(VLOOKUP($A18,'Мои блогеры'!$A:$N,5,0),"")</f>
        <v>10000</v>
      </c>
      <c r="D18" s="120" t="str">
        <f>IFERROR(VLOOKUP($A18,'Мои блогеры'!$A:$N,2,0),"")</f>
        <v>VK</v>
      </c>
      <c r="E18" s="21" t="s">
        <v>861</v>
      </c>
      <c r="F18" s="21" t="s">
        <v>950</v>
      </c>
      <c r="G18" s="21" t="s">
        <v>939</v>
      </c>
      <c r="H18" s="121">
        <v>46256.0</v>
      </c>
      <c r="I18" s="21" t="s">
        <v>859</v>
      </c>
      <c r="J18" s="11">
        <f>IFERROR(VLOOKUP($A18,'Мои блогеры'!$A$2:$N$673,8,0),"")</f>
        <v>3000</v>
      </c>
      <c r="K18" s="122"/>
      <c r="L18" s="122"/>
      <c r="M18" s="11">
        <f t="shared" si="8"/>
        <v>3000</v>
      </c>
      <c r="N18" s="21" t="s">
        <v>965</v>
      </c>
      <c r="O18" s="162" t="s">
        <v>966</v>
      </c>
      <c r="P18" s="162" t="s">
        <v>967</v>
      </c>
      <c r="Q18" s="120" t="str">
        <f>IFERROR(VLOOKUP($A18,'Мои блогеры'!$A$2:$N$673,10,0)&amp;"-TRG","")</f>
        <v>-TRG</v>
      </c>
      <c r="R18" s="21"/>
      <c r="S18" s="161" t="s">
        <v>935</v>
      </c>
      <c r="T18" s="162" t="s">
        <v>968</v>
      </c>
      <c r="U18" s="122">
        <v>11300.0</v>
      </c>
      <c r="V18" s="123">
        <f t="shared" si="9"/>
        <v>0.2654867257</v>
      </c>
      <c r="W18" s="122">
        <v>64.0</v>
      </c>
      <c r="X18" s="122">
        <v>54.0</v>
      </c>
      <c r="Y18" s="123">
        <f t="shared" si="10"/>
        <v>46.875</v>
      </c>
      <c r="Z18" s="122">
        <v>21.0</v>
      </c>
      <c r="AA18" s="122">
        <v>1.0</v>
      </c>
      <c r="AB18" s="122">
        <v>850.0</v>
      </c>
      <c r="AC18" s="124">
        <v>0.95</v>
      </c>
      <c r="AD18" s="11">
        <f t="shared" si="11"/>
        <v>1</v>
      </c>
      <c r="AE18" s="122">
        <v>850.0</v>
      </c>
      <c r="AF18" s="11">
        <f t="shared" si="12"/>
        <v>850</v>
      </c>
      <c r="AG18" s="11">
        <f t="shared" si="13"/>
        <v>3000</v>
      </c>
      <c r="AH18" s="11">
        <f t="shared" si="14"/>
        <v>3000</v>
      </c>
      <c r="AI18" s="21"/>
    </row>
    <row r="19" ht="15.0" customHeight="1">
      <c r="A19" s="118" t="s">
        <v>266</v>
      </c>
      <c r="B19" s="119" t="str">
        <f>IF($A19="","",IFERROR(HYPERLINK(VLOOKUP($A19,'Мои блогеры'!$A$2:$N$673,14,0),"🔗 открыть"),""))</f>
        <v>🔗 открыть</v>
      </c>
      <c r="C19" s="11">
        <f>IFERROR(VLOOKUP($A19,'Мои блогеры'!$A:$N,5,0),"")</f>
        <v>94000</v>
      </c>
      <c r="D19" s="120" t="str">
        <f>IFERROR(VLOOKUP($A19,'Мои блогеры'!$A:$N,2,0),"")</f>
        <v>YouTube</v>
      </c>
      <c r="E19" s="21" t="s">
        <v>861</v>
      </c>
      <c r="F19" s="21" t="s">
        <v>950</v>
      </c>
      <c r="G19" s="21" t="s">
        <v>939</v>
      </c>
      <c r="H19" s="121">
        <v>46256.0</v>
      </c>
      <c r="I19" s="21" t="s">
        <v>859</v>
      </c>
      <c r="J19" s="11">
        <f>IFERROR(VLOOKUP($A19,'Мои блогеры'!$A$2:$N$673,8,0),"")</f>
        <v>6650</v>
      </c>
      <c r="K19" s="122"/>
      <c r="L19" s="122"/>
      <c r="M19" s="11">
        <f t="shared" si="8"/>
        <v>6650</v>
      </c>
      <c r="N19" s="21" t="s">
        <v>969</v>
      </c>
      <c r="O19" s="153"/>
      <c r="P19" s="21"/>
      <c r="Q19" s="120" t="str">
        <f>IFERROR(VLOOKUP($A19,'Мои блогеры'!$A$2:$N$673,10,0)&amp;"-TRG","")</f>
        <v>-TRG</v>
      </c>
      <c r="R19" s="21">
        <v>5.3403614E9</v>
      </c>
      <c r="S19" s="161"/>
      <c r="T19" s="162" t="s">
        <v>970</v>
      </c>
      <c r="U19" s="122">
        <v>20035.0</v>
      </c>
      <c r="V19" s="123">
        <f t="shared" si="9"/>
        <v>0.3319191415</v>
      </c>
      <c r="W19" s="122"/>
      <c r="X19" s="122"/>
      <c r="Y19" s="123" t="str">
        <f t="shared" si="10"/>
        <v/>
      </c>
      <c r="Z19" s="122"/>
      <c r="AA19" s="122"/>
      <c r="AB19" s="122"/>
      <c r="AC19" s="124"/>
      <c r="AD19" s="11" t="str">
        <f t="shared" si="11"/>
        <v/>
      </c>
      <c r="AE19" s="122"/>
      <c r="AF19" s="11" t="str">
        <f t="shared" si="12"/>
        <v/>
      </c>
      <c r="AG19" s="11" t="str">
        <f t="shared" si="13"/>
        <v/>
      </c>
      <c r="AH19" s="11" t="str">
        <f t="shared" si="14"/>
        <v/>
      </c>
      <c r="AI19" s="21"/>
    </row>
    <row r="20" ht="15.0" customHeight="1">
      <c r="A20" s="126" t="s">
        <v>971</v>
      </c>
      <c r="B20" s="126"/>
      <c r="C20" s="127"/>
      <c r="D20" s="126"/>
      <c r="E20" s="126"/>
      <c r="F20" s="126"/>
      <c r="G20" s="126"/>
      <c r="H20" s="126"/>
      <c r="I20" s="126" t="str">
        <f>COUNTIF(I13:I19,"Вышло")&amp;" / "&amp;COUNTA(A13:A19)</f>
        <v>7 / 7</v>
      </c>
      <c r="J20" s="127">
        <f t="shared" ref="J20:M20" si="15">SUM(J13:J19)</f>
        <v>36152</v>
      </c>
      <c r="K20" s="127">
        <f t="shared" si="15"/>
        <v>2000</v>
      </c>
      <c r="L20" s="127">
        <f t="shared" si="15"/>
        <v>0</v>
      </c>
      <c r="M20" s="127">
        <f t="shared" si="15"/>
        <v>38152</v>
      </c>
      <c r="N20" s="126"/>
      <c r="O20" s="163"/>
      <c r="P20" s="126"/>
      <c r="Q20" s="126"/>
      <c r="R20" s="126"/>
      <c r="S20" s="164"/>
      <c r="T20" s="163"/>
      <c r="U20" s="127">
        <f>SUM(U13:U19)</f>
        <v>287507</v>
      </c>
      <c r="V20" s="128">
        <f t="shared" si="9"/>
        <v>0.1326993778</v>
      </c>
      <c r="W20" s="127">
        <f t="shared" ref="W20:X20" si="16">SUM(W13:W19)</f>
        <v>544</v>
      </c>
      <c r="X20" s="127">
        <f t="shared" si="16"/>
        <v>319</v>
      </c>
      <c r="Y20" s="128">
        <f>IF(N(W20)=0,"",M20/W20)</f>
        <v>70.13235294</v>
      </c>
      <c r="Z20" s="127">
        <f t="shared" ref="Z20:AB20" si="17">SUM(Z13:Z19)</f>
        <v>121</v>
      </c>
      <c r="AA20" s="127">
        <f t="shared" si="17"/>
        <v>23</v>
      </c>
      <c r="AB20" s="127">
        <f t="shared" si="17"/>
        <v>38964</v>
      </c>
      <c r="AC20" s="129"/>
      <c r="AD20" s="127">
        <f>SUM(AD13:AD19)</f>
        <v>22</v>
      </c>
      <c r="AE20" s="127"/>
      <c r="AF20" s="127">
        <f>SUM(AF13:AF19)</f>
        <v>18700</v>
      </c>
      <c r="AG20" s="127">
        <f>IF(N(AD20)=0,"—",ROUND(M20/AD20,0))</f>
        <v>1734</v>
      </c>
      <c r="AH20" s="127">
        <f>IF(N(AA20)=0,"—",ROUND(M20/AA20,0))</f>
        <v>1659</v>
      </c>
      <c r="AI20" s="126"/>
    </row>
    <row r="21" ht="15.0" customHeight="1">
      <c r="A21" s="117" t="s">
        <v>972</v>
      </c>
      <c r="B21" s="117"/>
      <c r="C21" s="130"/>
      <c r="D21" s="117"/>
      <c r="E21" s="117"/>
      <c r="F21" s="117"/>
      <c r="G21" s="117"/>
      <c r="H21" s="117"/>
      <c r="I21" s="117"/>
      <c r="J21" s="130"/>
      <c r="K21" s="130"/>
      <c r="L21" s="130"/>
      <c r="M21" s="130"/>
      <c r="N21" s="117"/>
      <c r="O21" s="157"/>
      <c r="P21" s="117"/>
      <c r="Q21" s="117"/>
      <c r="R21" s="117"/>
      <c r="S21" s="158"/>
      <c r="T21" s="157"/>
      <c r="U21" s="130"/>
      <c r="V21" s="131"/>
      <c r="W21" s="130"/>
      <c r="X21" s="130"/>
      <c r="Y21" s="131"/>
      <c r="Z21" s="130"/>
      <c r="AA21" s="130"/>
      <c r="AB21" s="130"/>
      <c r="AC21" s="132"/>
      <c r="AD21" s="130"/>
      <c r="AE21" s="130"/>
      <c r="AF21" s="130"/>
      <c r="AG21" s="130"/>
      <c r="AH21" s="130"/>
      <c r="AI21" s="117"/>
    </row>
    <row r="22" ht="15.75" customHeight="1">
      <c r="A22" s="151" t="s">
        <v>54</v>
      </c>
      <c r="B22" s="119" t="str">
        <f>IF($A22="","",IFERROR(HYPERLINK(VLOOKUP($A22,'Мои блогеры'!$A$2:$N$673,14,0),"🔗 открыть"),""))</f>
        <v>🔗 открыть</v>
      </c>
      <c r="C22" s="11">
        <f>IFERROR(VLOOKUP($A22,'Мои блогеры'!$A:$N,5,0),"")</f>
        <v>400000</v>
      </c>
      <c r="D22" s="120" t="str">
        <f>IFERROR(VLOOKUP($A22,'Мои блогеры'!$A:$N,2,0),"")</f>
        <v>YouTube</v>
      </c>
      <c r="E22" s="21" t="s">
        <v>861</v>
      </c>
      <c r="F22" s="165">
        <v>3.0</v>
      </c>
      <c r="G22" s="21" t="s">
        <v>973</v>
      </c>
      <c r="H22" s="167">
        <v>46261.0</v>
      </c>
      <c r="I22" s="21" t="s">
        <v>859</v>
      </c>
      <c r="J22" s="11">
        <f>IFERROR(VLOOKUP($A22,'Мои блогеры'!$A$2:$N$673,8,0),"")</f>
        <v>35000</v>
      </c>
      <c r="K22" s="122"/>
      <c r="L22" s="122"/>
      <c r="M22" s="11">
        <f t="shared" ref="M22:M24" si="18">IF(N($J22)+N($K22)+N($L22)=0,"",N($J22)+N($K22)+N($L22))</f>
        <v>35000</v>
      </c>
      <c r="N22" s="21" t="s">
        <v>974</v>
      </c>
      <c r="O22" s="153"/>
      <c r="P22" s="21"/>
      <c r="Q22" s="120" t="str">
        <f>IFERROR(VLOOKUP($A22,'Мои блогеры'!$A$2:$N$673,10,0)&amp;"-TRG","")</f>
        <v>-TRG</v>
      </c>
      <c r="R22" s="21">
        <v>5.3403614E9</v>
      </c>
      <c r="S22" s="161" t="s">
        <v>935</v>
      </c>
      <c r="T22" s="162" t="s">
        <v>975</v>
      </c>
      <c r="U22" s="122">
        <v>271157.0</v>
      </c>
      <c r="V22" s="123">
        <f t="shared" ref="V22:V24" si="19">IF(N($U22)=0,"",$M22/$U22)</f>
        <v>0.1290765129</v>
      </c>
      <c r="W22" s="122">
        <v>0.0</v>
      </c>
      <c r="X22" s="122">
        <v>0.0</v>
      </c>
      <c r="Y22" s="123" t="str">
        <f t="shared" ref="Y22:Y24" si="20">IF(N($W22)=0,"",$M22/$W22)</f>
        <v/>
      </c>
      <c r="Z22" s="122">
        <v>0.0</v>
      </c>
      <c r="AA22" s="122">
        <f>70-14</f>
        <v>56</v>
      </c>
      <c r="AB22" s="122">
        <f>635*56</f>
        <v>35560</v>
      </c>
      <c r="AC22" s="124">
        <v>0.95</v>
      </c>
      <c r="AD22" s="11">
        <f t="shared" ref="AD22:AD24" si="21">IF(OR(N($AA22)=0,$AC22=""),"",ROUND($AA22*$AC22,0))</f>
        <v>53</v>
      </c>
      <c r="AE22" s="122">
        <v>600.0</v>
      </c>
      <c r="AF22" s="11">
        <f t="shared" ref="AF22:AF24" si="22">IF(OR(N($AD22)=0,$AE22=""),"",ROUND($AD22*$AE22,0))</f>
        <v>31800</v>
      </c>
      <c r="AG22" s="11">
        <f t="shared" ref="AG22:AG24" si="23">IF(N($AD22)=0,"",ROUND($M22/$AD22,0))</f>
        <v>660</v>
      </c>
      <c r="AH22" s="11">
        <f t="shared" ref="AH22:AH24" si="24">IF(N($AA22)=0,"",ROUND($M22/$AA22,0))</f>
        <v>625</v>
      </c>
      <c r="AI22" s="21"/>
    </row>
    <row r="23" ht="15.75" customHeight="1">
      <c r="A23" s="118" t="s">
        <v>46</v>
      </c>
      <c r="B23" s="119" t="str">
        <f>IF($A23="","",IFERROR(HYPERLINK(VLOOKUP($A23,'Мои блогеры'!$A$2:$N$673,14,0),"🔗 открыть"),""))</f>
        <v>🔗 открыть</v>
      </c>
      <c r="C23" s="11">
        <f>IFERROR(VLOOKUP($A23,'Мои блогеры'!$A:$N,5,0),"")</f>
        <v>14300</v>
      </c>
      <c r="D23" s="120" t="str">
        <f>IFERROR(VLOOKUP($A23,'Мои блогеры'!$A:$N,2,0),"")</f>
        <v>YouTube</v>
      </c>
      <c r="E23" s="21" t="s">
        <v>861</v>
      </c>
      <c r="F23" s="165">
        <v>4.0</v>
      </c>
      <c r="G23" s="168"/>
      <c r="H23" s="121">
        <v>46262.0</v>
      </c>
      <c r="I23" s="21" t="s">
        <v>859</v>
      </c>
      <c r="J23" s="11">
        <f>IFERROR(VLOOKUP($A23,'Мои блогеры'!$A$2:$N$673,8,0),"")</f>
        <v>10000</v>
      </c>
      <c r="K23" s="122"/>
      <c r="L23" s="122"/>
      <c r="M23" s="11">
        <f t="shared" si="18"/>
        <v>10000</v>
      </c>
      <c r="N23" s="21" t="s">
        <v>976</v>
      </c>
      <c r="O23" s="153"/>
      <c r="P23" s="21"/>
      <c r="Q23" s="120" t="str">
        <f>IFERROR(VLOOKUP($A23,'Мои блогеры'!$A$2:$N$673,10,0)&amp;"-TRG","")</f>
        <v>-TRG</v>
      </c>
      <c r="R23" s="21">
        <v>5.3403614E9</v>
      </c>
      <c r="S23" s="161" t="s">
        <v>935</v>
      </c>
      <c r="T23" s="162" t="s">
        <v>977</v>
      </c>
      <c r="U23" s="122">
        <v>2600.0</v>
      </c>
      <c r="V23" s="123">
        <f t="shared" si="19"/>
        <v>3.846153846</v>
      </c>
      <c r="W23" s="122">
        <v>0.0</v>
      </c>
      <c r="X23" s="122">
        <v>0.0</v>
      </c>
      <c r="Y23" s="123" t="str">
        <f t="shared" si="20"/>
        <v/>
      </c>
      <c r="Z23" s="122">
        <v>0.0</v>
      </c>
      <c r="AA23" s="122">
        <f>40-11</f>
        <v>29</v>
      </c>
      <c r="AB23" s="122">
        <f>635*29</f>
        <v>18415</v>
      </c>
      <c r="AC23" s="124">
        <v>0.95</v>
      </c>
      <c r="AD23" s="11">
        <f t="shared" si="21"/>
        <v>28</v>
      </c>
      <c r="AE23" s="122">
        <v>635.0</v>
      </c>
      <c r="AF23" s="11">
        <f t="shared" si="22"/>
        <v>17780</v>
      </c>
      <c r="AG23" s="11">
        <f t="shared" si="23"/>
        <v>357</v>
      </c>
      <c r="AH23" s="11">
        <f t="shared" si="24"/>
        <v>345</v>
      </c>
      <c r="AI23" s="21"/>
    </row>
    <row r="24" ht="15.75" customHeight="1">
      <c r="A24" s="118" t="s">
        <v>978</v>
      </c>
      <c r="B24" s="120" t="str">
        <f>IF($A24="","",IFERROR(HYPERLINK(VLOOKUP($A24,'Мои блогеры'!$A$2:$N$673,14,0),"🔗 открыть"),""))</f>
        <v/>
      </c>
      <c r="C24" s="11">
        <v>10370.0</v>
      </c>
      <c r="D24" s="120" t="s">
        <v>244</v>
      </c>
      <c r="E24" s="21" t="s">
        <v>858</v>
      </c>
      <c r="F24" s="165">
        <v>1.0</v>
      </c>
      <c r="G24" s="21"/>
      <c r="H24" s="121">
        <v>46264.0</v>
      </c>
      <c r="I24" s="21" t="s">
        <v>859</v>
      </c>
      <c r="J24" s="11">
        <v>357.0</v>
      </c>
      <c r="K24" s="122"/>
      <c r="L24" s="122"/>
      <c r="M24" s="11">
        <f t="shared" si="18"/>
        <v>357</v>
      </c>
      <c r="N24" s="21" t="s">
        <v>244</v>
      </c>
      <c r="O24" s="169" t="s">
        <v>979</v>
      </c>
      <c r="P24" s="21"/>
      <c r="Q24" s="120" t="str">
        <f>IFERROR(VLOOKUP($A24,'Мои блогеры'!$A$2:$N$673,10,0)&amp;"-TRG","")</f>
        <v/>
      </c>
      <c r="R24" s="21"/>
      <c r="S24" s="161"/>
      <c r="T24" s="169" t="s">
        <v>980</v>
      </c>
      <c r="U24" s="122">
        <v>2344.0</v>
      </c>
      <c r="V24" s="123">
        <f t="shared" si="19"/>
        <v>0.1523037543</v>
      </c>
      <c r="W24" s="122">
        <v>8.0</v>
      </c>
      <c r="X24" s="122">
        <v>8.0</v>
      </c>
      <c r="Y24" s="123">
        <f t="shared" si="20"/>
        <v>44.625</v>
      </c>
      <c r="Z24" s="122">
        <v>0.0</v>
      </c>
      <c r="AA24" s="122">
        <v>0.0</v>
      </c>
      <c r="AB24" s="122">
        <v>0.0</v>
      </c>
      <c r="AC24" s="124">
        <v>0.0</v>
      </c>
      <c r="AD24" s="11" t="str">
        <f t="shared" si="21"/>
        <v/>
      </c>
      <c r="AE24" s="122"/>
      <c r="AF24" s="11" t="str">
        <f t="shared" si="22"/>
        <v/>
      </c>
      <c r="AG24" s="11" t="str">
        <f t="shared" si="23"/>
        <v/>
      </c>
      <c r="AH24" s="11" t="str">
        <f t="shared" si="24"/>
        <v/>
      </c>
      <c r="AI24" s="21"/>
    </row>
    <row r="25" ht="15.0" customHeight="1">
      <c r="A25" s="126" t="s">
        <v>981</v>
      </c>
      <c r="B25" s="126"/>
      <c r="C25" s="127"/>
      <c r="D25" s="126"/>
      <c r="E25" s="126"/>
      <c r="F25" s="126"/>
      <c r="G25" s="126"/>
      <c r="H25" s="126"/>
      <c r="I25" s="126" t="str">
        <f>COUNTIF(I22:I24,"Вышло")&amp;" / "&amp;COUNTA(A22:A24)</f>
        <v>3 / 3</v>
      </c>
      <c r="J25" s="127">
        <f t="shared" ref="J25:M25" si="25">SUM(J22:J24)</f>
        <v>45357</v>
      </c>
      <c r="K25" s="127">
        <f t="shared" si="25"/>
        <v>0</v>
      </c>
      <c r="L25" s="127">
        <f t="shared" si="25"/>
        <v>0</v>
      </c>
      <c r="M25" s="127">
        <f t="shared" si="25"/>
        <v>45357</v>
      </c>
      <c r="N25" s="126"/>
      <c r="O25" s="163"/>
      <c r="P25" s="126"/>
      <c r="Q25" s="126"/>
      <c r="R25" s="126"/>
      <c r="S25" s="164"/>
      <c r="T25" s="163"/>
      <c r="U25" s="127">
        <f>SUM(U22:U24)</f>
        <v>276101</v>
      </c>
      <c r="V25" s="128">
        <f>IF(N(U25)=0,"",M25/U25)</f>
        <v>0.1642768407</v>
      </c>
      <c r="W25" s="127">
        <f t="shared" ref="W25:X25" si="26">SUM(W22:W24)</f>
        <v>8</v>
      </c>
      <c r="X25" s="127">
        <f t="shared" si="26"/>
        <v>8</v>
      </c>
      <c r="Y25" s="128">
        <f>IF(N(W25)=0,"",M25/W25)</f>
        <v>5669.625</v>
      </c>
      <c r="Z25" s="127">
        <f t="shared" ref="Z25:AB25" si="27">SUM(Z22:Z24)</f>
        <v>0</v>
      </c>
      <c r="AA25" s="127">
        <f t="shared" si="27"/>
        <v>85</v>
      </c>
      <c r="AB25" s="127">
        <f t="shared" si="27"/>
        <v>53975</v>
      </c>
      <c r="AC25" s="129"/>
      <c r="AD25" s="127">
        <f>SUM(AD22:AD24)</f>
        <v>81</v>
      </c>
      <c r="AE25" s="127"/>
      <c r="AF25" s="127">
        <f>SUM(AF22:AF24)</f>
        <v>49580</v>
      </c>
      <c r="AG25" s="127">
        <f>IF(N(AD25)=0,"—",ROUND(M25/AD25,0))</f>
        <v>560</v>
      </c>
      <c r="AH25" s="127">
        <f>IF(N(AA25)=0,"—",ROUND(M25/AA25,0))</f>
        <v>534</v>
      </c>
      <c r="AI25" s="126"/>
    </row>
    <row r="26" ht="15.75" customHeight="1">
      <c r="A26" s="117" t="s">
        <v>982</v>
      </c>
      <c r="B26" s="117"/>
      <c r="C26" s="130"/>
      <c r="D26" s="117"/>
      <c r="E26" s="117"/>
      <c r="F26" s="117"/>
      <c r="G26" s="117"/>
      <c r="H26" s="117"/>
      <c r="I26" s="117"/>
      <c r="J26" s="130"/>
      <c r="K26" s="130"/>
      <c r="L26" s="130"/>
      <c r="M26" s="130"/>
      <c r="N26" s="117"/>
      <c r="O26" s="157"/>
      <c r="P26" s="117"/>
      <c r="Q26" s="117"/>
      <c r="R26" s="117"/>
      <c r="S26" s="158"/>
      <c r="T26" s="157"/>
      <c r="U26" s="130"/>
      <c r="V26" s="131"/>
      <c r="W26" s="130"/>
      <c r="X26" s="130"/>
      <c r="Y26" s="131"/>
      <c r="Z26" s="130"/>
      <c r="AA26" s="130"/>
      <c r="AB26" s="130"/>
      <c r="AC26" s="132"/>
      <c r="AD26" s="130"/>
      <c r="AE26" s="130"/>
      <c r="AF26" s="130"/>
      <c r="AG26" s="130"/>
      <c r="AH26" s="130"/>
      <c r="AI26" s="117"/>
    </row>
    <row r="27" ht="15.75" customHeight="1">
      <c r="A27" s="118" t="s">
        <v>983</v>
      </c>
      <c r="B27" s="120" t="str">
        <f>IF($A27="","",IFERROR(HYPERLINK(VLOOKUP($A27,'Мои блогеры'!$A$2:$N$673,14,0),"🔗 открыть"),""))</f>
        <v/>
      </c>
      <c r="C27" s="11">
        <v>50100.0</v>
      </c>
      <c r="D27" s="120" t="s">
        <v>244</v>
      </c>
      <c r="E27" s="21" t="s">
        <v>858</v>
      </c>
      <c r="F27" s="165" t="s">
        <v>244</v>
      </c>
      <c r="G27" s="168"/>
      <c r="H27" s="121">
        <v>46265.0</v>
      </c>
      <c r="I27" s="21" t="s">
        <v>859</v>
      </c>
      <c r="J27" s="11">
        <v>1428.0</v>
      </c>
      <c r="K27" s="122"/>
      <c r="L27" s="122"/>
      <c r="M27" s="11">
        <f t="shared" ref="M27:M39" si="28">IF(N($J27)+N($K27)+N($L27)=0,"",N($J27)+N($K27)+N($L27))</f>
        <v>1428</v>
      </c>
      <c r="N27" s="21" t="s">
        <v>984</v>
      </c>
      <c r="O27" s="169" t="s">
        <v>985</v>
      </c>
      <c r="P27" s="21"/>
      <c r="Q27" s="120" t="str">
        <f>IFERROR(VLOOKUP($A27,'Мои блогеры'!$A$2:$N$673,10,0)&amp;"-TRG","")</f>
        <v/>
      </c>
      <c r="R27" s="21" t="s">
        <v>986</v>
      </c>
      <c r="S27" s="161"/>
      <c r="T27" s="169" t="s">
        <v>987</v>
      </c>
      <c r="U27" s="122">
        <v>2312.0</v>
      </c>
      <c r="V27" s="123">
        <f t="shared" ref="V27:V39" si="29">IF(N($U27)=0,"",$M27/$U27)</f>
        <v>0.6176470588</v>
      </c>
      <c r="W27" s="122">
        <v>14.0</v>
      </c>
      <c r="X27" s="122"/>
      <c r="Y27" s="123">
        <f t="shared" ref="Y27:Y39" si="30">IF(N($W27)=0,"",$M27/$W27)</f>
        <v>102</v>
      </c>
      <c r="Z27" s="122">
        <v>0.0</v>
      </c>
      <c r="AA27" s="122">
        <v>0.0</v>
      </c>
      <c r="AB27" s="122">
        <v>0.0</v>
      </c>
      <c r="AC27" s="124">
        <v>0.0</v>
      </c>
      <c r="AD27" s="11">
        <v>0.0</v>
      </c>
      <c r="AE27" s="122">
        <v>0.0</v>
      </c>
      <c r="AF27" s="11">
        <v>0.0</v>
      </c>
      <c r="AG27" s="11" t="str">
        <f t="shared" ref="AG27:AG29" si="31">IF(N($AD27)=0,"",ROUND($M27/$AD27,0))</f>
        <v/>
      </c>
      <c r="AH27" s="11" t="str">
        <f t="shared" ref="AH27:AH29" si="32">IF(N($AA27)=0,"",ROUND($M27/$AA27,0))</f>
        <v/>
      </c>
      <c r="AI27" s="21"/>
    </row>
    <row r="28" ht="15.75" customHeight="1">
      <c r="A28" s="125" t="s">
        <v>988</v>
      </c>
      <c r="B28" s="120" t="str">
        <f>IF($A28="","",IFERROR(HYPERLINK(VLOOKUP($A28,'Мои блогеры'!$A$2:$N$673,14,0),"🔗 открыть"),""))</f>
        <v/>
      </c>
      <c r="C28" s="11">
        <v>4702.0</v>
      </c>
      <c r="D28" s="120" t="s">
        <v>989</v>
      </c>
      <c r="E28" s="21" t="s">
        <v>861</v>
      </c>
      <c r="F28" s="21" t="s">
        <v>990</v>
      </c>
      <c r="G28" s="168"/>
      <c r="H28" s="121">
        <v>46265.0</v>
      </c>
      <c r="I28" s="21" t="s">
        <v>859</v>
      </c>
      <c r="J28" s="11">
        <v>559.0</v>
      </c>
      <c r="K28" s="122"/>
      <c r="L28" s="122"/>
      <c r="M28" s="11">
        <f t="shared" si="28"/>
        <v>559</v>
      </c>
      <c r="N28" s="21" t="s">
        <v>991</v>
      </c>
      <c r="O28" s="169" t="s">
        <v>992</v>
      </c>
      <c r="P28" s="21"/>
      <c r="Q28" s="120" t="str">
        <f>IFERROR(VLOOKUP($A28,'Мои блогеры'!$A$2:$N$673,10,0)&amp;"-TRG","")</f>
        <v/>
      </c>
      <c r="R28" s="21" t="s">
        <v>986</v>
      </c>
      <c r="S28" s="161"/>
      <c r="T28" s="169" t="s">
        <v>993</v>
      </c>
      <c r="U28" s="122">
        <v>1141.0</v>
      </c>
      <c r="V28" s="123">
        <f t="shared" si="29"/>
        <v>0.4899211218</v>
      </c>
      <c r="W28" s="122">
        <v>66.0</v>
      </c>
      <c r="X28" s="122"/>
      <c r="Y28" s="123">
        <f t="shared" si="30"/>
        <v>8.46969697</v>
      </c>
      <c r="Z28" s="122">
        <v>6.0</v>
      </c>
      <c r="AA28" s="122">
        <v>4.0</v>
      </c>
      <c r="AB28" s="122">
        <v>2540.0</v>
      </c>
      <c r="AC28" s="124">
        <v>0.95</v>
      </c>
      <c r="AD28" s="11">
        <f t="shared" ref="AD28:AD33" si="33">IF(OR(N($AA28)=0,$AC28=""),"",ROUND($AA28*$AC28,0))</f>
        <v>4</v>
      </c>
      <c r="AE28" s="122">
        <v>635.0</v>
      </c>
      <c r="AF28" s="11">
        <f t="shared" ref="AF28:AF29" si="34">IF(OR(N($AD28)=0,$AE28=""),"",ROUND($AD28*$AE28,0))</f>
        <v>2540</v>
      </c>
      <c r="AG28" s="11">
        <f t="shared" si="31"/>
        <v>140</v>
      </c>
      <c r="AH28" s="11">
        <f t="shared" si="32"/>
        <v>140</v>
      </c>
      <c r="AI28" s="21"/>
    </row>
    <row r="29" ht="15.0" customHeight="1">
      <c r="A29" s="125" t="s">
        <v>994</v>
      </c>
      <c r="B29" s="120" t="str">
        <f>IF($A29="","",IFERROR(HYPERLINK(VLOOKUP($A29,'Мои блогеры'!$A$2:$N$673,14,0),"🔗 открыть"),""))</f>
        <v/>
      </c>
      <c r="C29" s="11">
        <v>5891.0</v>
      </c>
      <c r="D29" s="120" t="s">
        <v>989</v>
      </c>
      <c r="E29" s="21" t="s">
        <v>861</v>
      </c>
      <c r="F29" s="21" t="s">
        <v>991</v>
      </c>
      <c r="G29" s="168"/>
      <c r="H29" s="121">
        <v>46265.0</v>
      </c>
      <c r="I29" s="21" t="s">
        <v>859</v>
      </c>
      <c r="J29" s="11">
        <v>783.0</v>
      </c>
      <c r="K29" s="122"/>
      <c r="L29" s="122"/>
      <c r="M29" s="11">
        <f t="shared" si="28"/>
        <v>783</v>
      </c>
      <c r="N29" s="21" t="s">
        <v>991</v>
      </c>
      <c r="O29" s="169" t="s">
        <v>995</v>
      </c>
      <c r="P29" s="21"/>
      <c r="Q29" s="120" t="str">
        <f>IFERROR(VLOOKUP($A29,'Мои блогеры'!$A$2:$N$673,10,0)&amp;"-TRG","")</f>
        <v/>
      </c>
      <c r="R29" s="21" t="s">
        <v>986</v>
      </c>
      <c r="S29" s="161"/>
      <c r="T29" s="169" t="s">
        <v>996</v>
      </c>
      <c r="U29" s="122">
        <v>1054.0</v>
      </c>
      <c r="V29" s="123">
        <f t="shared" si="29"/>
        <v>0.7428842505</v>
      </c>
      <c r="W29" s="122">
        <v>22.0</v>
      </c>
      <c r="X29" s="122"/>
      <c r="Y29" s="123">
        <f t="shared" si="30"/>
        <v>35.59090909</v>
      </c>
      <c r="Z29" s="122">
        <v>4.0</v>
      </c>
      <c r="AA29" s="122">
        <v>1.0</v>
      </c>
      <c r="AB29" s="122">
        <v>635.0</v>
      </c>
      <c r="AC29" s="124">
        <v>0.95</v>
      </c>
      <c r="AD29" s="11">
        <f t="shared" si="33"/>
        <v>1</v>
      </c>
      <c r="AE29" s="122">
        <v>635.0</v>
      </c>
      <c r="AF29" s="11">
        <f t="shared" si="34"/>
        <v>635</v>
      </c>
      <c r="AG29" s="11">
        <f t="shared" si="31"/>
        <v>783</v>
      </c>
      <c r="AH29" s="11">
        <f t="shared" si="32"/>
        <v>783</v>
      </c>
      <c r="AI29" s="21"/>
    </row>
    <row r="30" ht="15.0" customHeight="1">
      <c r="A30" s="125" t="s">
        <v>997</v>
      </c>
      <c r="B30" s="120" t="str">
        <f>IF($A30="","",IFERROR(HYPERLINK(VLOOKUP($A30,'Мои блогеры'!$A$2:$N$673,14,0),"🔗 открыть"),""))</f>
        <v/>
      </c>
      <c r="C30" s="11">
        <v>3409.0</v>
      </c>
      <c r="D30" s="120" t="s">
        <v>786</v>
      </c>
      <c r="E30" s="21" t="s">
        <v>861</v>
      </c>
      <c r="F30" s="21" t="s">
        <v>991</v>
      </c>
      <c r="G30" s="168"/>
      <c r="H30" s="121">
        <v>46265.0</v>
      </c>
      <c r="I30" s="21" t="s">
        <v>859</v>
      </c>
      <c r="J30" s="11">
        <v>559.0</v>
      </c>
      <c r="K30" s="122"/>
      <c r="L30" s="122"/>
      <c r="M30" s="11">
        <f t="shared" si="28"/>
        <v>559</v>
      </c>
      <c r="N30" s="21" t="s">
        <v>991</v>
      </c>
      <c r="O30" s="169" t="s">
        <v>998</v>
      </c>
      <c r="P30" s="21"/>
      <c r="Q30" s="120" t="str">
        <f>IFERROR(VLOOKUP($A30,'Мои блогеры'!$A$2:$N$673,10,0)&amp;"-TRG","")</f>
        <v/>
      </c>
      <c r="R30" s="21" t="s">
        <v>986</v>
      </c>
      <c r="S30" s="161"/>
      <c r="T30" s="169" t="s">
        <v>999</v>
      </c>
      <c r="U30" s="122">
        <v>449.0</v>
      </c>
      <c r="V30" s="123">
        <f t="shared" si="29"/>
        <v>1.244988864</v>
      </c>
      <c r="W30" s="122">
        <v>26.0</v>
      </c>
      <c r="X30" s="122"/>
      <c r="Y30" s="123">
        <f t="shared" si="30"/>
        <v>21.5</v>
      </c>
      <c r="Z30" s="122">
        <v>1.0</v>
      </c>
      <c r="AA30" s="122">
        <v>0.0</v>
      </c>
      <c r="AB30" s="122">
        <v>0.0</v>
      </c>
      <c r="AC30" s="124">
        <v>0.0</v>
      </c>
      <c r="AD30" s="11" t="str">
        <f t="shared" si="33"/>
        <v/>
      </c>
      <c r="AE30" s="122">
        <v>0.0</v>
      </c>
      <c r="AF30" s="11">
        <v>0.0</v>
      </c>
      <c r="AG30" s="11">
        <v>0.0</v>
      </c>
      <c r="AH30" s="11">
        <v>0.0</v>
      </c>
      <c r="AI30" s="21"/>
    </row>
    <row r="31" ht="15.0" customHeight="1">
      <c r="A31" s="125" t="s">
        <v>1000</v>
      </c>
      <c r="B31" s="120" t="str">
        <f>IF($A31="","",IFERROR(HYPERLINK(VLOOKUP($A31,'Мои блогеры'!$A$2:$N$673,14,0),"🔗 открыть"),""))</f>
        <v/>
      </c>
      <c r="C31" s="11">
        <v>2209.0</v>
      </c>
      <c r="D31" s="120" t="s">
        <v>786</v>
      </c>
      <c r="E31" s="21" t="s">
        <v>861</v>
      </c>
      <c r="F31" s="21" t="s">
        <v>991</v>
      </c>
      <c r="G31" s="168"/>
      <c r="H31" s="121">
        <v>46265.0</v>
      </c>
      <c r="I31" s="21" t="s">
        <v>859</v>
      </c>
      <c r="J31" s="11">
        <v>349.0</v>
      </c>
      <c r="K31" s="122"/>
      <c r="L31" s="122"/>
      <c r="M31" s="11">
        <f t="shared" si="28"/>
        <v>349</v>
      </c>
      <c r="N31" s="21" t="s">
        <v>991</v>
      </c>
      <c r="O31" s="169" t="s">
        <v>1001</v>
      </c>
      <c r="P31" s="21"/>
      <c r="Q31" s="120" t="str">
        <f>IFERROR(VLOOKUP($A31,'Мои блогеры'!$A$2:$N$673,10,0)&amp;"-TRG","")</f>
        <v/>
      </c>
      <c r="R31" s="21" t="s">
        <v>986</v>
      </c>
      <c r="S31" s="161"/>
      <c r="T31" s="162" t="s">
        <v>1002</v>
      </c>
      <c r="U31" s="122">
        <v>355.0</v>
      </c>
      <c r="V31" s="123">
        <f t="shared" si="29"/>
        <v>0.9830985915</v>
      </c>
      <c r="W31" s="122">
        <v>13.0</v>
      </c>
      <c r="X31" s="122"/>
      <c r="Y31" s="123">
        <f t="shared" si="30"/>
        <v>26.84615385</v>
      </c>
      <c r="Z31" s="122">
        <v>1.0</v>
      </c>
      <c r="AA31" s="122">
        <v>0.0</v>
      </c>
      <c r="AB31" s="122">
        <v>0.0</v>
      </c>
      <c r="AC31" s="124">
        <v>0.0</v>
      </c>
      <c r="AD31" s="11" t="str">
        <f t="shared" si="33"/>
        <v/>
      </c>
      <c r="AE31" s="122">
        <v>0.0</v>
      </c>
      <c r="AF31" s="11">
        <v>0.0</v>
      </c>
      <c r="AG31" s="11">
        <v>0.0</v>
      </c>
      <c r="AH31" s="11">
        <v>0.0</v>
      </c>
      <c r="AI31" s="21"/>
    </row>
    <row r="32" ht="15.0" customHeight="1">
      <c r="A32" s="125" t="s">
        <v>1003</v>
      </c>
      <c r="B32" s="120" t="str">
        <f>IF($A32="","",IFERROR(HYPERLINK(VLOOKUP($A32,'Мои блогеры'!$A$2:$N$673,14,0),"🔗 открыть"),""))</f>
        <v/>
      </c>
      <c r="C32" s="11">
        <v>1141.0</v>
      </c>
      <c r="D32" s="120" t="s">
        <v>786</v>
      </c>
      <c r="E32" s="21" t="s">
        <v>861</v>
      </c>
      <c r="F32" s="21" t="s">
        <v>991</v>
      </c>
      <c r="G32" s="168"/>
      <c r="H32" s="121">
        <v>46265.0</v>
      </c>
      <c r="I32" s="21" t="s">
        <v>859</v>
      </c>
      <c r="J32" s="11">
        <v>314.0</v>
      </c>
      <c r="K32" s="122"/>
      <c r="L32" s="122"/>
      <c r="M32" s="11">
        <f t="shared" si="28"/>
        <v>314</v>
      </c>
      <c r="N32" s="21" t="s">
        <v>991</v>
      </c>
      <c r="O32" s="169" t="s">
        <v>1004</v>
      </c>
      <c r="P32" s="21"/>
      <c r="Q32" s="120" t="str">
        <f>IFERROR(VLOOKUP($A32,'Мои блогеры'!$A$2:$N$673,10,0)&amp;"-TRG","")</f>
        <v/>
      </c>
      <c r="R32" s="21" t="s">
        <v>986</v>
      </c>
      <c r="S32" s="161"/>
      <c r="T32" s="169" t="s">
        <v>1005</v>
      </c>
      <c r="U32" s="122">
        <v>305.0</v>
      </c>
      <c r="V32" s="123">
        <f t="shared" si="29"/>
        <v>1.029508197</v>
      </c>
      <c r="W32" s="122">
        <v>13.0</v>
      </c>
      <c r="X32" s="122"/>
      <c r="Y32" s="123">
        <f t="shared" si="30"/>
        <v>24.15384615</v>
      </c>
      <c r="Z32" s="122">
        <v>2.0</v>
      </c>
      <c r="AA32" s="122">
        <v>1.0</v>
      </c>
      <c r="AB32" s="122">
        <v>650.0</v>
      </c>
      <c r="AC32" s="124">
        <v>0.95</v>
      </c>
      <c r="AD32" s="11">
        <f t="shared" si="33"/>
        <v>1</v>
      </c>
      <c r="AE32" s="122">
        <v>650.0</v>
      </c>
      <c r="AF32" s="11">
        <f t="shared" ref="AF32:AF33" si="35">IF(OR(N($AD32)=0,$AE32=""),"",ROUND($AD32*$AE32,0))</f>
        <v>650</v>
      </c>
      <c r="AG32" s="11">
        <f t="shared" ref="AG32:AG33" si="36">IF(N($AD32)=0,"",ROUND($M32/$AD32,0))</f>
        <v>314</v>
      </c>
      <c r="AH32" s="11">
        <f t="shared" ref="AH32:AH33" si="37">IF(N($AA32)=0,"",ROUND($M32/$AA32,0))</f>
        <v>314</v>
      </c>
      <c r="AI32" s="21"/>
    </row>
    <row r="33" ht="15.0" customHeight="1">
      <c r="A33" s="125" t="s">
        <v>1006</v>
      </c>
      <c r="B33" s="120" t="str">
        <f>IF($A33="","",IFERROR(HYPERLINK(VLOOKUP($A33,'Мои блогеры'!$A$2:$N$673,14,0),"🔗 открыть"),""))</f>
        <v/>
      </c>
      <c r="C33" s="11">
        <v>3034.0</v>
      </c>
      <c r="D33" s="120" t="s">
        <v>786</v>
      </c>
      <c r="E33" s="21" t="s">
        <v>861</v>
      </c>
      <c r="F33" s="21" t="s">
        <v>991</v>
      </c>
      <c r="G33" s="168"/>
      <c r="H33" s="121">
        <v>46265.0</v>
      </c>
      <c r="I33" s="21" t="s">
        <v>859</v>
      </c>
      <c r="J33" s="11">
        <v>390.0</v>
      </c>
      <c r="K33" s="122"/>
      <c r="L33" s="122"/>
      <c r="M33" s="11">
        <f t="shared" si="28"/>
        <v>390</v>
      </c>
      <c r="N33" s="21" t="s">
        <v>991</v>
      </c>
      <c r="O33" s="169" t="s">
        <v>1007</v>
      </c>
      <c r="P33" s="21"/>
      <c r="Q33" s="120" t="str">
        <f>IFERROR(VLOOKUP($A33,'Мои блогеры'!$A$2:$N$673,10,0)&amp;"-TRG","")</f>
        <v/>
      </c>
      <c r="R33" s="21" t="s">
        <v>986</v>
      </c>
      <c r="S33" s="161"/>
      <c r="T33" s="169" t="s">
        <v>1008</v>
      </c>
      <c r="U33" s="122">
        <v>778.0</v>
      </c>
      <c r="V33" s="123">
        <f t="shared" si="29"/>
        <v>0.501285347</v>
      </c>
      <c r="W33" s="122">
        <v>27.0</v>
      </c>
      <c r="X33" s="122"/>
      <c r="Y33" s="123">
        <f t="shared" si="30"/>
        <v>14.44444444</v>
      </c>
      <c r="Z33" s="122">
        <v>4.0</v>
      </c>
      <c r="AA33" s="122">
        <v>1.0</v>
      </c>
      <c r="AB33" s="122">
        <v>650.0</v>
      </c>
      <c r="AC33" s="124">
        <v>0.95</v>
      </c>
      <c r="AD33" s="11">
        <f t="shared" si="33"/>
        <v>1</v>
      </c>
      <c r="AE33" s="122">
        <v>650.0</v>
      </c>
      <c r="AF33" s="11">
        <f t="shared" si="35"/>
        <v>650</v>
      </c>
      <c r="AG33" s="11">
        <f t="shared" si="36"/>
        <v>390</v>
      </c>
      <c r="AH33" s="11">
        <f t="shared" si="37"/>
        <v>390</v>
      </c>
      <c r="AI33" s="21"/>
    </row>
    <row r="34" ht="15.0" customHeight="1">
      <c r="A34" s="125" t="s">
        <v>1009</v>
      </c>
      <c r="B34" s="120" t="str">
        <f>IF($A34="","",IFERROR(HYPERLINK(VLOOKUP($A34,'Мои блогеры'!$A$2:$N$673,14,0),"🔗 открыть"),""))</f>
        <v/>
      </c>
      <c r="C34" s="11">
        <v>3891.0</v>
      </c>
      <c r="D34" s="120" t="s">
        <v>786</v>
      </c>
      <c r="E34" s="21" t="s">
        <v>861</v>
      </c>
      <c r="F34" s="21" t="s">
        <v>991</v>
      </c>
      <c r="G34" s="168"/>
      <c r="H34" s="121">
        <v>46265.0</v>
      </c>
      <c r="I34" s="21" t="s">
        <v>859</v>
      </c>
      <c r="J34" s="11">
        <v>349.0</v>
      </c>
      <c r="K34" s="122"/>
      <c r="L34" s="122"/>
      <c r="M34" s="11">
        <f t="shared" si="28"/>
        <v>349</v>
      </c>
      <c r="N34" s="21" t="s">
        <v>991</v>
      </c>
      <c r="O34" s="169" t="s">
        <v>1010</v>
      </c>
      <c r="P34" s="21"/>
      <c r="Q34" s="120" t="str">
        <f>IFERROR(VLOOKUP($A34,'Мои блогеры'!$A$2:$N$673,10,0)&amp;"-TRG","")</f>
        <v/>
      </c>
      <c r="R34" s="21" t="s">
        <v>986</v>
      </c>
      <c r="S34" s="161"/>
      <c r="T34" s="169" t="s">
        <v>1011</v>
      </c>
      <c r="U34" s="122">
        <v>321.0</v>
      </c>
      <c r="V34" s="123">
        <f t="shared" si="29"/>
        <v>1.087227414</v>
      </c>
      <c r="W34" s="122">
        <v>19.0</v>
      </c>
      <c r="X34" s="122"/>
      <c r="Y34" s="123">
        <f t="shared" si="30"/>
        <v>18.36842105</v>
      </c>
      <c r="Z34" s="122">
        <v>0.0</v>
      </c>
      <c r="AA34" s="122">
        <v>0.0</v>
      </c>
      <c r="AB34" s="122">
        <v>0.0</v>
      </c>
      <c r="AC34" s="124">
        <v>0.0</v>
      </c>
      <c r="AD34" s="11">
        <v>0.0</v>
      </c>
      <c r="AE34" s="122">
        <v>0.0</v>
      </c>
      <c r="AF34" s="11">
        <v>0.0</v>
      </c>
      <c r="AG34" s="11">
        <v>0.0</v>
      </c>
      <c r="AH34" s="11">
        <v>0.0</v>
      </c>
      <c r="AI34" s="21"/>
    </row>
    <row r="35" ht="15.0" customHeight="1">
      <c r="A35" s="21"/>
      <c r="B35" s="120" t="str">
        <f>IF($A35="","",IFERROR(HYPERLINK(VLOOKUP($A35,'Мои блогеры'!$A$2:$N$673,14,0),"🔗 открыть"),""))</f>
        <v/>
      </c>
      <c r="C35" s="11"/>
      <c r="D35" s="120"/>
      <c r="E35" s="21"/>
      <c r="F35" s="21"/>
      <c r="G35" s="21"/>
      <c r="H35" s="121"/>
      <c r="I35" s="21"/>
      <c r="J35" s="11" t="str">
        <f>IFERROR(VLOOKUP($A35,'Мои блогеры'!$A$2:$N$673,8,0),"")</f>
        <v/>
      </c>
      <c r="K35" s="122"/>
      <c r="L35" s="122"/>
      <c r="M35" s="11" t="str">
        <f t="shared" si="28"/>
        <v/>
      </c>
      <c r="N35" s="21"/>
      <c r="O35" s="153"/>
      <c r="P35" s="21"/>
      <c r="Q35" s="120" t="str">
        <f>IFERROR(VLOOKUP($A35,'Мои блогеры'!$A$2:$N$673,10,0)&amp;"-TRG","")</f>
        <v/>
      </c>
      <c r="R35" s="21"/>
      <c r="S35" s="161"/>
      <c r="T35" s="153"/>
      <c r="U35" s="122"/>
      <c r="V35" s="123" t="str">
        <f t="shared" si="29"/>
        <v/>
      </c>
      <c r="W35" s="122"/>
      <c r="X35" s="122"/>
      <c r="Y35" s="123" t="str">
        <f t="shared" si="30"/>
        <v/>
      </c>
      <c r="Z35" s="122"/>
      <c r="AA35" s="122"/>
      <c r="AB35" s="122"/>
      <c r="AC35" s="124"/>
      <c r="AD35" s="11" t="str">
        <f t="shared" ref="AD35:AD39" si="38">IF(OR(N($AA35)=0,$AC35=""),"",ROUND($AA35*$AC35,0))</f>
        <v/>
      </c>
      <c r="AE35" s="122"/>
      <c r="AF35" s="11" t="str">
        <f t="shared" ref="AF35:AF39" si="39">IF(OR(N($AD35)=0,$AE35=""),"",ROUND($AD35*$AE35,0))</f>
        <v/>
      </c>
      <c r="AG35" s="11" t="str">
        <f t="shared" ref="AG35:AG39" si="40">IF(N($AD35)=0,"",ROUND($M35/$AD35,0))</f>
        <v/>
      </c>
      <c r="AH35" s="11" t="str">
        <f t="shared" ref="AH35:AH39" si="41">IF(N($AA35)=0,"",ROUND($M35/$AA35,0))</f>
        <v/>
      </c>
      <c r="AI35" s="21"/>
    </row>
    <row r="36" ht="15.0" customHeight="1">
      <c r="A36" s="21"/>
      <c r="B36" s="120" t="str">
        <f>IF($A36="","",IFERROR(HYPERLINK(VLOOKUP($A36,'Мои блогеры'!$A$2:$N$673,14,0),"🔗 открыть"),""))</f>
        <v/>
      </c>
      <c r="C36" s="11"/>
      <c r="D36" s="120"/>
      <c r="E36" s="21"/>
      <c r="F36" s="21"/>
      <c r="G36" s="21"/>
      <c r="H36" s="121"/>
      <c r="I36" s="21"/>
      <c r="J36" s="11" t="str">
        <f>IFERROR(VLOOKUP($A36,'Мои блогеры'!$A$2:$N$673,8,0),"")</f>
        <v/>
      </c>
      <c r="K36" s="122"/>
      <c r="L36" s="122"/>
      <c r="M36" s="11" t="str">
        <f t="shared" si="28"/>
        <v/>
      </c>
      <c r="N36" s="21"/>
      <c r="O36" s="153"/>
      <c r="P36" s="21"/>
      <c r="Q36" s="120" t="str">
        <f>IFERROR(VLOOKUP($A36,'Мои блогеры'!$A$2:$N$673,10,0)&amp;"-TRG","")</f>
        <v/>
      </c>
      <c r="R36" s="21"/>
      <c r="S36" s="161"/>
      <c r="T36" s="153"/>
      <c r="U36" s="122"/>
      <c r="V36" s="123" t="str">
        <f t="shared" si="29"/>
        <v/>
      </c>
      <c r="W36" s="122"/>
      <c r="X36" s="122"/>
      <c r="Y36" s="123" t="str">
        <f t="shared" si="30"/>
        <v/>
      </c>
      <c r="Z36" s="122"/>
      <c r="AA36" s="122"/>
      <c r="AB36" s="122"/>
      <c r="AC36" s="124"/>
      <c r="AD36" s="11" t="str">
        <f t="shared" si="38"/>
        <v/>
      </c>
      <c r="AE36" s="122"/>
      <c r="AF36" s="11" t="str">
        <f t="shared" si="39"/>
        <v/>
      </c>
      <c r="AG36" s="11" t="str">
        <f t="shared" si="40"/>
        <v/>
      </c>
      <c r="AH36" s="11" t="str">
        <f t="shared" si="41"/>
        <v/>
      </c>
      <c r="AI36" s="21"/>
    </row>
    <row r="37" ht="15.0" customHeight="1">
      <c r="A37" s="21"/>
      <c r="B37" s="120" t="str">
        <f>IF($A37="","",IFERROR(HYPERLINK(VLOOKUP($A37,'Мои блогеры'!$A$2:$N$673,14,0),"🔗 открыть"),""))</f>
        <v/>
      </c>
      <c r="C37" s="11"/>
      <c r="D37" s="120"/>
      <c r="E37" s="21"/>
      <c r="F37" s="21"/>
      <c r="G37" s="21"/>
      <c r="H37" s="121"/>
      <c r="I37" s="21"/>
      <c r="J37" s="11" t="str">
        <f>IFERROR(VLOOKUP($A37,'Мои блогеры'!$A$2:$N$673,8,0),"")</f>
        <v/>
      </c>
      <c r="K37" s="122"/>
      <c r="L37" s="122"/>
      <c r="M37" s="11" t="str">
        <f t="shared" si="28"/>
        <v/>
      </c>
      <c r="N37" s="21"/>
      <c r="O37" s="153"/>
      <c r="P37" s="21"/>
      <c r="Q37" s="120" t="str">
        <f>IFERROR(VLOOKUP($A37,'Мои блогеры'!$A$2:$N$673,10,0)&amp;"-TRG","")</f>
        <v/>
      </c>
      <c r="R37" s="21"/>
      <c r="S37" s="161"/>
      <c r="T37" s="153"/>
      <c r="U37" s="122"/>
      <c r="V37" s="123" t="str">
        <f t="shared" si="29"/>
        <v/>
      </c>
      <c r="W37" s="122"/>
      <c r="X37" s="122"/>
      <c r="Y37" s="123" t="str">
        <f t="shared" si="30"/>
        <v/>
      </c>
      <c r="Z37" s="122"/>
      <c r="AA37" s="122"/>
      <c r="AB37" s="122"/>
      <c r="AC37" s="124"/>
      <c r="AD37" s="11" t="str">
        <f t="shared" si="38"/>
        <v/>
      </c>
      <c r="AE37" s="122"/>
      <c r="AF37" s="11" t="str">
        <f t="shared" si="39"/>
        <v/>
      </c>
      <c r="AG37" s="11" t="str">
        <f t="shared" si="40"/>
        <v/>
      </c>
      <c r="AH37" s="11" t="str">
        <f t="shared" si="41"/>
        <v/>
      </c>
      <c r="AI37" s="21"/>
    </row>
    <row r="38" ht="15.0" customHeight="1">
      <c r="A38" s="21"/>
      <c r="B38" s="120" t="str">
        <f>IF($A38="","",IFERROR(HYPERLINK(VLOOKUP($A38,'Мои блогеры'!$A$2:$N$673,14,0),"🔗 открыть"),""))</f>
        <v/>
      </c>
      <c r="C38" s="11"/>
      <c r="D38" s="120"/>
      <c r="E38" s="21"/>
      <c r="F38" s="21"/>
      <c r="G38" s="21"/>
      <c r="H38" s="121"/>
      <c r="I38" s="21"/>
      <c r="J38" s="11" t="str">
        <f>IFERROR(VLOOKUP($A38,'Мои блогеры'!$A$2:$N$673,8,0),"")</f>
        <v/>
      </c>
      <c r="K38" s="122"/>
      <c r="L38" s="122"/>
      <c r="M38" s="11" t="str">
        <f t="shared" si="28"/>
        <v/>
      </c>
      <c r="N38" s="21"/>
      <c r="O38" s="153"/>
      <c r="P38" s="21"/>
      <c r="Q38" s="120" t="str">
        <f>IFERROR(VLOOKUP($A38,'Мои блогеры'!$A$2:$N$673,10,0)&amp;"-TRG","")</f>
        <v/>
      </c>
      <c r="R38" s="21"/>
      <c r="S38" s="161"/>
      <c r="T38" s="153"/>
      <c r="U38" s="122"/>
      <c r="V38" s="123" t="str">
        <f t="shared" si="29"/>
        <v/>
      </c>
      <c r="W38" s="122"/>
      <c r="X38" s="122"/>
      <c r="Y38" s="123" t="str">
        <f t="shared" si="30"/>
        <v/>
      </c>
      <c r="Z38" s="122"/>
      <c r="AA38" s="122"/>
      <c r="AB38" s="122"/>
      <c r="AC38" s="124"/>
      <c r="AD38" s="11" t="str">
        <f t="shared" si="38"/>
        <v/>
      </c>
      <c r="AE38" s="122"/>
      <c r="AF38" s="11" t="str">
        <f t="shared" si="39"/>
        <v/>
      </c>
      <c r="AG38" s="11" t="str">
        <f t="shared" si="40"/>
        <v/>
      </c>
      <c r="AH38" s="11" t="str">
        <f t="shared" si="41"/>
        <v/>
      </c>
      <c r="AI38" s="21"/>
    </row>
    <row r="39" ht="15.0" customHeight="1">
      <c r="A39" s="21"/>
      <c r="B39" s="120" t="str">
        <f>IF($A39="","",IFERROR(HYPERLINK(VLOOKUP($A39,'Мои блогеры'!$A$2:$N$673,14,0),"🔗 открыть"),""))</f>
        <v/>
      </c>
      <c r="C39" s="11"/>
      <c r="D39" s="120"/>
      <c r="E39" s="21"/>
      <c r="F39" s="21"/>
      <c r="G39" s="21"/>
      <c r="H39" s="121"/>
      <c r="I39" s="21"/>
      <c r="J39" s="11" t="str">
        <f>IFERROR(VLOOKUP($A39,'Мои блогеры'!$A$2:$N$673,8,0),"")</f>
        <v/>
      </c>
      <c r="K39" s="122"/>
      <c r="L39" s="122"/>
      <c r="M39" s="11" t="str">
        <f t="shared" si="28"/>
        <v/>
      </c>
      <c r="N39" s="21"/>
      <c r="O39" s="153"/>
      <c r="P39" s="21"/>
      <c r="Q39" s="120" t="str">
        <f>IFERROR(VLOOKUP($A39,'Мои блогеры'!$A$2:$N$673,10,0)&amp;"-TRG","")</f>
        <v/>
      </c>
      <c r="R39" s="21"/>
      <c r="S39" s="161"/>
      <c r="T39" s="153"/>
      <c r="U39" s="122"/>
      <c r="V39" s="123" t="str">
        <f t="shared" si="29"/>
        <v/>
      </c>
      <c r="W39" s="122"/>
      <c r="X39" s="122"/>
      <c r="Y39" s="123" t="str">
        <f t="shared" si="30"/>
        <v/>
      </c>
      <c r="Z39" s="122"/>
      <c r="AA39" s="122"/>
      <c r="AB39" s="122"/>
      <c r="AC39" s="124"/>
      <c r="AD39" s="11" t="str">
        <f t="shared" si="38"/>
        <v/>
      </c>
      <c r="AE39" s="122"/>
      <c r="AF39" s="11" t="str">
        <f t="shared" si="39"/>
        <v/>
      </c>
      <c r="AG39" s="11" t="str">
        <f t="shared" si="40"/>
        <v/>
      </c>
      <c r="AH39" s="11" t="str">
        <f t="shared" si="41"/>
        <v/>
      </c>
      <c r="AI39" s="21"/>
    </row>
    <row r="40" ht="15.75" customHeight="1">
      <c r="A40" s="126" t="s">
        <v>1012</v>
      </c>
      <c r="B40" s="126"/>
      <c r="C40" s="127"/>
      <c r="D40" s="126"/>
      <c r="E40" s="126"/>
      <c r="F40" s="126"/>
      <c r="G40" s="126"/>
      <c r="H40" s="126"/>
      <c r="I40" s="126" t="str">
        <f>COUNTIF(I27:I39,"Вышло")&amp;" / "&amp;COUNTA(A27:A39)</f>
        <v>8 / 8</v>
      </c>
      <c r="J40" s="127">
        <f t="shared" ref="J40:M40" si="42">SUM(J27:J39)</f>
        <v>4731</v>
      </c>
      <c r="K40" s="127">
        <f t="shared" si="42"/>
        <v>0</v>
      </c>
      <c r="L40" s="127">
        <f t="shared" si="42"/>
        <v>0</v>
      </c>
      <c r="M40" s="127">
        <f t="shared" si="42"/>
        <v>4731</v>
      </c>
      <c r="N40" s="126"/>
      <c r="O40" s="163"/>
      <c r="P40" s="126"/>
      <c r="Q40" s="126"/>
      <c r="R40" s="126"/>
      <c r="S40" s="164"/>
      <c r="T40" s="163"/>
      <c r="U40" s="127">
        <f>SUM(U27:U39)</f>
        <v>6715</v>
      </c>
      <c r="V40" s="128">
        <f t="shared" ref="V40:V41" si="46">IF(N(U40)=0,"",M40/U40)</f>
        <v>0.70454207</v>
      </c>
      <c r="W40" s="127">
        <f t="shared" ref="W40:X40" si="43">SUM(W27:W39)</f>
        <v>200</v>
      </c>
      <c r="X40" s="127">
        <f t="shared" si="43"/>
        <v>0</v>
      </c>
      <c r="Y40" s="128">
        <f t="shared" ref="Y40:Y41" si="48">IF(N(W40)=0,"",M40/W40)</f>
        <v>23.655</v>
      </c>
      <c r="Z40" s="127">
        <f t="shared" ref="Z40:AB40" si="44">SUM(Z27:Z39)</f>
        <v>18</v>
      </c>
      <c r="AA40" s="127">
        <f t="shared" si="44"/>
        <v>7</v>
      </c>
      <c r="AB40" s="127">
        <f t="shared" si="44"/>
        <v>4475</v>
      </c>
      <c r="AC40" s="129"/>
      <c r="AD40" s="127">
        <f>SUM(AD27:AD39)</f>
        <v>7</v>
      </c>
      <c r="AE40" s="127"/>
      <c r="AF40" s="127">
        <f>SUM(AF27:AF39)</f>
        <v>4475</v>
      </c>
      <c r="AG40" s="127">
        <f t="shared" ref="AG40:AG41" si="50">IF(N(AD40)=0,"—",ROUND(M40/AD40,0))</f>
        <v>676</v>
      </c>
      <c r="AH40" s="127">
        <f t="shared" ref="AH40:AH41" si="51">IF(N(AA40)=0,"—",ROUND(M40/AA40,0))</f>
        <v>676</v>
      </c>
      <c r="AI40" s="126"/>
    </row>
    <row r="41" ht="15.75" customHeight="1">
      <c r="A41" s="133" t="s">
        <v>683</v>
      </c>
      <c r="B41" s="133"/>
      <c r="C41" s="134"/>
      <c r="D41" s="133"/>
      <c r="E41" s="133"/>
      <c r="F41" s="133"/>
      <c r="G41" s="133"/>
      <c r="H41" s="133"/>
      <c r="I41" s="133" t="str">
        <f>SUM(COUNTIF(I7,"Вышло"),COUNTIF(I10,"Вышло"),COUNTIF(I13:I19,"Вышло"),COUNTIF(I22:I24,"Вышло"),COUNTIF(I27:I39,"Вышло"))&amp;" / "&amp;SUM(COUNTA(A7),COUNTA(A10),COUNTA(A13:A19),COUNTA(A22:A24),COUNTA(A27:A39))</f>
        <v>20 / 20</v>
      </c>
      <c r="J41" s="134">
        <f t="shared" ref="J41:M41" si="45">J8+J11+J20+J25+J40</f>
        <v>139241</v>
      </c>
      <c r="K41" s="134">
        <f t="shared" si="45"/>
        <v>2701</v>
      </c>
      <c r="L41" s="134">
        <f t="shared" si="45"/>
        <v>1</v>
      </c>
      <c r="M41" s="134">
        <f t="shared" si="45"/>
        <v>141943</v>
      </c>
      <c r="N41" s="133"/>
      <c r="O41" s="170"/>
      <c r="P41" s="133"/>
      <c r="Q41" s="133"/>
      <c r="R41" s="133"/>
      <c r="S41" s="171"/>
      <c r="T41" s="170"/>
      <c r="U41" s="134">
        <f>U8+U11+U20+U25+U40</f>
        <v>1925467</v>
      </c>
      <c r="V41" s="135">
        <f t="shared" si="46"/>
        <v>0.0737187394</v>
      </c>
      <c r="W41" s="134">
        <f t="shared" ref="W41:X41" si="47">W8+W11+W20+W25+W40</f>
        <v>870</v>
      </c>
      <c r="X41" s="134">
        <f t="shared" si="47"/>
        <v>393</v>
      </c>
      <c r="Y41" s="135">
        <f t="shared" si="48"/>
        <v>163.1528736</v>
      </c>
      <c r="Z41" s="134">
        <f t="shared" ref="Z41:AB41" si="49">Z8+Z11+Z20+Z25+Z40</f>
        <v>170</v>
      </c>
      <c r="AA41" s="134">
        <f t="shared" si="49"/>
        <v>120</v>
      </c>
      <c r="AB41" s="134">
        <f t="shared" si="49"/>
        <v>101673</v>
      </c>
      <c r="AC41" s="136"/>
      <c r="AD41" s="134">
        <f>AD8+AD11+AD20+AD25+AD40</f>
        <v>115</v>
      </c>
      <c r="AE41" s="134"/>
      <c r="AF41" s="134">
        <f>AF8+AF11+AF20+AF25+AF40</f>
        <v>77005</v>
      </c>
      <c r="AG41" s="134">
        <f t="shared" si="50"/>
        <v>1234</v>
      </c>
      <c r="AH41" s="134">
        <f t="shared" si="51"/>
        <v>1183</v>
      </c>
      <c r="AI41" s="133"/>
    </row>
    <row r="42" ht="15.75" customHeight="1">
      <c r="A42" s="137" t="s">
        <v>1013</v>
      </c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3"/>
      <c r="Q42" s="3"/>
      <c r="R42" s="3"/>
      <c r="S42" s="154"/>
      <c r="T42" s="55"/>
      <c r="U42" s="3"/>
      <c r="V42" s="155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</row>
    <row r="43" ht="36.0" customHeight="1">
      <c r="A43" s="138" t="s">
        <v>1</v>
      </c>
      <c r="B43" s="138" t="s">
        <v>872</v>
      </c>
      <c r="C43" s="138" t="s">
        <v>873</v>
      </c>
      <c r="D43" s="138" t="s">
        <v>859</v>
      </c>
      <c r="E43" s="138" t="s">
        <v>729</v>
      </c>
      <c r="F43" s="138" t="s">
        <v>730</v>
      </c>
      <c r="G43" s="138" t="s">
        <v>851</v>
      </c>
      <c r="H43" s="138" t="s">
        <v>731</v>
      </c>
      <c r="I43" s="138" t="s">
        <v>853</v>
      </c>
      <c r="J43" s="138" t="s">
        <v>656</v>
      </c>
      <c r="K43" s="138" t="s">
        <v>854</v>
      </c>
      <c r="L43" s="138" t="s">
        <v>874</v>
      </c>
      <c r="M43" s="138" t="s">
        <v>875</v>
      </c>
      <c r="N43" s="138" t="s">
        <v>876</v>
      </c>
      <c r="O43" s="138" t="s">
        <v>657</v>
      </c>
      <c r="P43" s="3"/>
      <c r="Q43" s="3"/>
      <c r="R43" s="3"/>
      <c r="S43" s="154"/>
      <c r="T43" s="55"/>
      <c r="U43" s="3"/>
      <c r="V43" s="155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</row>
    <row r="44" ht="15.75" customHeight="1">
      <c r="A44" s="139" t="s">
        <v>29</v>
      </c>
      <c r="B44" s="140">
        <f>SUMIFS($M$6:$M$40,$D$6:$D$40,"Telegram")+SUMIFS($M$6:$M$40,$D$6:$D$40,"Telegram ")+SUMIFS($M$6:$M$40,$D$6:$D$40,"Телеграм")+SUMIFS($M$6:$M$40,$D$6:$D$40,"ТГ")</f>
        <v>26500</v>
      </c>
      <c r="C44" s="140">
        <f>SUMIFS($M$6:$M$40,$I$6:$I$40,"Вышло",$D$6:$D$40,"Telegram")+SUMIFS($M$6:$M$40,$I$6:$I$40,"Вышло",$D$6:$D$40,"Telegram ")+SUMIFS($M$6:$M$40,$I$6:$I$40,"Вышло",$D$6:$D$40,"Телеграм")+SUMIFS($M$6:$M$40,$I$6:$I$40,"Вышло",$D$6:$D$40,"ТГ")</f>
        <v>26500</v>
      </c>
      <c r="D44" s="141">
        <f>COUNTIFS($I$6:$I$40,"Вышло",$D$6:$D$40,"Telegram")+COUNTIFS($I$6:$I$40,"Вышло",$D$6:$D$40,"Telegram ")+COUNTIFS($I$6:$I$40,"Вышло",$D$6:$D$40,"Телеграм")+COUNTIFS($I$6:$I$40,"Вышло",$D$6:$D$40,"ТГ")</f>
        <v>2</v>
      </c>
      <c r="E44" s="141">
        <f>SUMIFS($U$6:$U$40,$I$6:$I$40,"Вышло",$D$6:$D$40,"Telegram")+SUMIFS($U$6:$U$40,$I$6:$I$40,"Вышло",$D$6:$D$40,"Telegram ")+SUMIFS($U$6:$U$40,$I$6:$I$40,"Вышло",$D$6:$D$40,"Телеграм")+SUMIFS($U$6:$U$40,$I$6:$I$40,"Вышло",$D$6:$D$40,"ТГ")</f>
        <v>60600</v>
      </c>
      <c r="F44" s="141">
        <f>SUMIFS($W$6:$W$40,$I$6:$I$40,"Вышло",$D$6:$D$40,"Telegram")+SUMIFS($W$6:$W$40,$I$6:$I$40,"Вышло",$D$6:$D$40,"Telegram ")+SUMIFS($W$6:$W$40,$I$6:$I$40,"Вышло",$D$6:$D$40,"Телеграм")+SUMIFS($W$6:$W$40,$I$6:$I$40,"Вышло",$D$6:$D$40,"ТГ")</f>
        <v>442</v>
      </c>
      <c r="G44" s="141">
        <f>SUMIFS($X$6:$X$40,$I$6:$I$40,"Вышло",$D$6:$D$40,"Telegram")+SUMIFS($X$6:$X$40,$I$6:$I$40,"Вышло",$D$6:$D$40,"Telegram ")+SUMIFS($X$6:$X$40,$I$6:$I$40,"Вышло",$D$6:$D$40,"Телеграм")+SUMIFS($X$6:$X$40,$I$6:$I$40,"Вышло",$D$6:$D$40,"ТГ")</f>
        <v>239</v>
      </c>
      <c r="H44" s="141">
        <f t="shared" ref="H44:H51" si="52">0</f>
        <v>0</v>
      </c>
      <c r="I44" s="141">
        <f>SUMIFS($Z$6:$Z$40,$I$6:$I$40,"Вышло",$D$6:$D$40,"Telegram")+SUMIFS($Z$6:$Z$40,$I$6:$I$40,"Вышло",$D$6:$D$40,"Telegram ")+SUMIFS($Z$6:$Z$40,$I$6:$I$40,"Вышло",$D$6:$D$40,"Телеграм")+SUMIFS($Z$6:$Z$40,$I$6:$I$40,"Вышло",$D$6:$D$40,"ТГ")</f>
        <v>91</v>
      </c>
      <c r="J44" s="141">
        <f>SUMIFS($AA$6:$AA$40,$I$6:$I$40,"Вышло",$D$6:$D$40,"Telegram")+SUMIFS($AA$6:$AA$40,$I$6:$I$40,"Вышло",$D$6:$D$40,"Telegram ")+SUMIFS($AA$6:$AA$40,$I$6:$I$40,"Вышло",$D$6:$D$40,"Телеграм")+SUMIFS($AA$6:$AA$40,$I$6:$I$40,"Вышло",$D$6:$D$40,"ТГ")</f>
        <v>22</v>
      </c>
      <c r="K44" s="140">
        <f>SUMIFS($AB$6:$AB$40,$I$6:$I$40,"Вышло",$D$6:$D$40,"Telegram")+SUMIFS($AB$6:$AB$40,$I$6:$I$40,"Вышло",$D$6:$D$40,"Telegram ")+SUMIFS($AB$6:$AB$40,$I$6:$I$40,"Вышло",$D$6:$D$40,"Телеграм")+SUMIFS($AB$6:$AB$40,$I$6:$I$40,"Вышло",$D$6:$D$40,"ТГ")</f>
        <v>38114</v>
      </c>
      <c r="L44" s="140">
        <f>IF((SUMIFS($W$6:$W$40,$I$6:$I$40,"Вышло",$D$6:$D$40,"Telegram",$E$6:$E$40,"Сайт")+SUMIFS($W$6:$W$40,$I$6:$I$40,"Вышло",$D$6:$D$40,"Telegram",$E$6:$E$40,"сайт")+SUMIFS($W$6:$W$40,$I$6:$I$40,"Вышло",$D$6:$D$40,"Telegram ",$E$6:$E$40,"Сайт")+SUMIFS($W$6:$W$40,$I$6:$I$40,"Вышло",$D$6:$D$40,"Telegram ",$E$6:$E$40,"сайт")+SUMIFS($W$6:$W$40,$I$6:$I$40,"Вышло",$D$6:$D$40,"Телеграм",$E$6:$E$40,"Сайт")+SUMIFS($W$6:$W$40,$I$6:$I$40,"Вышло",$D$6:$D$40,"Телеграм",$E$6:$E$40,"сайт")+SUMIFS($W$6:$W$40,$I$6:$I$40,"Вышло",$D$6:$D$40,"ТГ",$E$6:$E$40,"Сайт")+SUMIFS($W$6:$W$40,$I$6:$I$40,"Вышло",$D$6:$D$40,"ТГ",$E$6:$E$40,"сайт")+SUMIFS($W$6:$W$40,$I$6:$I$40,"Вышло",$D$6:$D$40,"Telegram",$E$6:$E$40,"Ozon")+SUMIFS($W$6:$W$40,$I$6:$I$40,"Вышло",$D$6:$D$40,"Telegram",$E$6:$E$40,"OZON")+SUMIFS($W$6:$W$40,$I$6:$I$40,"Вышло",$D$6:$D$40,"Telegram",$E$6:$E$40,"Озон")+SUMIFS($W$6:$W$40,$I$6:$I$40,"Вышло",$D$6:$D$40,"Telegram",$E$6:$E$40,"озон")+SUMIFS($W$6:$W$40,$I$6:$I$40,"Вышло",$D$6:$D$40,"Telegram ",$E$6:$E$40,"Ozon")+SUMIFS($W$6:$W$40,$I$6:$I$40,"Вышло",$D$6:$D$40,"Telegram ",$E$6:$E$40,"OZON")+SUMIFS($W$6:$W$40,$I$6:$I$40,"Вышло",$D$6:$D$40,"Telegram ",$E$6:$E$40,"Озон")+SUMIFS($W$6:$W$40,$I$6:$I$40,"Вышло",$D$6:$D$40,"Telegram ",$E$6:$E$40,"озон")+SUMIFS($W$6:$W$40,$I$6:$I$40,"Вышло",$D$6:$D$40,"Телеграм",$E$6:$E$40,"Ozon")+SUMIFS($W$6:$W$40,$I$6:$I$40,"Вышло",$D$6:$D$40,"Телеграм",$E$6:$E$40,"OZON")+SUMIFS($W$6:$W$40,$I$6:$I$40,"Вышло",$D$6:$D$40,"Телеграм",$E$6:$E$40,"Озон")+SUMIFS($W$6:$W$40,$I$6:$I$40,"Вышло",$D$6:$D$40,"Телеграм",$E$6:$E$40,"озон")+SUMIFS($W$6:$W$40,$I$6:$I$40,"Вышло",$D$6:$D$40,"ТГ",$E$6:$E$40,"Ozon")+SUMIFS($W$6:$W$40,$I$6:$I$40,"Вышло",$D$6:$D$40,"ТГ",$E$6:$E$40,"OZON")+SUMIFS($W$6:$W$40,$I$6:$I$40,"Вышло",$D$6:$D$40,"ТГ",$E$6:$E$40,"Озон")+SUMIFS($W$6:$W$40,$I$6:$I$40,"Вышло",$D$6:$D$40,"ТГ",$E$6:$E$40,"озон"))=0,"—",ROUND((SUMIFS($M$6:$M$40,$I$6:$I$40,"Вышло",$D$6:$D$40,"Telegram",$E$6:$E$40,"Сайт",$W$6:$W$40,"&gt;0")+SUMIFS($M$6:$M$40,$I$6:$I$40,"Вышло",$D$6:$D$40,"Telegram",$E$6:$E$40,"сайт",$W$6:$W$40,"&gt;0")+SUMIFS($M$6:$M$40,$I$6:$I$40,"Вышло",$D$6:$D$40,"Telegram ",$E$6:$E$40,"Сайт",$W$6:$W$40,"&gt;0")+SUMIFS($M$6:$M$40,$I$6:$I$40,"Вышло",$D$6:$D$40,"Telegram ",$E$6:$E$40,"сайт",$W$6:$W$40,"&gt;0")+SUMIFS($M$6:$M$40,$I$6:$I$40,"Вышло",$D$6:$D$40,"Телеграм",$E$6:$E$40,"Сайт",$W$6:$W$40,"&gt;0")+SUMIFS($M$6:$M$40,$I$6:$I$40,"Вышло",$D$6:$D$40,"Телеграм",$E$6:$E$40,"сайт",$W$6:$W$40,"&gt;0")+SUMIFS($M$6:$M$40,$I$6:$I$40,"Вышло",$D$6:$D$40,"ТГ",$E$6:$E$40,"Сайт",$W$6:$W$40,"&gt;0")+SUMIFS($M$6:$M$40,$I$6:$I$40,"Вышло",$D$6:$D$40,"ТГ",$E$6:$E$40,"сайт",$W$6:$W$40,"&gt;0")+SUMIFS($M$6:$M$40,$I$6:$I$40,"Вышло",$D$6:$D$40,"Telegram",$E$6:$E$40,"Сайт",$W$6:$W$40,"&lt;=0",$P$6:$P$40,"&lt;&gt;")+SUMIFS($M$6:$M$40,$I$6:$I$40,"Вышло",$D$6:$D$40,"Telegram",$E$6:$E$40,"сайт",$W$6:$W$40,"&lt;=0",$P$6:$P$40,"&lt;&gt;")+SUMIFS($M$6:$M$40,$I$6:$I$40,"Вышло",$D$6:$D$40,"Telegram ",$E$6:$E$40,"Сайт",$W$6:$W$40,"&lt;=0",$P$6:$P$40,"&lt;&gt;")+SUMIFS($M$6:$M$40,$I$6:$I$40,"Вышло",$D$6:$D$40,"Telegram ",$E$6:$E$40,"сайт",$W$6:$W$40,"&lt;=0",$P$6:$P$40,"&lt;&gt;")+SUMIFS($M$6:$M$40,$I$6:$I$40,"Вышло",$D$6:$D$40,"Телеграм",$E$6:$E$40,"Сайт",$W$6:$W$40,"&lt;=0",$P$6:$P$40,"&lt;&gt;")+SUMIFS($M$6:$M$40,$I$6:$I$40,"Вышло",$D$6:$D$40,"Телеграм",$E$6:$E$40,"сайт",$W$6:$W$40,"&lt;=0",$P$6:$P$40,"&lt;&gt;")+SUMIFS($M$6:$M$40,$I$6:$I$40,"Вышло",$D$6:$D$40,"ТГ",$E$6:$E$40,"Сайт",$W$6:$W$40,"&lt;=0",$P$6:$P$40,"&lt;&gt;")+SUMIFS($M$6:$M$40,$I$6:$I$40,"Вышло",$D$6:$D$40,"ТГ",$E$6:$E$40,"сайт",$W$6:$W$40,"&lt;=0",$P$6:$P$40,"&lt;&gt;")+SUMIFS($M$6:$M$40,$I$6:$I$40,"Вышло",$D$6:$D$40,"Telegram",$E$6:$E$40,"Ozon",$W$6:$W$40,"&gt;0")+SUMIFS($M$6:$M$40,$I$6:$I$40,"Вышло",$D$6:$D$40,"Telegram",$E$6:$E$40,"OZON",$W$6:$W$40,"&gt;0")+SUMIFS($M$6:$M$40,$I$6:$I$40,"Вышло",$D$6:$D$40,"Telegram",$E$6:$E$40,"Озон",$W$6:$W$40,"&gt;0")+SUMIFS($M$6:$M$40,$I$6:$I$40,"Вышло",$D$6:$D$40,"Telegram",$E$6:$E$40,"озон",$W$6:$W$40,"&gt;0")+SUMIFS($M$6:$M$40,$I$6:$I$40,"Вышло",$D$6:$D$40,"Telegram ",$E$6:$E$40,"Ozon",$W$6:$W$40,"&gt;0")+SUMIFS($M$6:$M$40,$I$6:$I$40,"Вышло",$D$6:$D$40,"Telegram ",$E$6:$E$40,"OZON",$W$6:$W$40,"&gt;0")+SUMIFS($M$6:$M$40,$I$6:$I$40,"Вышло",$D$6:$D$40,"Telegram ",$E$6:$E$40,"Озон",$W$6:$W$40,"&gt;0")+SUMIFS($M$6:$M$40,$I$6:$I$40,"Вышло",$D$6:$D$40,"Telegram ",$E$6:$E$40,"озон",$W$6:$W$40,"&gt;0")+SUMIFS($M$6:$M$40,$I$6:$I$40,"Вышло",$D$6:$D$40,"Телеграм",$E$6:$E$40,"Ozon",$W$6:$W$40,"&gt;0")+SUMIFS($M$6:$M$40,$I$6:$I$40,"Вышло",$D$6:$D$40,"Телеграм",$E$6:$E$40,"OZON",$W$6:$W$40,"&gt;0")+SUMIFS($M$6:$M$40,$I$6:$I$40,"Вышло",$D$6:$D$40,"Телеграм",$E$6:$E$40,"Озон",$W$6:$W$40,"&gt;0")+SUMIFS($M$6:$M$40,$I$6:$I$40,"Вышло",$D$6:$D$40,"Телеграм",$E$6:$E$40,"озон",$W$6:$W$40,"&gt;0")+SUMIFS($M$6:$M$40,$I$6:$I$40,"Вышло",$D$6:$D$40,"ТГ",$E$6:$E$40,"Ozon",$W$6:$W$40,"&gt;0")+SUMIFS($M$6:$M$40,$I$6:$I$40,"Вышло",$D$6:$D$40,"ТГ",$E$6:$E$40,"OZON",$W$6:$W$40,"&gt;0")+SUMIFS($M$6:$M$40,$I$6:$I$40,"Вышло",$D$6:$D$40,"ТГ",$E$6:$E$40,"Озон",$W$6:$W$40,"&gt;0")+SUMIFS($M$6:$M$40,$I$6:$I$40,"Вышло",$D$6:$D$40,"ТГ",$E$6:$E$40,"озон",$W$6:$W$40,"&gt;0")+SUMIFS($M$6:$M$40,$I$6:$I$40,"Вышло",$D$6:$D$40,"Telegram",$E$6:$E$40,"Ozon",$W$6:$W$40,"&lt;=0",$P$6:$P$40,"&lt;&gt;")+SUMIFS($M$6:$M$40,$I$6:$I$40,"Вышло",$D$6:$D$40,"Telegram",$E$6:$E$40,"OZON",$W$6:$W$40,"&lt;=0",$P$6:$P$40,"&lt;&gt;")+SUMIFS($M$6:$M$40,$I$6:$I$40,"Вышло",$D$6:$D$40,"Telegram",$E$6:$E$40,"Озон",$W$6:$W$40,"&lt;=0",$P$6:$P$40,"&lt;&gt;")+SUMIFS($M$6:$M$40,$I$6:$I$40,"Вышло",$D$6:$D$40,"Telegram",$E$6:$E$40,"озон",$W$6:$W$40,"&lt;=0",$P$6:$P$40,"&lt;&gt;")+SUMIFS($M$6:$M$40,$I$6:$I$40,"Вышло",$D$6:$D$40,"Telegram ",$E$6:$E$40,"Ozon",$W$6:$W$40,"&lt;=0",$P$6:$P$40,"&lt;&gt;")+SUMIFS($M$6:$M$40,$I$6:$I$40,"Вышло",$D$6:$D$40,"Telegram ",$E$6:$E$40,"OZON",$W$6:$W$40,"&lt;=0",$P$6:$P$40,"&lt;&gt;")+SUMIFS($M$6:$M$40,$I$6:$I$40,"Вышло",$D$6:$D$40,"Telegram ",$E$6:$E$40,"Озон",$W$6:$W$40,"&lt;=0",$P$6:$P$40,"&lt;&gt;")+SUMIFS($M$6:$M$40,$I$6:$I$40,"Вышло",$D$6:$D$40,"Telegram ",$E$6:$E$40,"озон",$W$6:$W$40,"&lt;=0",$P$6:$P$40,"&lt;&gt;")+SUMIFS($M$6:$M$40,$I$6:$I$40,"Вышло",$D$6:$D$40,"Телеграм",$E$6:$E$40,"Ozon",$W$6:$W$40,"&lt;=0",$P$6:$P$40,"&lt;&gt;")+SUMIFS($M$6:$M$40,$I$6:$I$40,"Вышло",$D$6:$D$40,"Телеграм",$E$6:$E$40,"OZON",$W$6:$W$40,"&lt;=0",$P$6:$P$40,"&lt;&gt;")+SUMIFS($M$6:$M$40,$I$6:$I$40,"Вышло",$D$6:$D$40,"Телеграм",$E$6:$E$40,"Озон",$W$6:$W$40,"&lt;=0",$P$6:$P$40,"&lt;&gt;")+SUMIFS($M$6:$M$40,$I$6:$I$40,"Вышло",$D$6:$D$40,"Телеграм",$E$6:$E$40,"озон",$W$6:$W$40,"&lt;=0",$P$6:$P$40,"&lt;&gt;")+SUMIFS($M$6:$M$40,$I$6:$I$40,"Вышло",$D$6:$D$40,"ТГ",$E$6:$E$40,"Ozon",$W$6:$W$40,"&lt;=0",$P$6:$P$40,"&lt;&gt;")+SUMIFS($M$6:$M$40,$I$6:$I$40,"Вышло",$D$6:$D$40,"ТГ",$E$6:$E$40,"OZON",$W$6:$W$40,"&lt;=0",$P$6:$P$40,"&lt;&gt;")+SUMIFS($M$6:$M$40,$I$6:$I$40,"Вышло",$D$6:$D$40,"ТГ",$E$6:$E$40,"Озон",$W$6:$W$40,"&lt;=0",$P$6:$P$40,"&lt;&gt;")+SUMIFS($M$6:$M$40,$I$6:$I$40,"Вышло",$D$6:$D$40,"ТГ",$E$6:$E$40,"озон",$W$6:$W$40,"&lt;=0",$P$6:$P$40,"&lt;&gt;"))/(SUMIFS($W$6:$W$40,$I$6:$I$40,"Вышло",$D$6:$D$40,"Telegram",$E$6:$E$40,"Сайт")+SUMIFS($W$6:$W$40,$I$6:$I$40,"Вышло",$D$6:$D$40,"Telegram",$E$6:$E$40,"сайт")+SUMIFS($W$6:$W$40,$I$6:$I$40,"Вышло",$D$6:$D$40,"Telegram ",$E$6:$E$40,"Сайт")+SUMIFS($W$6:$W$40,$I$6:$I$40,"Вышло",$D$6:$D$40,"Telegram ",$E$6:$E$40,"сайт")+SUMIFS($W$6:$W$40,$I$6:$I$40,"Вышло",$D$6:$D$40,"Телеграм",$E$6:$E$40,"Сайт")+SUMIFS($W$6:$W$40,$I$6:$I$40,"Вышло",$D$6:$D$40,"Телеграм",$E$6:$E$40,"сайт")+SUMIFS($W$6:$W$40,$I$6:$I$40,"Вышло",$D$6:$D$40,"ТГ",$E$6:$E$40,"Сайт")+SUMIFS($W$6:$W$40,$I$6:$I$40,"Вышло",$D$6:$D$40,"ТГ",$E$6:$E$40,"сайт")+SUMIFS($W$6:$W$40,$I$6:$I$40,"Вышло",$D$6:$D$40,"Telegram",$E$6:$E$40,"Ozon")+SUMIFS($W$6:$W$40,$I$6:$I$40,"Вышло",$D$6:$D$40,"Telegram",$E$6:$E$40,"OZON")+SUMIFS($W$6:$W$40,$I$6:$I$40,"Вышло",$D$6:$D$40,"Telegram",$E$6:$E$40,"Озон")+SUMIFS($W$6:$W$40,$I$6:$I$40,"Вышло",$D$6:$D$40,"Telegram",$E$6:$E$40,"озон")+SUMIFS($W$6:$W$40,$I$6:$I$40,"Вышло",$D$6:$D$40,"Telegram ",$E$6:$E$40,"Ozon")+SUMIFS($W$6:$W$40,$I$6:$I$40,"Вышло",$D$6:$D$40,"Telegram ",$E$6:$E$40,"OZON")+SUMIFS($W$6:$W$40,$I$6:$I$40,"Вышло",$D$6:$D$40,"Telegram ",$E$6:$E$40,"Озон")+SUMIFS($W$6:$W$40,$I$6:$I$40,"Вышло",$D$6:$D$40,"Telegram ",$E$6:$E$40,"озон")+SUMIFS($W$6:$W$40,$I$6:$I$40,"Вышло",$D$6:$D$40,"Телеграм",$E$6:$E$40,"Ozon")+SUMIFS($W$6:$W$40,$I$6:$I$40,"Вышло",$D$6:$D$40,"Телеграм",$E$6:$E$40,"OZON")+SUMIFS($W$6:$W$40,$I$6:$I$40,"Вышло",$D$6:$D$40,"Телеграм",$E$6:$E$40,"Озон")+SUMIFS($W$6:$W$40,$I$6:$I$40,"Вышло",$D$6:$D$40,"Телеграм",$E$6:$E$40,"озон")+SUMIFS($W$6:$W$40,$I$6:$I$40,"Вышло",$D$6:$D$40,"ТГ",$E$6:$E$40,"Ozon")+SUMIFS($W$6:$W$40,$I$6:$I$40,"Вышло",$D$6:$D$40,"ТГ",$E$6:$E$40,"OZON")+SUMIFS($W$6:$W$40,$I$6:$I$40,"Вышло",$D$6:$D$40,"ТГ",$E$6:$E$40,"Озон")+SUMIFS($W$6:$W$40,$I$6:$I$40,"Вышло",$D$6:$D$40,"ТГ",$E$6:$E$40,"озон")),0))</f>
        <v>60</v>
      </c>
      <c r="M44" s="140" t="str">
        <f>IF((SUMIFS($X$6:$X$40,$I$6:$I$40,"Вышло",$D$6:$D$40,"Telegram",$E$6:$E$40,"WB")+SUMIFS($X$6:$X$40,$I$6:$I$40,"Вышло",$D$6:$D$40,"Telegram",$E$6:$E$40,"ВБ")+SUMIFS($X$6:$X$40,$I$6:$I$40,"Вышло",$D$6:$D$40,"Telegram ",$E$6:$E$40,"WB")+SUMIFS($X$6:$X$40,$I$6:$I$40,"Вышло",$D$6:$D$40,"Telegram ",$E$6:$E$40,"ВБ")+SUMIFS($X$6:$X$40,$I$6:$I$40,"Вышло",$D$6:$D$40,"Телеграм",$E$6:$E$40,"WB")+SUMIFS($X$6:$X$40,$I$6:$I$40,"Вышло",$D$6:$D$40,"Телеграм",$E$6:$E$40,"ВБ")+SUMIFS($X$6:$X$40,$I$6:$I$40,"Вышло",$D$6:$D$40,"ТГ",$E$6:$E$40,"WB")+SUMIFS($X$6:$X$40,$I$6:$I$40,"Вышло",$D$6:$D$40,"ТГ",$E$6:$E$40,"ВБ"))=0,"—",ROUND((SUMIFS($M$6:$M$40,$I$6:$I$40,"Вышло",$D$6:$D$40,"Telegram",$E$6:$E$40,"WB")+SUMIFS($M$6:$M$40,$I$6:$I$40,"Вышло",$D$6:$D$40,"Telegram",$E$6:$E$40,"ВБ")+SUMIFS($M$6:$M$40,$I$6:$I$40,"Вышло",$D$6:$D$40,"Telegram ",$E$6:$E$40,"WB")+SUMIFS($M$6:$M$40,$I$6:$I$40,"Вышло",$D$6:$D$40,"Telegram ",$E$6:$E$40,"ВБ")+SUMIFS($M$6:$M$40,$I$6:$I$40,"Вышло",$D$6:$D$40,"Телеграм",$E$6:$E$40,"WB")+SUMIFS($M$6:$M$40,$I$6:$I$40,"Вышло",$D$6:$D$40,"Телеграм",$E$6:$E$40,"ВБ")+SUMIFS($M$6:$M$40,$I$6:$I$40,"Вышло",$D$6:$D$40,"ТГ",$E$6:$E$40,"WB")+SUMIFS($M$6:$M$40,$I$6:$I$40,"Вышло",$D$6:$D$40,"ТГ",$E$6:$E$40,"ВБ")-(SUMIFS($M$6:$M$40,$I$6:$I$40,"Вышло",$D$6:$D$40,"Telegram",$E$6:$E$40,"WB",$X$6:$X$40,"&lt;=0",$W$6:$W$40,"&gt;0")+SUMIFS($M$6:$M$40,$I$6:$I$40,"Вышло",$D$6:$D$40,"Telegram",$E$6:$E$40,"ВБ",$X$6:$X$40,"&lt;=0",$W$6:$W$40,"&gt;0")+SUMIFS($M$6:$M$40,$I$6:$I$40,"Вышло",$D$6:$D$40,"Telegram ",$E$6:$E$40,"WB",$X$6:$X$40,"&lt;=0",$W$6:$W$40,"&gt;0")+SUMIFS($M$6:$M$40,$I$6:$I$40,"Вышло",$D$6:$D$40,"Telegram ",$E$6:$E$40,"ВБ",$X$6:$X$40,"&lt;=0",$W$6:$W$40,"&gt;0")+SUMIFS($M$6:$M$40,$I$6:$I$40,"Вышло",$D$6:$D$40,"Телеграм",$E$6:$E$40,"WB",$X$6:$X$40,"&lt;=0",$W$6:$W$40,"&gt;0")+SUMIFS($M$6:$M$40,$I$6:$I$40,"Вышло",$D$6:$D$40,"Телеграм",$E$6:$E$40,"ВБ",$X$6:$X$40,"&lt;=0",$W$6:$W$40,"&gt;0")+SUMIFS($M$6:$M$40,$I$6:$I$40,"Вышло",$D$6:$D$40,"ТГ",$E$6:$E$40,"WB",$X$6:$X$40,"&lt;=0",$W$6:$W$40,"&gt;0")+SUMIFS($M$6:$M$40,$I$6:$I$40,"Вышло",$D$6:$D$40,"ТГ",$E$6:$E$40,"ВБ",$X$6:$X$40,"&lt;=0",$W$6:$W$40,"&gt;0")))/(SUMIFS($X$6:$X$40,$I$6:$I$40,"Вышло",$D$6:$D$40,"Telegram",$E$6:$E$40,"WB")+SUMIFS($X$6:$X$40,$I$6:$I$40,"Вышло",$D$6:$D$40,"Telegram",$E$6:$E$40,"ВБ")+SUMIFS($X$6:$X$40,$I$6:$I$40,"Вышло",$D$6:$D$40,"Telegram ",$E$6:$E$40,"WB")+SUMIFS($X$6:$X$40,$I$6:$I$40,"Вышло",$D$6:$D$40,"Telegram ",$E$6:$E$40,"ВБ")+SUMIFS($X$6:$X$40,$I$6:$I$40,"Вышло",$D$6:$D$40,"Телеграм",$E$6:$E$40,"WB")+SUMIFS($X$6:$X$40,$I$6:$I$40,"Вышло",$D$6:$D$40,"Телеграм",$E$6:$E$40,"ВБ")+SUMIFS($X$6:$X$40,$I$6:$I$40,"Вышло",$D$6:$D$40,"ТГ",$E$6:$E$40,"WB")+SUMIFS($X$6:$X$40,$I$6:$I$40,"Вышло",$D$6:$D$40,"ТГ",$E$6:$E$40,"ВБ")),0))</f>
        <v>—</v>
      </c>
      <c r="N44" s="140" t="str">
        <f t="shared" ref="N44:N52" si="53">"—"</f>
        <v>—</v>
      </c>
      <c r="O44" s="140">
        <f>IF((SUMIFS($AA$6:$AA$40,$I$6:$I$40,"Вышло",$D$6:$D$40,"Telegram")+SUMIFS($AA$6:$AA$40,$I$6:$I$40,"Вышло",$D$6:$D$40,"Telegram ")+SUMIFS($AA$6:$AA$40,$I$6:$I$40,"Вышло",$D$6:$D$40,"Телеграм")+SUMIFS($AA$6:$AA$40,$I$6:$I$40,"Вышло",$D$6:$D$40,"ТГ"))=0,"—",ROUND((SUMIFS($M$6:$M$40,$I$6:$I$40,"Вышло",$D$6:$D$40,"Telegram")+SUMIFS($M$6:$M$40,$I$6:$I$40,"Вышло",$D$6:$D$40,"Telegram ")+SUMIFS($M$6:$M$40,$I$6:$I$40,"Вышло",$D$6:$D$40,"Телеграм")+SUMIFS($M$6:$M$40,$I$6:$I$40,"Вышло",$D$6:$D$40,"ТГ"))/(SUMIFS($AA$6:$AA$40,$I$6:$I$40,"Вышло",$D$6:$D$40,"Telegram")+SUMIFS($AA$6:$AA$40,$I$6:$I$40,"Вышло",$D$6:$D$40,"Telegram ")+SUMIFS($AA$6:$AA$40,$I$6:$I$40,"Вышло",$D$6:$D$40,"Телеграм")+SUMIFS($AA$6:$AA$40,$I$6:$I$40,"Вышло",$D$6:$D$40,"ТГ")),0))</f>
        <v>1205</v>
      </c>
      <c r="P44" s="3"/>
      <c r="Q44" s="3"/>
      <c r="R44" s="3"/>
      <c r="S44" s="154"/>
      <c r="T44" s="55"/>
      <c r="U44" s="3"/>
      <c r="V44" s="155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</row>
    <row r="45" ht="15.75" customHeight="1">
      <c r="A45" s="139" t="s">
        <v>37</v>
      </c>
      <c r="B45" s="140">
        <f>SUMIFS($M$6:$M$40,$D$6:$D$40,"MAX")+SUMIFS($M$6:$M$40,$D$6:$D$40,"Макс")+SUMIFS($M$6:$M$40,$D$6:$D$40,"МАКС")</f>
        <v>8606</v>
      </c>
      <c r="C45" s="140">
        <f>SUMIFS($M$6:$M$40,$I$6:$I$40,"Вышло",$D$6:$D$40,"MAX")+SUMIFS($M$6:$M$40,$I$6:$I$40,"Вышло",$D$6:$D$40,"Макс")+SUMIFS($M$6:$M$40,$I$6:$I$40,"Вышло",$D$6:$D$40,"МАКС")</f>
        <v>8606</v>
      </c>
      <c r="D45" s="141">
        <f>COUNTIFS($I$6:$I$40,"Вышло",$D$6:$D$40,"MAX")+COUNTIFS($I$6:$I$40,"Вышло",$D$6:$D$40,"Макс")</f>
        <v>8</v>
      </c>
      <c r="E45" s="141">
        <f>SUMIFS($U$6:$U$40,$I$6:$I$40,"Вышло",$D$6:$D$40,"MAX")+SUMIFS($U$6:$U$40,$I$6:$I$40,"Вышло",$D$6:$D$40,"Макс")+SUMIFS($U$6:$U$40,$I$6:$I$40,"Вышло",$D$6:$D$40,"МАКС")</f>
        <v>11606</v>
      </c>
      <c r="F45" s="141">
        <f>SUMIFS($W$6:$W$40,$I$6:$I$40,"Вышло",$D$6:$D$40,"MAX")+SUMIFS($W$6:$W$40,$I$6:$I$40,"Вышло",$D$6:$D$40,"Макс")+SUMIFS($W$6:$W$40,$I$6:$I$40,"Вышло",$D$6:$D$40,"МАКС")</f>
        <v>410</v>
      </c>
      <c r="G45" s="141">
        <f>SUMIFS($X$6:$X$40,$I$6:$I$40,"Вышло",$D$6:$D$40,"MAX")+SUMIFS($X$6:$X$40,$I$6:$I$40,"Вышло",$D$6:$D$40,"Макс")+SUMIFS($X$6:$X$40,$I$6:$I$40,"Вышло",$D$6:$D$40,"МАКС")</f>
        <v>26</v>
      </c>
      <c r="H45" s="141">
        <f t="shared" si="52"/>
        <v>0</v>
      </c>
      <c r="I45" s="141">
        <f>SUMIFS($Z$6:$Z$40,$I$6:$I$40,"Вышло",$D$6:$D$40,"MAX")+SUMIFS($Z$6:$Z$40,$I$6:$I$40,"Вышло",$D$6:$D$40,"Макс")+SUMIFS($Z$6:$Z$40,$I$6:$I$40,"Вышло",$D$6:$D$40,"МАКС")</f>
        <v>45</v>
      </c>
      <c r="J45" s="141">
        <f>SUMIFS($AA$6:$AA$40,$I$6:$I$40,"Вышло",$D$6:$D$40,"MAX")+SUMIFS($AA$6:$AA$40,$I$6:$I$40,"Вышло",$D$6:$D$40,"Макс")+SUMIFS($AA$6:$AA$40,$I$6:$I$40,"Вышло",$D$6:$D$40,"МАКС")</f>
        <v>14</v>
      </c>
      <c r="K45" s="140">
        <f>SUMIFS($AB$6:$AB$40,$I$6:$I$40,"Вышло",$D$6:$D$40,"MAX")+SUMIFS($AB$6:$AB$40,$I$6:$I$40,"Вышло",$D$6:$D$40,"Макс")+SUMIFS($AB$6:$AB$40,$I$6:$I$40,"Вышло",$D$6:$D$40,"МАКС")</f>
        <v>8950</v>
      </c>
      <c r="L45" s="140">
        <f>IF((SUMIFS($W$6:$W$40,$I$6:$I$40,"Вышло",$D$6:$D$40,"MAX",$E$6:$E$40,"Сайт")+SUMIFS($W$6:$W$40,$I$6:$I$40,"Вышло",$D$6:$D$40,"MAX",$E$6:$E$40,"сайт")+SUMIFS($W$6:$W$40,$I$6:$I$40,"Вышло",$D$6:$D$40,"Макс",$E$6:$E$40,"Сайт")+SUMIFS($W$6:$W$40,$I$6:$I$40,"Вышло",$D$6:$D$40,"Макс",$E$6:$E$40,"сайт")+SUMIFS($W$6:$W$40,$I$6:$I$40,"Вышло",$D$6:$D$40,"МАКС",$E$6:$E$40,"Сайт")+SUMIFS($W$6:$W$40,$I$6:$I$40,"Вышло",$D$6:$D$40,"МАКС",$E$6:$E$40,"сайт")+SUMIFS($W$6:$W$40,$I$6:$I$40,"Вышло",$D$6:$D$40,"MAX",$E$6:$E$40,"Ozon")+SUMIFS($W$6:$W$40,$I$6:$I$40,"Вышло",$D$6:$D$40,"MAX",$E$6:$E$40,"OZON")+SUMIFS($W$6:$W$40,$I$6:$I$40,"Вышло",$D$6:$D$40,"MAX",$E$6:$E$40,"Озон")+SUMIFS($W$6:$W$40,$I$6:$I$40,"Вышло",$D$6:$D$40,"MAX",$E$6:$E$40,"озон")+SUMIFS($W$6:$W$40,$I$6:$I$40,"Вышло",$D$6:$D$40,"Макс",$E$6:$E$40,"Ozon")+SUMIFS($W$6:$W$40,$I$6:$I$40,"Вышло",$D$6:$D$40,"Макс",$E$6:$E$40,"OZON")+SUMIFS($W$6:$W$40,$I$6:$I$40,"Вышло",$D$6:$D$40,"Макс",$E$6:$E$40,"Озон")+SUMIFS($W$6:$W$40,$I$6:$I$40,"Вышло",$D$6:$D$40,"Макс",$E$6:$E$40,"озон")+SUMIFS($W$6:$W$40,$I$6:$I$40,"Вышло",$D$6:$D$40,"МАКС",$E$6:$E$40,"Ozon")+SUMIFS($W$6:$W$40,$I$6:$I$40,"Вышло",$D$6:$D$40,"МАКС",$E$6:$E$40,"OZON")+SUMIFS($W$6:$W$40,$I$6:$I$40,"Вышло",$D$6:$D$40,"МАКС",$E$6:$E$40,"Озон")+SUMIFS($W$6:$W$40,$I$6:$I$40,"Вышло",$D$6:$D$40,"МАКС",$E$6:$E$40,"озон"))=0,"—",ROUND((SUMIFS($M$6:$M$40,$I$6:$I$40,"Вышло",$D$6:$D$40,"MAX",$E$6:$E$40,"Сайт",$W$6:$W$40,"&gt;0")+SUMIFS($M$6:$M$40,$I$6:$I$40,"Вышло",$D$6:$D$40,"MAX",$E$6:$E$40,"сайт",$W$6:$W$40,"&gt;0")+SUMIFS($M$6:$M$40,$I$6:$I$40,"Вышло",$D$6:$D$40,"Макс",$E$6:$E$40,"Сайт",$W$6:$W$40,"&gt;0")+SUMIFS($M$6:$M$40,$I$6:$I$40,"Вышло",$D$6:$D$40,"Макс",$E$6:$E$40,"сайт",$W$6:$W$40,"&gt;0")+SUMIFS($M$6:$M$40,$I$6:$I$40,"Вышло",$D$6:$D$40,"МАКС",$E$6:$E$40,"Сайт",$W$6:$W$40,"&gt;0")+SUMIFS($M$6:$M$40,$I$6:$I$40,"Вышло",$D$6:$D$40,"МАКС",$E$6:$E$40,"сайт",$W$6:$W$40,"&gt;0")+SUMIFS($M$6:$M$40,$I$6:$I$40,"Вышло",$D$6:$D$40,"MAX",$E$6:$E$40,"Сайт",$W$6:$W$40,"&lt;=0",$P$6:$P$40,"&lt;&gt;")+SUMIFS($M$6:$M$40,$I$6:$I$40,"Вышло",$D$6:$D$40,"MAX",$E$6:$E$40,"сайт",$W$6:$W$40,"&lt;=0",$P$6:$P$40,"&lt;&gt;")+SUMIFS($M$6:$M$40,$I$6:$I$40,"Вышло",$D$6:$D$40,"Макс",$E$6:$E$40,"Сайт",$W$6:$W$40,"&lt;=0",$P$6:$P$40,"&lt;&gt;")+SUMIFS($M$6:$M$40,$I$6:$I$40,"Вышло",$D$6:$D$40,"Макс",$E$6:$E$40,"сайт",$W$6:$W$40,"&lt;=0",$P$6:$P$40,"&lt;&gt;")+SUMIFS($M$6:$M$40,$I$6:$I$40,"Вышло",$D$6:$D$40,"МАКС",$E$6:$E$40,"Сайт",$W$6:$W$40,"&lt;=0",$P$6:$P$40,"&lt;&gt;")+SUMIFS($M$6:$M$40,$I$6:$I$40,"Вышло",$D$6:$D$40,"МАКС",$E$6:$E$40,"сайт",$W$6:$W$40,"&lt;=0",$P$6:$P$40,"&lt;&gt;")+SUMIFS($M$6:$M$40,$I$6:$I$40,"Вышло",$D$6:$D$40,"MAX",$E$6:$E$40,"Ozon",$W$6:$W$40,"&gt;0")+SUMIFS($M$6:$M$40,$I$6:$I$40,"Вышло",$D$6:$D$40,"MAX",$E$6:$E$40,"OZON",$W$6:$W$40,"&gt;0")+SUMIFS($M$6:$M$40,$I$6:$I$40,"Вышло",$D$6:$D$40,"MAX",$E$6:$E$40,"Озон",$W$6:$W$40,"&gt;0")+SUMIFS($M$6:$M$40,$I$6:$I$40,"Вышло",$D$6:$D$40,"MAX",$E$6:$E$40,"озон",$W$6:$W$40,"&gt;0")+SUMIFS($M$6:$M$40,$I$6:$I$40,"Вышло",$D$6:$D$40,"Макс",$E$6:$E$40,"Ozon",$W$6:$W$40,"&gt;0")+SUMIFS($M$6:$M$40,$I$6:$I$40,"Вышло",$D$6:$D$40,"Макс",$E$6:$E$40,"OZON",$W$6:$W$40,"&gt;0")+SUMIFS($M$6:$M$40,$I$6:$I$40,"Вышло",$D$6:$D$40,"Макс",$E$6:$E$40,"Озон",$W$6:$W$40,"&gt;0")+SUMIFS($M$6:$M$40,$I$6:$I$40,"Вышло",$D$6:$D$40,"Макс",$E$6:$E$40,"озон",$W$6:$W$40,"&gt;0")+SUMIFS($M$6:$M$40,$I$6:$I$40,"Вышло",$D$6:$D$40,"МАКС",$E$6:$E$40,"Ozon",$W$6:$W$40,"&gt;0")+SUMIFS($M$6:$M$40,$I$6:$I$40,"Вышло",$D$6:$D$40,"МАКС",$E$6:$E$40,"OZON",$W$6:$W$40,"&gt;0")+SUMIFS($M$6:$M$40,$I$6:$I$40,"Вышло",$D$6:$D$40,"МАКС",$E$6:$E$40,"Озон",$W$6:$W$40,"&gt;0")+SUMIFS($M$6:$M$40,$I$6:$I$40,"Вышло",$D$6:$D$40,"МАКС",$E$6:$E$40,"озон",$W$6:$W$40,"&gt;0")+SUMIFS($M$6:$M$40,$I$6:$I$40,"Вышло",$D$6:$D$40,"MAX",$E$6:$E$40,"Ozon",$W$6:$W$40,"&lt;=0",$P$6:$P$40,"&lt;&gt;")+SUMIFS($M$6:$M$40,$I$6:$I$40,"Вышло",$D$6:$D$40,"MAX",$E$6:$E$40,"OZON",$W$6:$W$40,"&lt;=0",$P$6:$P$40,"&lt;&gt;")+SUMIFS($M$6:$M$40,$I$6:$I$40,"Вышло",$D$6:$D$40,"MAX",$E$6:$E$40,"Озон",$W$6:$W$40,"&lt;=0",$P$6:$P$40,"&lt;&gt;")+SUMIFS($M$6:$M$40,$I$6:$I$40,"Вышло",$D$6:$D$40,"MAX",$E$6:$E$40,"озон",$W$6:$W$40,"&lt;=0",$P$6:$P$40,"&lt;&gt;")+SUMIFS($M$6:$M$40,$I$6:$I$40,"Вышло",$D$6:$D$40,"Макс",$E$6:$E$40,"Ozon",$W$6:$W$40,"&lt;=0",$P$6:$P$40,"&lt;&gt;")+SUMIFS($M$6:$M$40,$I$6:$I$40,"Вышло",$D$6:$D$40,"Макс",$E$6:$E$40,"OZON",$W$6:$W$40,"&lt;=0",$P$6:$P$40,"&lt;&gt;")+SUMIFS($M$6:$M$40,$I$6:$I$40,"Вышло",$D$6:$D$40,"Макс",$E$6:$E$40,"Озон",$W$6:$W$40,"&lt;=0",$P$6:$P$40,"&lt;&gt;")+SUMIFS($M$6:$M$40,$I$6:$I$40,"Вышло",$D$6:$D$40,"Макс",$E$6:$E$40,"озон",$W$6:$W$40,"&lt;=0",$P$6:$P$40,"&lt;&gt;")+SUMIFS($M$6:$M$40,$I$6:$I$40,"Вышло",$D$6:$D$40,"МАКС",$E$6:$E$40,"Ozon",$W$6:$W$40,"&lt;=0",$P$6:$P$40,"&lt;&gt;")+SUMIFS($M$6:$M$40,$I$6:$I$40,"Вышло",$D$6:$D$40,"МАКС",$E$6:$E$40,"OZON",$W$6:$W$40,"&lt;=0",$P$6:$P$40,"&lt;&gt;")+SUMIFS($M$6:$M$40,$I$6:$I$40,"Вышло",$D$6:$D$40,"МАКС",$E$6:$E$40,"Озон",$W$6:$W$40,"&lt;=0",$P$6:$P$40,"&lt;&gt;")+SUMIFS($M$6:$M$40,$I$6:$I$40,"Вышло",$D$6:$D$40,"МАКС",$E$6:$E$40,"озон",$W$6:$W$40,"&lt;=0",$P$6:$P$40,"&lt;&gt;"))/(SUMIFS($W$6:$W$40,$I$6:$I$40,"Вышло",$D$6:$D$40,"MAX",$E$6:$E$40,"Сайт")+SUMIFS($W$6:$W$40,$I$6:$I$40,"Вышло",$D$6:$D$40,"MAX",$E$6:$E$40,"сайт")+SUMIFS($W$6:$W$40,$I$6:$I$40,"Вышло",$D$6:$D$40,"Макс",$E$6:$E$40,"Сайт")+SUMIFS($W$6:$W$40,$I$6:$I$40,"Вышло",$D$6:$D$40,"Макс",$E$6:$E$40,"сайт")+SUMIFS($W$6:$W$40,$I$6:$I$40,"Вышло",$D$6:$D$40,"МАКС",$E$6:$E$40,"Сайт")+SUMIFS($W$6:$W$40,$I$6:$I$40,"Вышло",$D$6:$D$40,"МАКС",$E$6:$E$40,"сайт")+SUMIFS($W$6:$W$40,$I$6:$I$40,"Вышло",$D$6:$D$40,"MAX",$E$6:$E$40,"Ozon")+SUMIFS($W$6:$W$40,$I$6:$I$40,"Вышло",$D$6:$D$40,"MAX",$E$6:$E$40,"OZON")+SUMIFS($W$6:$W$40,$I$6:$I$40,"Вышло",$D$6:$D$40,"MAX",$E$6:$E$40,"Озон")+SUMIFS($W$6:$W$40,$I$6:$I$40,"Вышло",$D$6:$D$40,"MAX",$E$6:$E$40,"озон")+SUMIFS($W$6:$W$40,$I$6:$I$40,"Вышло",$D$6:$D$40,"Макс",$E$6:$E$40,"Ozon")+SUMIFS($W$6:$W$40,$I$6:$I$40,"Вышло",$D$6:$D$40,"Макс",$E$6:$E$40,"OZON")+SUMIFS($W$6:$W$40,$I$6:$I$40,"Вышло",$D$6:$D$40,"Макс",$E$6:$E$40,"Озон")+SUMIFS($W$6:$W$40,$I$6:$I$40,"Вышло",$D$6:$D$40,"Макс",$E$6:$E$40,"озон")+SUMIFS($W$6:$W$40,$I$6:$I$40,"Вышло",$D$6:$D$40,"МАКС",$E$6:$E$40,"Ozon")+SUMIFS($W$6:$W$40,$I$6:$I$40,"Вышло",$D$6:$D$40,"МАКС",$E$6:$E$40,"OZON")+SUMIFS($W$6:$W$40,$I$6:$I$40,"Вышло",$D$6:$D$40,"МАКС",$E$6:$E$40,"Озон")+SUMIFS($W$6:$W$40,$I$6:$I$40,"Вышло",$D$6:$D$40,"МАКС",$E$6:$E$40,"озон")),0))</f>
        <v>21</v>
      </c>
      <c r="M45" s="140" t="str">
        <f>IF((SUMIFS($X$6:$X$40,$I$6:$I$40,"Вышло",$D$6:$D$40,"MAX",$E$6:$E$40,"WB")+SUMIFS($X$6:$X$40,$I$6:$I$40,"Вышло",$D$6:$D$40,"MAX",$E$6:$E$40,"ВБ")+SUMIFS($X$6:$X$40,$I$6:$I$40,"Вышло",$D$6:$D$40,"Макс",$E$6:$E$40,"WB")+SUMIFS($X$6:$X$40,$I$6:$I$40,"Вышло",$D$6:$D$40,"Макс",$E$6:$E$40,"ВБ")+SUMIFS($X$6:$X$40,$I$6:$I$40,"Вышло",$D$6:$D$40,"МАКС",$E$6:$E$40,"WB")+SUMIFS($X$6:$X$40,$I$6:$I$40,"Вышло",$D$6:$D$40,"МАКС",$E$6:$E$40,"ВБ"))=0,"—",ROUND((SUMIFS($M$6:$M$40,$I$6:$I$40,"Вышло",$D$6:$D$40,"MAX",$E$6:$E$40,"WB")+SUMIFS($M$6:$M$40,$I$6:$I$40,"Вышло",$D$6:$D$40,"MAX",$E$6:$E$40,"ВБ")+SUMIFS($M$6:$M$40,$I$6:$I$40,"Вышло",$D$6:$D$40,"Макс",$E$6:$E$40,"WB")+SUMIFS($M$6:$M$40,$I$6:$I$40,"Вышло",$D$6:$D$40,"Макс",$E$6:$E$40,"ВБ")+SUMIFS($M$6:$M$40,$I$6:$I$40,"Вышло",$D$6:$D$40,"МАКС",$E$6:$E$40,"WB")+SUMIFS($M$6:$M$40,$I$6:$I$40,"Вышло",$D$6:$D$40,"МАКС",$E$6:$E$40,"ВБ")-(SUMIFS($M$6:$M$40,$I$6:$I$40,"Вышло",$D$6:$D$40,"MAX",$E$6:$E$40,"WB",$X$6:$X$40,"&lt;=0",$W$6:$W$40,"&gt;0")+SUMIFS($M$6:$M$40,$I$6:$I$40,"Вышло",$D$6:$D$40,"MAX",$E$6:$E$40,"ВБ",$X$6:$X$40,"&lt;=0",$W$6:$W$40,"&gt;0")+SUMIFS($M$6:$M$40,$I$6:$I$40,"Вышло",$D$6:$D$40,"Макс",$E$6:$E$40,"WB",$X$6:$X$40,"&lt;=0",$W$6:$W$40,"&gt;0")+SUMIFS($M$6:$M$40,$I$6:$I$40,"Вышло",$D$6:$D$40,"Макс",$E$6:$E$40,"ВБ",$X$6:$X$40,"&lt;=0",$W$6:$W$40,"&gt;0")+SUMIFS($M$6:$M$40,$I$6:$I$40,"Вышло",$D$6:$D$40,"МАКС",$E$6:$E$40,"WB",$X$6:$X$40,"&lt;=0",$W$6:$W$40,"&gt;0")+SUMIFS($M$6:$M$40,$I$6:$I$40,"Вышло",$D$6:$D$40,"МАКС",$E$6:$E$40,"ВБ",$X$6:$X$40,"&lt;=0",$W$6:$W$40,"&gt;0")))/(SUMIFS($X$6:$X$40,$I$6:$I$40,"Вышло",$D$6:$D$40,"MAX",$E$6:$E$40,"WB")+SUMIFS($X$6:$X$40,$I$6:$I$40,"Вышло",$D$6:$D$40,"MAX",$E$6:$E$40,"ВБ")+SUMIFS($X$6:$X$40,$I$6:$I$40,"Вышло",$D$6:$D$40,"Макс",$E$6:$E$40,"WB")+SUMIFS($X$6:$X$40,$I$6:$I$40,"Вышло",$D$6:$D$40,"Макс",$E$6:$E$40,"ВБ")+SUMIFS($X$6:$X$40,$I$6:$I$40,"Вышло",$D$6:$D$40,"МАКС",$E$6:$E$40,"WB")+SUMIFS($X$6:$X$40,$I$6:$I$40,"Вышло",$D$6:$D$40,"МАКС",$E$6:$E$40,"ВБ")),0))</f>
        <v>—</v>
      </c>
      <c r="N45" s="140" t="str">
        <f t="shared" si="53"/>
        <v>—</v>
      </c>
      <c r="O45" s="140">
        <f>IF((SUMIFS($AA$6:$AA$40,$I$6:$I$40,"Вышло",$D$6:$D$40,"MAX")+SUMIFS($AA$6:$AA$40,$I$6:$I$40,"Вышло",$D$6:$D$40,"Макс")+SUMIFS($AA$6:$AA$40,$I$6:$I$40,"Вышло",$D$6:$D$40,"МАКС"))=0,"—",ROUND((SUMIFS($M$6:$M$40,$I$6:$I$40,"Вышло",$D$6:$D$40,"MAX")+SUMIFS($M$6:$M$40,$I$6:$I$40,"Вышло",$D$6:$D$40,"Макс")+SUMIFS($M$6:$M$40,$I$6:$I$40,"Вышло",$D$6:$D$40,"МАКС"))/(SUMIFS($AA$6:$AA$40,$I$6:$I$40,"Вышло",$D$6:$D$40,"MAX")+SUMIFS($AA$6:$AA$40,$I$6:$I$40,"Вышло",$D$6:$D$40,"Макс")+SUMIFS($AA$6:$AA$40,$I$6:$I$40,"Вышло",$D$6:$D$40,"МАКС")),0))</f>
        <v>615</v>
      </c>
      <c r="P45" s="3"/>
      <c r="Q45" s="3"/>
      <c r="R45" s="3"/>
      <c r="S45" s="154"/>
      <c r="T45" s="55"/>
      <c r="U45" s="3"/>
      <c r="V45" s="155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</row>
    <row r="46" ht="15.75" customHeight="1">
      <c r="A46" s="139" t="s">
        <v>244</v>
      </c>
      <c r="B46" s="140">
        <f>SUMIFS($M$6:$M$40,$D$6:$D$40,"VK")+SUMIFS($M$6:$M$40,$D$6:$D$40,"Vk")+SUMIFS($M$6:$M$40,$D$6:$D$40,"ВК")</f>
        <v>9570</v>
      </c>
      <c r="C46" s="140">
        <f>SUMIFS($M$6:$M$40,$I$6:$I$40,"Вышло",$D$6:$D$40,"VK")+SUMIFS($M$6:$M$40,$I$6:$I$40,"Вышло",$D$6:$D$40,"Vk")+SUMIFS($M$6:$M$40,$I$6:$I$40,"Вышло",$D$6:$D$40,"ВК")</f>
        <v>9570</v>
      </c>
      <c r="D46" s="141">
        <f>COUNTIFS($I$6:$I$40,"Вышло",$D$6:$D$40,"VK")+COUNTIFS($I$6:$I$40,"Вышло",$D$6:$D$40,"ВК")</f>
        <v>3</v>
      </c>
      <c r="E46" s="141">
        <f>SUMIFS($U$6:$U$40,$I$6:$I$40,"Вышло",$D$6:$D$40,"VK")+SUMIFS($U$6:$U$40,$I$6:$I$40,"Вышло",$D$6:$D$40,"Vk")+SUMIFS($U$6:$U$40,$I$6:$I$40,"Вышло",$D$6:$D$40,"ВК")</f>
        <v>31912</v>
      </c>
      <c r="F46" s="141">
        <f>SUMIFS($W$6:$W$40,$I$6:$I$40,"Вышло",$D$6:$D$40,"VK")+SUMIFS($W$6:$W$40,$I$6:$I$40,"Вышло",$D$6:$D$40,"Vk")+SUMIFS($W$6:$W$40,$I$6:$I$40,"Вышло",$D$6:$D$40,"ВК")</f>
        <v>172</v>
      </c>
      <c r="G46" s="141">
        <f>SUMIFS($X$6:$X$40,$I$6:$I$40,"Вышло",$D$6:$D$40,"VK")+SUMIFS($X$6:$X$40,$I$6:$I$40,"Вышло",$D$6:$D$40,"Vk")+SUMIFS($X$6:$X$40,$I$6:$I$40,"Вышло",$D$6:$D$40,"ВК")</f>
        <v>124</v>
      </c>
      <c r="H46" s="141">
        <f t="shared" si="52"/>
        <v>0</v>
      </c>
      <c r="I46" s="141">
        <f>SUMIFS($Z$6:$Z$40,$I$6:$I$40,"Вышло",$D$6:$D$40,"VK")+SUMIFS($Z$6:$Z$40,$I$6:$I$40,"Вышло",$D$6:$D$40,"Vk")+SUMIFS($Z$6:$Z$40,$I$6:$I$40,"Вышло",$D$6:$D$40,"ВК")</f>
        <v>42</v>
      </c>
      <c r="J46" s="141">
        <f>SUMIFS($AA$6:$AA$40,$I$6:$I$40,"Вышло",$D$6:$D$40,"VK")+SUMIFS($AA$6:$AA$40,$I$6:$I$40,"Вышло",$D$6:$D$40,"Vk")+SUMIFS($AA$6:$AA$40,$I$6:$I$40,"Вышло",$D$6:$D$40,"ВК")</f>
        <v>2</v>
      </c>
      <c r="K46" s="140">
        <f>SUMIFS($AB$6:$AB$40,$I$6:$I$40,"Вышло",$D$6:$D$40,"VK")+SUMIFS($AB$6:$AB$40,$I$6:$I$40,"Вышло",$D$6:$D$40,"Vk")+SUMIFS($AB$6:$AB$40,$I$6:$I$40,"Вышло",$D$6:$D$40,"ВК")</f>
        <v>1700</v>
      </c>
      <c r="L46" s="140">
        <f>IF((SUMIFS($W$6:$W$40,$I$6:$I$40,"Вышло",$D$6:$D$40,"VK",$E$6:$E$40,"Сайт")+SUMIFS($W$6:$W$40,$I$6:$I$40,"Вышло",$D$6:$D$40,"VK",$E$6:$E$40,"сайт")+SUMIFS($W$6:$W$40,$I$6:$I$40,"Вышло",$D$6:$D$40,"Vk",$E$6:$E$40,"Сайт")+SUMIFS($W$6:$W$40,$I$6:$I$40,"Вышло",$D$6:$D$40,"Vk",$E$6:$E$40,"сайт")+SUMIFS($W$6:$W$40,$I$6:$I$40,"Вышло",$D$6:$D$40,"ВК",$E$6:$E$40,"Сайт")+SUMIFS($W$6:$W$40,$I$6:$I$40,"Вышло",$D$6:$D$40,"ВК",$E$6:$E$40,"сайт")+SUMIFS($W$6:$W$40,$I$6:$I$40,"Вышло",$D$6:$D$40,"VK",$E$6:$E$40,"Ozon")+SUMIFS($W$6:$W$40,$I$6:$I$40,"Вышло",$D$6:$D$40,"VK",$E$6:$E$40,"OZON")+SUMIFS($W$6:$W$40,$I$6:$I$40,"Вышло",$D$6:$D$40,"VK",$E$6:$E$40,"Озон")+SUMIFS($W$6:$W$40,$I$6:$I$40,"Вышло",$D$6:$D$40,"VK",$E$6:$E$40,"озон")+SUMIFS($W$6:$W$40,$I$6:$I$40,"Вышло",$D$6:$D$40,"Vk",$E$6:$E$40,"Ozon")+SUMIFS($W$6:$W$40,$I$6:$I$40,"Вышло",$D$6:$D$40,"Vk",$E$6:$E$40,"OZON")+SUMIFS($W$6:$W$40,$I$6:$I$40,"Вышло",$D$6:$D$40,"Vk",$E$6:$E$40,"Озон")+SUMIFS($W$6:$W$40,$I$6:$I$40,"Вышло",$D$6:$D$40,"Vk",$E$6:$E$40,"озон")+SUMIFS($W$6:$W$40,$I$6:$I$40,"Вышло",$D$6:$D$40,"ВК",$E$6:$E$40,"Ozon")+SUMIFS($W$6:$W$40,$I$6:$I$40,"Вышло",$D$6:$D$40,"ВК",$E$6:$E$40,"OZON")+SUMIFS($W$6:$W$40,$I$6:$I$40,"Вышло",$D$6:$D$40,"ВК",$E$6:$E$40,"Озон")+SUMIFS($W$6:$W$40,$I$6:$I$40,"Вышло",$D$6:$D$40,"ВК",$E$6:$E$40,"озон"))=0,"—",ROUND((SUMIFS($M$6:$M$40,$I$6:$I$40,"Вышло",$D$6:$D$40,"VK",$E$6:$E$40,"Сайт",$W$6:$W$40,"&gt;0")+SUMIFS($M$6:$M$40,$I$6:$I$40,"Вышло",$D$6:$D$40,"VK",$E$6:$E$40,"сайт",$W$6:$W$40,"&gt;0")+SUMIFS($M$6:$M$40,$I$6:$I$40,"Вышло",$D$6:$D$40,"Vk",$E$6:$E$40,"Сайт",$W$6:$W$40,"&gt;0")+SUMIFS($M$6:$M$40,$I$6:$I$40,"Вышло",$D$6:$D$40,"Vk",$E$6:$E$40,"сайт",$W$6:$W$40,"&gt;0")+SUMIFS($M$6:$M$40,$I$6:$I$40,"Вышло",$D$6:$D$40,"ВК",$E$6:$E$40,"Сайт",$W$6:$W$40,"&gt;0")+SUMIFS($M$6:$M$40,$I$6:$I$40,"Вышло",$D$6:$D$40,"ВК",$E$6:$E$40,"сайт",$W$6:$W$40,"&gt;0")+SUMIFS($M$6:$M$40,$I$6:$I$40,"Вышло",$D$6:$D$40,"VK",$E$6:$E$40,"Сайт",$W$6:$W$40,"&lt;=0",$P$6:$P$40,"&lt;&gt;")+SUMIFS($M$6:$M$40,$I$6:$I$40,"Вышло",$D$6:$D$40,"VK",$E$6:$E$40,"сайт",$W$6:$W$40,"&lt;=0",$P$6:$P$40,"&lt;&gt;")+SUMIFS($M$6:$M$40,$I$6:$I$40,"Вышло",$D$6:$D$40,"Vk",$E$6:$E$40,"Сайт",$W$6:$W$40,"&lt;=0",$P$6:$P$40,"&lt;&gt;")+SUMIFS($M$6:$M$40,$I$6:$I$40,"Вышло",$D$6:$D$40,"Vk",$E$6:$E$40,"сайт",$W$6:$W$40,"&lt;=0",$P$6:$P$40,"&lt;&gt;")+SUMIFS($M$6:$M$40,$I$6:$I$40,"Вышло",$D$6:$D$40,"ВК",$E$6:$E$40,"Сайт",$W$6:$W$40,"&lt;=0",$P$6:$P$40,"&lt;&gt;")+SUMIFS($M$6:$M$40,$I$6:$I$40,"Вышло",$D$6:$D$40,"ВК",$E$6:$E$40,"сайт",$W$6:$W$40,"&lt;=0",$P$6:$P$40,"&lt;&gt;")+SUMIFS($M$6:$M$40,$I$6:$I$40,"Вышло",$D$6:$D$40,"VK",$E$6:$E$40,"Ozon",$W$6:$W$40,"&gt;0")+SUMIFS($M$6:$M$40,$I$6:$I$40,"Вышло",$D$6:$D$40,"VK",$E$6:$E$40,"OZON",$W$6:$W$40,"&gt;0")+SUMIFS($M$6:$M$40,$I$6:$I$40,"Вышло",$D$6:$D$40,"VK",$E$6:$E$40,"Озон",$W$6:$W$40,"&gt;0")+SUMIFS($M$6:$M$40,$I$6:$I$40,"Вышло",$D$6:$D$40,"VK",$E$6:$E$40,"озон",$W$6:$W$40,"&gt;0")+SUMIFS($M$6:$M$40,$I$6:$I$40,"Вышло",$D$6:$D$40,"Vk",$E$6:$E$40,"Ozon",$W$6:$W$40,"&gt;0")+SUMIFS($M$6:$M$40,$I$6:$I$40,"Вышло",$D$6:$D$40,"Vk",$E$6:$E$40,"OZON",$W$6:$W$40,"&gt;0")+SUMIFS($M$6:$M$40,$I$6:$I$40,"Вышло",$D$6:$D$40,"Vk",$E$6:$E$40,"Озон",$W$6:$W$40,"&gt;0")+SUMIFS($M$6:$M$40,$I$6:$I$40,"Вышло",$D$6:$D$40,"Vk",$E$6:$E$40,"озон",$W$6:$W$40,"&gt;0")+SUMIFS($M$6:$M$40,$I$6:$I$40,"Вышло",$D$6:$D$40,"ВК",$E$6:$E$40,"Ozon",$W$6:$W$40,"&gt;0")+SUMIFS($M$6:$M$40,$I$6:$I$40,"Вышло",$D$6:$D$40,"ВК",$E$6:$E$40,"OZON",$W$6:$W$40,"&gt;0")+SUMIFS($M$6:$M$40,$I$6:$I$40,"Вышло",$D$6:$D$40,"ВК",$E$6:$E$40,"Озон",$W$6:$W$40,"&gt;0")+SUMIFS($M$6:$M$40,$I$6:$I$40,"Вышло",$D$6:$D$40,"ВК",$E$6:$E$40,"озон",$W$6:$W$40,"&gt;0")+SUMIFS($M$6:$M$40,$I$6:$I$40,"Вышло",$D$6:$D$40,"VK",$E$6:$E$40,"Ozon",$W$6:$W$40,"&lt;=0",$P$6:$P$40,"&lt;&gt;")+SUMIFS($M$6:$M$40,$I$6:$I$40,"Вышло",$D$6:$D$40,"VK",$E$6:$E$40,"OZON",$W$6:$W$40,"&lt;=0",$P$6:$P$40,"&lt;&gt;")+SUMIFS($M$6:$M$40,$I$6:$I$40,"Вышло",$D$6:$D$40,"VK",$E$6:$E$40,"Озон",$W$6:$W$40,"&lt;=0",$P$6:$P$40,"&lt;&gt;")+SUMIFS($M$6:$M$40,$I$6:$I$40,"Вышло",$D$6:$D$40,"VK",$E$6:$E$40,"озон",$W$6:$W$40,"&lt;=0",$P$6:$P$40,"&lt;&gt;")+SUMIFS($M$6:$M$40,$I$6:$I$40,"Вышло",$D$6:$D$40,"Vk",$E$6:$E$40,"Ozon",$W$6:$W$40,"&lt;=0",$P$6:$P$40,"&lt;&gt;")+SUMIFS($M$6:$M$40,$I$6:$I$40,"Вышло",$D$6:$D$40,"Vk",$E$6:$E$40,"OZON",$W$6:$W$40,"&lt;=0",$P$6:$P$40,"&lt;&gt;")+SUMIFS($M$6:$M$40,$I$6:$I$40,"Вышло",$D$6:$D$40,"Vk",$E$6:$E$40,"Озон",$W$6:$W$40,"&lt;=0",$P$6:$P$40,"&lt;&gt;")+SUMIFS($M$6:$M$40,$I$6:$I$40,"Вышло",$D$6:$D$40,"Vk",$E$6:$E$40,"озон",$W$6:$W$40,"&lt;=0",$P$6:$P$40,"&lt;&gt;")+SUMIFS($M$6:$M$40,$I$6:$I$40,"Вышло",$D$6:$D$40,"ВК",$E$6:$E$40,"Ozon",$W$6:$W$40,"&lt;=0",$P$6:$P$40,"&lt;&gt;")+SUMIFS($M$6:$M$40,$I$6:$I$40,"Вышло",$D$6:$D$40,"ВК",$E$6:$E$40,"OZON",$W$6:$W$40,"&lt;=0",$P$6:$P$40,"&lt;&gt;")+SUMIFS($M$6:$M$40,$I$6:$I$40,"Вышло",$D$6:$D$40,"ВК",$E$6:$E$40,"Озон",$W$6:$W$40,"&lt;=0",$P$6:$P$40,"&lt;&gt;")+SUMIFS($M$6:$M$40,$I$6:$I$40,"Вышло",$D$6:$D$40,"ВК",$E$6:$E$40,"озон",$W$6:$W$40,"&lt;=0",$P$6:$P$40,"&lt;&gt;"))/(SUMIFS($W$6:$W$40,$I$6:$I$40,"Вышло",$D$6:$D$40,"VK",$E$6:$E$40,"Сайт")+SUMIFS($W$6:$W$40,$I$6:$I$40,"Вышло",$D$6:$D$40,"VK",$E$6:$E$40,"сайт")+SUMIFS($W$6:$W$40,$I$6:$I$40,"Вышло",$D$6:$D$40,"Vk",$E$6:$E$40,"Сайт")+SUMIFS($W$6:$W$40,$I$6:$I$40,"Вышло",$D$6:$D$40,"Vk",$E$6:$E$40,"сайт")+SUMIFS($W$6:$W$40,$I$6:$I$40,"Вышло",$D$6:$D$40,"ВК",$E$6:$E$40,"Сайт")+SUMIFS($W$6:$W$40,$I$6:$I$40,"Вышло",$D$6:$D$40,"ВК",$E$6:$E$40,"сайт")+SUMIFS($W$6:$W$40,$I$6:$I$40,"Вышло",$D$6:$D$40,"VK",$E$6:$E$40,"Ozon")+SUMIFS($W$6:$W$40,$I$6:$I$40,"Вышло",$D$6:$D$40,"VK",$E$6:$E$40,"OZON")+SUMIFS($W$6:$W$40,$I$6:$I$40,"Вышло",$D$6:$D$40,"VK",$E$6:$E$40,"Озон")+SUMIFS($W$6:$W$40,$I$6:$I$40,"Вышло",$D$6:$D$40,"VK",$E$6:$E$40,"озон")+SUMIFS($W$6:$W$40,$I$6:$I$40,"Вышло",$D$6:$D$40,"Vk",$E$6:$E$40,"Ozon")+SUMIFS($W$6:$W$40,$I$6:$I$40,"Вышло",$D$6:$D$40,"Vk",$E$6:$E$40,"OZON")+SUMIFS($W$6:$W$40,$I$6:$I$40,"Вышло",$D$6:$D$40,"Vk",$E$6:$E$40,"Озон")+SUMIFS($W$6:$W$40,$I$6:$I$40,"Вышло",$D$6:$D$40,"Vk",$E$6:$E$40,"озон")+SUMIFS($W$6:$W$40,$I$6:$I$40,"Вышло",$D$6:$D$40,"ВК",$E$6:$E$40,"Ozon")+SUMIFS($W$6:$W$40,$I$6:$I$40,"Вышло",$D$6:$D$40,"ВК",$E$6:$E$40,"OZON")+SUMIFS($W$6:$W$40,$I$6:$I$40,"Вышло",$D$6:$D$40,"ВК",$E$6:$E$40,"Озон")+SUMIFS($W$6:$W$40,$I$6:$I$40,"Вышло",$D$6:$D$40,"ВК",$E$6:$E$40,"озон")),0))</f>
        <v>56</v>
      </c>
      <c r="M46" s="140" t="str">
        <f>IF((SUMIFS($X$6:$X$40,$I$6:$I$40,"Вышло",$D$6:$D$40,"VK",$E$6:$E$40,"WB")+SUMIFS($X$6:$X$40,$I$6:$I$40,"Вышло",$D$6:$D$40,"VK",$E$6:$E$40,"ВБ")+SUMIFS($X$6:$X$40,$I$6:$I$40,"Вышло",$D$6:$D$40,"Vk",$E$6:$E$40,"WB")+SUMIFS($X$6:$X$40,$I$6:$I$40,"Вышло",$D$6:$D$40,"Vk",$E$6:$E$40,"ВБ")+SUMIFS($X$6:$X$40,$I$6:$I$40,"Вышло",$D$6:$D$40,"ВК",$E$6:$E$40,"WB")+SUMIFS($X$6:$X$40,$I$6:$I$40,"Вышло",$D$6:$D$40,"ВК",$E$6:$E$40,"ВБ"))=0,"—",ROUND((SUMIFS($M$6:$M$40,$I$6:$I$40,"Вышло",$D$6:$D$40,"VK",$E$6:$E$40,"WB")+SUMIFS($M$6:$M$40,$I$6:$I$40,"Вышло",$D$6:$D$40,"VK",$E$6:$E$40,"ВБ")+SUMIFS($M$6:$M$40,$I$6:$I$40,"Вышло",$D$6:$D$40,"Vk",$E$6:$E$40,"WB")+SUMIFS($M$6:$M$40,$I$6:$I$40,"Вышло",$D$6:$D$40,"Vk",$E$6:$E$40,"ВБ")+SUMIFS($M$6:$M$40,$I$6:$I$40,"Вышло",$D$6:$D$40,"ВК",$E$6:$E$40,"WB")+SUMIFS($M$6:$M$40,$I$6:$I$40,"Вышло",$D$6:$D$40,"ВК",$E$6:$E$40,"ВБ")-(SUMIFS($M$6:$M$40,$I$6:$I$40,"Вышло",$D$6:$D$40,"VK",$E$6:$E$40,"WB",$X$6:$X$40,"&lt;=0",$W$6:$W$40,"&gt;0")+SUMIFS($M$6:$M$40,$I$6:$I$40,"Вышло",$D$6:$D$40,"VK",$E$6:$E$40,"ВБ",$X$6:$X$40,"&lt;=0",$W$6:$W$40,"&gt;0")+SUMIFS($M$6:$M$40,$I$6:$I$40,"Вышло",$D$6:$D$40,"Vk",$E$6:$E$40,"WB",$X$6:$X$40,"&lt;=0",$W$6:$W$40,"&gt;0")+SUMIFS($M$6:$M$40,$I$6:$I$40,"Вышло",$D$6:$D$40,"Vk",$E$6:$E$40,"ВБ",$X$6:$X$40,"&lt;=0",$W$6:$W$40,"&gt;0")+SUMIFS($M$6:$M$40,$I$6:$I$40,"Вышло",$D$6:$D$40,"ВК",$E$6:$E$40,"WB",$X$6:$X$40,"&lt;=0",$W$6:$W$40,"&gt;0")+SUMIFS($M$6:$M$40,$I$6:$I$40,"Вышло",$D$6:$D$40,"ВК",$E$6:$E$40,"ВБ",$X$6:$X$40,"&lt;=0",$W$6:$W$40,"&gt;0")))/(SUMIFS($X$6:$X$40,$I$6:$I$40,"Вышло",$D$6:$D$40,"VK",$E$6:$E$40,"WB")+SUMIFS($X$6:$X$40,$I$6:$I$40,"Вышло",$D$6:$D$40,"VK",$E$6:$E$40,"ВБ")+SUMIFS($X$6:$X$40,$I$6:$I$40,"Вышло",$D$6:$D$40,"Vk",$E$6:$E$40,"WB")+SUMIFS($X$6:$X$40,$I$6:$I$40,"Вышло",$D$6:$D$40,"Vk",$E$6:$E$40,"ВБ")+SUMIFS($X$6:$X$40,$I$6:$I$40,"Вышло",$D$6:$D$40,"ВК",$E$6:$E$40,"WB")+SUMIFS($X$6:$X$40,$I$6:$I$40,"Вышло",$D$6:$D$40,"ВК",$E$6:$E$40,"ВБ")),0))</f>
        <v>—</v>
      </c>
      <c r="N46" s="140" t="str">
        <f t="shared" si="53"/>
        <v>—</v>
      </c>
      <c r="O46" s="140">
        <f>IF((SUMIFS($AA$6:$AA$40,$I$6:$I$40,"Вышло",$D$6:$D$40,"VK")+SUMIFS($AA$6:$AA$40,$I$6:$I$40,"Вышло",$D$6:$D$40,"Vk")+SUMIFS($AA$6:$AA$40,$I$6:$I$40,"Вышло",$D$6:$D$40,"ВК"))=0,"—",ROUND((SUMIFS($M$6:$M$40,$I$6:$I$40,"Вышло",$D$6:$D$40,"VK")+SUMIFS($M$6:$M$40,$I$6:$I$40,"Вышло",$D$6:$D$40,"Vk")+SUMIFS($M$6:$M$40,$I$6:$I$40,"Вышло",$D$6:$D$40,"ВК"))/(SUMIFS($AA$6:$AA$40,$I$6:$I$40,"Вышло",$D$6:$D$40,"VK")+SUMIFS($AA$6:$AA$40,$I$6:$I$40,"Вышло",$D$6:$D$40,"Vk")+SUMIFS($AA$6:$AA$40,$I$6:$I$40,"Вышло",$D$6:$D$40,"ВК")),0))</f>
        <v>4785</v>
      </c>
      <c r="P46" s="3"/>
      <c r="Q46" s="3"/>
      <c r="R46" s="3"/>
      <c r="S46" s="154"/>
      <c r="T46" s="55"/>
      <c r="U46" s="3"/>
      <c r="V46" s="155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</row>
    <row r="47" ht="15.75" customHeight="1">
      <c r="A47" s="139" t="s">
        <v>24</v>
      </c>
      <c r="B47" s="140">
        <f>SUMIFS($M$6:$M$40,$D$6:$D$40,"YouTube")+SUMIFS($M$6:$M$40,$D$6:$D$40,"Youtube")</f>
        <v>103302</v>
      </c>
      <c r="C47" s="140">
        <f>SUMIFS($M$6:$M$40,$I$6:$I$40,"Вышло",$D$6:$D$40,"YouTube")+SUMIFS($M$6:$M$40,$I$6:$I$40,"Вышло",$D$6:$D$40,"Youtube")</f>
        <v>103302</v>
      </c>
      <c r="D47" s="141">
        <f>COUNTIFS($I$6:$I$40,"Вышло",$D$6:$D$40,"YouTube")</f>
        <v>4</v>
      </c>
      <c r="E47" s="141">
        <f>SUMIFS($U$6:$U$40,$I$6:$I$40,"Вышло",$D$6:$D$40,"YouTube")+SUMIFS($U$6:$U$40,$I$6:$I$40,"Вышло",$D$6:$D$40,"Youtube")</f>
        <v>920128</v>
      </c>
      <c r="F47" s="141">
        <f>SUMIFS($W$6:$W$40,$I$6:$I$40,"Вышло",$D$6:$D$40,"YouTube")+SUMIFS($W$6:$W$40,$I$6:$I$40,"Вышло",$D$6:$D$40,"Youtube")</f>
        <v>0</v>
      </c>
      <c r="G47" s="141">
        <f>SUMIFS($X$6:$X$40,$I$6:$I$40,"Вышло",$D$6:$D$40,"YouTube")+SUMIFS($X$6:$X$40,$I$6:$I$40,"Вышло",$D$6:$D$40,"Youtube")</f>
        <v>0</v>
      </c>
      <c r="H47" s="141">
        <f t="shared" si="52"/>
        <v>0</v>
      </c>
      <c r="I47" s="141">
        <f>SUMIFS($Z$6:$Z$40,$I$6:$I$40,"Вышло",$D$6:$D$40,"YouTube")+SUMIFS($Z$6:$Z$40,$I$6:$I$40,"Вышло",$D$6:$D$40,"Youtube")</f>
        <v>0</v>
      </c>
      <c r="J47" s="141">
        <f>SUMIFS($AA$6:$AA$40,$I$6:$I$40,"Вышло",$D$6:$D$40,"YouTube")+SUMIFS($AA$6:$AA$40,$I$6:$I$40,"Вышло",$D$6:$D$40,"Youtube")</f>
        <v>170</v>
      </c>
      <c r="K47" s="140">
        <f>SUMIFS($AB$6:$AB$40,$I$6:$I$40,"Вышло",$D$6:$D$40,"YouTube")+SUMIFS($AB$6:$AB$40,$I$6:$I$40,"Вышло",$D$6:$D$40,"Youtube")</f>
        <v>107950</v>
      </c>
      <c r="L47" s="140" t="str">
        <f>IF((SUMIFS($W$6:$W$40,$I$6:$I$40,"Вышло",$D$6:$D$40,"YouTube",$E$6:$E$40,"Сайт")+SUMIFS($W$6:$W$40,$I$6:$I$40,"Вышло",$D$6:$D$40,"YouTube",$E$6:$E$40,"сайт")+SUMIFS($W$6:$W$40,$I$6:$I$40,"Вышло",$D$6:$D$40,"Youtube",$E$6:$E$40,"Сайт")+SUMIFS($W$6:$W$40,$I$6:$I$40,"Вышло",$D$6:$D$40,"Youtube",$E$6:$E$40,"сайт")+SUMIFS($W$6:$W$40,$I$6:$I$40,"Вышло",$D$6:$D$40,"YouTube",$E$6:$E$40,"Ozon")+SUMIFS($W$6:$W$40,$I$6:$I$40,"Вышло",$D$6:$D$40,"YouTube",$E$6:$E$40,"OZON")+SUMIFS($W$6:$W$40,$I$6:$I$40,"Вышло",$D$6:$D$40,"YouTube",$E$6:$E$40,"Озон")+SUMIFS($W$6:$W$40,$I$6:$I$40,"Вышло",$D$6:$D$40,"YouTube",$E$6:$E$40,"озон")+SUMIFS($W$6:$W$40,$I$6:$I$40,"Вышло",$D$6:$D$40,"Youtube",$E$6:$E$40,"Ozon")+SUMIFS($W$6:$W$40,$I$6:$I$40,"Вышло",$D$6:$D$40,"Youtube",$E$6:$E$40,"OZON")+SUMIFS($W$6:$W$40,$I$6:$I$40,"Вышло",$D$6:$D$40,"Youtube",$E$6:$E$40,"Озон")+SUMIFS($W$6:$W$40,$I$6:$I$40,"Вышло",$D$6:$D$40,"Youtube",$E$6:$E$40,"озон"))=0,"—",ROUND((SUMIFS($M$6:$M$40,$I$6:$I$40,"Вышло",$D$6:$D$40,"YouTube",$E$6:$E$40,"Сайт",$W$6:$W$40,"&gt;0")+SUMIFS($M$6:$M$40,$I$6:$I$40,"Вышло",$D$6:$D$40,"YouTube",$E$6:$E$40,"сайт",$W$6:$W$40,"&gt;0")+SUMIFS($M$6:$M$40,$I$6:$I$40,"Вышло",$D$6:$D$40,"Youtube",$E$6:$E$40,"Сайт",$W$6:$W$40,"&gt;0")+SUMIFS($M$6:$M$40,$I$6:$I$40,"Вышло",$D$6:$D$40,"Youtube",$E$6:$E$40,"сайт",$W$6:$W$40,"&gt;0")+SUMIFS($M$6:$M$40,$I$6:$I$40,"Вышло",$D$6:$D$40,"YouTube",$E$6:$E$40,"Сайт",$W$6:$W$40,"&lt;=0",$P$6:$P$40,"&lt;&gt;")+SUMIFS($M$6:$M$40,$I$6:$I$40,"Вышло",$D$6:$D$40,"YouTube",$E$6:$E$40,"сайт",$W$6:$W$40,"&lt;=0",$P$6:$P$40,"&lt;&gt;")+SUMIFS($M$6:$M$40,$I$6:$I$40,"Вышло",$D$6:$D$40,"Youtube",$E$6:$E$40,"Сайт",$W$6:$W$40,"&lt;=0",$P$6:$P$40,"&lt;&gt;")+SUMIFS($M$6:$M$40,$I$6:$I$40,"Вышло",$D$6:$D$40,"Youtube",$E$6:$E$40,"сайт",$W$6:$W$40,"&lt;=0",$P$6:$P$40,"&lt;&gt;")+SUMIFS($M$6:$M$40,$I$6:$I$40,"Вышло",$D$6:$D$40,"YouTube",$E$6:$E$40,"Ozon",$W$6:$W$40,"&gt;0")+SUMIFS($M$6:$M$40,$I$6:$I$40,"Вышло",$D$6:$D$40,"YouTube",$E$6:$E$40,"OZON",$W$6:$W$40,"&gt;0")+SUMIFS($M$6:$M$40,$I$6:$I$40,"Вышло",$D$6:$D$40,"YouTube",$E$6:$E$40,"Озон",$W$6:$W$40,"&gt;0")+SUMIFS($M$6:$M$40,$I$6:$I$40,"Вышло",$D$6:$D$40,"YouTube",$E$6:$E$40,"озон",$W$6:$W$40,"&gt;0")+SUMIFS($M$6:$M$40,$I$6:$I$40,"Вышло",$D$6:$D$40,"Youtube",$E$6:$E$40,"Ozon",$W$6:$W$40,"&gt;0")+SUMIFS($M$6:$M$40,$I$6:$I$40,"Вышло",$D$6:$D$40,"Youtube",$E$6:$E$40,"OZON",$W$6:$W$40,"&gt;0")+SUMIFS($M$6:$M$40,$I$6:$I$40,"Вышло",$D$6:$D$40,"Youtube",$E$6:$E$40,"Озон",$W$6:$W$40,"&gt;0")+SUMIFS($M$6:$M$40,$I$6:$I$40,"Вышло",$D$6:$D$40,"Youtube",$E$6:$E$40,"озон",$W$6:$W$40,"&gt;0")+SUMIFS($M$6:$M$40,$I$6:$I$40,"Вышло",$D$6:$D$40,"YouTube",$E$6:$E$40,"Ozon",$W$6:$W$40,"&lt;=0",$P$6:$P$40,"&lt;&gt;")+SUMIFS($M$6:$M$40,$I$6:$I$40,"Вышло",$D$6:$D$40,"YouTube",$E$6:$E$40,"OZON",$W$6:$W$40,"&lt;=0",$P$6:$P$40,"&lt;&gt;")+SUMIFS($M$6:$M$40,$I$6:$I$40,"Вышло",$D$6:$D$40,"YouTube",$E$6:$E$40,"Озон",$W$6:$W$40,"&lt;=0",$P$6:$P$40,"&lt;&gt;")+SUMIFS($M$6:$M$40,$I$6:$I$40,"Вышло",$D$6:$D$40,"YouTube",$E$6:$E$40,"озон",$W$6:$W$40,"&lt;=0",$P$6:$P$40,"&lt;&gt;")+SUMIFS($M$6:$M$40,$I$6:$I$40,"Вышло",$D$6:$D$40,"Youtube",$E$6:$E$40,"Ozon",$W$6:$W$40,"&lt;=0",$P$6:$P$40,"&lt;&gt;")+SUMIFS($M$6:$M$40,$I$6:$I$40,"Вышло",$D$6:$D$40,"Youtube",$E$6:$E$40,"OZON",$W$6:$W$40,"&lt;=0",$P$6:$P$40,"&lt;&gt;")+SUMIFS($M$6:$M$40,$I$6:$I$40,"Вышло",$D$6:$D$40,"Youtube",$E$6:$E$40,"Озон",$W$6:$W$40,"&lt;=0",$P$6:$P$40,"&lt;&gt;")+SUMIFS($M$6:$M$40,$I$6:$I$40,"Вышло",$D$6:$D$40,"Youtube",$E$6:$E$40,"озон",$W$6:$W$40,"&lt;=0",$P$6:$P$40,"&lt;&gt;"))/(SUMIFS($W$6:$W$40,$I$6:$I$40,"Вышло",$D$6:$D$40,"YouTube",$E$6:$E$40,"Сайт")+SUMIFS($W$6:$W$40,$I$6:$I$40,"Вышло",$D$6:$D$40,"YouTube",$E$6:$E$40,"сайт")+SUMIFS($W$6:$W$40,$I$6:$I$40,"Вышло",$D$6:$D$40,"Youtube",$E$6:$E$40,"Сайт")+SUMIFS($W$6:$W$40,$I$6:$I$40,"Вышло",$D$6:$D$40,"Youtube",$E$6:$E$40,"сайт")+SUMIFS($W$6:$W$40,$I$6:$I$40,"Вышло",$D$6:$D$40,"YouTube",$E$6:$E$40,"Ozon")+SUMIFS($W$6:$W$40,$I$6:$I$40,"Вышло",$D$6:$D$40,"YouTube",$E$6:$E$40,"OZON")+SUMIFS($W$6:$W$40,$I$6:$I$40,"Вышло",$D$6:$D$40,"YouTube",$E$6:$E$40,"Озон")+SUMIFS($W$6:$W$40,$I$6:$I$40,"Вышло",$D$6:$D$40,"YouTube",$E$6:$E$40,"озон")+SUMIFS($W$6:$W$40,$I$6:$I$40,"Вышло",$D$6:$D$40,"Youtube",$E$6:$E$40,"Ozon")+SUMIFS($W$6:$W$40,$I$6:$I$40,"Вышло",$D$6:$D$40,"Youtube",$E$6:$E$40,"OZON")+SUMIFS($W$6:$W$40,$I$6:$I$40,"Вышло",$D$6:$D$40,"Youtube",$E$6:$E$40,"Озон")+SUMIFS($W$6:$W$40,$I$6:$I$40,"Вышло",$D$6:$D$40,"Youtube",$E$6:$E$40,"озон")),0))</f>
        <v>—</v>
      </c>
      <c r="M47" s="140" t="str">
        <f>IF((SUMIFS($X$6:$X$40,$I$6:$I$40,"Вышло",$D$6:$D$40,"YouTube",$E$6:$E$40,"WB")+SUMIFS($X$6:$X$40,$I$6:$I$40,"Вышло",$D$6:$D$40,"YouTube",$E$6:$E$40,"ВБ")+SUMIFS($X$6:$X$40,$I$6:$I$40,"Вышло",$D$6:$D$40,"Youtube",$E$6:$E$40,"WB")+SUMIFS($X$6:$X$40,$I$6:$I$40,"Вышло",$D$6:$D$40,"Youtube",$E$6:$E$40,"ВБ"))=0,"—",ROUND((SUMIFS($M$6:$M$40,$I$6:$I$40,"Вышло",$D$6:$D$40,"YouTube",$E$6:$E$40,"WB")+SUMIFS($M$6:$M$40,$I$6:$I$40,"Вышло",$D$6:$D$40,"YouTube",$E$6:$E$40,"ВБ")+SUMIFS($M$6:$M$40,$I$6:$I$40,"Вышло",$D$6:$D$40,"Youtube",$E$6:$E$40,"WB")+SUMIFS($M$6:$M$40,$I$6:$I$40,"Вышло",$D$6:$D$40,"Youtube",$E$6:$E$40,"ВБ")-(SUMIFS($M$6:$M$40,$I$6:$I$40,"Вышло",$D$6:$D$40,"YouTube",$E$6:$E$40,"WB",$X$6:$X$40,"&lt;=0",$W$6:$W$40,"&gt;0")+SUMIFS($M$6:$M$40,$I$6:$I$40,"Вышло",$D$6:$D$40,"YouTube",$E$6:$E$40,"ВБ",$X$6:$X$40,"&lt;=0",$W$6:$W$40,"&gt;0")+SUMIFS($M$6:$M$40,$I$6:$I$40,"Вышло",$D$6:$D$40,"Youtube",$E$6:$E$40,"WB",$X$6:$X$40,"&lt;=0",$W$6:$W$40,"&gt;0")+SUMIFS($M$6:$M$40,$I$6:$I$40,"Вышло",$D$6:$D$40,"Youtube",$E$6:$E$40,"ВБ",$X$6:$X$40,"&lt;=0",$W$6:$W$40,"&gt;0")))/(SUMIFS($X$6:$X$40,$I$6:$I$40,"Вышло",$D$6:$D$40,"YouTube",$E$6:$E$40,"WB")+SUMIFS($X$6:$X$40,$I$6:$I$40,"Вышло",$D$6:$D$40,"YouTube",$E$6:$E$40,"ВБ")+SUMIFS($X$6:$X$40,$I$6:$I$40,"Вышло",$D$6:$D$40,"Youtube",$E$6:$E$40,"WB")+SUMIFS($X$6:$X$40,$I$6:$I$40,"Вышло",$D$6:$D$40,"Youtube",$E$6:$E$40,"ВБ")),0))</f>
        <v>—</v>
      </c>
      <c r="N47" s="140" t="str">
        <f t="shared" si="53"/>
        <v>—</v>
      </c>
      <c r="O47" s="140">
        <f>IF((SUMIFS($AA$6:$AA$40,$I$6:$I$40,"Вышло",$D$6:$D$40,"YouTube")+SUMIFS($AA$6:$AA$40,$I$6:$I$40,"Вышло",$D$6:$D$40,"Youtube"))=0,"—",ROUND((SUMIFS($M$6:$M$40,$I$6:$I$40,"Вышло",$D$6:$D$40,"YouTube")+SUMIFS($M$6:$M$40,$I$6:$I$40,"Вышло",$D$6:$D$40,"Youtube"))/(SUMIFS($AA$6:$AA$40,$I$6:$I$40,"Вышло",$D$6:$D$40,"YouTube")+SUMIFS($AA$6:$AA$40,$I$6:$I$40,"Вышло",$D$6:$D$40,"Youtube")),0))</f>
        <v>608</v>
      </c>
      <c r="P47" s="3"/>
      <c r="Q47" s="3"/>
      <c r="R47" s="3"/>
      <c r="S47" s="154"/>
      <c r="T47" s="55"/>
      <c r="U47" s="3"/>
      <c r="V47" s="155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</row>
    <row r="48" ht="15.75" customHeight="1">
      <c r="A48" s="139" t="s">
        <v>120</v>
      </c>
      <c r="B48" s="140">
        <f>SUMIFS($M$6:$M$40,$D$6:$D$40,"TikTok")+SUMIFS($M$6:$M$40,$D$6:$D$40,"Tiktok")</f>
        <v>107400</v>
      </c>
      <c r="C48" s="140">
        <f>SUMIFS($M$6:$M$40,$I$6:$I$40,"Вышло",$D$6:$D$40,"TikTok")+SUMIFS($M$6:$M$40,$I$6:$I$40,"Вышло",$D$6:$D$40,"Tiktok")</f>
        <v>107400</v>
      </c>
      <c r="D48" s="141">
        <f>COUNTIFS($I$6:$I$40,"Вышло",$D$6:$D$40,"TikTok")</f>
        <v>1</v>
      </c>
      <c r="E48" s="141">
        <f>SUMIFS($U$6:$U$40,$I$6:$I$40,"Вышло",$D$6:$D$40,"TikTok")+SUMIFS($U$6:$U$40,$I$6:$I$40,"Вышло",$D$6:$D$40,"Tiktok")</f>
        <v>2691648</v>
      </c>
      <c r="F48" s="141">
        <f>SUMIFS($W$6:$W$40,$I$6:$I$40,"Вышло",$D$6:$D$40,"TikTok")+SUMIFS($W$6:$W$40,$I$6:$I$40,"Вышло",$D$6:$D$40,"Tiktok")</f>
        <v>48</v>
      </c>
      <c r="G48" s="141">
        <f>SUMIFS($X$6:$X$40,$I$6:$I$40,"Вышло",$D$6:$D$40,"TikTok")+SUMIFS($X$6:$X$40,$I$6:$I$40,"Вышло",$D$6:$D$40,"Tiktok")</f>
        <v>58</v>
      </c>
      <c r="H48" s="141">
        <f t="shared" si="52"/>
        <v>0</v>
      </c>
      <c r="I48" s="141">
        <f>SUMIFS($Z$6:$Z$40,$I$6:$I$40,"Вышло",$D$6:$D$40,"TikTok")+SUMIFS($Z$6:$Z$40,$I$6:$I$40,"Вышло",$D$6:$D$40,"Tiktok")</f>
        <v>24</v>
      </c>
      <c r="J48" s="141">
        <f>SUMIFS($AA$6:$AA$40,$I$6:$I$40,"Вышло",$D$6:$D$40,"TikTok")+SUMIFS($AA$6:$AA$40,$I$6:$I$40,"Вышло",$D$6:$D$40,"Tiktok")</f>
        <v>10</v>
      </c>
      <c r="K48" s="140">
        <f>SUMIFS($AB$6:$AB$40,$I$6:$I$40,"Вышло",$D$6:$D$40,"TikTok")+SUMIFS($AB$6:$AB$40,$I$6:$I$40,"Вышло",$D$6:$D$40,"Tiktok")</f>
        <v>8518</v>
      </c>
      <c r="L48" s="140" t="str">
        <f>IF((SUMIFS($W$6:$W$40,$I$6:$I$40,"Вышло",$D$6:$D$40,"TikTok",$E$6:$E$40,"Сайт")+SUMIFS($W$6:$W$40,$I$6:$I$40,"Вышло",$D$6:$D$40,"TikTok",$E$6:$E$40,"сайт")+SUMIFS($W$6:$W$40,$I$6:$I$40,"Вышло",$D$6:$D$40,"Tiktok",$E$6:$E$40,"Сайт")+SUMIFS($W$6:$W$40,$I$6:$I$40,"Вышло",$D$6:$D$40,"Tiktok",$E$6:$E$40,"сайт")+SUMIFS($W$6:$W$40,$I$6:$I$40,"Вышло",$D$6:$D$40,"TikTok",$E$6:$E$40,"Ozon")+SUMIFS($W$6:$W$40,$I$6:$I$40,"Вышло",$D$6:$D$40,"TikTok",$E$6:$E$40,"OZON")+SUMIFS($W$6:$W$40,$I$6:$I$40,"Вышло",$D$6:$D$40,"TikTok",$E$6:$E$40,"Озон")+SUMIFS($W$6:$W$40,$I$6:$I$40,"Вышло",$D$6:$D$40,"TikTok",$E$6:$E$40,"озон")+SUMIFS($W$6:$W$40,$I$6:$I$40,"Вышло",$D$6:$D$40,"Tiktok",$E$6:$E$40,"Ozon")+SUMIFS($W$6:$W$40,$I$6:$I$40,"Вышло",$D$6:$D$40,"Tiktok",$E$6:$E$40,"OZON")+SUMIFS($W$6:$W$40,$I$6:$I$40,"Вышло",$D$6:$D$40,"Tiktok",$E$6:$E$40,"Озон")+SUMIFS($W$6:$W$40,$I$6:$I$40,"Вышло",$D$6:$D$40,"Tiktok",$E$6:$E$40,"озон"))=0,"—",ROUND((SUMIFS($M$6:$M$40,$I$6:$I$40,"Вышло",$D$6:$D$40,"TikTok",$E$6:$E$40,"Сайт",$W$6:$W$40,"&gt;0")+SUMIFS($M$6:$M$40,$I$6:$I$40,"Вышло",$D$6:$D$40,"TikTok",$E$6:$E$40,"сайт",$W$6:$W$40,"&gt;0")+SUMIFS($M$6:$M$40,$I$6:$I$40,"Вышло",$D$6:$D$40,"Tiktok",$E$6:$E$40,"Сайт",$W$6:$W$40,"&gt;0")+SUMIFS($M$6:$M$40,$I$6:$I$40,"Вышло",$D$6:$D$40,"Tiktok",$E$6:$E$40,"сайт",$W$6:$W$40,"&gt;0")+SUMIFS($M$6:$M$40,$I$6:$I$40,"Вышло",$D$6:$D$40,"TikTok",$E$6:$E$40,"Сайт",$W$6:$W$40,"&lt;=0",$P$6:$P$40,"&lt;&gt;")+SUMIFS($M$6:$M$40,$I$6:$I$40,"Вышло",$D$6:$D$40,"TikTok",$E$6:$E$40,"сайт",$W$6:$W$40,"&lt;=0",$P$6:$P$40,"&lt;&gt;")+SUMIFS($M$6:$M$40,$I$6:$I$40,"Вышло",$D$6:$D$40,"Tiktok",$E$6:$E$40,"Сайт",$W$6:$W$40,"&lt;=0",$P$6:$P$40,"&lt;&gt;")+SUMIFS($M$6:$M$40,$I$6:$I$40,"Вышло",$D$6:$D$40,"Tiktok",$E$6:$E$40,"сайт",$W$6:$W$40,"&lt;=0",$P$6:$P$40,"&lt;&gt;")+SUMIFS($M$6:$M$40,$I$6:$I$40,"Вышло",$D$6:$D$40,"TikTok",$E$6:$E$40,"Ozon",$W$6:$W$40,"&gt;0")+SUMIFS($M$6:$M$40,$I$6:$I$40,"Вышло",$D$6:$D$40,"TikTok",$E$6:$E$40,"OZON",$W$6:$W$40,"&gt;0")+SUMIFS($M$6:$M$40,$I$6:$I$40,"Вышло",$D$6:$D$40,"TikTok",$E$6:$E$40,"Озон",$W$6:$W$40,"&gt;0")+SUMIFS($M$6:$M$40,$I$6:$I$40,"Вышло",$D$6:$D$40,"TikTok",$E$6:$E$40,"озон",$W$6:$W$40,"&gt;0")+SUMIFS($M$6:$M$40,$I$6:$I$40,"Вышло",$D$6:$D$40,"Tiktok",$E$6:$E$40,"Ozon",$W$6:$W$40,"&gt;0")+SUMIFS($M$6:$M$40,$I$6:$I$40,"Вышло",$D$6:$D$40,"Tiktok",$E$6:$E$40,"OZON",$W$6:$W$40,"&gt;0")+SUMIFS($M$6:$M$40,$I$6:$I$40,"Вышло",$D$6:$D$40,"Tiktok",$E$6:$E$40,"Озон",$W$6:$W$40,"&gt;0")+SUMIFS($M$6:$M$40,$I$6:$I$40,"Вышло",$D$6:$D$40,"Tiktok",$E$6:$E$40,"озон",$W$6:$W$40,"&gt;0")+SUMIFS($M$6:$M$40,$I$6:$I$40,"Вышло",$D$6:$D$40,"TikTok",$E$6:$E$40,"Ozon",$W$6:$W$40,"&lt;=0",$P$6:$P$40,"&lt;&gt;")+SUMIFS($M$6:$M$40,$I$6:$I$40,"Вышло",$D$6:$D$40,"TikTok",$E$6:$E$40,"OZON",$W$6:$W$40,"&lt;=0",$P$6:$P$40,"&lt;&gt;")+SUMIFS($M$6:$M$40,$I$6:$I$40,"Вышло",$D$6:$D$40,"TikTok",$E$6:$E$40,"Озон",$W$6:$W$40,"&lt;=0",$P$6:$P$40,"&lt;&gt;")+SUMIFS($M$6:$M$40,$I$6:$I$40,"Вышло",$D$6:$D$40,"TikTok",$E$6:$E$40,"озон",$W$6:$W$40,"&lt;=0",$P$6:$P$40,"&lt;&gt;")+SUMIFS($M$6:$M$40,$I$6:$I$40,"Вышло",$D$6:$D$40,"Tiktok",$E$6:$E$40,"Ozon",$W$6:$W$40,"&lt;=0",$P$6:$P$40,"&lt;&gt;")+SUMIFS($M$6:$M$40,$I$6:$I$40,"Вышло",$D$6:$D$40,"Tiktok",$E$6:$E$40,"OZON",$W$6:$W$40,"&lt;=0",$P$6:$P$40,"&lt;&gt;")+SUMIFS($M$6:$M$40,$I$6:$I$40,"Вышло",$D$6:$D$40,"Tiktok",$E$6:$E$40,"Озон",$W$6:$W$40,"&lt;=0",$P$6:$P$40,"&lt;&gt;")+SUMIFS($M$6:$M$40,$I$6:$I$40,"Вышло",$D$6:$D$40,"Tiktok",$E$6:$E$40,"озон",$W$6:$W$40,"&lt;=0",$P$6:$P$40,"&lt;&gt;"))/(SUMIFS($W$6:$W$40,$I$6:$I$40,"Вышло",$D$6:$D$40,"TikTok",$E$6:$E$40,"Сайт")+SUMIFS($W$6:$W$40,$I$6:$I$40,"Вышло",$D$6:$D$40,"TikTok",$E$6:$E$40,"сайт")+SUMIFS($W$6:$W$40,$I$6:$I$40,"Вышло",$D$6:$D$40,"Tiktok",$E$6:$E$40,"Сайт")+SUMIFS($W$6:$W$40,$I$6:$I$40,"Вышло",$D$6:$D$40,"Tiktok",$E$6:$E$40,"сайт")+SUMIFS($W$6:$W$40,$I$6:$I$40,"Вышло",$D$6:$D$40,"TikTok",$E$6:$E$40,"Ozon")+SUMIFS($W$6:$W$40,$I$6:$I$40,"Вышло",$D$6:$D$40,"TikTok",$E$6:$E$40,"OZON")+SUMIFS($W$6:$W$40,$I$6:$I$40,"Вышло",$D$6:$D$40,"TikTok",$E$6:$E$40,"Озон")+SUMIFS($W$6:$W$40,$I$6:$I$40,"Вышло",$D$6:$D$40,"TikTok",$E$6:$E$40,"озон")+SUMIFS($W$6:$W$40,$I$6:$I$40,"Вышло",$D$6:$D$40,"Tiktok",$E$6:$E$40,"Ozon")+SUMIFS($W$6:$W$40,$I$6:$I$40,"Вышло",$D$6:$D$40,"Tiktok",$E$6:$E$40,"OZON")+SUMIFS($W$6:$W$40,$I$6:$I$40,"Вышло",$D$6:$D$40,"Tiktok",$E$6:$E$40,"Озон")+SUMIFS($W$6:$W$40,$I$6:$I$40,"Вышло",$D$6:$D$40,"Tiktok",$E$6:$E$40,"озон")),0))</f>
        <v>—</v>
      </c>
      <c r="M48" s="140">
        <f>IF((SUMIFS($X$6:$X$40,$I$6:$I$40,"Вышло",$D$6:$D$40,"TikTok",$E$6:$E$40,"WB")+SUMIFS($X$6:$X$40,$I$6:$I$40,"Вышло",$D$6:$D$40,"TikTok",$E$6:$E$40,"ВБ")+SUMIFS($X$6:$X$40,$I$6:$I$40,"Вышло",$D$6:$D$40,"Tiktok",$E$6:$E$40,"WB")+SUMIFS($X$6:$X$40,$I$6:$I$40,"Вышло",$D$6:$D$40,"Tiktok",$E$6:$E$40,"ВБ"))=0,"—",ROUND((SUMIFS($M$6:$M$40,$I$6:$I$40,"Вышло",$D$6:$D$40,"TikTok",$E$6:$E$40,"WB")+SUMIFS($M$6:$M$40,$I$6:$I$40,"Вышло",$D$6:$D$40,"TikTok",$E$6:$E$40,"ВБ")+SUMIFS($M$6:$M$40,$I$6:$I$40,"Вышло",$D$6:$D$40,"Tiktok",$E$6:$E$40,"WB")+SUMIFS($M$6:$M$40,$I$6:$I$40,"Вышло",$D$6:$D$40,"Tiktok",$E$6:$E$40,"ВБ")-(SUMIFS($M$6:$M$40,$I$6:$I$40,"Вышло",$D$6:$D$40,"TikTok",$E$6:$E$40,"WB",$X$6:$X$40,"&lt;=0",$W$6:$W$40,"&gt;0")+SUMIFS($M$6:$M$40,$I$6:$I$40,"Вышло",$D$6:$D$40,"TikTok",$E$6:$E$40,"ВБ",$X$6:$X$40,"&lt;=0",$W$6:$W$40,"&gt;0")+SUMIFS($M$6:$M$40,$I$6:$I$40,"Вышло",$D$6:$D$40,"Tiktok",$E$6:$E$40,"WB",$X$6:$X$40,"&lt;=0",$W$6:$W$40,"&gt;0")+SUMIFS($M$6:$M$40,$I$6:$I$40,"Вышло",$D$6:$D$40,"Tiktok",$E$6:$E$40,"ВБ",$X$6:$X$40,"&lt;=0",$W$6:$W$40,"&gt;0")))/(SUMIFS($X$6:$X$40,$I$6:$I$40,"Вышло",$D$6:$D$40,"TikTok",$E$6:$E$40,"WB")+SUMIFS($X$6:$X$40,$I$6:$I$40,"Вышло",$D$6:$D$40,"TikTok",$E$6:$E$40,"ВБ")+SUMIFS($X$6:$X$40,$I$6:$I$40,"Вышло",$D$6:$D$40,"Tiktok",$E$6:$E$40,"WB")+SUMIFS($X$6:$X$40,$I$6:$I$40,"Вышло",$D$6:$D$40,"Tiktok",$E$6:$E$40,"ВБ")),0))</f>
        <v>1852</v>
      </c>
      <c r="N48" s="140" t="str">
        <f t="shared" si="53"/>
        <v>—</v>
      </c>
      <c r="O48" s="140">
        <f>IF((SUMIFS($AA$6:$AA$40,$I$6:$I$40,"Вышло",$D$6:$D$40,"TikTok")+SUMIFS($AA$6:$AA$40,$I$6:$I$40,"Вышло",$D$6:$D$40,"Tiktok"))=0,"—",ROUND((SUMIFS($M$6:$M$40,$I$6:$I$40,"Вышло",$D$6:$D$40,"TikTok")+SUMIFS($M$6:$M$40,$I$6:$I$40,"Вышло",$D$6:$D$40,"Tiktok"))/(SUMIFS($AA$6:$AA$40,$I$6:$I$40,"Вышло",$D$6:$D$40,"TikTok")+SUMIFS($AA$6:$AA$40,$I$6:$I$40,"Вышло",$D$6:$D$40,"Tiktok")),0))</f>
        <v>10740</v>
      </c>
      <c r="P48" s="3"/>
      <c r="Q48" s="3"/>
      <c r="R48" s="3"/>
      <c r="S48" s="154"/>
      <c r="T48" s="55"/>
      <c r="U48" s="3"/>
      <c r="V48" s="155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</row>
    <row r="49" ht="15.75" customHeight="1">
      <c r="A49" s="139" t="s">
        <v>297</v>
      </c>
      <c r="B49" s="140">
        <f>SUMIFS($M$6:$M$40,$D$6:$D$40,"Rutube")</f>
        <v>0</v>
      </c>
      <c r="C49" s="140">
        <f>SUMIFS($M$6:$M$40,$I$6:$I$40,"Вышло",$D$6:$D$40,"Rutube")</f>
        <v>0</v>
      </c>
      <c r="D49" s="141">
        <f>COUNTIFS($I$6:$I$40,"Вышло",$D$6:$D$40,"Rutube")</f>
        <v>0</v>
      </c>
      <c r="E49" s="141">
        <f>SUMIFS($U$6:$U$40,$I$6:$I$40,"Вышло",$D$6:$D$40,"Rutube")</f>
        <v>0</v>
      </c>
      <c r="F49" s="141">
        <f>SUMIFS($W$6:$W$40,$I$6:$I$40,"Вышло",$D$6:$D$40,"Rutube")</f>
        <v>0</v>
      </c>
      <c r="G49" s="141">
        <f>SUMIFS($X$6:$X$40,$I$6:$I$40,"Вышло",$D$6:$D$40,"Rutube")</f>
        <v>0</v>
      </c>
      <c r="H49" s="141">
        <f t="shared" si="52"/>
        <v>0</v>
      </c>
      <c r="I49" s="141">
        <f>SUMIFS($Z$6:$Z$40,$I$6:$I$40,"Вышло",$D$6:$D$40,"Rutube")</f>
        <v>0</v>
      </c>
      <c r="J49" s="141">
        <f>SUMIFS($AA$6:$AA$40,$I$6:$I$40,"Вышло",$D$6:$D$40,"Rutube")</f>
        <v>0</v>
      </c>
      <c r="K49" s="140">
        <f>SUMIFS($AB$6:$AB$40,$I$6:$I$40,"Вышло",$D$6:$D$40,"Rutube")</f>
        <v>0</v>
      </c>
      <c r="L49" s="140" t="str">
        <f>IF((SUMIFS($W$6:$W$40,$I$6:$I$40,"Вышло",$D$6:$D$40,"Rutube",$E$6:$E$40,"Сайт")+SUMIFS($W$6:$W$40,$I$6:$I$40,"Вышло",$D$6:$D$40,"Rutube",$E$6:$E$40,"сайт")+SUMIFS($W$6:$W$40,$I$6:$I$40,"Вышло",$D$6:$D$40,"Rutube",$E$6:$E$40,"Ozon")+SUMIFS($W$6:$W$40,$I$6:$I$40,"Вышло",$D$6:$D$40,"Rutube",$E$6:$E$40,"OZON")+SUMIFS($W$6:$W$40,$I$6:$I$40,"Вышло",$D$6:$D$40,"Rutube",$E$6:$E$40,"Озон")+SUMIFS($W$6:$W$40,$I$6:$I$40,"Вышло",$D$6:$D$40,"Rutube",$E$6:$E$40,"озон"))=0,"—",ROUND((SUMIFS($M$6:$M$40,$I$6:$I$40,"Вышло",$D$6:$D$40,"Rutube",$E$6:$E$40,"Сайт",$W$6:$W$40,"&gt;0")+SUMIFS($M$6:$M$40,$I$6:$I$40,"Вышло",$D$6:$D$40,"Rutube",$E$6:$E$40,"сайт",$W$6:$W$40,"&gt;0")+SUMIFS($M$6:$M$40,$I$6:$I$40,"Вышло",$D$6:$D$40,"Rutube",$E$6:$E$40,"Сайт",$W$6:$W$40,"&lt;=0",$P$6:$P$40,"&lt;&gt;")+SUMIFS($M$6:$M$40,$I$6:$I$40,"Вышло",$D$6:$D$40,"Rutube",$E$6:$E$40,"сайт",$W$6:$W$40,"&lt;=0",$P$6:$P$40,"&lt;&gt;")+SUMIFS($M$6:$M$40,$I$6:$I$40,"Вышло",$D$6:$D$40,"Rutube",$E$6:$E$40,"Ozon",$W$6:$W$40,"&gt;0")+SUMIFS($M$6:$M$40,$I$6:$I$40,"Вышло",$D$6:$D$40,"Rutube",$E$6:$E$40,"OZON",$W$6:$W$40,"&gt;0")+SUMIFS($M$6:$M$40,$I$6:$I$40,"Вышло",$D$6:$D$40,"Rutube",$E$6:$E$40,"Озон",$W$6:$W$40,"&gt;0")+SUMIFS($M$6:$M$40,$I$6:$I$40,"Вышло",$D$6:$D$40,"Rutube",$E$6:$E$40,"озон",$W$6:$W$40,"&gt;0")+SUMIFS($M$6:$M$40,$I$6:$I$40,"Вышло",$D$6:$D$40,"Rutube",$E$6:$E$40,"Ozon",$W$6:$W$40,"&lt;=0",$P$6:$P$40,"&lt;&gt;")+SUMIFS($M$6:$M$40,$I$6:$I$40,"Вышло",$D$6:$D$40,"Rutube",$E$6:$E$40,"OZON",$W$6:$W$40,"&lt;=0",$P$6:$P$40,"&lt;&gt;")+SUMIFS($M$6:$M$40,$I$6:$I$40,"Вышло",$D$6:$D$40,"Rutube",$E$6:$E$40,"Озон",$W$6:$W$40,"&lt;=0",$P$6:$P$40,"&lt;&gt;")+SUMIFS($M$6:$M$40,$I$6:$I$40,"Вышло",$D$6:$D$40,"Rutube",$E$6:$E$40,"озон",$W$6:$W$40,"&lt;=0",$P$6:$P$40,"&lt;&gt;"))/(SUMIFS($W$6:$W$40,$I$6:$I$40,"Вышло",$D$6:$D$40,"Rutube",$E$6:$E$40,"Сайт")+SUMIFS($W$6:$W$40,$I$6:$I$40,"Вышло",$D$6:$D$40,"Rutube",$E$6:$E$40,"сайт")+SUMIFS($W$6:$W$40,$I$6:$I$40,"Вышло",$D$6:$D$40,"Rutube",$E$6:$E$40,"Ozon")+SUMIFS($W$6:$W$40,$I$6:$I$40,"Вышло",$D$6:$D$40,"Rutube",$E$6:$E$40,"OZON")+SUMIFS($W$6:$W$40,$I$6:$I$40,"Вышло",$D$6:$D$40,"Rutube",$E$6:$E$40,"Озон")+SUMIFS($W$6:$W$40,$I$6:$I$40,"Вышло",$D$6:$D$40,"Rutube",$E$6:$E$40,"озон")),0))</f>
        <v>—</v>
      </c>
      <c r="M49" s="140" t="str">
        <f>IF((SUMIFS($X$6:$X$40,$I$6:$I$40,"Вышло",$D$6:$D$40,"Rutube",$E$6:$E$40,"WB")+SUMIFS($X$6:$X$40,$I$6:$I$40,"Вышло",$D$6:$D$40,"Rutube",$E$6:$E$40,"ВБ"))=0,"—",ROUND((SUMIFS($M$6:$M$40,$I$6:$I$40,"Вышло",$D$6:$D$40,"Rutube",$E$6:$E$40,"WB")+SUMIFS($M$6:$M$40,$I$6:$I$40,"Вышло",$D$6:$D$40,"Rutube",$E$6:$E$40,"ВБ")-(SUMIFS($M$6:$M$40,$I$6:$I$40,"Вышло",$D$6:$D$40,"Rutube",$E$6:$E$40,"WB",$X$6:$X$40,"&lt;=0",$W$6:$W$40,"&gt;0")+SUMIFS($M$6:$M$40,$I$6:$I$40,"Вышло",$D$6:$D$40,"Rutube",$E$6:$E$40,"ВБ",$X$6:$X$40,"&lt;=0",$W$6:$W$40,"&gt;0")))/(SUMIFS($X$6:$X$40,$I$6:$I$40,"Вышло",$D$6:$D$40,"Rutube",$E$6:$E$40,"WB")+SUMIFS($X$6:$X$40,$I$6:$I$40,"Вышло",$D$6:$D$40,"Rutube",$E$6:$E$40,"ВБ")),0))</f>
        <v>—</v>
      </c>
      <c r="N49" s="140" t="str">
        <f t="shared" si="53"/>
        <v>—</v>
      </c>
      <c r="O49" s="140" t="str">
        <f>IF((SUMIFS($AA$6:$AA$40,$I$6:$I$40,"Вышло",$D$6:$D$40,"Rutube"))=0,"—",ROUND((SUMIFS($M$6:$M$40,$I$6:$I$40,"Вышло",$D$6:$D$40,"Rutube"))/(SUMIFS($AA$6:$AA$40,$I$6:$I$40,"Вышло",$D$6:$D$40,"Rutube")),0))</f>
        <v>—</v>
      </c>
      <c r="P49" s="3"/>
      <c r="Q49" s="3"/>
      <c r="R49" s="3"/>
      <c r="S49" s="154"/>
      <c r="T49" s="55"/>
      <c r="U49" s="3"/>
      <c r="V49" s="155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</row>
    <row r="50" ht="15.75" customHeight="1">
      <c r="A50" s="139" t="s">
        <v>665</v>
      </c>
      <c r="B50" s="140">
        <f>SUMIFS($M$6:$M$40,$D$6:$D$40,"Instagram")+SUMIFS($M$6:$M$40,$D$6:$D$40,"Inst")</f>
        <v>1</v>
      </c>
      <c r="C50" s="140">
        <f>SUMIFS($M$6:$M$40,$I$6:$I$40,"Вышло",$D$6:$D$40,"Instagram")+SUMIFS($M$6:$M$40,$I$6:$I$40,"Вышло",$D$6:$D$40,"Inst")</f>
        <v>1</v>
      </c>
      <c r="D50" s="141">
        <f>COUNTIFS($I$6:$I$40,"Вышло",$D$6:$D$40,"Instagram")+COUNTIFS($I$6:$I$40,"Вышло",$D$6:$D$40,"Inst")</f>
        <v>1</v>
      </c>
      <c r="E50" s="141">
        <f>SUMIFS($U$6:$U$40,$I$6:$I$40,"Вышло",$D$6:$D$40,"Instagram")+SUMIFS($U$6:$U$40,$I$6:$I$40,"Вышло",$D$6:$D$40,"Inst")</f>
        <v>26500</v>
      </c>
      <c r="F50" s="141">
        <f>SUMIFS($W$6:$W$40,$I$6:$I$40,"Вышло",$D$6:$D$40,"Instagram")+SUMIFS($W$6:$W$40,$I$6:$I$40,"Вышло",$D$6:$D$40,"Inst")</f>
        <v>0</v>
      </c>
      <c r="G50" s="141">
        <f>SUMIFS($X$6:$X$40,$I$6:$I$40,"Вышло",$D$6:$D$40,"Instagram")+SUMIFS($X$6:$X$40,$I$6:$I$40,"Вышло",$D$6:$D$40,"Inst")</f>
        <v>0</v>
      </c>
      <c r="H50" s="141">
        <f t="shared" si="52"/>
        <v>0</v>
      </c>
      <c r="I50" s="141">
        <f>SUMIFS($Z$6:$Z$40,$I$6:$I$40,"Вышло",$D$6:$D$40,"Instagram")+SUMIFS($Z$6:$Z$40,$I$6:$I$40,"Вышло",$D$6:$D$40,"Inst")</f>
        <v>0</v>
      </c>
      <c r="J50" s="141">
        <f>SUMIFS($AA$6:$AA$40,$I$6:$I$40,"Вышло",$D$6:$D$40,"Instagram")+SUMIFS($AA$6:$AA$40,$I$6:$I$40,"Вышло",$D$6:$D$40,"Inst")</f>
        <v>0</v>
      </c>
      <c r="K50" s="140">
        <f>SUMIFS($AB$6:$AB$40,$I$6:$I$40,"Вышло",$D$6:$D$40,"Instagram")+SUMIFS($AB$6:$AB$40,$I$6:$I$40,"Вышло",$D$6:$D$40,"Inst")</f>
        <v>0</v>
      </c>
      <c r="L50" s="140" t="str">
        <f>IF((SUMIFS($W$6:$W$40,$I$6:$I$40,"Вышло",$D$6:$D$40,"Instagram",$E$6:$E$40,"Сайт")+SUMIFS($W$6:$W$40,$I$6:$I$40,"Вышло",$D$6:$D$40,"Instagram",$E$6:$E$40,"сайт")+SUMIFS($W$6:$W$40,$I$6:$I$40,"Вышло",$D$6:$D$40,"Inst",$E$6:$E$40,"Сайт")+SUMIFS($W$6:$W$40,$I$6:$I$40,"Вышло",$D$6:$D$40,"Inst",$E$6:$E$40,"сайт")+SUMIFS($W$6:$W$40,$I$6:$I$40,"Вышло",$D$6:$D$40,"Instagram",$E$6:$E$40,"Ozon")+SUMIFS($W$6:$W$40,$I$6:$I$40,"Вышло",$D$6:$D$40,"Instagram",$E$6:$E$40,"OZON")+SUMIFS($W$6:$W$40,$I$6:$I$40,"Вышло",$D$6:$D$40,"Instagram",$E$6:$E$40,"Озон")+SUMIFS($W$6:$W$40,$I$6:$I$40,"Вышло",$D$6:$D$40,"Instagram",$E$6:$E$40,"озон")+SUMIFS($W$6:$W$40,$I$6:$I$40,"Вышло",$D$6:$D$40,"Inst",$E$6:$E$40,"Ozon")+SUMIFS($W$6:$W$40,$I$6:$I$40,"Вышло",$D$6:$D$40,"Inst",$E$6:$E$40,"OZON")+SUMIFS($W$6:$W$40,$I$6:$I$40,"Вышло",$D$6:$D$40,"Inst",$E$6:$E$40,"Озон")+SUMIFS($W$6:$W$40,$I$6:$I$40,"Вышло",$D$6:$D$40,"Inst",$E$6:$E$40,"озон"))=0,"—",ROUND((SUMIFS($M$6:$M$40,$I$6:$I$40,"Вышло",$D$6:$D$40,"Instagram",$E$6:$E$40,"Сайт",$W$6:$W$40,"&gt;0")+SUMIFS($M$6:$M$40,$I$6:$I$40,"Вышло",$D$6:$D$40,"Instagram",$E$6:$E$40,"сайт",$W$6:$W$40,"&gt;0")+SUMIFS($M$6:$M$40,$I$6:$I$40,"Вышло",$D$6:$D$40,"Inst",$E$6:$E$40,"Сайт",$W$6:$W$40,"&gt;0")+SUMIFS($M$6:$M$40,$I$6:$I$40,"Вышло",$D$6:$D$40,"Inst",$E$6:$E$40,"сайт",$W$6:$W$40,"&gt;0")+SUMIFS($M$6:$M$40,$I$6:$I$40,"Вышло",$D$6:$D$40,"Instagram",$E$6:$E$40,"Сайт",$W$6:$W$40,"&lt;=0",$P$6:$P$40,"&lt;&gt;")+SUMIFS($M$6:$M$40,$I$6:$I$40,"Вышло",$D$6:$D$40,"Instagram",$E$6:$E$40,"сайт",$W$6:$W$40,"&lt;=0",$P$6:$P$40,"&lt;&gt;")+SUMIFS($M$6:$M$40,$I$6:$I$40,"Вышло",$D$6:$D$40,"Inst",$E$6:$E$40,"Сайт",$W$6:$W$40,"&lt;=0",$P$6:$P$40,"&lt;&gt;")+SUMIFS($M$6:$M$40,$I$6:$I$40,"Вышло",$D$6:$D$40,"Inst",$E$6:$E$40,"сайт",$W$6:$W$40,"&lt;=0",$P$6:$P$40,"&lt;&gt;")+SUMIFS($M$6:$M$40,$I$6:$I$40,"Вышло",$D$6:$D$40,"Instagram",$E$6:$E$40,"Ozon",$W$6:$W$40,"&gt;0")+SUMIFS($M$6:$M$40,$I$6:$I$40,"Вышло",$D$6:$D$40,"Instagram",$E$6:$E$40,"OZON",$W$6:$W$40,"&gt;0")+SUMIFS($M$6:$M$40,$I$6:$I$40,"Вышло",$D$6:$D$40,"Instagram",$E$6:$E$40,"Озон",$W$6:$W$40,"&gt;0")+SUMIFS($M$6:$M$40,$I$6:$I$40,"Вышло",$D$6:$D$40,"Instagram",$E$6:$E$40,"озон",$W$6:$W$40,"&gt;0")+SUMIFS($M$6:$M$40,$I$6:$I$40,"Вышло",$D$6:$D$40,"Inst",$E$6:$E$40,"Ozon",$W$6:$W$40,"&gt;0")+SUMIFS($M$6:$M$40,$I$6:$I$40,"Вышло",$D$6:$D$40,"Inst",$E$6:$E$40,"OZON",$W$6:$W$40,"&gt;0")+SUMIFS($M$6:$M$40,$I$6:$I$40,"Вышло",$D$6:$D$40,"Inst",$E$6:$E$40,"Озон",$W$6:$W$40,"&gt;0")+SUMIFS($M$6:$M$40,$I$6:$I$40,"Вышло",$D$6:$D$40,"Inst",$E$6:$E$40,"озон",$W$6:$W$40,"&gt;0")+SUMIFS($M$6:$M$40,$I$6:$I$40,"Вышло",$D$6:$D$40,"Instagram",$E$6:$E$40,"Ozon",$W$6:$W$40,"&lt;=0",$P$6:$P$40,"&lt;&gt;")+SUMIFS($M$6:$M$40,$I$6:$I$40,"Вышло",$D$6:$D$40,"Instagram",$E$6:$E$40,"OZON",$W$6:$W$40,"&lt;=0",$P$6:$P$40,"&lt;&gt;")+SUMIFS($M$6:$M$40,$I$6:$I$40,"Вышло",$D$6:$D$40,"Instagram",$E$6:$E$40,"Озон",$W$6:$W$40,"&lt;=0",$P$6:$P$40,"&lt;&gt;")+SUMIFS($M$6:$M$40,$I$6:$I$40,"Вышло",$D$6:$D$40,"Instagram",$E$6:$E$40,"озон",$W$6:$W$40,"&lt;=0",$P$6:$P$40,"&lt;&gt;")+SUMIFS($M$6:$M$40,$I$6:$I$40,"Вышло",$D$6:$D$40,"Inst",$E$6:$E$40,"Ozon",$W$6:$W$40,"&lt;=0",$P$6:$P$40,"&lt;&gt;")+SUMIFS($M$6:$M$40,$I$6:$I$40,"Вышло",$D$6:$D$40,"Inst",$E$6:$E$40,"OZON",$W$6:$W$40,"&lt;=0",$P$6:$P$40,"&lt;&gt;")+SUMIFS($M$6:$M$40,$I$6:$I$40,"Вышло",$D$6:$D$40,"Inst",$E$6:$E$40,"Озон",$W$6:$W$40,"&lt;=0",$P$6:$P$40,"&lt;&gt;")+SUMIFS($M$6:$M$40,$I$6:$I$40,"Вышло",$D$6:$D$40,"Inst",$E$6:$E$40,"озон",$W$6:$W$40,"&lt;=0",$P$6:$P$40,"&lt;&gt;"))/(SUMIFS($W$6:$W$40,$I$6:$I$40,"Вышло",$D$6:$D$40,"Instagram",$E$6:$E$40,"Сайт")+SUMIFS($W$6:$W$40,$I$6:$I$40,"Вышло",$D$6:$D$40,"Instagram",$E$6:$E$40,"сайт")+SUMIFS($W$6:$W$40,$I$6:$I$40,"Вышло",$D$6:$D$40,"Inst",$E$6:$E$40,"Сайт")+SUMIFS($W$6:$W$40,$I$6:$I$40,"Вышло",$D$6:$D$40,"Inst",$E$6:$E$40,"сайт")+SUMIFS($W$6:$W$40,$I$6:$I$40,"Вышло",$D$6:$D$40,"Instagram",$E$6:$E$40,"Ozon")+SUMIFS($W$6:$W$40,$I$6:$I$40,"Вышло",$D$6:$D$40,"Instagram",$E$6:$E$40,"OZON")+SUMIFS($W$6:$W$40,$I$6:$I$40,"Вышло",$D$6:$D$40,"Instagram",$E$6:$E$40,"Озон")+SUMIFS($W$6:$W$40,$I$6:$I$40,"Вышло",$D$6:$D$40,"Instagram",$E$6:$E$40,"озон")+SUMIFS($W$6:$W$40,$I$6:$I$40,"Вышло",$D$6:$D$40,"Inst",$E$6:$E$40,"Ozon")+SUMIFS($W$6:$W$40,$I$6:$I$40,"Вышло",$D$6:$D$40,"Inst",$E$6:$E$40,"OZON")+SUMIFS($W$6:$W$40,$I$6:$I$40,"Вышло",$D$6:$D$40,"Inst",$E$6:$E$40,"Озон")+SUMIFS($W$6:$W$40,$I$6:$I$40,"Вышло",$D$6:$D$40,"Inst",$E$6:$E$40,"озон")),0))</f>
        <v>—</v>
      </c>
      <c r="M50" s="140" t="str">
        <f>IF((SUMIFS($X$6:$X$40,$I$6:$I$40,"Вышло",$D$6:$D$40,"Instagram",$E$6:$E$40,"WB")+SUMIFS($X$6:$X$40,$I$6:$I$40,"Вышло",$D$6:$D$40,"Instagram",$E$6:$E$40,"ВБ")+SUMIFS($X$6:$X$40,$I$6:$I$40,"Вышло",$D$6:$D$40,"Inst",$E$6:$E$40,"WB")+SUMIFS($X$6:$X$40,$I$6:$I$40,"Вышло",$D$6:$D$40,"Inst",$E$6:$E$40,"ВБ"))=0,"—",ROUND((SUMIFS($M$6:$M$40,$I$6:$I$40,"Вышло",$D$6:$D$40,"Instagram",$E$6:$E$40,"WB")+SUMIFS($M$6:$M$40,$I$6:$I$40,"Вышло",$D$6:$D$40,"Instagram",$E$6:$E$40,"ВБ")+SUMIFS($M$6:$M$40,$I$6:$I$40,"Вышло",$D$6:$D$40,"Inst",$E$6:$E$40,"WB")+SUMIFS($M$6:$M$40,$I$6:$I$40,"Вышло",$D$6:$D$40,"Inst",$E$6:$E$40,"ВБ")-(SUMIFS($M$6:$M$40,$I$6:$I$40,"Вышло",$D$6:$D$40,"Instagram",$E$6:$E$40,"WB",$X$6:$X$40,"&lt;=0",$W$6:$W$40,"&gt;0")+SUMIFS($M$6:$M$40,$I$6:$I$40,"Вышло",$D$6:$D$40,"Instagram",$E$6:$E$40,"ВБ",$X$6:$X$40,"&lt;=0",$W$6:$W$40,"&gt;0")+SUMIFS($M$6:$M$40,$I$6:$I$40,"Вышло",$D$6:$D$40,"Inst",$E$6:$E$40,"WB",$X$6:$X$40,"&lt;=0",$W$6:$W$40,"&gt;0")+SUMIFS($M$6:$M$40,$I$6:$I$40,"Вышло",$D$6:$D$40,"Inst",$E$6:$E$40,"ВБ",$X$6:$X$40,"&lt;=0",$W$6:$W$40,"&gt;0")))/(SUMIFS($X$6:$X$40,$I$6:$I$40,"Вышло",$D$6:$D$40,"Instagram",$E$6:$E$40,"WB")+SUMIFS($X$6:$X$40,$I$6:$I$40,"Вышло",$D$6:$D$40,"Instagram",$E$6:$E$40,"ВБ")+SUMIFS($X$6:$X$40,$I$6:$I$40,"Вышло",$D$6:$D$40,"Inst",$E$6:$E$40,"WB")+SUMIFS($X$6:$X$40,$I$6:$I$40,"Вышло",$D$6:$D$40,"Inst",$E$6:$E$40,"ВБ")),0))</f>
        <v>—</v>
      </c>
      <c r="N50" s="140" t="str">
        <f t="shared" si="53"/>
        <v>—</v>
      </c>
      <c r="O50" s="140" t="str">
        <f>IF((SUMIFS($AA$6:$AA$40,$I$6:$I$40,"Вышло",$D$6:$D$40,"Instagram")+SUMIFS($AA$6:$AA$40,$I$6:$I$40,"Вышло",$D$6:$D$40,"Inst"))=0,"—",ROUND((SUMIFS($M$6:$M$40,$I$6:$I$40,"Вышло",$D$6:$D$40,"Instagram")+SUMIFS($M$6:$M$40,$I$6:$I$40,"Вышло",$D$6:$D$40,"Inst"))/(SUMIFS($AA$6:$AA$40,$I$6:$I$40,"Вышло",$D$6:$D$40,"Instagram")+SUMIFS($AA$6:$AA$40,$I$6:$I$40,"Вышло",$D$6:$D$40,"Inst")),0))</f>
        <v>—</v>
      </c>
      <c r="P50" s="3"/>
      <c r="Q50" s="3"/>
      <c r="R50" s="3"/>
      <c r="S50" s="154"/>
      <c r="T50" s="55"/>
      <c r="U50" s="3"/>
      <c r="V50" s="155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</row>
    <row r="51" ht="15.75" customHeight="1">
      <c r="A51" s="139" t="s">
        <v>860</v>
      </c>
      <c r="B51" s="140">
        <f>SUMIFS($M$6:$M$40,$D$6:$D$40,"WB")</f>
        <v>3</v>
      </c>
      <c r="C51" s="140">
        <f>SUMIFS($M$6:$M$40,$I$6:$I$40,"Вышло",$D$6:$D$40,"WB")</f>
        <v>3</v>
      </c>
      <c r="D51" s="141">
        <f>COUNTIFS($I$6:$I$40,"Вышло",$D$6:$D$40,"WB")</f>
        <v>1</v>
      </c>
      <c r="E51" s="141">
        <f>SUMIFS($U$6:$U$40,$I$6:$I$40,"Вышло",$D$6:$D$40,"WB")</f>
        <v>9320</v>
      </c>
      <c r="F51" s="141">
        <f>SUMIFS($W$6:$W$40,$I$6:$I$40,"Вышло",$D$6:$D$40,"WB")</f>
        <v>94</v>
      </c>
      <c r="G51" s="141">
        <f>SUMIFS($X$6:$X$40,$I$6:$I$40,"Вышло",$D$6:$D$40,"WB")</f>
        <v>37</v>
      </c>
      <c r="H51" s="141">
        <f t="shared" si="52"/>
        <v>0</v>
      </c>
      <c r="I51" s="141">
        <f>SUMIFS($Z$6:$Z$40,$I$6:$I$40,"Вышло",$D$6:$D$40,"WB")</f>
        <v>19</v>
      </c>
      <c r="J51" s="141">
        <f>SUMIFS($AA$6:$AA$40,$I$6:$I$40,"Вышло",$D$6:$D$40,"WB")</f>
        <v>0</v>
      </c>
      <c r="K51" s="140">
        <f>SUMIFS($AB$6:$AB$40,$I$6:$I$40,"Вышло",$D$6:$D$40,"WB")</f>
        <v>0</v>
      </c>
      <c r="L51" s="140" t="str">
        <f>IF((SUMIFS($W$6:$W$40,$I$6:$I$40,"Вышло",$D$6:$D$40,"WB",$E$6:$E$40,"Сайт")+SUMIFS($W$6:$W$40,$I$6:$I$40,"Вышло",$D$6:$D$40,"WB",$E$6:$E$40,"сайт")+SUMIFS($W$6:$W$40,$I$6:$I$40,"Вышло",$D$6:$D$40,"WB",$E$6:$E$40,"Ozon")+SUMIFS($W$6:$W$40,$I$6:$I$40,"Вышло",$D$6:$D$40,"WB",$E$6:$E$40,"OZON")+SUMIFS($W$6:$W$40,$I$6:$I$40,"Вышло",$D$6:$D$40,"WB",$E$6:$E$40,"Озон")+SUMIFS($W$6:$W$40,$I$6:$I$40,"Вышло",$D$6:$D$40,"WB",$E$6:$E$40,"озон"))=0,"—",ROUND((SUMIFS($M$6:$M$40,$I$6:$I$40,"Вышло",$D$6:$D$40,"WB",$E$6:$E$40,"Сайт",$W$6:$W$40,"&gt;0")+SUMIFS($M$6:$M$40,$I$6:$I$40,"Вышло",$D$6:$D$40,"WB",$E$6:$E$40,"сайт",$W$6:$W$40,"&gt;0")+SUMIFS($M$6:$M$40,$I$6:$I$40,"Вышло",$D$6:$D$40,"WB",$E$6:$E$40,"Сайт",$W$6:$W$40,"&lt;=0",$P$6:$P$40,"&lt;&gt;")+SUMIFS($M$6:$M$40,$I$6:$I$40,"Вышло",$D$6:$D$40,"WB",$E$6:$E$40,"сайт",$W$6:$W$40,"&lt;=0",$P$6:$P$40,"&lt;&gt;")+SUMIFS($M$6:$M$40,$I$6:$I$40,"Вышло",$D$6:$D$40,"WB",$E$6:$E$40,"Ozon",$W$6:$W$40,"&gt;0")+SUMIFS($M$6:$M$40,$I$6:$I$40,"Вышло",$D$6:$D$40,"WB",$E$6:$E$40,"OZON",$W$6:$W$40,"&gt;0")+SUMIFS($M$6:$M$40,$I$6:$I$40,"Вышло",$D$6:$D$40,"WB",$E$6:$E$40,"Озон",$W$6:$W$40,"&gt;0")+SUMIFS($M$6:$M$40,$I$6:$I$40,"Вышло",$D$6:$D$40,"WB",$E$6:$E$40,"озон",$W$6:$W$40,"&gt;0")+SUMIFS($M$6:$M$40,$I$6:$I$40,"Вышло",$D$6:$D$40,"WB",$E$6:$E$40,"Ozon",$W$6:$W$40,"&lt;=0",$P$6:$P$40,"&lt;&gt;")+SUMIFS($M$6:$M$40,$I$6:$I$40,"Вышло",$D$6:$D$40,"WB",$E$6:$E$40,"OZON",$W$6:$W$40,"&lt;=0",$P$6:$P$40,"&lt;&gt;")+SUMIFS($M$6:$M$40,$I$6:$I$40,"Вышло",$D$6:$D$40,"WB",$E$6:$E$40,"Озон",$W$6:$W$40,"&lt;=0",$P$6:$P$40,"&lt;&gt;")+SUMIFS($M$6:$M$40,$I$6:$I$40,"Вышло",$D$6:$D$40,"WB",$E$6:$E$40,"озон",$W$6:$W$40,"&lt;=0",$P$6:$P$40,"&lt;&gt;"))/(SUMIFS($W$6:$W$40,$I$6:$I$40,"Вышло",$D$6:$D$40,"WB",$E$6:$E$40,"Сайт")+SUMIFS($W$6:$W$40,$I$6:$I$40,"Вышло",$D$6:$D$40,"WB",$E$6:$E$40,"сайт")+SUMIFS($W$6:$W$40,$I$6:$I$40,"Вышло",$D$6:$D$40,"WB",$E$6:$E$40,"Ozon")+SUMIFS($W$6:$W$40,$I$6:$I$40,"Вышло",$D$6:$D$40,"WB",$E$6:$E$40,"OZON")+SUMIFS($W$6:$W$40,$I$6:$I$40,"Вышло",$D$6:$D$40,"WB",$E$6:$E$40,"Озон")+SUMIFS($W$6:$W$40,$I$6:$I$40,"Вышло",$D$6:$D$40,"WB",$E$6:$E$40,"озон")),0))</f>
        <v>—</v>
      </c>
      <c r="M51" s="140">
        <f>IF((SUMIFS($X$6:$X$40,$I$6:$I$40,"Вышло",$D$6:$D$40,"WB",$E$6:$E$40,"WB")+SUMIFS($X$6:$X$40,$I$6:$I$40,"Вышло",$D$6:$D$40,"WB",$E$6:$E$40,"ВБ"))=0,"—",ROUND((SUMIFS($M$6:$M$40,$I$6:$I$40,"Вышло",$D$6:$D$40,"WB",$E$6:$E$40,"WB")+SUMIFS($M$6:$M$40,$I$6:$I$40,"Вышло",$D$6:$D$40,"WB",$E$6:$E$40,"ВБ")-(SUMIFS($M$6:$M$40,$I$6:$I$40,"Вышло",$D$6:$D$40,"WB",$E$6:$E$40,"WB",$X$6:$X$40,"&lt;=0",$W$6:$W$40,"&gt;0")+SUMIFS($M$6:$M$40,$I$6:$I$40,"Вышло",$D$6:$D$40,"WB",$E$6:$E$40,"ВБ",$X$6:$X$40,"&lt;=0",$W$6:$W$40,"&gt;0")))/(SUMIFS($X$6:$X$40,$I$6:$I$40,"Вышло",$D$6:$D$40,"WB",$E$6:$E$40,"WB")+SUMIFS($X$6:$X$40,$I$6:$I$40,"Вышло",$D$6:$D$40,"WB",$E$6:$E$40,"ВБ")),0))</f>
        <v>0</v>
      </c>
      <c r="N51" s="140" t="str">
        <f t="shared" si="53"/>
        <v>—</v>
      </c>
      <c r="O51" s="140" t="str">
        <f>IF((SUMIFS($AA$6:$AA$40,$I$6:$I$40,"Вышло",$D$6:$D$40,"WB"))=0,"—",ROUND((SUMIFS($M$6:$M$40,$I$6:$I$40,"Вышло",$D$6:$D$40,"WB"))/(SUMIFS($AA$6:$AA$40,$I$6:$I$40,"Вышло",$D$6:$D$40,"WB")),0))</f>
        <v>—</v>
      </c>
      <c r="P51" s="3"/>
      <c r="Q51" s="3"/>
      <c r="R51" s="3"/>
      <c r="S51" s="154"/>
      <c r="T51" s="55"/>
      <c r="U51" s="3"/>
      <c r="V51" s="155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</row>
    <row r="52" ht="15.75" customHeight="1">
      <c r="A52" s="142" t="s">
        <v>877</v>
      </c>
      <c r="B52" s="143">
        <f t="shared" ref="B52:K52" si="54">SUM(B44:B51)</f>
        <v>255382</v>
      </c>
      <c r="C52" s="143">
        <f t="shared" si="54"/>
        <v>255382</v>
      </c>
      <c r="D52" s="144">
        <f t="shared" si="54"/>
        <v>20</v>
      </c>
      <c r="E52" s="144">
        <f t="shared" si="54"/>
        <v>3751714</v>
      </c>
      <c r="F52" s="144">
        <f t="shared" si="54"/>
        <v>1166</v>
      </c>
      <c r="G52" s="144">
        <f t="shared" si="54"/>
        <v>484</v>
      </c>
      <c r="H52" s="144">
        <f t="shared" si="54"/>
        <v>0</v>
      </c>
      <c r="I52" s="144">
        <f t="shared" si="54"/>
        <v>221</v>
      </c>
      <c r="J52" s="144">
        <f t="shared" si="54"/>
        <v>218</v>
      </c>
      <c r="K52" s="143">
        <f t="shared" si="54"/>
        <v>165232</v>
      </c>
      <c r="L52" s="143">
        <f>IF((SUMIFS($W$6:$W$40,$I$6:$I$40,"Вышло",$E$6:$E$40,"Сайт")+SUMIFS($W$6:$W$40,$I$6:$I$40,"Вышло",$E$6:$E$40,"сайт")+SUMIFS($W$6:$W$40,$I$6:$I$40,"Вышло",$E$6:$E$40,"Ozon")+SUMIFS($W$6:$W$40,$I$6:$I$40,"Вышло",$E$6:$E$40,"OZON")+SUMIFS($W$6:$W$40,$I$6:$I$40,"Вышло",$E$6:$E$40,"Озон")+SUMIFS($W$6:$W$40,$I$6:$I$40,"Вышло",$E$6:$E$40,"озон"))=0,"—",ROUND((SUMIFS($M$6:$M$40,$I$6:$I$40,"Вышло",$E$6:$E$40,"Сайт",$W$6:$W$40,"&gt;0")+SUMIFS($M$6:$M$40,$I$6:$I$40,"Вышло",$E$6:$E$40,"сайт",$W$6:$W$40,"&gt;0")+SUMIFS($M$6:$M$40,$I$6:$I$40,"Вышло",$E$6:$E$40,"Сайт",$W$6:$W$40,"&lt;=0",$P$6:$P$40,"&lt;&gt;")+SUMIFS($M$6:$M$40,$I$6:$I$40,"Вышло",$E$6:$E$40,"сайт",$W$6:$W$40,"&lt;=0",$P$6:$P$40,"&lt;&gt;")+SUMIFS($M$6:$M$40,$I$6:$I$40,"Вышло",$E$6:$E$40,"Ozon",$W$6:$W$40,"&gt;0")+SUMIFS($M$6:$M$40,$I$6:$I$40,"Вышло",$E$6:$E$40,"OZON",$W$6:$W$40,"&gt;0")+SUMIFS($M$6:$M$40,$I$6:$I$40,"Вышло",$E$6:$E$40,"Озон",$W$6:$W$40,"&gt;0")+SUMIFS($M$6:$M$40,$I$6:$I$40,"Вышло",$E$6:$E$40,"озон",$W$6:$W$40,"&gt;0")+SUMIFS($M$6:$M$40,$I$6:$I$40,"Вышло",$E$6:$E$40,"Ozon",$W$6:$W$40,"&lt;=0",$P$6:$P$40,"&lt;&gt;")+SUMIFS($M$6:$M$40,$I$6:$I$40,"Вышло",$E$6:$E$40,"OZON",$W$6:$W$40,"&lt;=0",$P$6:$P$40,"&lt;&gt;")+SUMIFS($M$6:$M$40,$I$6:$I$40,"Вышло",$E$6:$E$40,"Озон",$W$6:$W$40,"&lt;=0",$P$6:$P$40,"&lt;&gt;")+SUMIFS($M$6:$M$40,$I$6:$I$40,"Вышло",$E$6:$E$40,"озон",$W$6:$W$40,"&lt;=0",$P$6:$P$40,"&lt;&gt;"))/(SUMIFS($W$6:$W$40,$I$6:$I$40,"Вышло",$E$6:$E$40,"Сайт")+SUMIFS($W$6:$W$40,$I$6:$I$40,"Вышло",$E$6:$E$40,"сайт")+SUMIFS($W$6:$W$40,$I$6:$I$40,"Вышло",$E$6:$E$40,"Ozon")+SUMIFS($W$6:$W$40,$I$6:$I$40,"Вышло",$E$6:$E$40,"OZON")+SUMIFS($W$6:$W$40,$I$6:$I$40,"Вышло",$E$6:$E$40,"Озон")+SUMIFS($W$6:$W$40,$I$6:$I$40,"Вышло",$E$6:$E$40,"озон")),0))</f>
        <v>49</v>
      </c>
      <c r="M52" s="143">
        <f>IF((SUMIFS($X$6:$X$40,$I$6:$I$40,"Вышло",$E$6:$E$40,"WB")+SUMIFS($X$6:$X$40,$I$6:$I$40,"Вышло",$E$6:$E$40,"ВБ"))=0,"—",ROUND((SUMIFS($M$6:$M$40,$I$6:$I$40,"Вышло",$E$6:$E$40,"WB")+SUMIFS($M$6:$M$40,$I$6:$I$40,"Вышло",$E$6:$E$40,"ВБ")-(SUMIFS($M$6:$M$40,$I$6:$I$40,"Вышло",$E$6:$E$40,"WB",$X$6:$X$40,"&lt;=0",$W$6:$W$40,"&gt;0")+SUMIFS($M$6:$M$40,$I$6:$I$40,"Вышло",$E$6:$E$40,"ВБ",$X$6:$X$40,"&lt;=0",$W$6:$W$40,"&gt;0")))/(SUMIFS($X$6:$X$40,$I$6:$I$40,"Вышло",$E$6:$E$40,"WB")+SUMIFS($X$6:$X$40,$I$6:$I$40,"Вышло",$E$6:$E$40,"ВБ")),0))</f>
        <v>814</v>
      </c>
      <c r="N52" s="143" t="str">
        <f t="shared" si="53"/>
        <v>—</v>
      </c>
      <c r="O52" s="143">
        <f>IF((SUMIFS($AA$6:$AA$40,$I$6:$I$40,"Вышло"))=0,"—",ROUND((SUMIFS($M$6:$M$40,$I$6:$I$40,"Вышло"))/(SUMIFS($AA$6:$AA$40,$I$6:$I$40,"Вышло")),0))</f>
        <v>1183</v>
      </c>
      <c r="P52" s="3"/>
      <c r="Q52" s="3"/>
      <c r="R52" s="3"/>
      <c r="S52" s="154"/>
      <c r="T52" s="55"/>
      <c r="U52" s="3"/>
      <c r="V52" s="155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</row>
    <row r="53" ht="15.75" customHeight="1">
      <c r="A53" s="145"/>
      <c r="B53" s="145"/>
      <c r="C53" s="145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3"/>
      <c r="Q53" s="3"/>
      <c r="R53" s="3"/>
      <c r="S53" s="154"/>
      <c r="T53" s="55"/>
      <c r="U53" s="3"/>
      <c r="V53" s="155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</row>
    <row r="54" ht="15.75" customHeight="1">
      <c r="A54" s="137" t="s">
        <v>1014</v>
      </c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3"/>
      <c r="Q54" s="3"/>
      <c r="R54" s="3"/>
      <c r="S54" s="154"/>
      <c r="T54" s="55"/>
      <c r="U54" s="3"/>
      <c r="V54" s="155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</row>
    <row r="55" ht="36.0" customHeight="1">
      <c r="A55" s="138" t="s">
        <v>726</v>
      </c>
      <c r="B55" s="138" t="s">
        <v>872</v>
      </c>
      <c r="C55" s="138" t="s">
        <v>873</v>
      </c>
      <c r="D55" s="138" t="s">
        <v>859</v>
      </c>
      <c r="E55" s="138" t="s">
        <v>729</v>
      </c>
      <c r="F55" s="138" t="s">
        <v>730</v>
      </c>
      <c r="G55" s="138" t="s">
        <v>851</v>
      </c>
      <c r="H55" s="138" t="s">
        <v>731</v>
      </c>
      <c r="I55" s="138" t="s">
        <v>853</v>
      </c>
      <c r="J55" s="138" t="s">
        <v>656</v>
      </c>
      <c r="K55" s="138" t="s">
        <v>854</v>
      </c>
      <c r="L55" s="138" t="s">
        <v>874</v>
      </c>
      <c r="M55" s="138" t="s">
        <v>875</v>
      </c>
      <c r="N55" s="138" t="s">
        <v>876</v>
      </c>
      <c r="O55" s="138" t="s">
        <v>657</v>
      </c>
      <c r="P55" s="3"/>
      <c r="Q55" s="3"/>
      <c r="R55" s="3"/>
      <c r="S55" s="154"/>
      <c r="T55" s="55"/>
      <c r="U55" s="3"/>
      <c r="V55" s="155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</row>
    <row r="56" ht="15.75" customHeight="1">
      <c r="A56" s="139" t="s">
        <v>735</v>
      </c>
      <c r="B56" s="140">
        <f>SUMIFS($M$6:$M$40,$D$6:$D$40,"Telegram")+SUMIFS($M$6:$M$40,$D$6:$D$40,"Telegram ")+SUMIFS($M$6:$M$40,$D$6:$D$40,"Телеграм")+SUMIFS($M$6:$M$40,$D$6:$D$40,"ТГ")+SUMIFS($M$6:$M$40,$D$6:$D$40,"MAX")+SUMIFS($M$6:$M$40,$D$6:$D$40,"Макс")+SUMIFS($M$6:$M$40,$D$6:$D$40,"МАКС")+SUMIFS($M$6:$M$40,$D$6:$D$40,"VK")+SUMIFS($M$6:$M$40,$D$6:$D$40,"Vk")+SUMIFS($M$6:$M$40,$D$6:$D$40,"ВК")+SUMIFS($M$6:$M$40,$D$6:$D$40,"YouTube")+SUMIFS($M$6:$M$40,$D$6:$D$40,"Youtube")+SUMIFS($M$6:$M$40,$D$6:$D$40,"TikTok")+SUMIFS($M$6:$M$40,$D$6:$D$40,"Tiktok")+SUMIFS($M$6:$M$40,$D$6:$D$40,"Rutube")+SUMIFS($M$6:$M$40,$D$6:$D$40,"Instagram")+SUMIFS($M$6:$M$40,$D$6:$D$40,"Inst")+SUMIFS($M$6:$M$40,$D$6:$D$40,"WB")</f>
        <v>255382</v>
      </c>
      <c r="C56" s="140">
        <f>SUMIFS($M$6:$M$40,$I$6:$I$40,"Вышло")</f>
        <v>141943</v>
      </c>
      <c r="D56" s="141">
        <f>COUNTIFS($I$6:$I$40,"Вышло")</f>
        <v>20</v>
      </c>
      <c r="E56" s="141">
        <f>SUMIFS($U$6:$U$40,$I$6:$I$40,"Вышло")</f>
        <v>1925467</v>
      </c>
      <c r="F56" s="141">
        <f>SUMIFS($W$6:$W$40,$I$6:$I$40,"Вышло")</f>
        <v>870</v>
      </c>
      <c r="G56" s="141">
        <f>SUMIFS($X$6:$X$40,$I$6:$I$40,"Вышло")</f>
        <v>393</v>
      </c>
      <c r="H56" s="141">
        <f>0</f>
        <v>0</v>
      </c>
      <c r="I56" s="141">
        <f>SUMIFS($Z$6:$Z$40,$I$6:$I$40,"Вышло")</f>
        <v>170</v>
      </c>
      <c r="J56" s="141">
        <f>SUMIFS($AA$6:$AA$40,$I$6:$I$40,"Вышло")</f>
        <v>120</v>
      </c>
      <c r="K56" s="140">
        <f>SUMIFS($AB$6:$AB$40,$I$6:$I$40,"Вышло")</f>
        <v>101673</v>
      </c>
      <c r="L56" s="140">
        <f>IF((SUMIFS($W$6:$W$40,$I$6:$I$40,"Вышло",$E$6:$E$40,"Сайт")+SUMIFS($W$6:$W$40,$I$6:$I$40,"Вышло",$E$6:$E$40,"сайт")+SUMIFS($W$6:$W$40,$I$6:$I$40,"Вышло",$E$6:$E$40,"Ozon")+SUMIFS($W$6:$W$40,$I$6:$I$40,"Вышло",$E$6:$E$40,"OZON")+SUMIFS($W$6:$W$40,$I$6:$I$40,"Вышло",$E$6:$E$40,"Озон")+SUMIFS($W$6:$W$40,$I$6:$I$40,"Вышло",$E$6:$E$40,"озон"))=0,"—",ROUND((SUMIFS($M$6:$M$40,$I$6:$I$40,"Вышло",$E$6:$E$40,"Сайт",$W$6:$W$40,"&gt;0")+SUMIFS($M$6:$M$40,$I$6:$I$40,"Вышло",$E$6:$E$40,"сайт",$W$6:$W$40,"&gt;0")+SUMIFS($M$6:$M$40,$I$6:$I$40,"Вышло",$E$6:$E$40,"Сайт",$W$6:$W$40,"&lt;=0",$P$6:$P$40,"&lt;&gt;")+SUMIFS($M$6:$M$40,$I$6:$I$40,"Вышло",$E$6:$E$40,"сайт",$W$6:$W$40,"&lt;=0",$P$6:$P$40,"&lt;&gt;")+SUMIFS($M$6:$M$40,$I$6:$I$40,"Вышло",$E$6:$E$40,"Ozon",$W$6:$W$40,"&gt;0")+SUMIFS($M$6:$M$40,$I$6:$I$40,"Вышло",$E$6:$E$40,"OZON",$W$6:$W$40,"&gt;0")+SUMIFS($M$6:$M$40,$I$6:$I$40,"Вышло",$E$6:$E$40,"Озон",$W$6:$W$40,"&gt;0")+SUMIFS($M$6:$M$40,$I$6:$I$40,"Вышло",$E$6:$E$40,"озон",$W$6:$W$40,"&gt;0")+SUMIFS($M$6:$M$40,$I$6:$I$40,"Вышло",$E$6:$E$40,"Ozon",$W$6:$W$40,"&lt;=0",$P$6:$P$40,"&lt;&gt;")+SUMIFS($M$6:$M$40,$I$6:$I$40,"Вышло",$E$6:$E$40,"OZON",$W$6:$W$40,"&lt;=0",$P$6:$P$40,"&lt;&gt;")+SUMIFS($M$6:$M$40,$I$6:$I$40,"Вышло",$E$6:$E$40,"Озон",$W$6:$W$40,"&lt;=0",$P$6:$P$40,"&lt;&gt;")+SUMIFS($M$6:$M$40,$I$6:$I$40,"Вышло",$E$6:$E$40,"озон",$W$6:$W$40,"&lt;=0",$P$6:$P$40,"&lt;&gt;"))/(SUMIFS($W$6:$W$40,$I$6:$I$40,"Вышло",$E$6:$E$40,"Сайт")+SUMIFS($W$6:$W$40,$I$6:$I$40,"Вышло",$E$6:$E$40,"сайт")+SUMIFS($W$6:$W$40,$I$6:$I$40,"Вышло",$E$6:$E$40,"Ozon")+SUMIFS($W$6:$W$40,$I$6:$I$40,"Вышло",$E$6:$E$40,"OZON")+SUMIFS($W$6:$W$40,$I$6:$I$40,"Вышло",$E$6:$E$40,"Озон")+SUMIFS($W$6:$W$40,$I$6:$I$40,"Вышло",$E$6:$E$40,"озон")),0))</f>
        <v>49</v>
      </c>
      <c r="M56" s="140">
        <f>IF((SUMIFS($X$6:$X$40,$I$6:$I$40,"Вышло",$E$6:$E$40,"WB")+SUMIFS($X$6:$X$40,$I$6:$I$40,"Вышло",$E$6:$E$40,"ВБ"))=0,"—",ROUND((SUMIFS($M$6:$M$40,$I$6:$I$40,"Вышло",$E$6:$E$40,"WB")+SUMIFS($M$6:$M$40,$I$6:$I$40,"Вышло",$E$6:$E$40,"ВБ")-(SUMIFS($M$6:$M$40,$I$6:$I$40,"Вышло",$E$6:$E$40,"WB",$X$6:$X$40,"&lt;=0",$W$6:$W$40,"&gt;0")+SUMIFS($M$6:$M$40,$I$6:$I$40,"Вышло",$E$6:$E$40,"ВБ",$X$6:$X$40,"&lt;=0",$W$6:$W$40,"&gt;0")))/(SUMIFS($X$6:$X$40,$I$6:$I$40,"Вышло",$E$6:$E$40,"WB")+SUMIFS($X$6:$X$40,$I$6:$I$40,"Вышло",$E$6:$E$40,"ВБ")),0))</f>
        <v>814</v>
      </c>
      <c r="N56" s="140" t="str">
        <f>"—"</f>
        <v>—</v>
      </c>
      <c r="O56" s="140">
        <f>IF((SUMIFS($AA$6:$AA$40,$I$6:$I$40,"Вышло"))=0,"—",ROUND((SUMIFS($M$6:$M$40,$I$6:$I$40,"Вышло"))/(SUMIFS($AA$6:$AA$40,$I$6:$I$40,"Вышло")),0))</f>
        <v>1183</v>
      </c>
      <c r="P56" s="3"/>
      <c r="Q56" s="3"/>
      <c r="R56" s="3"/>
      <c r="S56" s="154"/>
      <c r="T56" s="55"/>
      <c r="U56" s="3"/>
      <c r="V56" s="155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</row>
    <row r="57" ht="15.75" customHeight="1">
      <c r="A57" s="139" t="s">
        <v>736</v>
      </c>
      <c r="B57" s="140">
        <f t="shared" ref="B57:K57" si="55">0</f>
        <v>0</v>
      </c>
      <c r="C57" s="140">
        <f t="shared" si="55"/>
        <v>0</v>
      </c>
      <c r="D57" s="141">
        <f t="shared" si="55"/>
        <v>0</v>
      </c>
      <c r="E57" s="141">
        <f t="shared" si="55"/>
        <v>0</v>
      </c>
      <c r="F57" s="141">
        <f t="shared" si="55"/>
        <v>0</v>
      </c>
      <c r="G57" s="141">
        <f t="shared" si="55"/>
        <v>0</v>
      </c>
      <c r="H57" s="141">
        <f t="shared" si="55"/>
        <v>0</v>
      </c>
      <c r="I57" s="141">
        <f t="shared" si="55"/>
        <v>0</v>
      </c>
      <c r="J57" s="141">
        <f t="shared" si="55"/>
        <v>0</v>
      </c>
      <c r="K57" s="140">
        <f t="shared" si="55"/>
        <v>0</v>
      </c>
      <c r="L57" s="140" t="s">
        <v>879</v>
      </c>
      <c r="M57" s="140" t="s">
        <v>879</v>
      </c>
      <c r="N57" s="140" t="s">
        <v>879</v>
      </c>
      <c r="O57" s="140" t="s">
        <v>879</v>
      </c>
      <c r="P57" s="3"/>
      <c r="Q57" s="3"/>
      <c r="R57" s="3"/>
      <c r="S57" s="154"/>
      <c r="T57" s="55"/>
      <c r="U57" s="3"/>
      <c r="V57" s="155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</row>
    <row r="58" ht="15.75" customHeight="1">
      <c r="A58" s="139" t="s">
        <v>737</v>
      </c>
      <c r="B58" s="140">
        <f t="shared" ref="B58:K58" si="56">0</f>
        <v>0</v>
      </c>
      <c r="C58" s="140">
        <f t="shared" si="56"/>
        <v>0</v>
      </c>
      <c r="D58" s="141">
        <f t="shared" si="56"/>
        <v>0</v>
      </c>
      <c r="E58" s="141">
        <f t="shared" si="56"/>
        <v>0</v>
      </c>
      <c r="F58" s="141">
        <f t="shared" si="56"/>
        <v>0</v>
      </c>
      <c r="G58" s="141">
        <f t="shared" si="56"/>
        <v>0</v>
      </c>
      <c r="H58" s="141">
        <f t="shared" si="56"/>
        <v>0</v>
      </c>
      <c r="I58" s="141">
        <f t="shared" si="56"/>
        <v>0</v>
      </c>
      <c r="J58" s="141">
        <f t="shared" si="56"/>
        <v>0</v>
      </c>
      <c r="K58" s="140">
        <f t="shared" si="56"/>
        <v>0</v>
      </c>
      <c r="L58" s="140" t="s">
        <v>879</v>
      </c>
      <c r="M58" s="140" t="s">
        <v>879</v>
      </c>
      <c r="N58" s="140" t="s">
        <v>879</v>
      </c>
      <c r="O58" s="140" t="s">
        <v>879</v>
      </c>
      <c r="P58" s="3"/>
      <c r="Q58" s="3"/>
      <c r="R58" s="3"/>
      <c r="S58" s="154"/>
      <c r="T58" s="55"/>
      <c r="U58" s="3"/>
      <c r="V58" s="155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</row>
    <row r="59" ht="15.75" customHeight="1">
      <c r="A59" s="142" t="s">
        <v>877</v>
      </c>
      <c r="B59" s="143">
        <f t="shared" ref="B59:K59" si="57">SUM(B56:B58)</f>
        <v>255382</v>
      </c>
      <c r="C59" s="143">
        <f t="shared" si="57"/>
        <v>141943</v>
      </c>
      <c r="D59" s="144">
        <f t="shared" si="57"/>
        <v>20</v>
      </c>
      <c r="E59" s="144">
        <f t="shared" si="57"/>
        <v>1925467</v>
      </c>
      <c r="F59" s="144">
        <f t="shared" si="57"/>
        <v>870</v>
      </c>
      <c r="G59" s="144">
        <f t="shared" si="57"/>
        <v>393</v>
      </c>
      <c r="H59" s="144">
        <f t="shared" si="57"/>
        <v>0</v>
      </c>
      <c r="I59" s="144">
        <f t="shared" si="57"/>
        <v>170</v>
      </c>
      <c r="J59" s="144">
        <f t="shared" si="57"/>
        <v>120</v>
      </c>
      <c r="K59" s="143">
        <f t="shared" si="57"/>
        <v>101673</v>
      </c>
      <c r="L59" s="143">
        <f>IF((SUMIFS($W$6:$W$40,$I$6:$I$40,"Вышло",$E$6:$E$40,"Сайт")+SUMIFS($W$6:$W$40,$I$6:$I$40,"Вышло",$E$6:$E$40,"сайт")+SUMIFS($W$6:$W$40,$I$6:$I$40,"Вышло",$E$6:$E$40,"Ozon")+SUMIFS($W$6:$W$40,$I$6:$I$40,"Вышло",$E$6:$E$40,"OZON")+SUMIFS($W$6:$W$40,$I$6:$I$40,"Вышло",$E$6:$E$40,"Озон")+SUMIFS($W$6:$W$40,$I$6:$I$40,"Вышло",$E$6:$E$40,"озон"))=0,"—",ROUND((SUMIFS($M$6:$M$40,$I$6:$I$40,"Вышло",$E$6:$E$40,"Сайт",$W$6:$W$40,"&gt;0")+SUMIFS($M$6:$M$40,$I$6:$I$40,"Вышло",$E$6:$E$40,"сайт",$W$6:$W$40,"&gt;0")+SUMIFS($M$6:$M$40,$I$6:$I$40,"Вышло",$E$6:$E$40,"Сайт",$W$6:$W$40,"&lt;=0",$P$6:$P$40,"&lt;&gt;")+SUMIFS($M$6:$M$40,$I$6:$I$40,"Вышло",$E$6:$E$40,"сайт",$W$6:$W$40,"&lt;=0",$P$6:$P$40,"&lt;&gt;")+SUMIFS($M$6:$M$40,$I$6:$I$40,"Вышло",$E$6:$E$40,"Ozon",$W$6:$W$40,"&gt;0")+SUMIFS($M$6:$M$40,$I$6:$I$40,"Вышло",$E$6:$E$40,"OZON",$W$6:$W$40,"&gt;0")+SUMIFS($M$6:$M$40,$I$6:$I$40,"Вышло",$E$6:$E$40,"Озон",$W$6:$W$40,"&gt;0")+SUMIFS($M$6:$M$40,$I$6:$I$40,"Вышло",$E$6:$E$40,"озон",$W$6:$W$40,"&gt;0")+SUMIFS($M$6:$M$40,$I$6:$I$40,"Вышло",$E$6:$E$40,"Ozon",$W$6:$W$40,"&lt;=0",$P$6:$P$40,"&lt;&gt;")+SUMIFS($M$6:$M$40,$I$6:$I$40,"Вышло",$E$6:$E$40,"OZON",$W$6:$W$40,"&lt;=0",$P$6:$P$40,"&lt;&gt;")+SUMIFS($M$6:$M$40,$I$6:$I$40,"Вышло",$E$6:$E$40,"Озон",$W$6:$W$40,"&lt;=0",$P$6:$P$40,"&lt;&gt;")+SUMIFS($M$6:$M$40,$I$6:$I$40,"Вышло",$E$6:$E$40,"озон",$W$6:$W$40,"&lt;=0",$P$6:$P$40,"&lt;&gt;"))/(SUMIFS($W$6:$W$40,$I$6:$I$40,"Вышло",$E$6:$E$40,"Сайт")+SUMIFS($W$6:$W$40,$I$6:$I$40,"Вышло",$E$6:$E$40,"сайт")+SUMIFS($W$6:$W$40,$I$6:$I$40,"Вышло",$E$6:$E$40,"Ozon")+SUMIFS($W$6:$W$40,$I$6:$I$40,"Вышло",$E$6:$E$40,"OZON")+SUMIFS($W$6:$W$40,$I$6:$I$40,"Вышло",$E$6:$E$40,"Озон")+SUMIFS($W$6:$W$40,$I$6:$I$40,"Вышло",$E$6:$E$40,"озон")),0))</f>
        <v>49</v>
      </c>
      <c r="M59" s="143">
        <f>IF((SUMIFS($X$6:$X$40,$I$6:$I$40,"Вышло",$E$6:$E$40,"WB")+SUMIFS($X$6:$X$40,$I$6:$I$40,"Вышло",$E$6:$E$40,"ВБ"))=0,"—",ROUND((SUMIFS($M$6:$M$40,$I$6:$I$40,"Вышло",$E$6:$E$40,"WB")+SUMIFS($M$6:$M$40,$I$6:$I$40,"Вышло",$E$6:$E$40,"ВБ")-(SUMIFS($M$6:$M$40,$I$6:$I$40,"Вышло",$E$6:$E$40,"WB",$X$6:$X$40,"&lt;=0",$W$6:$W$40,"&gt;0")+SUMIFS($M$6:$M$40,$I$6:$I$40,"Вышло",$E$6:$E$40,"ВБ",$X$6:$X$40,"&lt;=0",$W$6:$W$40,"&gt;0")))/(SUMIFS($X$6:$X$40,$I$6:$I$40,"Вышло",$E$6:$E$40,"WB")+SUMIFS($X$6:$X$40,$I$6:$I$40,"Вышло",$E$6:$E$40,"ВБ")),0))</f>
        <v>814</v>
      </c>
      <c r="N59" s="143" t="str">
        <f>"—"</f>
        <v>—</v>
      </c>
      <c r="O59" s="143">
        <f>IF((SUMIFS($AA$6:$AA$40,$I$6:$I$40,"Вышло"))=0,"—",ROUND((SUMIFS($M$6:$M$40,$I$6:$I$40,"Вышло"))/(SUMIFS($AA$6:$AA$40,$I$6:$I$40,"Вышло")),0))</f>
        <v>1183</v>
      </c>
      <c r="P59" s="3"/>
      <c r="Q59" s="3"/>
      <c r="R59" s="3"/>
      <c r="S59" s="154"/>
      <c r="T59" s="55"/>
      <c r="U59" s="3"/>
      <c r="V59" s="155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</row>
    <row r="60" ht="15.75" customHeight="1">
      <c r="A60" s="145"/>
      <c r="B60" s="145"/>
      <c r="C60" s="145"/>
      <c r="D60" s="145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3"/>
      <c r="Q60" s="3"/>
      <c r="R60" s="3"/>
      <c r="S60" s="154"/>
      <c r="T60" s="55"/>
      <c r="U60" s="3"/>
      <c r="V60" s="155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</row>
    <row r="61" ht="15.75" customHeight="1">
      <c r="A61" s="137" t="s">
        <v>1015</v>
      </c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3"/>
      <c r="Q61" s="3"/>
      <c r="R61" s="3"/>
      <c r="S61" s="154"/>
      <c r="T61" s="55"/>
      <c r="U61" s="3"/>
      <c r="V61" s="155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</row>
    <row r="62" ht="33.75" customHeight="1">
      <c r="A62" s="138" t="s">
        <v>881</v>
      </c>
      <c r="B62" s="138" t="s">
        <v>873</v>
      </c>
      <c r="C62" s="138" t="s">
        <v>882</v>
      </c>
      <c r="D62" s="138" t="s">
        <v>883</v>
      </c>
      <c r="E62" s="138" t="s">
        <v>884</v>
      </c>
      <c r="F62" s="138" t="s">
        <v>859</v>
      </c>
      <c r="G62" s="138" t="s">
        <v>729</v>
      </c>
      <c r="H62" s="138" t="s">
        <v>885</v>
      </c>
      <c r="I62" s="145"/>
      <c r="J62" s="145"/>
      <c r="K62" s="145"/>
      <c r="L62" s="145"/>
      <c r="M62" s="145"/>
      <c r="N62" s="145"/>
      <c r="O62" s="145"/>
      <c r="P62" s="3"/>
      <c r="Q62" s="3"/>
      <c r="R62" s="3"/>
      <c r="S62" s="154"/>
      <c r="T62" s="55"/>
      <c r="U62" s="3"/>
      <c r="V62" s="155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</row>
    <row r="63" ht="27.75" customHeight="1">
      <c r="A63" s="146" t="s">
        <v>886</v>
      </c>
      <c r="B63" s="147">
        <f>SUMIFS($M$6:$M$40,$I$6:$I$40,"Вышло",$E$6:$E$40,"БОТ")+SUMIFS($M$6:$M$40,$I$6:$I$40,"Вышло",$E$6:$E$40,"Бот")+SUMIFS($M$6:$M$40,$I$6:$I$40,"Вышло",$E$6:$E$40,"бот")</f>
        <v>0</v>
      </c>
      <c r="C63" s="146" t="s">
        <v>731</v>
      </c>
      <c r="D63" s="148">
        <f>0</f>
        <v>0</v>
      </c>
      <c r="E63" s="147" t="str">
        <f>IF((0)=0,"—",ROUND((SUMIFS($M$6:$M$40,$I$6:$I$40,"Вышло",$E$6:$E$40,"БОТ")+SUMIFS($M$6:$M$40,$I$6:$I$40,"Вышло",$E$6:$E$40,"Бот")+SUMIFS($M$6:$M$40,$I$6:$I$40,"Вышло",$E$6:$E$40,"бот"))/(0),0))</f>
        <v>—</v>
      </c>
      <c r="F63" s="148">
        <f>COUNTIFS($I$6:$I$40,"Вышло",$E$6:$E$40,"БОТ")</f>
        <v>0</v>
      </c>
      <c r="G63" s="148">
        <f>SUMIFS($U$6:$U$40,$I$6:$I$40,"Вышло",$E$6:$E$40,"БОТ")+SUMIFS($U$6:$U$40,$I$6:$I$40,"Вышло",$E$6:$E$40,"Бот")+SUMIFS($U$6:$U$40,$I$6:$I$40,"Вышло",$E$6:$E$40,"бот")</f>
        <v>0</v>
      </c>
      <c r="H63" s="146" t="s">
        <v>887</v>
      </c>
      <c r="I63" s="145"/>
      <c r="J63" s="145"/>
      <c r="K63" s="145"/>
      <c r="L63" s="145"/>
      <c r="M63" s="145"/>
      <c r="N63" s="145"/>
      <c r="O63" s="145"/>
      <c r="P63" s="3"/>
      <c r="Q63" s="3"/>
      <c r="R63" s="3"/>
      <c r="S63" s="154"/>
      <c r="T63" s="55"/>
      <c r="U63" s="3"/>
      <c r="V63" s="155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</row>
    <row r="64" ht="27.75" customHeight="1">
      <c r="A64" s="146" t="s">
        <v>888</v>
      </c>
      <c r="B64" s="147">
        <f>SUMIFS($M$6:$M$40,$I$6:$I$40,"Вышло",$E$6:$E$40,"Сайт",$W$6:$W$40,"&gt;0")+SUMIFS($M$6:$M$40,$I$6:$I$40,"Вышло",$E$6:$E$40,"сайт",$W$6:$W$40,"&gt;0")+SUMIFS($M$6:$M$40,$I$6:$I$40,"Вышло",$E$6:$E$40,"Сайт",$W$6:$W$40,"&lt;=0",$P$6:$P$40,"&lt;&gt;")+SUMIFS($M$6:$M$40,$I$6:$I$40,"Вышло",$E$6:$E$40,"сайт",$W$6:$W$40,"&lt;=0",$P$6:$P$40,"&lt;&gt;")</f>
        <v>3570</v>
      </c>
      <c r="C64" s="146" t="s">
        <v>730</v>
      </c>
      <c r="D64" s="148">
        <f>SUMIFS($W$6:$W$40,$I$6:$I$40,"Вышло",$E$6:$E$40,"Сайт")+SUMIFS($W$6:$W$40,$I$6:$I$40,"Вышло",$E$6:$E$40,"сайт")</f>
        <v>44</v>
      </c>
      <c r="E64" s="147">
        <f>IF((SUMIFS($W$6:$W$40,$I$6:$I$40,"Вышло",$E$6:$E$40,"Сайт")+SUMIFS($W$6:$W$40,$I$6:$I$40,"Вышло",$E$6:$E$40,"сайт"))=0,"—",ROUND((SUMIFS($M$6:$M$40,$I$6:$I$40,"Вышло",$E$6:$E$40,"Сайт",$W$6:$W$40,"&gt;0")+SUMIFS($M$6:$M$40,$I$6:$I$40,"Вышло",$E$6:$E$40,"сайт",$W$6:$W$40,"&gt;0")+SUMIFS($M$6:$M$40,$I$6:$I$40,"Вышло",$E$6:$E$40,"Сайт",$W$6:$W$40,"&lt;=0",$P$6:$P$40,"&lt;&gt;")+SUMIFS($M$6:$M$40,$I$6:$I$40,"Вышло",$E$6:$E$40,"сайт",$W$6:$W$40,"&lt;=0",$P$6:$P$40,"&lt;&gt;"))/(SUMIFS($W$6:$W$40,$I$6:$I$40,"Вышло",$E$6:$E$40,"Сайт")+SUMIFS($W$6:$W$40,$I$6:$I$40,"Вышло",$E$6:$E$40,"сайт")),0))</f>
        <v>81</v>
      </c>
      <c r="F64" s="148">
        <f>COUNTIFS($I$6:$I$40,"Вышло",$E$6:$E$40,"Сайт",$W$6:$W$40,"&gt;0")+COUNTIFS($I$6:$I$40,"Вышло",$E$6:$E$40,"Сайт",$W$6:$W$40,"&lt;=0",$P$6:$P$40,"&lt;&gt;")</f>
        <v>2</v>
      </c>
      <c r="G64" s="148">
        <f>SUMIFS($U$6:$U$40,$I$6:$I$40,"Вышло",$E$6:$E$40,"Сайт")+SUMIFS($U$6:$U$40,$I$6:$I$40,"Вышло",$E$6:$E$40,"сайт")</f>
        <v>9312</v>
      </c>
      <c r="H64" s="146" t="s">
        <v>889</v>
      </c>
      <c r="I64" s="145"/>
      <c r="J64" s="145"/>
      <c r="K64" s="145"/>
      <c r="L64" s="145"/>
      <c r="M64" s="145"/>
      <c r="N64" s="145"/>
      <c r="O64" s="145"/>
      <c r="P64" s="3"/>
      <c r="Q64" s="3"/>
      <c r="R64" s="3"/>
      <c r="S64" s="154"/>
      <c r="T64" s="55"/>
      <c r="U64" s="3"/>
      <c r="V64" s="155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</row>
    <row r="65" ht="27.75" customHeight="1">
      <c r="A65" s="146" t="s">
        <v>890</v>
      </c>
      <c r="B65" s="147">
        <f>SUMIFS($M$6:$M$40,$I$6:$I$40,"Вышло",$E$6:$E$40,"Ozon",$W$6:$W$40,"&gt;0")+SUMIFS($M$6:$M$40,$I$6:$I$40,"Вышло",$E$6:$E$40,"OZON",$W$6:$W$40,"&gt;0")+SUMIFS($M$6:$M$40,$I$6:$I$40,"Вышло",$E$6:$E$40,"Озон",$W$6:$W$40,"&gt;0")+SUMIFS($M$6:$M$40,$I$6:$I$40,"Вышло",$E$6:$E$40,"озон",$W$6:$W$40,"&gt;0")+SUMIFS($M$6:$M$40,$I$6:$I$40,"Вышло",$E$6:$E$40,"Ozon",$W$6:$W$40,"&lt;=0",$P$6:$P$40,"&lt;&gt;")+SUMIFS($M$6:$M$40,$I$6:$I$40,"Вышло",$E$6:$E$40,"OZON",$W$6:$W$40,"&lt;=0",$P$6:$P$40,"&lt;&gt;")+SUMIFS($M$6:$M$40,$I$6:$I$40,"Вышло",$E$6:$E$40,"Озон",$W$6:$W$40,"&lt;=0",$P$6:$P$40,"&lt;&gt;")+SUMIFS($M$6:$M$40,$I$6:$I$40,"Вышло",$E$6:$E$40,"озон",$W$6:$W$40,"&lt;=0",$P$6:$P$40,"&lt;&gt;")</f>
        <v>69606</v>
      </c>
      <c r="C65" s="146" t="s">
        <v>730</v>
      </c>
      <c r="D65" s="148">
        <f>SUMIFS($W$6:$W$40,$I$6:$I$40,"Вышло",$E$6:$E$40,"Ozon")+SUMIFS($W$6:$W$40,$I$6:$I$40,"Вышло",$E$6:$E$40,"OZON")+SUMIFS($W$6:$W$40,$I$6:$I$40,"Вышло",$E$6:$E$40,"Озон")+SUMIFS($W$6:$W$40,$I$6:$I$40,"Вышло",$E$6:$E$40,"озон")</f>
        <v>1460</v>
      </c>
      <c r="E65" s="147">
        <f>IF((SUMIFS($W$6:$W$40,$I$6:$I$40,"Вышло",$E$6:$E$40,"Ozon")+SUMIFS($W$6:$W$40,$I$6:$I$40,"Вышло",$E$6:$E$40,"OZON")+SUMIFS($W$6:$W$40,$I$6:$I$40,"Вышло",$E$6:$E$40,"Озон")+SUMIFS($W$6:$W$40,$I$6:$I$40,"Вышло",$E$6:$E$40,"озон"))=0,"—",ROUND((SUMIFS($M$6:$M$40,$I$6:$I$40,"Вышло",$E$6:$E$40,"Ozon",$W$6:$W$40,"&gt;0")+SUMIFS($M$6:$M$40,$I$6:$I$40,"Вышло",$E$6:$E$40,"OZON",$W$6:$W$40,"&gt;0")+SUMIFS($M$6:$M$40,$I$6:$I$40,"Вышло",$E$6:$E$40,"Озон",$W$6:$W$40,"&gt;0")+SUMIFS($M$6:$M$40,$I$6:$I$40,"Вышло",$E$6:$E$40,"озон",$W$6:$W$40,"&gt;0")+SUMIFS($M$6:$M$40,$I$6:$I$40,"Вышло",$E$6:$E$40,"Ozon",$W$6:$W$40,"&lt;=0",$P$6:$P$40,"&lt;&gt;")+SUMIFS($M$6:$M$40,$I$6:$I$40,"Вышло",$E$6:$E$40,"OZON",$W$6:$W$40,"&lt;=0",$P$6:$P$40,"&lt;&gt;")+SUMIFS($M$6:$M$40,$I$6:$I$40,"Вышло",$E$6:$E$40,"Озон",$W$6:$W$40,"&lt;=0",$P$6:$P$40,"&lt;&gt;")+SUMIFS($M$6:$M$40,$I$6:$I$40,"Вышло",$E$6:$E$40,"озон",$W$6:$W$40,"&lt;=0",$P$6:$P$40,"&lt;&gt;"))/(SUMIFS($W$6:$W$40,$I$6:$I$40,"Вышло",$E$6:$E$40,"Ozon")+SUMIFS($W$6:$W$40,$I$6:$I$40,"Вышло",$E$6:$E$40,"OZON")+SUMIFS($W$6:$W$40,$I$6:$I$40,"Вышло",$E$6:$E$40,"Озон")+SUMIFS($W$6:$W$40,$I$6:$I$40,"Вышло",$E$6:$E$40,"озон")),0))</f>
        <v>48</v>
      </c>
      <c r="F65" s="148">
        <f>COUNTIFS($I$6:$I$40,"Вышло",$E$6:$E$40,"Ozon",$W$6:$W$40,"&gt;0")+COUNTIFS($I$6:$I$40,"Вышло",$E$6:$E$40,"Озон",$W$6:$W$40,"&gt;0")+COUNTIFS($I$6:$I$40,"Вышло",$E$6:$E$40,"Ozon",$W$6:$W$40,"&lt;=0",$P$6:$P$40,"&lt;&gt;")+COUNTIFS($I$6:$I$40,"Вышло",$E$6:$E$40,"Озон",$W$6:$W$40,"&lt;=0",$P$6:$P$40,"&lt;&gt;")</f>
        <v>11</v>
      </c>
      <c r="G65" s="148">
        <f>SUMIFS($U$6:$U$40,$I$6:$I$40,"Вышло",$E$6:$E$40,"Ozon")+SUMIFS($U$6:$U$40,$I$6:$I$40,"Вышло",$E$6:$E$40,"OZON")+SUMIFS($U$6:$U$40,$I$6:$I$40,"Вышло",$E$6:$E$40,"Озон")+SUMIFS($U$6:$U$40,$I$6:$I$40,"Вышло",$E$6:$E$40,"озон")</f>
        <v>1131334</v>
      </c>
      <c r="H65" s="146" t="s">
        <v>891</v>
      </c>
      <c r="I65" s="145"/>
      <c r="J65" s="145"/>
      <c r="K65" s="145"/>
      <c r="L65" s="145"/>
      <c r="M65" s="145"/>
      <c r="N65" s="145"/>
      <c r="O65" s="145"/>
      <c r="P65" s="3"/>
      <c r="Q65" s="3"/>
      <c r="R65" s="3"/>
      <c r="S65" s="154"/>
      <c r="T65" s="55"/>
      <c r="U65" s="3"/>
      <c r="V65" s="155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</row>
    <row r="66" ht="27.75" customHeight="1">
      <c r="A66" s="146" t="s">
        <v>892</v>
      </c>
      <c r="B66" s="147">
        <f>SUMIFS($M$6:$M$40,$I$6:$I$40,"Вышло",$E$6:$E$40,"WB")+SUMIFS($M$6:$M$40,$I$6:$I$40,"Вышло",$E$6:$E$40,"ВБ")-(SUMIFS($M$6:$M$40,$I$6:$I$40,"Вышло",$E$6:$E$40,"WB",$X$6:$X$40,"&lt;=0",$W$6:$W$40,"&gt;0")+SUMIFS($M$6:$M$40,$I$6:$I$40,"Вышло",$E$6:$E$40,"ВБ",$X$6:$X$40,"&lt;=0",$W$6:$W$40,"&gt;0"))</f>
        <v>53703</v>
      </c>
      <c r="C66" s="146" t="s">
        <v>851</v>
      </c>
      <c r="D66" s="148">
        <f>SUMIFS($X$6:$X$40,$I$6:$I$40,"Вышло",$E$6:$E$40,"WB")+SUMIFS($X$6:$X$40,$I$6:$I$40,"Вышло",$E$6:$E$40,"ВБ")</f>
        <v>66</v>
      </c>
      <c r="E66" s="147">
        <f>IF((SUMIFS($X$6:$X$40,$I$6:$I$40,"Вышло",$E$6:$E$40,"WB")+SUMIFS($X$6:$X$40,$I$6:$I$40,"Вышло",$E$6:$E$40,"ВБ"))=0,"—",ROUND((SUMIFS($M$6:$M$40,$I$6:$I$40,"Вышло",$E$6:$E$40,"WB")+SUMIFS($M$6:$M$40,$I$6:$I$40,"Вышло",$E$6:$E$40,"ВБ")-(SUMIFS($M$6:$M$40,$I$6:$I$40,"Вышло",$E$6:$E$40,"WB",$X$6:$X$40,"&lt;=0",$W$6:$W$40,"&gt;0")+SUMIFS($M$6:$M$40,$I$6:$I$40,"Вышло",$E$6:$E$40,"ВБ",$X$6:$X$40,"&lt;=0",$W$6:$W$40,"&gt;0")))/(SUMIFS($X$6:$X$40,$I$6:$I$40,"Вышло",$E$6:$E$40,"WB")+SUMIFS($X$6:$X$40,$I$6:$I$40,"Вышло",$E$6:$E$40,"ВБ")),0))</f>
        <v>814</v>
      </c>
      <c r="F66" s="148">
        <f>COUNTIFS($I$6:$I$40,"Вышло",$E$6:$E$40,"WB")+COUNTIFS($I$6:$I$40,"Вышло",$E$6:$E$40,"ВБ")-(COUNTIFS($I$6:$I$40,"Вышло",$E$6:$E$40,"WB",$X$6:$X$40,"&lt;=0",$W$6:$W$40,"&gt;0")+COUNTIFS($I$6:$I$40,"Вышло",$E$6:$E$40,"ВБ",$X$6:$X$40,"&lt;=0",$W$6:$W$40,"&gt;0"))</f>
        <v>2</v>
      </c>
      <c r="G66" s="148">
        <f>SUMIFS($U$6:$U$40,$I$6:$I$40,"Вышло",$E$6:$E$40,"WB")+SUMIFS($U$6:$U$40,$I$6:$I$40,"Вышло",$E$6:$E$40,"ВБ")-(SUMIFS($U$6:$U$40,$I$6:$I$40,"Вышло",$E$6:$E$40,"WB",$X$6:$X$40,"&lt;=0",$W$6:$W$40,"&gt;0")+SUMIFS($U$6:$U$40,$I$6:$I$40,"Вышло",$E$6:$E$40,"ВБ",$X$6:$X$40,"&lt;=0",$W$6:$W$40,"&gt;0"))</f>
        <v>1355144</v>
      </c>
      <c r="H66" s="146" t="s">
        <v>893</v>
      </c>
      <c r="I66" s="145"/>
      <c r="J66" s="145"/>
      <c r="K66" s="145"/>
      <c r="L66" s="145"/>
      <c r="M66" s="145"/>
      <c r="N66" s="145"/>
      <c r="O66" s="145"/>
      <c r="P66" s="3"/>
      <c r="Q66" s="3"/>
      <c r="R66" s="3"/>
      <c r="S66" s="154"/>
      <c r="T66" s="55"/>
      <c r="U66" s="3"/>
      <c r="V66" s="155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</row>
    <row r="67" ht="27.75" customHeight="1">
      <c r="A67" s="146" t="s">
        <v>894</v>
      </c>
      <c r="B67" s="147">
        <f>SUMIFS($M$6:$M$40,$I$6:$I$40,"Вышло",$E$6:$E$40,"Сайт")+SUMIFS($M$6:$M$40,$I$6:$I$40,"Вышло",$E$6:$E$40,"сайт")-(SUMIFS($M$6:$M$40,$I$6:$I$40,"Вышло",$E$6:$E$40,"Сайт",$W$6:$W$40,"&gt;0")+SUMIFS($M$6:$M$40,$I$6:$I$40,"Вышло",$E$6:$E$40,"сайт",$W$6:$W$40,"&gt;0")+SUMIFS($M$6:$M$40,$I$6:$I$40,"Вышло",$E$6:$E$40,"Сайт",$W$6:$W$40,"&lt;=0",$P$6:$P$40,"&lt;&gt;")+SUMIFS($M$6:$M$40,$I$6:$I$40,"Вышло",$E$6:$E$40,"сайт",$W$6:$W$40,"&lt;=0",$P$6:$P$40,"&lt;&gt;"))-(SUMIFS($M$6:$M$40,$I$6:$I$40,"Вышло",$E$6:$E$40,"Сайт",$W$6:$W$40,"&lt;=0",$X$6:$X$40,"&gt;0")+SUMIFS($M$6:$M$40,$I$6:$I$40,"Вышло",$E$6:$E$40,"сайт",$W$6:$W$40,"&lt;=0",$X$6:$X$40,"&gt;0")-(SUMIFS($M$6:$M$40,$I$6:$I$40,"Вышло",$E$6:$E$40,"Сайт",$W$6:$W$40,"&lt;=0",$X$6:$X$40,"&gt;0",$P$6:$P$40,"&lt;&gt;")+SUMIFS($M$6:$M$40,$I$6:$I$40,"Вышло",$E$6:$E$40,"сайт",$W$6:$W$40,"&lt;=0",$X$6:$X$40,"&gt;0",$P$6:$P$40,"&lt;&gt;")))+SUMIFS($M$6:$M$40,$I$6:$I$40,"Вышло",$E$6:$E$40,"Ozon")+SUMIFS($M$6:$M$40,$I$6:$I$40,"Вышло",$E$6:$E$40,"OZON")+SUMIFS($M$6:$M$40,$I$6:$I$40,"Вышло",$E$6:$E$40,"Озон")+SUMIFS($M$6:$M$40,$I$6:$I$40,"Вышло",$E$6:$E$40,"озон")-(SUMIFS($M$6:$M$40,$I$6:$I$40,"Вышло",$E$6:$E$40,"Ozon",$W$6:$W$40,"&gt;0")+SUMIFS($M$6:$M$40,$I$6:$I$40,"Вышло",$E$6:$E$40,"OZON",$W$6:$W$40,"&gt;0")+SUMIFS($M$6:$M$40,$I$6:$I$40,"Вышло",$E$6:$E$40,"Озон",$W$6:$W$40,"&gt;0")+SUMIFS($M$6:$M$40,$I$6:$I$40,"Вышло",$E$6:$E$40,"озон",$W$6:$W$40,"&gt;0")+SUMIFS($M$6:$M$40,$I$6:$I$40,"Вышло",$E$6:$E$40,"Ozon",$W$6:$W$40,"&lt;=0",$P$6:$P$40,"&lt;&gt;")+SUMIFS($M$6:$M$40,$I$6:$I$40,"Вышло",$E$6:$E$40,"OZON",$W$6:$W$40,"&lt;=0",$P$6:$P$40,"&lt;&gt;")+SUMIFS($M$6:$M$40,$I$6:$I$40,"Вышло",$E$6:$E$40,"Озон",$W$6:$W$40,"&lt;=0",$P$6:$P$40,"&lt;&gt;")+SUMIFS($M$6:$M$40,$I$6:$I$40,"Вышло",$E$6:$E$40,"озон",$W$6:$W$40,"&lt;=0",$P$6:$P$40,"&lt;&gt;"))-(SUMIFS($M$6:$M$40,$I$6:$I$40,"Вышло",$E$6:$E$40,"Ozon",$W$6:$W$40,"&lt;=0",$X$6:$X$40,"&gt;0")+SUMIFS($M$6:$M$40,$I$6:$I$40,"Вышло",$E$6:$E$40,"OZON",$W$6:$W$40,"&lt;=0",$X$6:$X$40,"&gt;0")+SUMIFS($M$6:$M$40,$I$6:$I$40,"Вышло",$E$6:$E$40,"Озон",$W$6:$W$40,"&lt;=0",$X$6:$X$40,"&gt;0")+SUMIFS($M$6:$M$40,$I$6:$I$40,"Вышло",$E$6:$E$40,"озон",$W$6:$W$40,"&lt;=0",$X$6:$X$40,"&gt;0")-(SUMIFS($M$6:$M$40,$I$6:$I$40,"Вышло",$E$6:$E$40,"Ozon",$W$6:$W$40,"&lt;=0",$X$6:$X$40,"&gt;0",$P$6:$P$40,"&lt;&gt;")+SUMIFS($M$6:$M$40,$I$6:$I$40,"Вышло",$E$6:$E$40,"OZON",$W$6:$W$40,"&lt;=0",$X$6:$X$40,"&gt;0",$P$6:$P$40,"&lt;&gt;")+SUMIFS($M$6:$M$40,$I$6:$I$40,"Вышло",$E$6:$E$40,"Озон",$W$6:$W$40,"&lt;=0",$X$6:$X$40,"&gt;0",$P$6:$P$40,"&lt;&gt;")+SUMIFS($M$6:$M$40,$I$6:$I$40,"Вышло",$E$6:$E$40,"озон",$W$6:$W$40,"&lt;=0",$X$6:$X$40,"&gt;0",$P$6:$P$40,"&lt;&gt;")))</f>
        <v>103304</v>
      </c>
      <c r="C67" s="146" t="s">
        <v>656</v>
      </c>
      <c r="D67" s="148">
        <f>SUMIFS($AA$6:$AA$40,$I$6:$I$40,"Вышло",$E$6:$E$40,"Сайт")+SUMIFS($AA$6:$AA$40,$I$6:$I$40,"Вышло",$E$6:$E$40,"сайт")-(SUMIFS($AA$6:$AA$40,$I$6:$I$40,"Вышло",$E$6:$E$40,"Сайт")+SUMIFS($AA$6:$AA$40,$I$6:$I$40,"Вышло",$E$6:$E$40,"сайт"))-(SUMIFS($AA$6:$AA$40,$I$6:$I$40,"Вышло",$E$6:$E$40,"Сайт",$W$6:$W$40,"&lt;=0",$X$6:$X$40,"&gt;0")+SUMIFS($AA$6:$AA$40,$I$6:$I$40,"Вышло",$E$6:$E$40,"сайт",$W$6:$W$40,"&lt;=0",$X$6:$X$40,"&gt;0")-(SUMIFS($AA$6:$AA$40,$I$6:$I$40,"Вышло",$E$6:$E$40,"Сайт",$W$6:$W$40,"&lt;=0",$X$6:$X$40,"&gt;0",$P$6:$P$40,"&lt;&gt;")+SUMIFS($AA$6:$AA$40,$I$6:$I$40,"Вышло",$E$6:$E$40,"сайт",$W$6:$W$40,"&lt;=0",$X$6:$X$40,"&gt;0",$P$6:$P$40,"&lt;&gt;")))+SUMIFS($AA$6:$AA$40,$I$6:$I$40,"Вышло",$E$6:$E$40,"Ozon")+SUMIFS($AA$6:$AA$40,$I$6:$I$40,"Вышло",$E$6:$E$40,"OZON")+SUMIFS($AA$6:$AA$40,$I$6:$I$40,"Вышло",$E$6:$E$40,"Озон")+SUMIFS($AA$6:$AA$40,$I$6:$I$40,"Вышло",$E$6:$E$40,"озон")-(SUMIFS($AA$6:$AA$40,$I$6:$I$40,"Вышло",$E$6:$E$40,"Ozon")+SUMIFS($AA$6:$AA$40,$I$6:$I$40,"Вышло",$E$6:$E$40,"OZON")+SUMIFS($AA$6:$AA$40,$I$6:$I$40,"Вышло",$E$6:$E$40,"Озон")+SUMIFS($AA$6:$AA$40,$I$6:$I$40,"Вышло",$E$6:$E$40,"озон"))-(SUMIFS($AA$6:$AA$40,$I$6:$I$40,"Вышло",$E$6:$E$40,"Ozon",$W$6:$W$40,"&lt;=0",$X$6:$X$40,"&gt;0")+SUMIFS($AA$6:$AA$40,$I$6:$I$40,"Вышло",$E$6:$E$40,"OZON",$W$6:$W$40,"&lt;=0",$X$6:$X$40,"&gt;0")+SUMIFS($AA$6:$AA$40,$I$6:$I$40,"Вышло",$E$6:$E$40,"Озон",$W$6:$W$40,"&lt;=0",$X$6:$X$40,"&gt;0")+SUMIFS($AA$6:$AA$40,$I$6:$I$40,"Вышло",$E$6:$E$40,"озон",$W$6:$W$40,"&lt;=0",$X$6:$X$40,"&gt;0")-(SUMIFS($AA$6:$AA$40,$I$6:$I$40,"Вышло",$E$6:$E$40,"Ozon",$W$6:$W$40,"&lt;=0",$X$6:$X$40,"&gt;0",$P$6:$P$40,"&lt;&gt;")+SUMIFS($AA$6:$AA$40,$I$6:$I$40,"Вышло",$E$6:$E$40,"OZON",$W$6:$W$40,"&lt;=0",$X$6:$X$40,"&gt;0",$P$6:$P$40,"&lt;&gt;")+SUMIFS($AA$6:$AA$40,$I$6:$I$40,"Вышло",$E$6:$E$40,"Озон",$W$6:$W$40,"&lt;=0",$X$6:$X$40,"&gt;0",$P$6:$P$40,"&lt;&gt;")+SUMIFS($AA$6:$AA$40,$I$6:$I$40,"Вышло",$E$6:$E$40,"озон",$W$6:$W$40,"&lt;=0",$X$6:$X$40,"&gt;0",$P$6:$P$40,"&lt;&gt;")))</f>
        <v>0</v>
      </c>
      <c r="E67" s="147" t="str">
        <f>IF((SUMIFS($AA$6:$AA$40,$I$6:$I$40,"Вышло",$E$6:$E$40,"Сайт")+SUMIFS($AA$6:$AA$40,$I$6:$I$40,"Вышло",$E$6:$E$40,"сайт")-(SUMIFS($AA$6:$AA$40,$I$6:$I$40,"Вышло",$E$6:$E$40,"Сайт")+SUMIFS($AA$6:$AA$40,$I$6:$I$40,"Вышло",$E$6:$E$40,"сайт"))-(SUMIFS($AA$6:$AA$40,$I$6:$I$40,"Вышло",$E$6:$E$40,"Сайт",$W$6:$W$40,"&lt;=0",$X$6:$X$40,"&gt;0")+SUMIFS($AA$6:$AA$40,$I$6:$I$40,"Вышло",$E$6:$E$40,"сайт",$W$6:$W$40,"&lt;=0",$X$6:$X$40,"&gt;0")-(SUMIFS($AA$6:$AA$40,$I$6:$I$40,"Вышло",$E$6:$E$40,"Сайт",$W$6:$W$40,"&lt;=0",$X$6:$X$40,"&gt;0",$P$6:$P$40,"&lt;&gt;")+SUMIFS($AA$6:$AA$40,$I$6:$I$40,"Вышло",$E$6:$E$40,"сайт",$W$6:$W$40,"&lt;=0",$X$6:$X$40,"&gt;0",$P$6:$P$40,"&lt;&gt;")))+SUMIFS($AA$6:$AA$40,$I$6:$I$40,"Вышло",$E$6:$E$40,"Ozon")+SUMIFS($AA$6:$AA$40,$I$6:$I$40,"Вышло",$E$6:$E$40,"OZON")+SUMIFS($AA$6:$AA$40,$I$6:$I$40,"Вышло",$E$6:$E$40,"Озон")+SUMIFS($AA$6:$AA$40,$I$6:$I$40,"Вышло",$E$6:$E$40,"озон")-(SUMIFS($AA$6:$AA$40,$I$6:$I$40,"Вышло",$E$6:$E$40,"Ozon")+SUMIFS($AA$6:$AA$40,$I$6:$I$40,"Вышло",$E$6:$E$40,"OZON")+SUMIFS($AA$6:$AA$40,$I$6:$I$40,"Вышло",$E$6:$E$40,"Озон")+SUMIFS($AA$6:$AA$40,$I$6:$I$40,"Вышло",$E$6:$E$40,"озон"))-(SUMIFS($AA$6:$AA$40,$I$6:$I$40,"Вышло",$E$6:$E$40,"Ozon",$W$6:$W$40,"&lt;=0",$X$6:$X$40,"&gt;0")+SUMIFS($AA$6:$AA$40,$I$6:$I$40,"Вышло",$E$6:$E$40,"OZON",$W$6:$W$40,"&lt;=0",$X$6:$X$40,"&gt;0")+SUMIFS($AA$6:$AA$40,$I$6:$I$40,"Вышло",$E$6:$E$40,"Озон",$W$6:$W$40,"&lt;=0",$X$6:$X$40,"&gt;0")+SUMIFS($AA$6:$AA$40,$I$6:$I$40,"Вышло",$E$6:$E$40,"озон",$W$6:$W$40,"&lt;=0",$X$6:$X$40,"&gt;0")-(SUMIFS($AA$6:$AA$40,$I$6:$I$40,"Вышло",$E$6:$E$40,"Ozon",$W$6:$W$40,"&lt;=0",$X$6:$X$40,"&gt;0",$P$6:$P$40,"&lt;&gt;")+SUMIFS($AA$6:$AA$40,$I$6:$I$40,"Вышло",$E$6:$E$40,"OZON",$W$6:$W$40,"&lt;=0",$X$6:$X$40,"&gt;0",$P$6:$P$40,"&lt;&gt;")+SUMIFS($AA$6:$AA$40,$I$6:$I$40,"Вышло",$E$6:$E$40,"Озон",$W$6:$W$40,"&lt;=0",$X$6:$X$40,"&gt;0",$P$6:$P$40,"&lt;&gt;")+SUMIFS($AA$6:$AA$40,$I$6:$I$40,"Вышло",$E$6:$E$40,"озон",$W$6:$W$40,"&lt;=0",$X$6:$X$40,"&gt;0",$P$6:$P$40,"&lt;&gt;"))))=0,"—",ROUND((SUMIFS($M$6:$M$40,$I$6:$I$40,"Вышло",$E$6:$E$40,"Сайт")+SUMIFS($M$6:$M$40,$I$6:$I$40,"Вышло",$E$6:$E$40,"сайт")-(SUMIFS($M$6:$M$40,$I$6:$I$40,"Вышло",$E$6:$E$40,"Сайт",$W$6:$W$40,"&gt;0")+SUMIFS($M$6:$M$40,$I$6:$I$40,"Вышло",$E$6:$E$40,"сайт",$W$6:$W$40,"&gt;0")+SUMIFS($M$6:$M$40,$I$6:$I$40,"Вышло",$E$6:$E$40,"Сайт",$W$6:$W$40,"&lt;=0",$P$6:$P$40,"&lt;&gt;")+SUMIFS($M$6:$M$40,$I$6:$I$40,"Вышло",$E$6:$E$40,"сайт",$W$6:$W$40,"&lt;=0",$P$6:$P$40,"&lt;&gt;"))-(SUMIFS($M$6:$M$40,$I$6:$I$40,"Вышло",$E$6:$E$40,"Сайт",$W$6:$W$40,"&lt;=0",$X$6:$X$40,"&gt;0")+SUMIFS($M$6:$M$40,$I$6:$I$40,"Вышло",$E$6:$E$40,"сайт",$W$6:$W$40,"&lt;=0",$X$6:$X$40,"&gt;0")-(SUMIFS($M$6:$M$40,$I$6:$I$40,"Вышло",$E$6:$E$40,"Сайт",$W$6:$W$40,"&lt;=0",$X$6:$X$40,"&gt;0",$P$6:$P$40,"&lt;&gt;")+SUMIFS($M$6:$M$40,$I$6:$I$40,"Вышло",$E$6:$E$40,"сайт",$W$6:$W$40,"&lt;=0",$X$6:$X$40,"&gt;0",$P$6:$P$40,"&lt;&gt;")))+SUMIFS($M$6:$M$40,$I$6:$I$40,"Вышло",$E$6:$E$40,"Ozon")+SUMIFS($M$6:$M$40,$I$6:$I$40,"Вышло",$E$6:$E$40,"OZON")+SUMIFS($M$6:$M$40,$I$6:$I$40,"Вышло",$E$6:$E$40,"Озон")+SUMIFS($M$6:$M$40,$I$6:$I$40,"Вышло",$E$6:$E$40,"озон")-(SUMIFS($M$6:$M$40,$I$6:$I$40,"Вышло",$E$6:$E$40,"Ozon",$W$6:$W$40,"&gt;0")+SUMIFS($M$6:$M$40,$I$6:$I$40,"Вышло",$E$6:$E$40,"OZON",$W$6:$W$40,"&gt;0")+SUMIFS($M$6:$M$40,$I$6:$I$40,"Вышло",$E$6:$E$40,"Озон",$W$6:$W$40,"&gt;0")+SUMIFS($M$6:$M$40,$I$6:$I$40,"Вышло",$E$6:$E$40,"озон",$W$6:$W$40,"&gt;0")+SUMIFS($M$6:$M$40,$I$6:$I$40,"Вышло",$E$6:$E$40,"Ozon",$W$6:$W$40,"&lt;=0",$P$6:$P$40,"&lt;&gt;")+SUMIFS($M$6:$M$40,$I$6:$I$40,"Вышло",$E$6:$E$40,"OZON",$W$6:$W$40,"&lt;=0",$P$6:$P$40,"&lt;&gt;")+SUMIFS($M$6:$M$40,$I$6:$I$40,"Вышло",$E$6:$E$40,"Озон",$W$6:$W$40,"&lt;=0",$P$6:$P$40,"&lt;&gt;")+SUMIFS($M$6:$M$40,$I$6:$I$40,"Вышло",$E$6:$E$40,"озон",$W$6:$W$40,"&lt;=0",$P$6:$P$40,"&lt;&gt;"))-(SUMIFS($M$6:$M$40,$I$6:$I$40,"Вышло",$E$6:$E$40,"Ozon",$W$6:$W$40,"&lt;=0",$X$6:$X$40,"&gt;0")+SUMIFS($M$6:$M$40,$I$6:$I$40,"Вышло",$E$6:$E$40,"OZON",$W$6:$W$40,"&lt;=0",$X$6:$X$40,"&gt;0")+SUMIFS($M$6:$M$40,$I$6:$I$40,"Вышло",$E$6:$E$40,"Озон",$W$6:$W$40,"&lt;=0",$X$6:$X$40,"&gt;0")+SUMIFS($M$6:$M$40,$I$6:$I$40,"Вышло",$E$6:$E$40,"озон",$W$6:$W$40,"&lt;=0",$X$6:$X$40,"&gt;0")-(SUMIFS($M$6:$M$40,$I$6:$I$40,"Вышло",$E$6:$E$40,"Ozon",$W$6:$W$40,"&lt;=0",$X$6:$X$40,"&gt;0",$P$6:$P$40,"&lt;&gt;")+SUMIFS($M$6:$M$40,$I$6:$I$40,"Вышло",$E$6:$E$40,"OZON",$W$6:$W$40,"&lt;=0",$X$6:$X$40,"&gt;0",$P$6:$P$40,"&lt;&gt;")+SUMIFS($M$6:$M$40,$I$6:$I$40,"Вышло",$E$6:$E$40,"Озон",$W$6:$W$40,"&lt;=0",$X$6:$X$40,"&gt;0",$P$6:$P$40,"&lt;&gt;")+SUMIFS($M$6:$M$40,$I$6:$I$40,"Вышло",$E$6:$E$40,"озон",$W$6:$W$40,"&lt;=0",$X$6:$X$40,"&gt;0",$P$6:$P$40,"&lt;&gt;"))))/(SUMIFS($AA$6:$AA$40,$I$6:$I$40,"Вышло",$E$6:$E$40,"Сайт")+SUMIFS($AA$6:$AA$40,$I$6:$I$40,"Вышло",$E$6:$E$40,"сайт")-(SUMIFS($AA$6:$AA$40,$I$6:$I$40,"Вышло",$E$6:$E$40,"Сайт")+SUMIFS($AA$6:$AA$40,$I$6:$I$40,"Вышло",$E$6:$E$40,"сайт"))-(SUMIFS($AA$6:$AA$40,$I$6:$I$40,"Вышло",$E$6:$E$40,"Сайт",$W$6:$W$40,"&lt;=0",$X$6:$X$40,"&gt;0")+SUMIFS($AA$6:$AA$40,$I$6:$I$40,"Вышло",$E$6:$E$40,"сайт",$W$6:$W$40,"&lt;=0",$X$6:$X$40,"&gt;0")-(SUMIFS($AA$6:$AA$40,$I$6:$I$40,"Вышло",$E$6:$E$40,"Сайт",$W$6:$W$40,"&lt;=0",$X$6:$X$40,"&gt;0",$P$6:$P$40,"&lt;&gt;")+SUMIFS($AA$6:$AA$40,$I$6:$I$40,"Вышло",$E$6:$E$40,"сайт",$W$6:$W$40,"&lt;=0",$X$6:$X$40,"&gt;0",$P$6:$P$40,"&lt;&gt;")))+SUMIFS($AA$6:$AA$40,$I$6:$I$40,"Вышло",$E$6:$E$40,"Ozon")+SUMIFS($AA$6:$AA$40,$I$6:$I$40,"Вышло",$E$6:$E$40,"OZON")+SUMIFS($AA$6:$AA$40,$I$6:$I$40,"Вышло",$E$6:$E$40,"Озон")+SUMIFS($AA$6:$AA$40,$I$6:$I$40,"Вышло",$E$6:$E$40,"озон")-(SUMIFS($AA$6:$AA$40,$I$6:$I$40,"Вышло",$E$6:$E$40,"Ozon")+SUMIFS($AA$6:$AA$40,$I$6:$I$40,"Вышло",$E$6:$E$40,"OZON")+SUMIFS($AA$6:$AA$40,$I$6:$I$40,"Вышло",$E$6:$E$40,"Озон")+SUMIFS($AA$6:$AA$40,$I$6:$I$40,"Вышло",$E$6:$E$40,"озон"))-(SUMIFS($AA$6:$AA$40,$I$6:$I$40,"Вышло",$E$6:$E$40,"Ozon",$W$6:$W$40,"&lt;=0",$X$6:$X$40,"&gt;0")+SUMIFS($AA$6:$AA$40,$I$6:$I$40,"Вышло",$E$6:$E$40,"OZON",$W$6:$W$40,"&lt;=0",$X$6:$X$40,"&gt;0")+SUMIFS($AA$6:$AA$40,$I$6:$I$40,"Вышло",$E$6:$E$40,"Озон",$W$6:$W$40,"&lt;=0",$X$6:$X$40,"&gt;0")+SUMIFS($AA$6:$AA$40,$I$6:$I$40,"Вышло",$E$6:$E$40,"озон",$W$6:$W$40,"&lt;=0",$X$6:$X$40,"&gt;0")-(SUMIFS($AA$6:$AA$40,$I$6:$I$40,"Вышло",$E$6:$E$40,"Ozon",$W$6:$W$40,"&lt;=0",$X$6:$X$40,"&gt;0",$P$6:$P$40,"&lt;&gt;")+SUMIFS($AA$6:$AA$40,$I$6:$I$40,"Вышло",$E$6:$E$40,"OZON",$W$6:$W$40,"&lt;=0",$X$6:$X$40,"&gt;0",$P$6:$P$40,"&lt;&gt;")+SUMIFS($AA$6:$AA$40,$I$6:$I$40,"Вышло",$E$6:$E$40,"Озон",$W$6:$W$40,"&lt;=0",$X$6:$X$40,"&gt;0",$P$6:$P$40,"&lt;&gt;")+SUMIFS($AA$6:$AA$40,$I$6:$I$40,"Вышло",$E$6:$E$40,"озон",$W$6:$W$40,"&lt;=0",$X$6:$X$40,"&gt;0",$P$6:$P$40,"&lt;&gt;")))),0))</f>
        <v>—</v>
      </c>
      <c r="F67" s="148">
        <f>COUNTIFS($I$6:$I$40,"Вышло",$E$6:$E$40,"Сайт")-(COUNTIFS($I$6:$I$40,"Вышло",$E$6:$E$40,"Сайт",$W$6:$W$40,"&gt;0")+COUNTIFS($I$6:$I$40,"Вышло",$E$6:$E$40,"Сайт",$W$6:$W$40,"&lt;=0",$P$6:$P$40,"&lt;&gt;"))-(COUNTIFS($I$6:$I$40,"Вышло",$E$6:$E$40,"Сайт",$W$6:$W$40,"&lt;=0",$X$6:$X$40,"&gt;0")-(COUNTIFS($I$6:$I$40,"Вышло",$E$6:$E$40,"Сайт",$W$6:$W$40,"&lt;=0",$X$6:$X$40,"&gt;0",$P$6:$P$40,"&lt;&gt;")))+COUNTIFS($I$6:$I$40,"Вышло",$E$6:$E$40,"Ozon")+COUNTIFS($I$6:$I$40,"Вышло",$E$6:$E$40,"Озон")-(COUNTIFS($I$6:$I$40,"Вышло",$E$6:$E$40,"Ozon",$W$6:$W$40,"&gt;0")+COUNTIFS($I$6:$I$40,"Вышло",$E$6:$E$40,"Озон",$W$6:$W$40,"&gt;0")+COUNTIFS($I$6:$I$40,"Вышло",$E$6:$E$40,"Ozon",$W$6:$W$40,"&lt;=0",$P$6:$P$40,"&lt;&gt;")+COUNTIFS($I$6:$I$40,"Вышло",$E$6:$E$40,"Озон",$W$6:$W$40,"&lt;=0",$P$6:$P$40,"&lt;&gt;"))-(COUNTIFS($I$6:$I$40,"Вышло",$E$6:$E$40,"Ozon",$W$6:$W$40,"&lt;=0",$X$6:$X$40,"&gt;0")+COUNTIFS($I$6:$I$40,"Вышло",$E$6:$E$40,"Озон",$W$6:$W$40,"&lt;=0",$X$6:$X$40,"&gt;0")-(COUNTIFS($I$6:$I$40,"Вышло",$E$6:$E$40,"Ozon",$W$6:$W$40,"&lt;=0",$X$6:$X$40,"&gt;0",$P$6:$P$40,"&lt;&gt;")+COUNTIFS($I$6:$I$40,"Вышло",$E$6:$E$40,"Озон",$W$6:$W$40,"&lt;=0",$X$6:$X$40,"&gt;0",$P$6:$P$40,"&lt;&gt;")))</f>
        <v>5</v>
      </c>
      <c r="G67" s="148">
        <f>SUMIFS($U$6:$U$40,$I$6:$I$40,"Вышло",$E$6:$E$40,"Сайт")+SUMIFS($U$6:$U$40,$I$6:$I$40,"Вышло",$E$6:$E$40,"сайт")-(SUMIFS($U$6:$U$40,$I$6:$I$40,"Вышло",$E$6:$E$40,"Сайт")+SUMIFS($U$6:$U$40,$I$6:$I$40,"Вышло",$E$6:$E$40,"сайт"))-(SUMIFS($U$6:$U$40,$I$6:$I$40,"Вышло",$E$6:$E$40,"Сайт",$W$6:$W$40,"&lt;=0",$X$6:$X$40,"&gt;0")+SUMIFS($U$6:$U$40,$I$6:$I$40,"Вышло",$E$6:$E$40,"сайт",$W$6:$W$40,"&lt;=0",$X$6:$X$40,"&gt;0")-(SUMIFS($U$6:$U$40,$I$6:$I$40,"Вышло",$E$6:$E$40,"Сайт",$W$6:$W$40,"&lt;=0",$X$6:$X$40,"&gt;0",$P$6:$P$40,"&lt;&gt;")+SUMIFS($U$6:$U$40,$I$6:$I$40,"Вышло",$E$6:$E$40,"сайт",$W$6:$W$40,"&lt;=0",$X$6:$X$40,"&gt;0",$P$6:$P$40,"&lt;&gt;")))+SUMIFS($U$6:$U$40,$I$6:$I$40,"Вышло",$E$6:$E$40,"Ozon")+SUMIFS($U$6:$U$40,$I$6:$I$40,"Вышло",$E$6:$E$40,"OZON")+SUMIFS($U$6:$U$40,$I$6:$I$40,"Вышло",$E$6:$E$40,"Озон")+SUMIFS($U$6:$U$40,$I$6:$I$40,"Вышло",$E$6:$E$40,"озон")-(SUMIFS($U$6:$U$40,$I$6:$I$40,"Вышло",$E$6:$E$40,"Ozon")+SUMIFS($U$6:$U$40,$I$6:$I$40,"Вышло",$E$6:$E$40,"OZON")+SUMIFS($U$6:$U$40,$I$6:$I$40,"Вышло",$E$6:$E$40,"Озон")+SUMIFS($U$6:$U$40,$I$6:$I$40,"Вышло",$E$6:$E$40,"озон"))-(SUMIFS($U$6:$U$40,$I$6:$I$40,"Вышло",$E$6:$E$40,"Ozon",$W$6:$W$40,"&lt;=0",$X$6:$X$40,"&gt;0")+SUMIFS($U$6:$U$40,$I$6:$I$40,"Вышло",$E$6:$E$40,"OZON",$W$6:$W$40,"&lt;=0",$X$6:$X$40,"&gt;0")+SUMIFS($U$6:$U$40,$I$6:$I$40,"Вышло",$E$6:$E$40,"Озон",$W$6:$W$40,"&lt;=0",$X$6:$X$40,"&gt;0")+SUMIFS($U$6:$U$40,$I$6:$I$40,"Вышло",$E$6:$E$40,"озон",$W$6:$W$40,"&lt;=0",$X$6:$X$40,"&gt;0")-(SUMIFS($U$6:$U$40,$I$6:$I$40,"Вышло",$E$6:$E$40,"Ozon",$W$6:$W$40,"&lt;=0",$X$6:$X$40,"&gt;0",$P$6:$P$40,"&lt;&gt;")+SUMIFS($U$6:$U$40,$I$6:$I$40,"Вышло",$E$6:$E$40,"OZON",$W$6:$W$40,"&lt;=0",$X$6:$X$40,"&gt;0",$P$6:$P$40,"&lt;&gt;")+SUMIFS($U$6:$U$40,$I$6:$I$40,"Вышло",$E$6:$E$40,"Озон",$W$6:$W$40,"&lt;=0",$X$6:$X$40,"&gt;0",$P$6:$P$40,"&lt;&gt;")+SUMIFS($U$6:$U$40,$I$6:$I$40,"Вышло",$E$6:$E$40,"озон",$W$6:$W$40,"&lt;=0",$X$6:$X$40,"&gt;0",$P$6:$P$40,"&lt;&gt;")))</f>
        <v>0</v>
      </c>
      <c r="H67" s="146" t="s">
        <v>895</v>
      </c>
      <c r="I67" s="145"/>
      <c r="J67" s="145"/>
      <c r="K67" s="145"/>
      <c r="L67" s="145"/>
      <c r="M67" s="145"/>
      <c r="N67" s="145"/>
      <c r="O67" s="145"/>
      <c r="P67" s="3"/>
      <c r="Q67" s="3"/>
      <c r="R67" s="3"/>
      <c r="S67" s="154"/>
      <c r="T67" s="55"/>
      <c r="U67" s="3"/>
      <c r="V67" s="155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</row>
    <row r="68" ht="27.75" customHeight="1">
      <c r="A68" s="146" t="s">
        <v>896</v>
      </c>
      <c r="B68" s="147">
        <f>SUMIFS($M$6:$M$40,$I$6:$I$40,"Вышло")-(SUMIFS($M$6:$M$40,$I$6:$I$40,"Вышло",$E$6:$E$40,"БОТ")+SUMIFS($M$6:$M$40,$I$6:$I$40,"Вышло",$E$6:$E$40,"Бот")+SUMIFS($M$6:$M$40,$I$6:$I$40,"Вышло",$E$6:$E$40,"бот")+SUMIFS($M$6:$M$40,$I$6:$I$40,"Вышло",$E$6:$E$40,"WB")+SUMIFS($M$6:$M$40,$I$6:$I$40,"Вышло",$E$6:$E$40,"ВБ")+SUMIFS($M$6:$M$40,$I$6:$I$40,"Вышло",$E$6:$E$40,"Сайт")+SUMIFS($M$6:$M$40,$I$6:$I$40,"Вышло",$E$6:$E$40,"сайт")+SUMIFS($M$6:$M$40,$I$6:$I$40,"Вышло",$E$6:$E$40,"Ozon")+SUMIFS($M$6:$M$40,$I$6:$I$40,"Вышло",$E$6:$E$40,"OZON")+SUMIFS($M$6:$M$40,$I$6:$I$40,"Вышло",$E$6:$E$40,"Озон")+SUMIFS($M$6:$M$40,$I$6:$I$40,"Вышло",$E$6:$E$40,"озон"))+SUMIFS($M$6:$M$40,$I$6:$I$40,"Вышло",$E$6:$E$40,"WB",$X$6:$X$40,"&lt;=0",$W$6:$W$40,"&gt;0")+SUMIFS($M$6:$M$40,$I$6:$I$40,"Вышло",$E$6:$E$40,"ВБ",$X$6:$X$40,"&lt;=0",$W$6:$W$40,"&gt;0")+SUMIFS($M$6:$M$40,$I$6:$I$40,"Вышло",$E$6:$E$40,"Сайт",$W$6:$W$40,"&lt;=0",$X$6:$X$40,"&gt;0")+SUMIFS($M$6:$M$40,$I$6:$I$40,"Вышло",$E$6:$E$40,"сайт",$W$6:$W$40,"&lt;=0",$X$6:$X$40,"&gt;0")-(SUMIFS($M$6:$M$40,$I$6:$I$40,"Вышло",$E$6:$E$40,"Сайт",$W$6:$W$40,"&lt;=0",$X$6:$X$40,"&gt;0",$P$6:$P$40,"&lt;&gt;")+SUMIFS($M$6:$M$40,$I$6:$I$40,"Вышло",$E$6:$E$40,"сайт",$W$6:$W$40,"&lt;=0",$X$6:$X$40,"&gt;0",$P$6:$P$40,"&lt;&gt;"))+SUMIFS($M$6:$M$40,$I$6:$I$40,"Вышло",$E$6:$E$40,"Ozon",$W$6:$W$40,"&lt;=0",$X$6:$X$40,"&gt;0")+SUMIFS($M$6:$M$40,$I$6:$I$40,"Вышло",$E$6:$E$40,"OZON",$W$6:$W$40,"&lt;=0",$X$6:$X$40,"&gt;0")+SUMIFS($M$6:$M$40,$I$6:$I$40,"Вышло",$E$6:$E$40,"Озон",$W$6:$W$40,"&lt;=0",$X$6:$X$40,"&gt;0")+SUMIFS($M$6:$M$40,$I$6:$I$40,"Вышло",$E$6:$E$40,"озон",$W$6:$W$40,"&lt;=0",$X$6:$X$40,"&gt;0")-(SUMIFS($M$6:$M$40,$I$6:$I$40,"Вышло",$E$6:$E$40,"Ozon",$W$6:$W$40,"&lt;=0",$X$6:$X$40,"&gt;0",$P$6:$P$40,"&lt;&gt;")+SUMIFS($M$6:$M$40,$I$6:$I$40,"Вышло",$E$6:$E$40,"OZON",$W$6:$W$40,"&lt;=0",$X$6:$X$40,"&gt;0",$P$6:$P$40,"&lt;&gt;")+SUMIFS($M$6:$M$40,$I$6:$I$40,"Вышло",$E$6:$E$40,"Озон",$W$6:$W$40,"&lt;=0",$X$6:$X$40,"&gt;0",$P$6:$P$40,"&lt;&gt;")+SUMIFS($M$6:$M$40,$I$6:$I$40,"Вышло",$E$6:$E$40,"озон",$W$6:$W$40,"&lt;=0",$X$6:$X$40,"&gt;0",$P$6:$P$40,"&lt;&gt;"))</f>
        <v>-88240</v>
      </c>
      <c r="C68" s="146" t="s">
        <v>879</v>
      </c>
      <c r="D68" s="148" t="str">
        <f t="shared" ref="D68:E68" si="58">"—"</f>
        <v>—</v>
      </c>
      <c r="E68" s="147" t="str">
        <f t="shared" si="58"/>
        <v>—</v>
      </c>
      <c r="F68" s="148">
        <f>COUNTIFS($I$6:$I$40,"Вышло")-(COUNTIFS($I$6:$I$40,"Вышло",$E$6:$E$40,"БОТ")+COUNTIFS($I$6:$I$40,"Вышло",$E$6:$E$40,"WB")+COUNTIFS($I$6:$I$40,"Вышло",$E$6:$E$40,"ВБ")+COUNTIFS($I$6:$I$40,"Вышло",$E$6:$E$40,"Сайт")+COUNTIFS($I$6:$I$40,"Вышло",$E$6:$E$40,"Ozon")+COUNTIFS($I$6:$I$40,"Вышло",$E$6:$E$40,"Озон"))+COUNTIFS($I$6:$I$40,"Вышло",$E$6:$E$40,"WB",$X$6:$X$40,"&lt;=0",$W$6:$W$40,"&gt;0")+COUNTIFS($I$6:$I$40,"Вышло",$E$6:$E$40,"ВБ",$X$6:$X$40,"&lt;=0",$W$6:$W$40,"&gt;0")+COUNTIFS($I$6:$I$40,"Вышло",$E$6:$E$40,"Сайт",$W$6:$W$40,"&lt;=0",$X$6:$X$40,"&gt;0")-(COUNTIFS($I$6:$I$40,"Вышло",$E$6:$E$40,"Сайт",$W$6:$W$40,"&lt;=0",$X$6:$X$40,"&gt;0",$P$6:$P$40,"&lt;&gt;"))+COUNTIFS($I$6:$I$40,"Вышло",$E$6:$E$40,"Ozon",$W$6:$W$40,"&lt;=0",$X$6:$X$40,"&gt;0")+COUNTIFS($I$6:$I$40,"Вышло",$E$6:$E$40,"Озон",$W$6:$W$40,"&lt;=0",$X$6:$X$40,"&gt;0")-(COUNTIFS($I$6:$I$40,"Вышло",$E$6:$E$40,"Ozon",$W$6:$W$40,"&lt;=0",$X$6:$X$40,"&gt;0",$P$6:$P$40,"&lt;&gt;")+COUNTIFS($I$6:$I$40,"Вышло",$E$6:$E$40,"Озон",$W$6:$W$40,"&lt;=0",$X$6:$X$40,"&gt;0",$P$6:$P$40,"&lt;&gt;"))</f>
        <v>0</v>
      </c>
      <c r="G68" s="148">
        <f>SUMIFS($U$6:$U$40,$I$6:$I$40,"Вышло")-(SUMIFS($U$6:$U$40,$I$6:$I$40,"Вышло",$E$6:$E$40,"БОТ")+SUMIFS($U$6:$U$40,$I$6:$I$40,"Вышло",$E$6:$E$40,"Бот")+SUMIFS($U$6:$U$40,$I$6:$I$40,"Вышло",$E$6:$E$40,"бот")+SUMIFS($U$6:$U$40,$I$6:$I$40,"Вышло",$E$6:$E$40,"WB")+SUMIFS($U$6:$U$40,$I$6:$I$40,"Вышло",$E$6:$E$40,"ВБ")+SUMIFS($U$6:$U$40,$I$6:$I$40,"Вышло",$E$6:$E$40,"Сайт")+SUMIFS($U$6:$U$40,$I$6:$I$40,"Вышло",$E$6:$E$40,"сайт")+SUMIFS($U$6:$U$40,$I$6:$I$40,"Вышло",$E$6:$E$40,"Ozon")+SUMIFS($U$6:$U$40,$I$6:$I$40,"Вышло",$E$6:$E$40,"OZON")+SUMIFS($U$6:$U$40,$I$6:$I$40,"Вышло",$E$6:$E$40,"Озон")+SUMIFS($U$6:$U$40,$I$6:$I$40,"Вышло",$E$6:$E$40,"озон"))+SUMIFS($U$6:$U$40,$I$6:$I$40,"Вышло",$E$6:$E$40,"WB",$X$6:$X$40,"&lt;=0",$W$6:$W$40,"&gt;0")+SUMIFS($U$6:$U$40,$I$6:$I$40,"Вышло",$E$6:$E$40,"ВБ",$X$6:$X$40,"&lt;=0",$W$6:$W$40,"&gt;0")+SUMIFS($U$6:$U$40,$I$6:$I$40,"Вышло",$E$6:$E$40,"Сайт",$W$6:$W$40,"&lt;=0",$X$6:$X$40,"&gt;0")+SUMIFS($U$6:$U$40,$I$6:$I$40,"Вышло",$E$6:$E$40,"сайт",$W$6:$W$40,"&lt;=0",$X$6:$X$40,"&gt;0")-(SUMIFS($U$6:$U$40,$I$6:$I$40,"Вышло",$E$6:$E$40,"Сайт",$W$6:$W$40,"&lt;=0",$X$6:$X$40,"&gt;0",$P$6:$P$40,"&lt;&gt;")+SUMIFS($U$6:$U$40,$I$6:$I$40,"Вышло",$E$6:$E$40,"сайт",$W$6:$W$40,"&lt;=0",$X$6:$X$40,"&gt;0",$P$6:$P$40,"&lt;&gt;"))+SUMIFS($U$6:$U$40,$I$6:$I$40,"Вышло",$E$6:$E$40,"Ozon",$W$6:$W$40,"&lt;=0",$X$6:$X$40,"&gt;0")+SUMIFS($U$6:$U$40,$I$6:$I$40,"Вышло",$E$6:$E$40,"OZON",$W$6:$W$40,"&lt;=0",$X$6:$X$40,"&gt;0")+SUMIFS($U$6:$U$40,$I$6:$I$40,"Вышло",$E$6:$E$40,"Озон",$W$6:$W$40,"&lt;=0",$X$6:$X$40,"&gt;0")+SUMIFS($U$6:$U$40,$I$6:$I$40,"Вышло",$E$6:$E$40,"озон",$W$6:$W$40,"&lt;=0",$X$6:$X$40,"&gt;0")-(SUMIFS($U$6:$U$40,$I$6:$I$40,"Вышло",$E$6:$E$40,"Ozon",$W$6:$W$40,"&lt;=0",$X$6:$X$40,"&gt;0",$P$6:$P$40,"&lt;&gt;")+SUMIFS($U$6:$U$40,$I$6:$I$40,"Вышло",$E$6:$E$40,"OZON",$W$6:$W$40,"&lt;=0",$X$6:$X$40,"&gt;0",$P$6:$P$40,"&lt;&gt;")+SUMIFS($U$6:$U$40,$I$6:$I$40,"Вышло",$E$6:$E$40,"Озон",$W$6:$W$40,"&lt;=0",$X$6:$X$40,"&gt;0",$P$6:$P$40,"&lt;&gt;")+SUMIFS($U$6:$U$40,$I$6:$I$40,"Вышло",$E$6:$E$40,"озон",$W$6:$W$40,"&lt;=0",$X$6:$X$40,"&gt;0",$P$6:$P$40,"&lt;&gt;"))</f>
        <v>-570323</v>
      </c>
      <c r="H68" s="146" t="s">
        <v>897</v>
      </c>
      <c r="I68" s="145"/>
      <c r="J68" s="145"/>
      <c r="K68" s="145"/>
      <c r="L68" s="145"/>
      <c r="M68" s="145"/>
      <c r="N68" s="145"/>
      <c r="O68" s="145"/>
      <c r="P68" s="3"/>
      <c r="Q68" s="3"/>
      <c r="R68" s="3"/>
      <c r="S68" s="154"/>
      <c r="T68" s="55"/>
      <c r="U68" s="3"/>
      <c r="V68" s="155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</row>
    <row r="69" ht="15.75" customHeight="1">
      <c r="A69" s="142" t="s">
        <v>877</v>
      </c>
      <c r="B69" s="143">
        <f>SUM(B63:B68)</f>
        <v>141943</v>
      </c>
      <c r="C69" s="142" t="s">
        <v>879</v>
      </c>
      <c r="D69" s="144" t="s">
        <v>879</v>
      </c>
      <c r="E69" s="143" t="s">
        <v>879</v>
      </c>
      <c r="F69" s="144">
        <f t="shared" ref="F69:G69" si="59">SUM(F63:F68)</f>
        <v>20</v>
      </c>
      <c r="G69" s="144">
        <f t="shared" si="59"/>
        <v>1925467</v>
      </c>
      <c r="H69" s="142"/>
      <c r="I69" s="145"/>
      <c r="J69" s="145"/>
      <c r="K69" s="145"/>
      <c r="L69" s="145"/>
      <c r="M69" s="145"/>
      <c r="N69" s="145"/>
      <c r="O69" s="145"/>
      <c r="P69" s="3"/>
      <c r="Q69" s="3"/>
      <c r="R69" s="3"/>
      <c r="S69" s="154"/>
      <c r="T69" s="55"/>
      <c r="U69" s="3"/>
      <c r="V69" s="155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</row>
    <row r="70" ht="15.75" customHeight="1">
      <c r="A70" s="145"/>
      <c r="B70" s="145"/>
      <c r="C70" s="145"/>
      <c r="D70" s="145"/>
      <c r="E70" s="145"/>
      <c r="F70" s="145"/>
      <c r="G70" s="145"/>
      <c r="H70" s="145"/>
      <c r="I70" s="145"/>
      <c r="J70" s="145"/>
      <c r="K70" s="145"/>
      <c r="L70" s="145"/>
      <c r="M70" s="145"/>
      <c r="N70" s="145"/>
      <c r="O70" s="145"/>
      <c r="P70" s="3"/>
      <c r="Q70" s="3"/>
      <c r="R70" s="3"/>
      <c r="S70" s="154"/>
      <c r="T70" s="55"/>
      <c r="U70" s="3"/>
      <c r="V70" s="155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</row>
    <row r="71" ht="15.75" customHeight="1">
      <c r="A71" s="137" t="s">
        <v>1016</v>
      </c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3"/>
      <c r="Q71" s="3"/>
      <c r="R71" s="3"/>
      <c r="S71" s="154"/>
      <c r="T71" s="55"/>
      <c r="U71" s="3"/>
      <c r="V71" s="155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</row>
    <row r="72" ht="15.75" customHeight="1">
      <c r="A72" s="138" t="s">
        <v>899</v>
      </c>
      <c r="B72" s="138" t="s">
        <v>780</v>
      </c>
      <c r="C72" s="138" t="s">
        <v>12</v>
      </c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3"/>
      <c r="Q72" s="3"/>
      <c r="R72" s="3"/>
      <c r="S72" s="154"/>
      <c r="T72" s="55"/>
      <c r="U72" s="3"/>
      <c r="V72" s="155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</row>
    <row r="73" ht="15.75" customHeight="1">
      <c r="A73" s="139" t="str">
        <f>"Площадки = фактический расход"</f>
        <v>Площадки = фактический расход</v>
      </c>
      <c r="B73" s="139" t="str">
        <f>IF(ABS(C52-B69)&lt;0.01,"OK","ПРОВЕРИТЬ")</f>
        <v>ПРОВЕРИТЬ</v>
      </c>
      <c r="C73" s="140">
        <f>C52-B69</f>
        <v>113439</v>
      </c>
      <c r="D73" s="145"/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3"/>
      <c r="Q73" s="3"/>
      <c r="R73" s="3"/>
      <c r="S73" s="154"/>
      <c r="T73" s="55"/>
      <c r="U73" s="3"/>
      <c r="V73" s="155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</row>
    <row r="74" ht="15.75" customHeight="1">
      <c r="A74" s="139" t="str">
        <f>"Продукты = фактический расход"</f>
        <v>Продукты = фактический расход</v>
      </c>
      <c r="B74" s="139" t="str">
        <f>IF(ABS(C59-B69)&lt;0.01,"OK","ПРОВЕРИТЬ")</f>
        <v>OK</v>
      </c>
      <c r="C74" s="140">
        <f>C59-B69</f>
        <v>0</v>
      </c>
      <c r="D74" s="145"/>
      <c r="E74" s="145"/>
      <c r="F74" s="145"/>
      <c r="G74" s="145"/>
      <c r="H74" s="145"/>
      <c r="I74" s="145"/>
      <c r="J74" s="145"/>
      <c r="K74" s="145"/>
      <c r="L74" s="145"/>
      <c r="M74" s="145"/>
      <c r="N74" s="145"/>
      <c r="O74" s="145"/>
      <c r="P74" s="3"/>
      <c r="Q74" s="3"/>
      <c r="R74" s="3"/>
      <c r="S74" s="154"/>
      <c r="T74" s="55"/>
      <c r="U74" s="3"/>
      <c r="V74" s="155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</row>
    <row r="75" ht="15.75" customHeight="1">
      <c r="A75" s="139" t="str">
        <f>"Воронки без двойного учёта"</f>
        <v>Воронки без двойного учёта</v>
      </c>
      <c r="B75" s="139" t="str">
        <f>IF(ABS(B69-(SUMIFS($M$6:$M$40,$I$6:$I$40,"Вышло")))&lt;0.01,"OK","ПРОВЕРИТЬ")</f>
        <v>OK</v>
      </c>
      <c r="C75" s="140">
        <f>B69-(SUMIFS($M$6:$M$40,$I$6:$I$40,"Вышло"))</f>
        <v>0</v>
      </c>
      <c r="D75" s="145"/>
      <c r="E75" s="145"/>
      <c r="F75" s="145"/>
      <c r="G75" s="145"/>
      <c r="H75" s="145"/>
      <c r="I75" s="145"/>
      <c r="J75" s="145"/>
      <c r="K75" s="145"/>
      <c r="L75" s="145"/>
      <c r="M75" s="145"/>
      <c r="N75" s="145"/>
      <c r="O75" s="145"/>
      <c r="P75" s="3"/>
      <c r="Q75" s="3"/>
      <c r="R75" s="3"/>
      <c r="S75" s="154"/>
      <c r="T75" s="55"/>
      <c r="U75" s="3"/>
      <c r="V75" s="155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</row>
    <row r="76" ht="15.75" customHeight="1">
      <c r="A76" s="139" t="str">
        <f>"Неоднозначные строки"</f>
        <v>Неоднозначные строки</v>
      </c>
      <c r="B76" s="139" t="str">
        <f>IF(B68=0,"OK","ТРЕБУЕТ УТОЧНЕНИЯ")</f>
        <v>ТРЕБУЕТ УТОЧНЕНИЯ</v>
      </c>
      <c r="C76" s="140">
        <f>B68</f>
        <v>-88240</v>
      </c>
      <c r="D76" s="145"/>
      <c r="E76" s="145"/>
      <c r="F76" s="145"/>
      <c r="G76" s="145"/>
      <c r="H76" s="145"/>
      <c r="I76" s="145"/>
      <c r="J76" s="145"/>
      <c r="K76" s="145"/>
      <c r="L76" s="145"/>
      <c r="M76" s="145"/>
      <c r="N76" s="145"/>
      <c r="O76" s="145"/>
      <c r="P76" s="3"/>
      <c r="Q76" s="3"/>
      <c r="R76" s="3"/>
      <c r="S76" s="154"/>
      <c r="T76" s="55"/>
      <c r="U76" s="3"/>
      <c r="V76" s="155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</row>
    <row r="77" ht="15.75" customHeight="1">
      <c r="A77" s="145"/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45"/>
      <c r="N77" s="145"/>
      <c r="O77" s="145"/>
      <c r="P77" s="3"/>
      <c r="Q77" s="3"/>
      <c r="R77" s="3"/>
      <c r="S77" s="154"/>
      <c r="T77" s="55"/>
      <c r="U77" s="3"/>
      <c r="V77" s="155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</row>
    <row r="78" ht="15.75" customHeight="1">
      <c r="A78" s="137" t="s">
        <v>900</v>
      </c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3"/>
      <c r="Q78" s="3"/>
      <c r="R78" s="3"/>
      <c r="S78" s="154"/>
      <c r="T78" s="55"/>
      <c r="U78" s="3"/>
      <c r="V78" s="155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</row>
    <row r="79" ht="15.75" customHeight="1">
      <c r="A79" s="138" t="s">
        <v>901</v>
      </c>
      <c r="B79" s="138" t="s">
        <v>778</v>
      </c>
      <c r="C79" s="138" t="s">
        <v>835</v>
      </c>
      <c r="D79" s="138" t="s">
        <v>728</v>
      </c>
      <c r="E79" s="138" t="s">
        <v>902</v>
      </c>
      <c r="F79" s="145"/>
      <c r="G79" s="145"/>
      <c r="H79" s="145"/>
      <c r="I79" s="145"/>
      <c r="J79" s="145"/>
      <c r="K79" s="145"/>
      <c r="L79" s="145"/>
      <c r="M79" s="145"/>
      <c r="N79" s="145"/>
      <c r="O79" s="145"/>
      <c r="P79" s="3"/>
      <c r="Q79" s="3"/>
      <c r="R79" s="3"/>
      <c r="S79" s="154"/>
      <c r="T79" s="55"/>
      <c r="U79" s="3"/>
      <c r="V79" s="155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</row>
    <row r="80" ht="36.0" customHeight="1">
      <c r="A80" s="146" t="s">
        <v>879</v>
      </c>
      <c r="B80" s="146" t="s">
        <v>1017</v>
      </c>
      <c r="C80" s="146" t="s">
        <v>879</v>
      </c>
      <c r="D80" s="147">
        <v>0.0</v>
      </c>
      <c r="E80" s="146" t="s">
        <v>879</v>
      </c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3"/>
      <c r="Q80" s="3"/>
      <c r="R80" s="3"/>
      <c r="S80" s="154"/>
      <c r="T80" s="55"/>
      <c r="U80" s="3"/>
      <c r="V80" s="155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</row>
    <row r="81" ht="15.75" customHeight="1">
      <c r="A81" s="145"/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3"/>
      <c r="Q81" s="3"/>
      <c r="R81" s="3"/>
      <c r="S81" s="154"/>
      <c r="T81" s="55"/>
      <c r="U81" s="3"/>
      <c r="V81" s="155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</row>
    <row r="82" ht="15.75" customHeight="1">
      <c r="A82" s="145"/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3"/>
      <c r="Q82" s="3"/>
      <c r="R82" s="3"/>
      <c r="S82" s="154"/>
      <c r="T82" s="55"/>
      <c r="U82" s="3"/>
      <c r="V82" s="155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</row>
    <row r="83" ht="15.75" customHeight="1">
      <c r="A83" s="145"/>
      <c r="B83" s="145"/>
      <c r="C83" s="145"/>
      <c r="D83" s="145"/>
      <c r="E83" s="145"/>
      <c r="F83" s="145"/>
      <c r="G83" s="145"/>
      <c r="H83" s="145"/>
      <c r="I83" s="145"/>
      <c r="J83" s="145"/>
      <c r="K83" s="145"/>
      <c r="L83" s="145"/>
      <c r="M83" s="145"/>
      <c r="N83" s="145"/>
      <c r="O83" s="145"/>
      <c r="P83" s="3"/>
      <c r="Q83" s="3"/>
      <c r="R83" s="3"/>
      <c r="S83" s="154"/>
      <c r="T83" s="55"/>
      <c r="U83" s="3"/>
      <c r="V83" s="155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</row>
    <row r="84" ht="15.75" customHeight="1">
      <c r="A84" s="145"/>
      <c r="B84" s="145"/>
      <c r="C84" s="145"/>
      <c r="D84" s="145"/>
      <c r="E84" s="145"/>
      <c r="F84" s="145"/>
      <c r="G84" s="145"/>
      <c r="H84" s="145"/>
      <c r="I84" s="145"/>
      <c r="J84" s="145"/>
      <c r="K84" s="145"/>
      <c r="L84" s="145"/>
      <c r="M84" s="145"/>
      <c r="N84" s="145"/>
      <c r="O84" s="145"/>
      <c r="P84" s="3"/>
      <c r="Q84" s="3"/>
      <c r="R84" s="3"/>
      <c r="S84" s="154"/>
      <c r="T84" s="55"/>
      <c r="U84" s="3"/>
      <c r="V84" s="155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</row>
    <row r="85" ht="15.75" customHeight="1">
      <c r="A85" s="145"/>
      <c r="B85" s="145"/>
      <c r="C85" s="145"/>
      <c r="D85" s="145"/>
      <c r="E85" s="145"/>
      <c r="F85" s="145"/>
      <c r="G85" s="145"/>
      <c r="H85" s="145"/>
      <c r="I85" s="145"/>
      <c r="J85" s="145"/>
      <c r="K85" s="145"/>
      <c r="L85" s="145"/>
      <c r="M85" s="145"/>
      <c r="N85" s="145"/>
      <c r="O85" s="145"/>
      <c r="P85" s="3"/>
      <c r="Q85" s="3"/>
      <c r="R85" s="3"/>
      <c r="S85" s="154"/>
      <c r="T85" s="55"/>
      <c r="U85" s="3"/>
      <c r="V85" s="155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</row>
    <row r="86" ht="15.75" customHeight="1">
      <c r="A86" s="145"/>
      <c r="B86" s="145"/>
      <c r="C86" s="145"/>
      <c r="D86" s="145"/>
      <c r="E86" s="145"/>
      <c r="F86" s="145"/>
      <c r="G86" s="145"/>
      <c r="H86" s="145"/>
      <c r="I86" s="145"/>
      <c r="J86" s="145"/>
      <c r="K86" s="145"/>
      <c r="L86" s="145"/>
      <c r="M86" s="145"/>
      <c r="N86" s="145"/>
      <c r="O86" s="145"/>
      <c r="P86" s="3"/>
      <c r="Q86" s="3"/>
      <c r="R86" s="3"/>
      <c r="S86" s="154"/>
      <c r="T86" s="55"/>
      <c r="U86" s="3"/>
      <c r="V86" s="155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</row>
    <row r="87" ht="15.75" customHeight="1">
      <c r="A87" s="145"/>
      <c r="B87" s="145"/>
      <c r="C87" s="145"/>
      <c r="D87" s="145"/>
      <c r="E87" s="145"/>
      <c r="F87" s="145"/>
      <c r="G87" s="145"/>
      <c r="H87" s="145"/>
      <c r="I87" s="145"/>
      <c r="J87" s="145"/>
      <c r="K87" s="145"/>
      <c r="L87" s="145"/>
      <c r="M87" s="145"/>
      <c r="N87" s="145"/>
      <c r="O87" s="145"/>
      <c r="P87" s="3"/>
      <c r="Q87" s="3"/>
      <c r="R87" s="3"/>
      <c r="S87" s="154"/>
      <c r="T87" s="55"/>
      <c r="U87" s="3"/>
      <c r="V87" s="155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</row>
    <row r="88" ht="15.75" customHeight="1">
      <c r="A88" s="145"/>
      <c r="B88" s="145"/>
      <c r="C88" s="145"/>
      <c r="D88" s="145"/>
      <c r="E88" s="145"/>
      <c r="F88" s="145"/>
      <c r="G88" s="145"/>
      <c r="H88" s="145"/>
      <c r="I88" s="145"/>
      <c r="J88" s="145"/>
      <c r="K88" s="145"/>
      <c r="L88" s="145"/>
      <c r="M88" s="145"/>
      <c r="N88" s="145"/>
      <c r="O88" s="145"/>
      <c r="P88" s="3"/>
      <c r="Q88" s="3"/>
      <c r="R88" s="3"/>
      <c r="S88" s="154"/>
      <c r="T88" s="55"/>
      <c r="U88" s="3"/>
      <c r="V88" s="155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</row>
    <row r="89" ht="15.75" customHeight="1">
      <c r="A89" s="145"/>
      <c r="B89" s="145"/>
      <c r="C89" s="145"/>
      <c r="D89" s="145"/>
      <c r="E89" s="145"/>
      <c r="F89" s="145"/>
      <c r="G89" s="145"/>
      <c r="H89" s="145"/>
      <c r="I89" s="145"/>
      <c r="J89" s="145"/>
      <c r="K89" s="145"/>
      <c r="L89" s="145"/>
      <c r="M89" s="145"/>
      <c r="N89" s="145"/>
      <c r="O89" s="145"/>
      <c r="P89" s="3"/>
      <c r="Q89" s="3"/>
      <c r="R89" s="3"/>
      <c r="S89" s="154"/>
      <c r="T89" s="55"/>
      <c r="U89" s="3"/>
      <c r="V89" s="155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</row>
    <row r="90" ht="15.75" customHeight="1">
      <c r="A90" s="145"/>
      <c r="B90" s="145"/>
      <c r="C90" s="145"/>
      <c r="D90" s="145"/>
      <c r="E90" s="145"/>
      <c r="F90" s="145"/>
      <c r="G90" s="145"/>
      <c r="H90" s="145"/>
      <c r="I90" s="145"/>
      <c r="J90" s="145"/>
      <c r="K90" s="145"/>
      <c r="L90" s="145"/>
      <c r="M90" s="145"/>
      <c r="N90" s="145"/>
      <c r="O90" s="145"/>
      <c r="P90" s="3"/>
      <c r="Q90" s="3"/>
      <c r="R90" s="3"/>
      <c r="S90" s="154"/>
      <c r="T90" s="55"/>
      <c r="U90" s="3"/>
      <c r="V90" s="155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</row>
    <row r="91" ht="15.75" customHeight="1">
      <c r="A91" s="145"/>
      <c r="B91" s="145"/>
      <c r="C91" s="145"/>
      <c r="D91" s="145"/>
      <c r="E91" s="145"/>
      <c r="F91" s="145"/>
      <c r="G91" s="145"/>
      <c r="H91" s="145"/>
      <c r="I91" s="145"/>
      <c r="J91" s="145"/>
      <c r="K91" s="145"/>
      <c r="L91" s="145"/>
      <c r="M91" s="145"/>
      <c r="N91" s="145"/>
      <c r="O91" s="145"/>
      <c r="P91" s="3"/>
      <c r="Q91" s="3"/>
      <c r="R91" s="3"/>
      <c r="S91" s="154"/>
      <c r="T91" s="55"/>
      <c r="U91" s="3"/>
      <c r="V91" s="155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</row>
    <row r="92" ht="15.75" customHeight="1">
      <c r="A92" s="145"/>
      <c r="B92" s="145"/>
      <c r="C92" s="145"/>
      <c r="D92" s="145"/>
      <c r="E92" s="145"/>
      <c r="F92" s="145"/>
      <c r="G92" s="145"/>
      <c r="H92" s="145"/>
      <c r="I92" s="145"/>
      <c r="J92" s="145"/>
      <c r="K92" s="145"/>
      <c r="L92" s="145"/>
      <c r="M92" s="145"/>
      <c r="N92" s="145"/>
      <c r="O92" s="145"/>
      <c r="P92" s="3"/>
      <c r="Q92" s="3"/>
      <c r="R92" s="3"/>
      <c r="S92" s="154"/>
      <c r="T92" s="55"/>
      <c r="U92" s="3"/>
      <c r="V92" s="155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</row>
    <row r="93" ht="15.75" customHeight="1">
      <c r="A93" s="145"/>
      <c r="B93" s="145"/>
      <c r="C93" s="145"/>
      <c r="D93" s="145"/>
      <c r="E93" s="145"/>
      <c r="F93" s="145"/>
      <c r="G93" s="145"/>
      <c r="H93" s="145"/>
      <c r="I93" s="145"/>
      <c r="J93" s="145"/>
      <c r="K93" s="145"/>
      <c r="L93" s="145"/>
      <c r="M93" s="145"/>
      <c r="N93" s="145"/>
      <c r="O93" s="145"/>
      <c r="P93" s="3"/>
      <c r="Q93" s="3"/>
      <c r="R93" s="3"/>
      <c r="S93" s="154"/>
      <c r="T93" s="55"/>
      <c r="U93" s="3"/>
      <c r="V93" s="155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</row>
    <row r="94" ht="15.75" customHeight="1">
      <c r="A94" s="145"/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3"/>
      <c r="Q94" s="3"/>
      <c r="R94" s="3"/>
      <c r="S94" s="154"/>
      <c r="T94" s="55"/>
      <c r="U94" s="3"/>
      <c r="V94" s="155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</row>
    <row r="95" ht="15.75" customHeight="1">
      <c r="A95" s="145"/>
      <c r="B95" s="145"/>
      <c r="C95" s="145"/>
      <c r="D95" s="145"/>
      <c r="E95" s="145"/>
      <c r="F95" s="145"/>
      <c r="G95" s="145"/>
      <c r="H95" s="145"/>
      <c r="I95" s="145"/>
      <c r="J95" s="145"/>
      <c r="K95" s="145"/>
      <c r="L95" s="145"/>
      <c r="M95" s="145"/>
      <c r="N95" s="145"/>
      <c r="O95" s="145"/>
      <c r="P95" s="3"/>
      <c r="Q95" s="3"/>
      <c r="R95" s="3"/>
      <c r="S95" s="154"/>
      <c r="T95" s="55"/>
      <c r="U95" s="3"/>
      <c r="V95" s="155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</row>
    <row r="96" ht="15.75" customHeight="1">
      <c r="A96" s="145"/>
      <c r="B96" s="145"/>
      <c r="C96" s="145"/>
      <c r="D96" s="145"/>
      <c r="E96" s="145"/>
      <c r="F96" s="145"/>
      <c r="G96" s="145"/>
      <c r="H96" s="145"/>
      <c r="I96" s="145"/>
      <c r="J96" s="145"/>
      <c r="K96" s="145"/>
      <c r="L96" s="145"/>
      <c r="M96" s="145"/>
      <c r="N96" s="145"/>
      <c r="O96" s="145"/>
      <c r="P96" s="3"/>
      <c r="Q96" s="3"/>
      <c r="R96" s="3"/>
      <c r="S96" s="154"/>
      <c r="T96" s="55"/>
      <c r="U96" s="3"/>
      <c r="V96" s="155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</row>
    <row r="97" ht="15.75" customHeight="1">
      <c r="A97" s="145"/>
      <c r="B97" s="145"/>
      <c r="C97" s="145"/>
      <c r="D97" s="145"/>
      <c r="E97" s="145"/>
      <c r="F97" s="145"/>
      <c r="G97" s="145"/>
      <c r="H97" s="145"/>
      <c r="I97" s="145"/>
      <c r="J97" s="145"/>
      <c r="K97" s="145"/>
      <c r="L97" s="145"/>
      <c r="M97" s="145"/>
      <c r="N97" s="145"/>
      <c r="O97" s="145"/>
      <c r="P97" s="3"/>
      <c r="Q97" s="3"/>
      <c r="R97" s="3"/>
      <c r="S97" s="154"/>
      <c r="T97" s="55"/>
      <c r="U97" s="3"/>
      <c r="V97" s="155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55"/>
      <c r="P98" s="3"/>
      <c r="Q98" s="3"/>
      <c r="R98" s="3"/>
      <c r="S98" s="154"/>
      <c r="T98" s="55"/>
      <c r="U98" s="3"/>
      <c r="V98" s="155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55"/>
      <c r="P99" s="3"/>
      <c r="Q99" s="3"/>
      <c r="R99" s="3"/>
      <c r="S99" s="154"/>
      <c r="T99" s="55"/>
      <c r="U99" s="3"/>
      <c r="V99" s="155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55"/>
      <c r="P100" s="3"/>
      <c r="Q100" s="3"/>
      <c r="R100" s="3"/>
      <c r="S100" s="154"/>
      <c r="T100" s="55"/>
      <c r="U100" s="3"/>
      <c r="V100" s="155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55"/>
      <c r="P101" s="3"/>
      <c r="Q101" s="3"/>
      <c r="R101" s="3"/>
      <c r="S101" s="154"/>
      <c r="T101" s="55"/>
      <c r="U101" s="3"/>
      <c r="V101" s="155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55"/>
      <c r="P102" s="3"/>
      <c r="Q102" s="3"/>
      <c r="R102" s="3"/>
      <c r="S102" s="154"/>
      <c r="T102" s="55"/>
      <c r="U102" s="3"/>
      <c r="V102" s="155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55"/>
      <c r="P103" s="3"/>
      <c r="Q103" s="3"/>
      <c r="R103" s="3"/>
      <c r="S103" s="154"/>
      <c r="T103" s="55"/>
      <c r="U103" s="3"/>
      <c r="V103" s="155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55"/>
      <c r="P104" s="3"/>
      <c r="Q104" s="3"/>
      <c r="R104" s="3"/>
      <c r="S104" s="154"/>
      <c r="T104" s="55"/>
      <c r="U104" s="3"/>
      <c r="V104" s="155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55"/>
      <c r="P105" s="3"/>
      <c r="Q105" s="3"/>
      <c r="R105" s="3"/>
      <c r="S105" s="154"/>
      <c r="T105" s="55"/>
      <c r="U105" s="3"/>
      <c r="V105" s="155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55"/>
      <c r="P106" s="3"/>
      <c r="Q106" s="3"/>
      <c r="R106" s="3"/>
      <c r="S106" s="154"/>
      <c r="T106" s="55"/>
      <c r="U106" s="3"/>
      <c r="V106" s="155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55"/>
      <c r="P107" s="3"/>
      <c r="Q107" s="3"/>
      <c r="R107" s="3"/>
      <c r="S107" s="154"/>
      <c r="T107" s="55"/>
      <c r="U107" s="3"/>
      <c r="V107" s="155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55"/>
      <c r="P108" s="3"/>
      <c r="Q108" s="3"/>
      <c r="R108" s="3"/>
      <c r="S108" s="154"/>
      <c r="T108" s="55"/>
      <c r="U108" s="3"/>
      <c r="V108" s="155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55"/>
      <c r="P109" s="3"/>
      <c r="Q109" s="3"/>
      <c r="R109" s="3"/>
      <c r="S109" s="154"/>
      <c r="T109" s="55"/>
      <c r="U109" s="3"/>
      <c r="V109" s="155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55"/>
      <c r="P110" s="3"/>
      <c r="Q110" s="3"/>
      <c r="R110" s="3"/>
      <c r="S110" s="154"/>
      <c r="T110" s="55"/>
      <c r="U110" s="3"/>
      <c r="V110" s="155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55"/>
      <c r="P111" s="3"/>
      <c r="Q111" s="3"/>
      <c r="R111" s="3"/>
      <c r="S111" s="154"/>
      <c r="T111" s="55"/>
      <c r="U111" s="3"/>
      <c r="V111" s="155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55"/>
      <c r="P112" s="3"/>
      <c r="Q112" s="3"/>
      <c r="R112" s="3"/>
      <c r="S112" s="154"/>
      <c r="T112" s="55"/>
      <c r="U112" s="3"/>
      <c r="V112" s="155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55"/>
      <c r="P113" s="3"/>
      <c r="Q113" s="3"/>
      <c r="R113" s="3"/>
      <c r="S113" s="154"/>
      <c r="T113" s="55"/>
      <c r="U113" s="3"/>
      <c r="V113" s="155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55"/>
      <c r="P114" s="3"/>
      <c r="Q114" s="3"/>
      <c r="R114" s="3"/>
      <c r="S114" s="154"/>
      <c r="T114" s="55"/>
      <c r="U114" s="3"/>
      <c r="V114" s="155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55"/>
      <c r="P115" s="3"/>
      <c r="Q115" s="3"/>
      <c r="R115" s="3"/>
      <c r="S115" s="154"/>
      <c r="T115" s="55"/>
      <c r="U115" s="3"/>
      <c r="V115" s="155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55"/>
      <c r="P116" s="3"/>
      <c r="Q116" s="3"/>
      <c r="R116" s="3"/>
      <c r="S116" s="154"/>
      <c r="T116" s="55"/>
      <c r="U116" s="3"/>
      <c r="V116" s="155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55"/>
      <c r="P117" s="3"/>
      <c r="Q117" s="3"/>
      <c r="R117" s="3"/>
      <c r="S117" s="154"/>
      <c r="T117" s="55"/>
      <c r="U117" s="3"/>
      <c r="V117" s="155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55"/>
      <c r="P118" s="3"/>
      <c r="Q118" s="3"/>
      <c r="R118" s="3"/>
      <c r="S118" s="154"/>
      <c r="T118" s="55"/>
      <c r="U118" s="3"/>
      <c r="V118" s="155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55"/>
      <c r="P119" s="3"/>
      <c r="Q119" s="3"/>
      <c r="R119" s="3"/>
      <c r="S119" s="154"/>
      <c r="T119" s="55"/>
      <c r="U119" s="3"/>
      <c r="V119" s="155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55"/>
      <c r="P120" s="3"/>
      <c r="Q120" s="3"/>
      <c r="R120" s="3"/>
      <c r="S120" s="154"/>
      <c r="T120" s="55"/>
      <c r="U120" s="3"/>
      <c r="V120" s="155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55"/>
      <c r="P121" s="3"/>
      <c r="Q121" s="3"/>
      <c r="R121" s="3"/>
      <c r="S121" s="154"/>
      <c r="T121" s="55"/>
      <c r="U121" s="3"/>
      <c r="V121" s="155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55"/>
      <c r="P122" s="3"/>
      <c r="Q122" s="3"/>
      <c r="R122" s="3"/>
      <c r="S122" s="154"/>
      <c r="T122" s="55"/>
      <c r="U122" s="3"/>
      <c r="V122" s="155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55"/>
      <c r="P123" s="3"/>
      <c r="Q123" s="3"/>
      <c r="R123" s="3"/>
      <c r="S123" s="154"/>
      <c r="T123" s="55"/>
      <c r="U123" s="3"/>
      <c r="V123" s="155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55"/>
      <c r="P124" s="3"/>
      <c r="Q124" s="3"/>
      <c r="R124" s="3"/>
      <c r="S124" s="154"/>
      <c r="T124" s="55"/>
      <c r="U124" s="3"/>
      <c r="V124" s="155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55"/>
      <c r="P125" s="3"/>
      <c r="Q125" s="3"/>
      <c r="R125" s="3"/>
      <c r="S125" s="154"/>
      <c r="T125" s="55"/>
      <c r="U125" s="3"/>
      <c r="V125" s="155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55"/>
      <c r="P126" s="3"/>
      <c r="Q126" s="3"/>
      <c r="R126" s="3"/>
      <c r="S126" s="154"/>
      <c r="T126" s="55"/>
      <c r="U126" s="3"/>
      <c r="V126" s="155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55"/>
      <c r="P127" s="3"/>
      <c r="Q127" s="3"/>
      <c r="R127" s="3"/>
      <c r="S127" s="154"/>
      <c r="T127" s="55"/>
      <c r="U127" s="3"/>
      <c r="V127" s="155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55"/>
      <c r="P128" s="3"/>
      <c r="Q128" s="3"/>
      <c r="R128" s="3"/>
      <c r="S128" s="154"/>
      <c r="T128" s="55"/>
      <c r="U128" s="3"/>
      <c r="V128" s="155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55"/>
      <c r="P129" s="3"/>
      <c r="Q129" s="3"/>
      <c r="R129" s="3"/>
      <c r="S129" s="154"/>
      <c r="T129" s="55"/>
      <c r="U129" s="3"/>
      <c r="V129" s="155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55"/>
      <c r="P130" s="3"/>
      <c r="Q130" s="3"/>
      <c r="R130" s="3"/>
      <c r="S130" s="154"/>
      <c r="T130" s="55"/>
      <c r="U130" s="3"/>
      <c r="V130" s="155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55"/>
      <c r="P131" s="3"/>
      <c r="Q131" s="3"/>
      <c r="R131" s="3"/>
      <c r="S131" s="154"/>
      <c r="T131" s="55"/>
      <c r="U131" s="3"/>
      <c r="V131" s="155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55"/>
      <c r="P132" s="3"/>
      <c r="Q132" s="3"/>
      <c r="R132" s="3"/>
      <c r="S132" s="154"/>
      <c r="T132" s="55"/>
      <c r="U132" s="3"/>
      <c r="V132" s="155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55"/>
      <c r="P133" s="3"/>
      <c r="Q133" s="3"/>
      <c r="R133" s="3"/>
      <c r="S133" s="154"/>
      <c r="T133" s="55"/>
      <c r="U133" s="3"/>
      <c r="V133" s="155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55"/>
      <c r="P134" s="3"/>
      <c r="Q134" s="3"/>
      <c r="R134" s="3"/>
      <c r="S134" s="154"/>
      <c r="T134" s="55"/>
      <c r="U134" s="3"/>
      <c r="V134" s="155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55"/>
      <c r="P135" s="3"/>
      <c r="Q135" s="3"/>
      <c r="R135" s="3"/>
      <c r="S135" s="154"/>
      <c r="T135" s="55"/>
      <c r="U135" s="3"/>
      <c r="V135" s="155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55"/>
      <c r="P136" s="3"/>
      <c r="Q136" s="3"/>
      <c r="R136" s="3"/>
      <c r="S136" s="154"/>
      <c r="T136" s="55"/>
      <c r="U136" s="3"/>
      <c r="V136" s="155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55"/>
      <c r="P137" s="3"/>
      <c r="Q137" s="3"/>
      <c r="R137" s="3"/>
      <c r="S137" s="154"/>
      <c r="T137" s="55"/>
      <c r="U137" s="3"/>
      <c r="V137" s="155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55"/>
      <c r="P138" s="3"/>
      <c r="Q138" s="3"/>
      <c r="R138" s="3"/>
      <c r="S138" s="154"/>
      <c r="T138" s="55"/>
      <c r="U138" s="3"/>
      <c r="V138" s="155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55"/>
      <c r="P139" s="3"/>
      <c r="Q139" s="3"/>
      <c r="R139" s="3"/>
      <c r="S139" s="154"/>
      <c r="T139" s="55"/>
      <c r="U139" s="3"/>
      <c r="V139" s="155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55"/>
      <c r="P140" s="3"/>
      <c r="Q140" s="3"/>
      <c r="R140" s="3"/>
      <c r="S140" s="154"/>
      <c r="T140" s="55"/>
      <c r="U140" s="3"/>
      <c r="V140" s="155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55"/>
      <c r="P141" s="3"/>
      <c r="Q141" s="3"/>
      <c r="R141" s="3"/>
      <c r="S141" s="154"/>
      <c r="T141" s="55"/>
      <c r="U141" s="3"/>
      <c r="V141" s="155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55"/>
      <c r="P142" s="3"/>
      <c r="Q142" s="3"/>
      <c r="R142" s="3"/>
      <c r="S142" s="154"/>
      <c r="T142" s="55"/>
      <c r="U142" s="3"/>
      <c r="V142" s="155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55"/>
      <c r="P143" s="3"/>
      <c r="Q143" s="3"/>
      <c r="R143" s="3"/>
      <c r="S143" s="154"/>
      <c r="T143" s="55"/>
      <c r="U143" s="3"/>
      <c r="V143" s="155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55"/>
      <c r="P144" s="3"/>
      <c r="Q144" s="3"/>
      <c r="R144" s="3"/>
      <c r="S144" s="154"/>
      <c r="T144" s="55"/>
      <c r="U144" s="3"/>
      <c r="V144" s="155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55"/>
      <c r="P145" s="3"/>
      <c r="Q145" s="3"/>
      <c r="R145" s="3"/>
      <c r="S145" s="154"/>
      <c r="T145" s="55"/>
      <c r="U145" s="3"/>
      <c r="V145" s="155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55"/>
      <c r="P146" s="3"/>
      <c r="Q146" s="3"/>
      <c r="R146" s="3"/>
      <c r="S146" s="154"/>
      <c r="T146" s="55"/>
      <c r="U146" s="3"/>
      <c r="V146" s="155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55"/>
      <c r="P147" s="3"/>
      <c r="Q147" s="3"/>
      <c r="R147" s="3"/>
      <c r="S147" s="154"/>
      <c r="T147" s="55"/>
      <c r="U147" s="3"/>
      <c r="V147" s="155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55"/>
      <c r="P148" s="3"/>
      <c r="Q148" s="3"/>
      <c r="R148" s="3"/>
      <c r="S148" s="154"/>
      <c r="T148" s="55"/>
      <c r="U148" s="3"/>
      <c r="V148" s="155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55"/>
      <c r="P149" s="3"/>
      <c r="Q149" s="3"/>
      <c r="R149" s="3"/>
      <c r="S149" s="154"/>
      <c r="T149" s="55"/>
      <c r="U149" s="3"/>
      <c r="V149" s="155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55"/>
      <c r="P150" s="3"/>
      <c r="Q150" s="3"/>
      <c r="R150" s="3"/>
      <c r="S150" s="154"/>
      <c r="T150" s="55"/>
      <c r="U150" s="3"/>
      <c r="V150" s="155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55"/>
      <c r="P151" s="3"/>
      <c r="Q151" s="3"/>
      <c r="R151" s="3"/>
      <c r="S151" s="154"/>
      <c r="T151" s="55"/>
      <c r="U151" s="3"/>
      <c r="V151" s="155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55"/>
      <c r="P152" s="3"/>
      <c r="Q152" s="3"/>
      <c r="R152" s="3"/>
      <c r="S152" s="154"/>
      <c r="T152" s="55"/>
      <c r="U152" s="3"/>
      <c r="V152" s="155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55"/>
      <c r="P153" s="3"/>
      <c r="Q153" s="3"/>
      <c r="R153" s="3"/>
      <c r="S153" s="154"/>
      <c r="T153" s="55"/>
      <c r="U153" s="3"/>
      <c r="V153" s="155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55"/>
      <c r="P154" s="3"/>
      <c r="Q154" s="3"/>
      <c r="R154" s="3"/>
      <c r="S154" s="154"/>
      <c r="T154" s="55"/>
      <c r="U154" s="3"/>
      <c r="V154" s="155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55"/>
      <c r="P155" s="3"/>
      <c r="Q155" s="3"/>
      <c r="R155" s="3"/>
      <c r="S155" s="154"/>
      <c r="T155" s="55"/>
      <c r="U155" s="3"/>
      <c r="V155" s="155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55"/>
      <c r="P156" s="3"/>
      <c r="Q156" s="3"/>
      <c r="R156" s="3"/>
      <c r="S156" s="154"/>
      <c r="T156" s="55"/>
      <c r="U156" s="3"/>
      <c r="V156" s="155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55"/>
      <c r="P157" s="3"/>
      <c r="Q157" s="3"/>
      <c r="R157" s="3"/>
      <c r="S157" s="154"/>
      <c r="T157" s="55"/>
      <c r="U157" s="3"/>
      <c r="V157" s="155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55"/>
      <c r="P158" s="3"/>
      <c r="Q158" s="3"/>
      <c r="R158" s="3"/>
      <c r="S158" s="154"/>
      <c r="T158" s="55"/>
      <c r="U158" s="3"/>
      <c r="V158" s="155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55"/>
      <c r="P159" s="3"/>
      <c r="Q159" s="3"/>
      <c r="R159" s="3"/>
      <c r="S159" s="154"/>
      <c r="T159" s="55"/>
      <c r="U159" s="3"/>
      <c r="V159" s="155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55"/>
      <c r="P160" s="3"/>
      <c r="Q160" s="3"/>
      <c r="R160" s="3"/>
      <c r="S160" s="154"/>
      <c r="T160" s="55"/>
      <c r="U160" s="3"/>
      <c r="V160" s="155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55"/>
      <c r="P161" s="3"/>
      <c r="Q161" s="3"/>
      <c r="R161" s="3"/>
      <c r="S161" s="154"/>
      <c r="T161" s="55"/>
      <c r="U161" s="3"/>
      <c r="V161" s="155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55"/>
      <c r="P162" s="3"/>
      <c r="Q162" s="3"/>
      <c r="R162" s="3"/>
      <c r="S162" s="154"/>
      <c r="T162" s="55"/>
      <c r="U162" s="3"/>
      <c r="V162" s="155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55"/>
      <c r="P163" s="3"/>
      <c r="Q163" s="3"/>
      <c r="R163" s="3"/>
      <c r="S163" s="154"/>
      <c r="T163" s="55"/>
      <c r="U163" s="3"/>
      <c r="V163" s="155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55"/>
      <c r="P164" s="3"/>
      <c r="Q164" s="3"/>
      <c r="R164" s="3"/>
      <c r="S164" s="154"/>
      <c r="T164" s="55"/>
      <c r="U164" s="3"/>
      <c r="V164" s="155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55"/>
      <c r="P165" s="3"/>
      <c r="Q165" s="3"/>
      <c r="R165" s="3"/>
      <c r="S165" s="154"/>
      <c r="T165" s="55"/>
      <c r="U165" s="3"/>
      <c r="V165" s="155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55"/>
      <c r="P166" s="3"/>
      <c r="Q166" s="3"/>
      <c r="R166" s="3"/>
      <c r="S166" s="154"/>
      <c r="T166" s="55"/>
      <c r="U166" s="3"/>
      <c r="V166" s="155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55"/>
      <c r="P167" s="3"/>
      <c r="Q167" s="3"/>
      <c r="R167" s="3"/>
      <c r="S167" s="154"/>
      <c r="T167" s="55"/>
      <c r="U167" s="3"/>
      <c r="V167" s="155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55"/>
      <c r="P168" s="3"/>
      <c r="Q168" s="3"/>
      <c r="R168" s="3"/>
      <c r="S168" s="154"/>
      <c r="T168" s="55"/>
      <c r="U168" s="3"/>
      <c r="V168" s="155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55"/>
      <c r="P169" s="3"/>
      <c r="Q169" s="3"/>
      <c r="R169" s="3"/>
      <c r="S169" s="154"/>
      <c r="T169" s="55"/>
      <c r="U169" s="3"/>
      <c r="V169" s="155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55"/>
      <c r="P170" s="3"/>
      <c r="Q170" s="3"/>
      <c r="R170" s="3"/>
      <c r="S170" s="154"/>
      <c r="T170" s="55"/>
      <c r="U170" s="3"/>
      <c r="V170" s="155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55"/>
      <c r="P171" s="3"/>
      <c r="Q171" s="3"/>
      <c r="R171" s="3"/>
      <c r="S171" s="154"/>
      <c r="T171" s="55"/>
      <c r="U171" s="3"/>
      <c r="V171" s="155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55"/>
      <c r="P172" s="3"/>
      <c r="Q172" s="3"/>
      <c r="R172" s="3"/>
      <c r="S172" s="154"/>
      <c r="T172" s="55"/>
      <c r="U172" s="3"/>
      <c r="V172" s="155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55"/>
      <c r="P173" s="3"/>
      <c r="Q173" s="3"/>
      <c r="R173" s="3"/>
      <c r="S173" s="154"/>
      <c r="T173" s="55"/>
      <c r="U173" s="3"/>
      <c r="V173" s="155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55"/>
      <c r="P174" s="3"/>
      <c r="Q174" s="3"/>
      <c r="R174" s="3"/>
      <c r="S174" s="154"/>
      <c r="T174" s="55"/>
      <c r="U174" s="3"/>
      <c r="V174" s="155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55"/>
      <c r="P175" s="3"/>
      <c r="Q175" s="3"/>
      <c r="R175" s="3"/>
      <c r="S175" s="154"/>
      <c r="T175" s="55"/>
      <c r="U175" s="3"/>
      <c r="V175" s="155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55"/>
      <c r="P176" s="3"/>
      <c r="Q176" s="3"/>
      <c r="R176" s="3"/>
      <c r="S176" s="154"/>
      <c r="T176" s="55"/>
      <c r="U176" s="3"/>
      <c r="V176" s="155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55"/>
      <c r="P177" s="3"/>
      <c r="Q177" s="3"/>
      <c r="R177" s="3"/>
      <c r="S177" s="154"/>
      <c r="T177" s="55"/>
      <c r="U177" s="3"/>
      <c r="V177" s="155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55"/>
      <c r="P178" s="3"/>
      <c r="Q178" s="3"/>
      <c r="R178" s="3"/>
      <c r="S178" s="154"/>
      <c r="T178" s="55"/>
      <c r="U178" s="3"/>
      <c r="V178" s="155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55"/>
      <c r="P179" s="3"/>
      <c r="Q179" s="3"/>
      <c r="R179" s="3"/>
      <c r="S179" s="154"/>
      <c r="T179" s="55"/>
      <c r="U179" s="3"/>
      <c r="V179" s="155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55"/>
      <c r="P180" s="3"/>
      <c r="Q180" s="3"/>
      <c r="R180" s="3"/>
      <c r="S180" s="154"/>
      <c r="T180" s="55"/>
      <c r="U180" s="3"/>
      <c r="V180" s="155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55"/>
      <c r="P181" s="3"/>
      <c r="Q181" s="3"/>
      <c r="R181" s="3"/>
      <c r="S181" s="154"/>
      <c r="T181" s="55"/>
      <c r="U181" s="3"/>
      <c r="V181" s="155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55"/>
      <c r="P182" s="3"/>
      <c r="Q182" s="3"/>
      <c r="R182" s="3"/>
      <c r="S182" s="154"/>
      <c r="T182" s="55"/>
      <c r="U182" s="3"/>
      <c r="V182" s="155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55"/>
      <c r="P183" s="3"/>
      <c r="Q183" s="3"/>
      <c r="R183" s="3"/>
      <c r="S183" s="154"/>
      <c r="T183" s="55"/>
      <c r="U183" s="3"/>
      <c r="V183" s="155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55"/>
      <c r="P184" s="3"/>
      <c r="Q184" s="3"/>
      <c r="R184" s="3"/>
      <c r="S184" s="154"/>
      <c r="T184" s="55"/>
      <c r="U184" s="3"/>
      <c r="V184" s="155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55"/>
      <c r="P185" s="3"/>
      <c r="Q185" s="3"/>
      <c r="R185" s="3"/>
      <c r="S185" s="154"/>
      <c r="T185" s="55"/>
      <c r="U185" s="3"/>
      <c r="V185" s="155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55"/>
      <c r="P186" s="3"/>
      <c r="Q186" s="3"/>
      <c r="R186" s="3"/>
      <c r="S186" s="154"/>
      <c r="T186" s="55"/>
      <c r="U186" s="3"/>
      <c r="V186" s="155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55"/>
      <c r="P187" s="3"/>
      <c r="Q187" s="3"/>
      <c r="R187" s="3"/>
      <c r="S187" s="154"/>
      <c r="T187" s="55"/>
      <c r="U187" s="3"/>
      <c r="V187" s="155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55"/>
      <c r="P188" s="3"/>
      <c r="Q188" s="3"/>
      <c r="R188" s="3"/>
      <c r="S188" s="154"/>
      <c r="T188" s="55"/>
      <c r="U188" s="3"/>
      <c r="V188" s="155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55"/>
      <c r="P189" s="3"/>
      <c r="Q189" s="3"/>
      <c r="R189" s="3"/>
      <c r="S189" s="154"/>
      <c r="T189" s="55"/>
      <c r="U189" s="3"/>
      <c r="V189" s="155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55"/>
      <c r="P190" s="3"/>
      <c r="Q190" s="3"/>
      <c r="R190" s="3"/>
      <c r="S190" s="154"/>
      <c r="T190" s="55"/>
      <c r="U190" s="3"/>
      <c r="V190" s="155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55"/>
      <c r="P191" s="3"/>
      <c r="Q191" s="3"/>
      <c r="R191" s="3"/>
      <c r="S191" s="154"/>
      <c r="T191" s="55"/>
      <c r="U191" s="3"/>
      <c r="V191" s="155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55"/>
      <c r="P192" s="3"/>
      <c r="Q192" s="3"/>
      <c r="R192" s="3"/>
      <c r="S192" s="154"/>
      <c r="T192" s="55"/>
      <c r="U192" s="3"/>
      <c r="V192" s="155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55"/>
      <c r="P193" s="3"/>
      <c r="Q193" s="3"/>
      <c r="R193" s="3"/>
      <c r="S193" s="154"/>
      <c r="T193" s="55"/>
      <c r="U193" s="3"/>
      <c r="V193" s="155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55"/>
      <c r="P194" s="3"/>
      <c r="Q194" s="3"/>
      <c r="R194" s="3"/>
      <c r="S194" s="154"/>
      <c r="T194" s="55"/>
      <c r="U194" s="3"/>
      <c r="V194" s="155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55"/>
      <c r="P195" s="3"/>
      <c r="Q195" s="3"/>
      <c r="R195" s="3"/>
      <c r="S195" s="154"/>
      <c r="T195" s="55"/>
      <c r="U195" s="3"/>
      <c r="V195" s="155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55"/>
      <c r="P196" s="3"/>
      <c r="Q196" s="3"/>
      <c r="R196" s="3"/>
      <c r="S196" s="154"/>
      <c r="T196" s="55"/>
      <c r="U196" s="3"/>
      <c r="V196" s="155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55"/>
      <c r="P197" s="3"/>
      <c r="Q197" s="3"/>
      <c r="R197" s="3"/>
      <c r="S197" s="154"/>
      <c r="T197" s="55"/>
      <c r="U197" s="3"/>
      <c r="V197" s="155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55"/>
      <c r="P198" s="3"/>
      <c r="Q198" s="3"/>
      <c r="R198" s="3"/>
      <c r="S198" s="154"/>
      <c r="T198" s="55"/>
      <c r="U198" s="3"/>
      <c r="V198" s="155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55"/>
      <c r="P199" s="3"/>
      <c r="Q199" s="3"/>
      <c r="R199" s="3"/>
      <c r="S199" s="154"/>
      <c r="T199" s="55"/>
      <c r="U199" s="3"/>
      <c r="V199" s="155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55"/>
      <c r="P200" s="3"/>
      <c r="Q200" s="3"/>
      <c r="R200" s="3"/>
      <c r="S200" s="154"/>
      <c r="T200" s="55"/>
      <c r="U200" s="3"/>
      <c r="V200" s="155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55"/>
      <c r="P201" s="3"/>
      <c r="Q201" s="3"/>
      <c r="R201" s="3"/>
      <c r="S201" s="154"/>
      <c r="T201" s="55"/>
      <c r="U201" s="3"/>
      <c r="V201" s="155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55"/>
      <c r="P202" s="3"/>
      <c r="Q202" s="3"/>
      <c r="R202" s="3"/>
      <c r="S202" s="154"/>
      <c r="T202" s="55"/>
      <c r="U202" s="3"/>
      <c r="V202" s="155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55"/>
      <c r="P203" s="3"/>
      <c r="Q203" s="3"/>
      <c r="R203" s="3"/>
      <c r="S203" s="154"/>
      <c r="T203" s="55"/>
      <c r="U203" s="3"/>
      <c r="V203" s="155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55"/>
      <c r="P204" s="3"/>
      <c r="Q204" s="3"/>
      <c r="R204" s="3"/>
      <c r="S204" s="154"/>
      <c r="T204" s="55"/>
      <c r="U204" s="3"/>
      <c r="V204" s="155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55"/>
      <c r="P205" s="3"/>
      <c r="Q205" s="3"/>
      <c r="R205" s="3"/>
      <c r="S205" s="154"/>
      <c r="T205" s="55"/>
      <c r="U205" s="3"/>
      <c r="V205" s="155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55"/>
      <c r="P206" s="3"/>
      <c r="Q206" s="3"/>
      <c r="R206" s="3"/>
      <c r="S206" s="154"/>
      <c r="T206" s="55"/>
      <c r="U206" s="3"/>
      <c r="V206" s="155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55"/>
      <c r="P207" s="3"/>
      <c r="Q207" s="3"/>
      <c r="R207" s="3"/>
      <c r="S207" s="154"/>
      <c r="T207" s="55"/>
      <c r="U207" s="3"/>
      <c r="V207" s="155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55"/>
      <c r="P208" s="3"/>
      <c r="Q208" s="3"/>
      <c r="R208" s="3"/>
      <c r="S208" s="154"/>
      <c r="T208" s="55"/>
      <c r="U208" s="3"/>
      <c r="V208" s="155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55"/>
      <c r="P209" s="3"/>
      <c r="Q209" s="3"/>
      <c r="R209" s="3"/>
      <c r="S209" s="154"/>
      <c r="T209" s="55"/>
      <c r="U209" s="3"/>
      <c r="V209" s="155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55"/>
      <c r="P210" s="3"/>
      <c r="Q210" s="3"/>
      <c r="R210" s="3"/>
      <c r="S210" s="154"/>
      <c r="T210" s="55"/>
      <c r="U210" s="3"/>
      <c r="V210" s="155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55"/>
      <c r="P211" s="3"/>
      <c r="Q211" s="3"/>
      <c r="R211" s="3"/>
      <c r="S211" s="154"/>
      <c r="T211" s="55"/>
      <c r="U211" s="3"/>
      <c r="V211" s="155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55"/>
      <c r="P212" s="3"/>
      <c r="Q212" s="3"/>
      <c r="R212" s="3"/>
      <c r="S212" s="154"/>
      <c r="T212" s="55"/>
      <c r="U212" s="3"/>
      <c r="V212" s="155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55"/>
      <c r="P213" s="3"/>
      <c r="Q213" s="3"/>
      <c r="R213" s="3"/>
      <c r="S213" s="154"/>
      <c r="T213" s="55"/>
      <c r="U213" s="3"/>
      <c r="V213" s="155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55"/>
      <c r="P214" s="3"/>
      <c r="Q214" s="3"/>
      <c r="R214" s="3"/>
      <c r="S214" s="154"/>
      <c r="T214" s="55"/>
      <c r="U214" s="3"/>
      <c r="V214" s="155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55"/>
      <c r="P215" s="3"/>
      <c r="Q215" s="3"/>
      <c r="R215" s="3"/>
      <c r="S215" s="154"/>
      <c r="T215" s="55"/>
      <c r="U215" s="3"/>
      <c r="V215" s="155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55"/>
      <c r="P216" s="3"/>
      <c r="Q216" s="3"/>
      <c r="R216" s="3"/>
      <c r="S216" s="154"/>
      <c r="T216" s="55"/>
      <c r="U216" s="3"/>
      <c r="V216" s="155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55"/>
      <c r="P217" s="3"/>
      <c r="Q217" s="3"/>
      <c r="R217" s="3"/>
      <c r="S217" s="154"/>
      <c r="T217" s="55"/>
      <c r="U217" s="3"/>
      <c r="V217" s="155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55"/>
      <c r="P218" s="3"/>
      <c r="Q218" s="3"/>
      <c r="R218" s="3"/>
      <c r="S218" s="154"/>
      <c r="T218" s="55"/>
      <c r="U218" s="3"/>
      <c r="V218" s="155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55"/>
      <c r="P219" s="3"/>
      <c r="Q219" s="3"/>
      <c r="R219" s="3"/>
      <c r="S219" s="154"/>
      <c r="T219" s="55"/>
      <c r="U219" s="3"/>
      <c r="V219" s="155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55"/>
      <c r="P220" s="3"/>
      <c r="Q220" s="3"/>
      <c r="R220" s="3"/>
      <c r="S220" s="154"/>
      <c r="T220" s="55"/>
      <c r="U220" s="3"/>
      <c r="V220" s="155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55"/>
      <c r="P221" s="3"/>
      <c r="Q221" s="3"/>
      <c r="R221" s="3"/>
      <c r="S221" s="154"/>
      <c r="T221" s="55"/>
      <c r="U221" s="3"/>
      <c r="V221" s="155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55"/>
      <c r="P222" s="3"/>
      <c r="Q222" s="3"/>
      <c r="R222" s="3"/>
      <c r="S222" s="154"/>
      <c r="T222" s="55"/>
      <c r="U222" s="3"/>
      <c r="V222" s="155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55"/>
      <c r="P223" s="3"/>
      <c r="Q223" s="3"/>
      <c r="R223" s="3"/>
      <c r="S223" s="154"/>
      <c r="T223" s="55"/>
      <c r="U223" s="3"/>
      <c r="V223" s="155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55"/>
      <c r="P224" s="3"/>
      <c r="Q224" s="3"/>
      <c r="R224" s="3"/>
      <c r="S224" s="154"/>
      <c r="T224" s="55"/>
      <c r="U224" s="3"/>
      <c r="V224" s="155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55"/>
      <c r="P225" s="3"/>
      <c r="Q225" s="3"/>
      <c r="R225" s="3"/>
      <c r="S225" s="154"/>
      <c r="T225" s="55"/>
      <c r="U225" s="3"/>
      <c r="V225" s="155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55"/>
      <c r="P226" s="3"/>
      <c r="Q226" s="3"/>
      <c r="R226" s="3"/>
      <c r="S226" s="154"/>
      <c r="T226" s="55"/>
      <c r="U226" s="3"/>
      <c r="V226" s="155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55"/>
      <c r="P227" s="3"/>
      <c r="Q227" s="3"/>
      <c r="R227" s="3"/>
      <c r="S227" s="154"/>
      <c r="T227" s="55"/>
      <c r="U227" s="3"/>
      <c r="V227" s="155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55"/>
      <c r="P228" s="3"/>
      <c r="Q228" s="3"/>
      <c r="R228" s="3"/>
      <c r="S228" s="154"/>
      <c r="T228" s="55"/>
      <c r="U228" s="3"/>
      <c r="V228" s="155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55"/>
      <c r="P229" s="3"/>
      <c r="Q229" s="3"/>
      <c r="R229" s="3"/>
      <c r="S229" s="154"/>
      <c r="T229" s="55"/>
      <c r="U229" s="3"/>
      <c r="V229" s="155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55"/>
      <c r="P230" s="3"/>
      <c r="Q230" s="3"/>
      <c r="R230" s="3"/>
      <c r="S230" s="154"/>
      <c r="T230" s="55"/>
      <c r="U230" s="3"/>
      <c r="V230" s="155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55"/>
      <c r="P231" s="3"/>
      <c r="Q231" s="3"/>
      <c r="R231" s="3"/>
      <c r="S231" s="154"/>
      <c r="T231" s="55"/>
      <c r="U231" s="3"/>
      <c r="V231" s="155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55"/>
      <c r="P232" s="3"/>
      <c r="Q232" s="3"/>
      <c r="R232" s="3"/>
      <c r="S232" s="154"/>
      <c r="T232" s="55"/>
      <c r="U232" s="3"/>
      <c r="V232" s="155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55"/>
      <c r="P233" s="3"/>
      <c r="Q233" s="3"/>
      <c r="R233" s="3"/>
      <c r="S233" s="154"/>
      <c r="T233" s="55"/>
      <c r="U233" s="3"/>
      <c r="V233" s="155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55"/>
      <c r="P234" s="3"/>
      <c r="Q234" s="3"/>
      <c r="R234" s="3"/>
      <c r="S234" s="154"/>
      <c r="T234" s="55"/>
      <c r="U234" s="3"/>
      <c r="V234" s="155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55"/>
      <c r="P235" s="3"/>
      <c r="Q235" s="3"/>
      <c r="R235" s="3"/>
      <c r="S235" s="154"/>
      <c r="T235" s="55"/>
      <c r="U235" s="3"/>
      <c r="V235" s="155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55"/>
      <c r="P236" s="3"/>
      <c r="Q236" s="3"/>
      <c r="R236" s="3"/>
      <c r="S236" s="154"/>
      <c r="T236" s="55"/>
      <c r="U236" s="3"/>
      <c r="V236" s="155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55"/>
      <c r="P237" s="3"/>
      <c r="Q237" s="3"/>
      <c r="R237" s="3"/>
      <c r="S237" s="154"/>
      <c r="T237" s="55"/>
      <c r="U237" s="3"/>
      <c r="V237" s="155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55"/>
      <c r="P238" s="3"/>
      <c r="Q238" s="3"/>
      <c r="R238" s="3"/>
      <c r="S238" s="154"/>
      <c r="T238" s="55"/>
      <c r="U238" s="3"/>
      <c r="V238" s="155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55"/>
      <c r="P239" s="3"/>
      <c r="Q239" s="3"/>
      <c r="R239" s="3"/>
      <c r="S239" s="154"/>
      <c r="T239" s="55"/>
      <c r="U239" s="3"/>
      <c r="V239" s="155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55"/>
      <c r="P240" s="3"/>
      <c r="Q240" s="3"/>
      <c r="R240" s="3"/>
      <c r="S240" s="154"/>
      <c r="T240" s="55"/>
      <c r="U240" s="3"/>
      <c r="V240" s="155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55"/>
      <c r="P241" s="3"/>
      <c r="Q241" s="3"/>
      <c r="R241" s="3"/>
      <c r="S241" s="154"/>
      <c r="T241" s="55"/>
      <c r="U241" s="3"/>
      <c r="V241" s="155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</row>
  </sheetData>
  <conditionalFormatting sqref="H29 H31">
    <cfRule type="expression" dxfId="3" priority="1">
      <formula>AND($H20="Вышло",N($Z20)=0,N($V20)=0)</formula>
    </cfRule>
  </conditionalFormatting>
  <conditionalFormatting sqref="H29 H31">
    <cfRule type="expression" dxfId="0" priority="2">
      <formula>AND($H20="Вышло",$G20="")</formula>
    </cfRule>
  </conditionalFormatting>
  <conditionalFormatting sqref="A27:D27 F27:P27 H30:H37 Q27:Q34 R27:AC27">
    <cfRule type="expression" dxfId="0" priority="3">
      <formula>AND($H16="Вышло",$G16="")</formula>
    </cfRule>
  </conditionalFormatting>
  <conditionalFormatting sqref="A27:D27 F27:P27 H30:H37 Q27:Q34 R27:AC27">
    <cfRule type="expression" dxfId="3" priority="4">
      <formula>AND($H16="Вышло",N($Z16)=0,N($V16)=0)</formula>
    </cfRule>
  </conditionalFormatting>
  <conditionalFormatting sqref="A27:P27 H29:H37 Q27:Q34 R27:AC27">
    <cfRule type="expression" dxfId="1" priority="5">
      <formula>AND(#REF!="Вышло",N(#REF!)=0,N(#REF!)=0)</formula>
    </cfRule>
  </conditionalFormatting>
  <conditionalFormatting sqref="A27:P27 H29:H37 Q27:Q34 R27:AC27">
    <cfRule type="expression" dxfId="1" priority="6">
      <formula>AND(#REF!="Вышло",N(#REF!)=0,N(#REF!)=0)</formula>
    </cfRule>
  </conditionalFormatting>
  <conditionalFormatting sqref="A27:P27 H29:H37 Q27:Q34 R27:AC27">
    <cfRule type="expression" dxfId="0" priority="7">
      <formula>AND(#REF!="Вышло",#REF!="")</formula>
    </cfRule>
  </conditionalFormatting>
  <conditionalFormatting sqref="A27:P27 H29:H37 Q27:Q34 R27:AC27">
    <cfRule type="expression" dxfId="0" priority="8">
      <formula>AND(#REF!="Вышло",#REF!="")</formula>
    </cfRule>
  </conditionalFormatting>
  <conditionalFormatting sqref="A27:P27 H29:H37 Q27:Q34 R27:AH27">
    <cfRule type="expression" dxfId="1" priority="9">
      <formula>AND(#REF!="Вышло",N(#REF!)=0,N(#REF!)=0)</formula>
    </cfRule>
  </conditionalFormatting>
  <conditionalFormatting sqref="A27:P27 H29:H37 Q27:Q34 R27:AH27">
    <cfRule type="expression" dxfId="0" priority="10">
      <formula>AND(#REF!="Вышло",#REF!="")</formula>
    </cfRule>
  </conditionalFormatting>
  <conditionalFormatting sqref="A27:P27 H29:H37 Q27:Q34 R27:AI27">
    <cfRule type="expression" dxfId="1" priority="11">
      <formula>AND(#REF!="Вышло",N(#REF!)=0,N(#REF!)=0)</formula>
    </cfRule>
  </conditionalFormatting>
  <conditionalFormatting sqref="A27:P27 H29:H37 Q27:Q34 R27:AI27">
    <cfRule type="expression" dxfId="0" priority="12">
      <formula>AND(#REF!="Вышло",#REF!="")</formula>
    </cfRule>
  </conditionalFormatting>
  <conditionalFormatting sqref="A27:D27 F27:P27 H29:H37 Q27:Q34 R27:AI27">
    <cfRule type="expression" dxfId="1" priority="13">
      <formula>AND(#REF!="Вышло",N(#REF!)=0,N(#REF!)=0)</formula>
    </cfRule>
  </conditionalFormatting>
  <conditionalFormatting sqref="A27:D27 F27:P27 H29:H37 Q27:Q34 R27:AI27">
    <cfRule type="expression" dxfId="0" priority="14">
      <formula>AND(#REF!="Вышло",#REF!="")</formula>
    </cfRule>
  </conditionalFormatting>
  <conditionalFormatting sqref="A27 H27:I27 H29:H37">
    <cfRule type="expression" dxfId="1" priority="15">
      <formula>AND(#REF!="Вышло",N(#REF!)=0,N(#REF!)=0)</formula>
    </cfRule>
  </conditionalFormatting>
  <conditionalFormatting sqref="A27 H27:I27 H29:H37">
    <cfRule type="expression" dxfId="0" priority="16">
      <formula>AND(#REF!="Вышло",#REF!="")</formula>
    </cfRule>
  </conditionalFormatting>
  <conditionalFormatting sqref="A27 H27:I27 H29:H37">
    <cfRule type="expression" dxfId="0" priority="17">
      <formula>AND(#REF!="Вышло",#REF!="")</formula>
    </cfRule>
  </conditionalFormatting>
  <conditionalFormatting sqref="A27 H27:I27 H29:H37">
    <cfRule type="expression" dxfId="1" priority="18">
      <formula>AND(#REF!="Вышло",N(#REF!)=0,N(#REF!)=0)</formula>
    </cfRule>
  </conditionalFormatting>
  <conditionalFormatting sqref="A27 H27:I27 H29:H37">
    <cfRule type="expression" dxfId="1" priority="19">
      <formula>AND(#REF!="Вышло",N(#REF!)=0,N(#REF!)=0)</formula>
    </cfRule>
  </conditionalFormatting>
  <conditionalFormatting sqref="A27 H27:I27 H29:H37">
    <cfRule type="expression" dxfId="0" priority="20">
      <formula>AND(#REF!="Вышло",#REF!="")</formula>
    </cfRule>
  </conditionalFormatting>
  <conditionalFormatting sqref="R27:S27">
    <cfRule type="expression" dxfId="3" priority="21">
      <formula>AND($H18="Вышло",N($Z18)=0,N($V18)=0)</formula>
    </cfRule>
  </conditionalFormatting>
  <conditionalFormatting sqref="R27:S27">
    <cfRule type="expression" dxfId="0" priority="22">
      <formula>AND($H18="Вышло",$G18="")</formula>
    </cfRule>
  </conditionalFormatting>
  <conditionalFormatting sqref="R27:S27">
    <cfRule type="expression" dxfId="0" priority="23">
      <formula>AND($H11="Вышло",$G11="")</formula>
    </cfRule>
  </conditionalFormatting>
  <conditionalFormatting sqref="R27:S27">
    <cfRule type="expression" dxfId="0" priority="24">
      <formula>AND($H11="Вышло",$G11="")</formula>
    </cfRule>
  </conditionalFormatting>
  <conditionalFormatting sqref="R27:S27">
    <cfRule type="expression" dxfId="0" priority="25">
      <formula>AND($H11="Вышло",$G11="")</formula>
    </cfRule>
  </conditionalFormatting>
  <conditionalFormatting sqref="R27:S27">
    <cfRule type="expression" dxfId="1" priority="26">
      <formula>AND($H11="Вышло",N($Z11)=0,N($V11)=0)</formula>
    </cfRule>
  </conditionalFormatting>
  <conditionalFormatting sqref="R27:S27">
    <cfRule type="expression" dxfId="1" priority="27">
      <formula>AND($H11="Вышло",N($Z11)=0,N($V11)=0)</formula>
    </cfRule>
  </conditionalFormatting>
  <conditionalFormatting sqref="R27:S27">
    <cfRule type="expression" dxfId="1" priority="28">
      <formula>AND($H11="Вышло",N($Z11)=0,N($V11)=0)</formula>
    </cfRule>
  </conditionalFormatting>
  <conditionalFormatting sqref="R27:S27">
    <cfRule type="expression" dxfId="0" priority="29">
      <formula>AND($I11="Вышло",$H11="")</formula>
    </cfRule>
  </conditionalFormatting>
  <conditionalFormatting sqref="R27:S27">
    <cfRule type="expression" dxfId="0" priority="30">
      <formula>AND($I8="Вышло",$H8="")</formula>
    </cfRule>
  </conditionalFormatting>
  <conditionalFormatting sqref="R27:S27">
    <cfRule type="expression" dxfId="1" priority="31">
      <formula>AND($I8="Вышло",N($AA8)=0,N($W8)=0)</formula>
    </cfRule>
  </conditionalFormatting>
  <conditionalFormatting sqref="R27:S27">
    <cfRule type="expression" dxfId="1" priority="32">
      <formula>AND($H8="Вышло",N($Z8)=0,N($V8)=0)</formula>
    </cfRule>
  </conditionalFormatting>
  <conditionalFormatting sqref="R27:S27">
    <cfRule type="expression" dxfId="1" priority="33">
      <formula>AND($H8="Вышло",N($Z8)=0,N($V8)=0)</formula>
    </cfRule>
  </conditionalFormatting>
  <conditionalFormatting sqref="R27:S27">
    <cfRule type="expression" dxfId="0" priority="34">
      <formula>AND($H8="Вышло",$G8="")</formula>
    </cfRule>
  </conditionalFormatting>
  <conditionalFormatting sqref="R27:S27">
    <cfRule type="expression" dxfId="0" priority="35">
      <formula>AND($H8="Вышло",$G8="")</formula>
    </cfRule>
  </conditionalFormatting>
  <conditionalFormatting sqref="R27:S27">
    <cfRule type="expression" dxfId="1" priority="36">
      <formula>AND($H8="Вышло",N($Z8)=0,N($V8)=0)</formula>
    </cfRule>
  </conditionalFormatting>
  <conditionalFormatting sqref="R27:S27">
    <cfRule type="expression" dxfId="0" priority="37">
      <formula>AND($H8="Вышло",$G8="")</formula>
    </cfRule>
  </conditionalFormatting>
  <conditionalFormatting sqref="R27:S27">
    <cfRule type="expression" dxfId="1" priority="38">
      <formula>AND($I11="Вышло",N($AA11)=0,N($W11)=0)</formula>
    </cfRule>
  </conditionalFormatting>
  <conditionalFormatting sqref="A22:D22 F22:Q22 R22:S24 T22:AI22">
    <cfRule type="expression" dxfId="0" priority="39">
      <formula>AND(#REF!="Вышло",#REF!="")</formula>
    </cfRule>
  </conditionalFormatting>
  <conditionalFormatting sqref="A22:D22 F22:Q22 R22:S24 T22:AI22">
    <cfRule type="expression" dxfId="1" priority="40">
      <formula>AND(#REF!="Вышло",N(#REF!)=0,N(#REF!)=0)</formula>
    </cfRule>
  </conditionalFormatting>
  <conditionalFormatting sqref="A22:D22 F22:Q22 R22:S24 T22:AC22">
    <cfRule type="expression" dxfId="1" priority="41">
      <formula>AND(#REF!="Вышло",N(#REF!)=0,N(#REF!)=0)</formula>
    </cfRule>
  </conditionalFormatting>
  <conditionalFormatting sqref="A22:D22 F22:Q22 R22:S24 T22:AC22">
    <cfRule type="expression" dxfId="1" priority="42">
      <formula>AND(#REF!="Вышло",N(#REF!)=0,N(#REF!)=0)</formula>
    </cfRule>
  </conditionalFormatting>
  <conditionalFormatting sqref="A22:D22 F22:Q22 R22:S24 T22:AC22">
    <cfRule type="expression" dxfId="0" priority="43">
      <formula>AND($H15="Вышло",$G15="")</formula>
    </cfRule>
  </conditionalFormatting>
  <conditionalFormatting sqref="A22:D22 F22:Q22 R22:S24 T22:AC22">
    <cfRule type="expression" dxfId="0" priority="44">
      <formula>AND(#REF!="Вышло",#REF!="")</formula>
    </cfRule>
  </conditionalFormatting>
  <conditionalFormatting sqref="A22:D22 F22:Q22 R22:S24 T22:AC22">
    <cfRule type="expression" dxfId="0" priority="45">
      <formula>AND(#REF!="Вышло",#REF!="")</formula>
    </cfRule>
  </conditionalFormatting>
  <conditionalFormatting sqref="A22:D22 F22:Q22 R22:S24 T22:AC22">
    <cfRule type="expression" dxfId="3" priority="46">
      <formula>AND($H15="Вышло",N($Z15)=0,N($V15)=0)</formula>
    </cfRule>
  </conditionalFormatting>
  <conditionalFormatting sqref="A22:Q22 R22:S24 T22:AC22">
    <cfRule type="expression" dxfId="0" priority="47">
      <formula>AND(#REF!="Вышло",#REF!="")</formula>
    </cfRule>
  </conditionalFormatting>
  <conditionalFormatting sqref="A22:Q22 R22:S24 T22:AC22">
    <cfRule type="expression" dxfId="0" priority="48">
      <formula>AND(#REF!="Вышло",#REF!="")</formula>
    </cfRule>
  </conditionalFormatting>
  <conditionalFormatting sqref="A22:Q22 R22:S24 T22:AC22">
    <cfRule type="expression" dxfId="1" priority="49">
      <formula>AND(#REF!="Вышло",N(#REF!)=0,N(#REF!)=0)</formula>
    </cfRule>
  </conditionalFormatting>
  <conditionalFormatting sqref="A22:Q22 R22:S24 T22:AC22">
    <cfRule type="expression" dxfId="1" priority="50">
      <formula>AND(#REF!="Вышло",N(#REF!)=0,N(#REF!)=0)</formula>
    </cfRule>
  </conditionalFormatting>
  <conditionalFormatting sqref="A22:Q22 R22:S24 T22:AH22">
    <cfRule type="expression" dxfId="1" priority="51">
      <formula>AND(#REF!="Вышло",N(#REF!)=0,N(#REF!)=0)</formula>
    </cfRule>
  </conditionalFormatting>
  <conditionalFormatting sqref="A22:Q22 R22:S24 T22:AH22">
    <cfRule type="expression" dxfId="0" priority="52">
      <formula>AND(#REF!="Вышло",#REF!="")</formula>
    </cfRule>
  </conditionalFormatting>
  <conditionalFormatting sqref="A22:Q22 R22:S24 T22:AI22">
    <cfRule type="expression" dxfId="1" priority="53">
      <formula>AND(#REF!="Вышло",N(#REF!)=0,N(#REF!)=0)</formula>
    </cfRule>
  </conditionalFormatting>
  <conditionalFormatting sqref="A22:Q22 R22:S24 T22:AI22">
    <cfRule type="expression" dxfId="0" priority="54">
      <formula>AND(#REF!="Вышло",#REF!="")</formula>
    </cfRule>
  </conditionalFormatting>
  <conditionalFormatting sqref="A22:D22 F22:Q22 R22:S24 T22:AH22">
    <cfRule type="expression" dxfId="1" priority="55">
      <formula>AND(#REF!="Вышло",N(#REF!)=0,N(#REF!)=0)</formula>
    </cfRule>
  </conditionalFormatting>
  <conditionalFormatting sqref="A22:D22 F22:Q22 R22:S24 T22:AH22">
    <cfRule type="expression" dxfId="0" priority="56">
      <formula>AND(#REF!="Вышло",#REF!="")</formula>
    </cfRule>
  </conditionalFormatting>
  <conditionalFormatting sqref="A23:Y24 Z22:AC24 AD23:AI24">
    <cfRule type="expression" dxfId="0" priority="57">
      <formula>AND(#REF!="Вышло",#REF!="")</formula>
    </cfRule>
  </conditionalFormatting>
  <conditionalFormatting sqref="A23:Y24 Z22:AC24 AD23:AI24">
    <cfRule type="expression" dxfId="1" priority="58">
      <formula>AND(#REF!="Вышло",N(#REF!)=0,N(#REF!)=0)</formula>
    </cfRule>
  </conditionalFormatting>
  <conditionalFormatting sqref="A23:D24 F23:Y24 Z22:AC24 AD23:AI24">
    <cfRule type="expression" dxfId="0" priority="59">
      <formula>AND(#REF!="Вышло",#REF!="")</formula>
    </cfRule>
  </conditionalFormatting>
  <conditionalFormatting sqref="A23:D24 F23:Y24 Z22:AC24 AD23:AI24">
    <cfRule type="expression" dxfId="1" priority="60">
      <formula>AND(#REF!="Вышло",N(#REF!)=0,N(#REF!)=0)</formula>
    </cfRule>
  </conditionalFormatting>
  <conditionalFormatting sqref="A23:Y24 Z22:AC24">
    <cfRule type="expression" dxfId="0" priority="61">
      <formula>AND(#REF!="Вышло",#REF!="")</formula>
    </cfRule>
  </conditionalFormatting>
  <conditionalFormatting sqref="A23:Y24 Z22:AC24">
    <cfRule type="expression" dxfId="0" priority="62">
      <formula>AND(#REF!="Вышло",#REF!="")</formula>
    </cfRule>
  </conditionalFormatting>
  <conditionalFormatting sqref="A23:Y24 Z22:AC24">
    <cfRule type="expression" dxfId="1" priority="63">
      <formula>AND(#REF!="Вышло",N(#REF!)=0,N(#REF!)=0)</formula>
    </cfRule>
  </conditionalFormatting>
  <conditionalFormatting sqref="A23:Y24 Z22:AC24">
    <cfRule type="expression" dxfId="1" priority="64">
      <formula>AND(#REF!="Вышло",N(#REF!)=0,N(#REF!)=0)</formula>
    </cfRule>
  </conditionalFormatting>
  <conditionalFormatting sqref="A23:A24 H23:I24">
    <cfRule type="expression" dxfId="0" priority="65">
      <formula>AND(#REF!="Вышло",#REF!="")</formula>
    </cfRule>
  </conditionalFormatting>
  <conditionalFormatting sqref="A23:A24 H23:I24">
    <cfRule type="expression" dxfId="1" priority="66">
      <formula>AND(#REF!="Вышло",N(#REF!)=0,N(#REF!)=0)</formula>
    </cfRule>
  </conditionalFormatting>
  <conditionalFormatting sqref="A23:A24 H23:I24">
    <cfRule type="expression" dxfId="1" priority="67">
      <formula>AND(#REF!="Вышло",N(#REF!)=0,N(#REF!)=0)</formula>
    </cfRule>
  </conditionalFormatting>
  <conditionalFormatting sqref="A23:A24 H23:I24">
    <cfRule type="expression" dxfId="0" priority="68">
      <formula>AND(#REF!="Вышло",#REF!="")</formula>
    </cfRule>
  </conditionalFormatting>
  <conditionalFormatting sqref="A23:A24 H23:I24">
    <cfRule type="expression" dxfId="0" priority="69">
      <formula>AND(#REF!="Вышло",#REF!="")</formula>
    </cfRule>
  </conditionalFormatting>
  <conditionalFormatting sqref="A23:A24 H23:I24">
    <cfRule type="expression" dxfId="1" priority="70">
      <formula>AND(#REF!="Вышло",N(#REF!)=0,N(#REF!)=0)</formula>
    </cfRule>
  </conditionalFormatting>
  <conditionalFormatting sqref="A23:D24 F23:Y24 Z22:AC24">
    <cfRule type="expression" dxfId="3" priority="71">
      <formula>AND($H13="Вышло",N($Z13)=0,N($V13)=0)</formula>
    </cfRule>
  </conditionalFormatting>
  <conditionalFormatting sqref="A23:D24 F23:Y24 Z22:AC24">
    <cfRule type="expression" dxfId="0" priority="72">
      <formula>AND($H13="Вышло",$G13="")</formula>
    </cfRule>
  </conditionalFormatting>
  <conditionalFormatting sqref="A23:Y24 Z22:AC24 AD23:AH24">
    <cfRule type="expression" dxfId="0" priority="73">
      <formula>AND(#REF!="Вышло",#REF!="")</formula>
    </cfRule>
  </conditionalFormatting>
  <conditionalFormatting sqref="A23:Y24 Z22:AC24 AD23:AH24">
    <cfRule type="expression" dxfId="1" priority="74">
      <formula>AND(#REF!="Вышло",N(#REF!)=0,N(#REF!)=0)</formula>
    </cfRule>
  </conditionalFormatting>
  <conditionalFormatting sqref="A14">
    <cfRule type="expression" dxfId="0" priority="75">
      <formula>AND($H4="Вышло",$G4="")</formula>
    </cfRule>
  </conditionalFormatting>
  <conditionalFormatting sqref="A14">
    <cfRule type="expression" dxfId="1" priority="76">
      <formula>AND($H4="Вышло",N($Z4)=0,N($V4)=0)</formula>
    </cfRule>
  </conditionalFormatting>
  <conditionalFormatting sqref="A14">
    <cfRule type="expression" dxfId="0" priority="77">
      <formula>AND($H4="Вышло",$G4="")</formula>
    </cfRule>
  </conditionalFormatting>
  <conditionalFormatting sqref="A14">
    <cfRule type="expression" dxfId="1" priority="78">
      <formula>AND($H4="Вышло",N($Z4)=0,N($V4)=0)</formula>
    </cfRule>
  </conditionalFormatting>
  <conditionalFormatting sqref="A14">
    <cfRule type="expression" dxfId="0" priority="79">
      <formula>AND($H4="Вышло",$G4="")</formula>
    </cfRule>
  </conditionalFormatting>
  <conditionalFormatting sqref="A14">
    <cfRule type="expression" dxfId="1" priority="80">
      <formula>AND($H4="Вышло",N($Z4)=0,N($V4)=0)</formula>
    </cfRule>
  </conditionalFormatting>
  <conditionalFormatting sqref="A14">
    <cfRule type="expression" dxfId="0" priority="81">
      <formula>AND($I4="Вышло",$H4="")</formula>
    </cfRule>
  </conditionalFormatting>
  <conditionalFormatting sqref="A14">
    <cfRule type="expression" dxfId="1" priority="82">
      <formula>AND($I4="Вышло",N($AA4)=0,N($W4)=0)</formula>
    </cfRule>
  </conditionalFormatting>
  <conditionalFormatting sqref="A10:AI10">
    <cfRule type="expression" dxfId="1" priority="83">
      <formula>AND($I4="Вышло",N($AA4)=0,N($W4)=0)</formula>
    </cfRule>
  </conditionalFormatting>
  <conditionalFormatting sqref="A10:AI10">
    <cfRule type="expression" dxfId="0" priority="84">
      <formula>AND($I4="Вышло",$H4="")</formula>
    </cfRule>
  </conditionalFormatting>
  <conditionalFormatting sqref="A10:AI10">
    <cfRule type="expression" dxfId="1" priority="85">
      <formula>AND(#REF!="Вышло",N(#REF!)=0,N(#REF!)=0)</formula>
    </cfRule>
  </conditionalFormatting>
  <conditionalFormatting sqref="A10:AI10">
    <cfRule type="expression" dxfId="0" priority="86">
      <formula>AND(#REF!="Вышло",#REF!="")</formula>
    </cfRule>
  </conditionalFormatting>
  <conditionalFormatting sqref="A10:AH10">
    <cfRule type="expression" dxfId="1" priority="87">
      <formula>AND($H4="Вышло",N($Z4)=0,N($V4)=0)</formula>
    </cfRule>
  </conditionalFormatting>
  <conditionalFormatting sqref="A10:AH10">
    <cfRule type="expression" dxfId="0" priority="88">
      <formula>AND($H4="Вышло",$G4="")</formula>
    </cfRule>
  </conditionalFormatting>
  <conditionalFormatting sqref="A10:AH10">
    <cfRule type="expression" dxfId="1" priority="89">
      <formula>AND(#REF!="Вышло",N(#REF!)=0,N(#REF!)=0)</formula>
    </cfRule>
  </conditionalFormatting>
  <conditionalFormatting sqref="A10:AH10">
    <cfRule type="expression" dxfId="0" priority="90">
      <formula>AND(#REF!="Вышло",#REF!="")</formula>
    </cfRule>
  </conditionalFormatting>
  <conditionalFormatting sqref="A10:AC10">
    <cfRule type="expression" dxfId="1" priority="91">
      <formula>AND($H4="Вышло",N($Z4)=0,N($V4)=0)</formula>
    </cfRule>
  </conditionalFormatting>
  <conditionalFormatting sqref="A10:AC10">
    <cfRule type="expression" dxfId="0" priority="92">
      <formula>AND($H4="Вышло",$G4="")</formula>
    </cfRule>
  </conditionalFormatting>
  <conditionalFormatting sqref="A10:AC10">
    <cfRule type="expression" dxfId="1" priority="93">
      <formula>AND($H4="Вышло",N($Z4)=0,N($V4)=0)</formula>
    </cfRule>
  </conditionalFormatting>
  <conditionalFormatting sqref="A10:AC10">
    <cfRule type="expression" dxfId="0" priority="94">
      <formula>AND($H4="Вышло",$G4="")</formula>
    </cfRule>
  </conditionalFormatting>
  <conditionalFormatting sqref="A10:AC10">
    <cfRule type="expression" dxfId="1" priority="95">
      <formula>AND(#REF!="Вышло",N(#REF!)=0,N(#REF!)=0)</formula>
    </cfRule>
  </conditionalFormatting>
  <conditionalFormatting sqref="A10:AC10">
    <cfRule type="expression" dxfId="0" priority="96">
      <formula>AND(#REF!="Вышло",#REF!="")</formula>
    </cfRule>
  </conditionalFormatting>
  <conditionalFormatting sqref="A10:AC10">
    <cfRule type="expression" dxfId="1" priority="97">
      <formula>AND(#REF!="Вышло",N(#REF!)=0,N(#REF!)=0)</formula>
    </cfRule>
  </conditionalFormatting>
  <conditionalFormatting sqref="A10:AC10">
    <cfRule type="expression" dxfId="0" priority="98">
      <formula>AND(#REF!="Вышло",#REF!="")</formula>
    </cfRule>
  </conditionalFormatting>
  <conditionalFormatting sqref="A7:AC7 A10:D10 A16:A17 B17:D17 F10:H10 F13:F14 F16:F17 G17:H17 J10:AC10 J15 J17:AC17">
    <cfRule type="expression" dxfId="0" priority="99">
      <formula>AND($H7="Вышло",$G7="")</formula>
    </cfRule>
  </conditionalFormatting>
  <conditionalFormatting sqref="A7:AC7 A10:D10 A16:A17 B17:D17 F10:H10 F13:F14 F16:F17 G17:H17 J10:AC10 J15 J17:AC17">
    <cfRule type="expression" dxfId="3" priority="100">
      <formula>AND($H7="Вышло",N($Z7)=0,N($V7)=0)</formula>
    </cfRule>
  </conditionalFormatting>
  <conditionalFormatting sqref="A8:E12 A16:D17 F8:F14 F16:I17 G8:AC12 I20 J15:J17 K16:AC17">
    <cfRule type="expression" dxfId="0" priority="101">
      <formula>AND(#REF!="Вышло",#REF!="")</formula>
    </cfRule>
  </conditionalFormatting>
  <conditionalFormatting sqref="A8:E12 A16:D17 F8:F14 F16:I17 G8:AC12 I20 J15:J17 K16:AC17">
    <cfRule type="expression" dxfId="3" priority="102">
      <formula>AND(#REF!="Вышло",N(#REF!)=0,N(#REF!)=0)</formula>
    </cfRule>
  </conditionalFormatting>
  <conditionalFormatting sqref="A10:AC10 A16:D17 A22:AC24 A27:P27 B13 C13:D14 E13:F19 G13:H14 G16:I17 H29:H37 I13:Q13 J15:J17 K16:AC17 Q27:Q34 R13:S14 R27:AC27 T13:AC13">
    <cfRule type="expression" dxfId="0" priority="103">
      <formula>AND($H10="Вышло",$G10="")</formula>
    </cfRule>
  </conditionalFormatting>
  <conditionalFormatting sqref="A10:AC10 A16:D17 A22:AC24 A27:P27 B13 C13:D14 E13:F19 G13:H14 G16:I17 H29:H37 I13:Q13 J15:J17 K16:AC17 Q27:Q34 R13:S14 R27:AC27 T13:AC13">
    <cfRule type="expression" dxfId="3" priority="104">
      <formula>AND($H10="Вышло",N($Z10)=0,N($V10)=0)</formula>
    </cfRule>
  </conditionalFormatting>
  <conditionalFormatting sqref="A14 A20:P21 B14:G15 B18:G18 H14:H18 I14:X15 I18:P18 I25 Q18:Q21 Q29:Q34 Q36:Q39 R18:X18 R20:AC21 Y14:Y18 Z14:AC15 Z18:AC18">
    <cfRule type="expression" dxfId="0" priority="105">
      <formula>AND($H14="Вышло",$G14="")</formula>
    </cfRule>
  </conditionalFormatting>
  <conditionalFormatting sqref="A14 A20:P21 B14:G15 B18:G18 H14:H18 I14:X15 I18:P18 I25 Q18:Q21 Q29:Q34 Q36:Q39 R18:X18 R20:AC21 Y14:Y18 Z14:AC15 Z18:AC18">
    <cfRule type="expression" dxfId="3" priority="106">
      <formula>AND($H14="Вышло",N($Z14)=0,N($V14)=0)</formula>
    </cfRule>
  </conditionalFormatting>
  <conditionalFormatting sqref="A29:AC39">
    <cfRule type="expression" dxfId="0" priority="107">
      <formula>AND($H29="Вышло",$G29="")</formula>
    </cfRule>
  </conditionalFormatting>
  <conditionalFormatting sqref="A29:AC39">
    <cfRule type="expression" dxfId="3" priority="108">
      <formula>AND($H29="Вышло",N($Z29)=0,N($V29)=0)</formula>
    </cfRule>
  </conditionalFormatting>
  <conditionalFormatting sqref="A7:AC8 A10:D10 A16:A17 B17:D17 F10:H10 F13:F14 F16:F17 G17:H17 I11 I20 J10:AC10 J15 J17:AC17">
    <cfRule type="expression" dxfId="0" priority="109">
      <formula>AND($H7="Вышло",$G7="")</formula>
    </cfRule>
  </conditionalFormatting>
  <conditionalFormatting sqref="A7:AC8 A10:D10 A16:A17 B17:D17 F10:H10 F13:F14 F16:F17 G17:H17 I11 I20 J10:AC10 J15 J17:AC17">
    <cfRule type="expression" dxfId="1" priority="110">
      <formula>AND($H7="Вышло",N($Z7)=0,N($V7)=0)</formula>
    </cfRule>
  </conditionalFormatting>
  <conditionalFormatting sqref="A7:AC8 A10:D10 A16:A17 B17:D17 F10:H10 F13:F14 F16:F17 G17:H17 I11 I20 J10:AC10 J15 J17:AC17">
    <cfRule type="expression" dxfId="0" priority="111">
      <formula>AND($H7="Вышло",$G7="")</formula>
    </cfRule>
  </conditionalFormatting>
  <conditionalFormatting sqref="A7:AC8 A10:D10 A16:A17 B17:D17 F10:H10 F13:F14 F16:F17 G17:H17 I11 I20 J10:AC10 J15 J17:AC17">
    <cfRule type="expression" dxfId="1" priority="112">
      <formula>AND($H7="Вышло",N($Z7)=0,N($V7)=0)</formula>
    </cfRule>
  </conditionalFormatting>
  <conditionalFormatting sqref="A11:AC11 A16:A17 I16:I17">
    <cfRule type="expression" dxfId="0" priority="113">
      <formula>AND($H10="Вышло",$G10="")</formula>
    </cfRule>
  </conditionalFormatting>
  <conditionalFormatting sqref="A11:AC11 A16:A17 I16:I17">
    <cfRule type="expression" dxfId="1" priority="114">
      <formula>AND($H10="Вышло",N($Z10)=0,N($V10)=0)</formula>
    </cfRule>
  </conditionalFormatting>
  <conditionalFormatting sqref="A11:AC11 A16:A17 I16:I17">
    <cfRule type="expression" dxfId="0" priority="115">
      <formula>AND($H10="Вышло",$G10="")</formula>
    </cfRule>
  </conditionalFormatting>
  <conditionalFormatting sqref="A11:AC11 A16:A17 I16:I17">
    <cfRule type="expression" dxfId="1" priority="116">
      <formula>AND($H10="Вышло",N($Z10)=0,N($V10)=0)</formula>
    </cfRule>
  </conditionalFormatting>
  <conditionalFormatting sqref="A14:A20 B13:H20 I13 I16:I17 I20 I25 J13:AC20">
    <cfRule type="expression" dxfId="0" priority="117">
      <formula>AND(#REF!="Вышло",#REF!="")</formula>
    </cfRule>
  </conditionalFormatting>
  <conditionalFormatting sqref="A14:A20 B13:H20 I13 I16:I17 I20 I25 J13:AC20">
    <cfRule type="expression" dxfId="1" priority="118">
      <formula>AND(#REF!="Вышло",N(#REF!)=0,N(#REF!)=0)</formula>
    </cfRule>
  </conditionalFormatting>
  <conditionalFormatting sqref="A14:A20 B13:H20 I13 I16:I17 I20 I25 J13:AC20">
    <cfRule type="expression" dxfId="0" priority="119">
      <formula>AND(#REF!="Вышло",#REF!="")</formula>
    </cfRule>
  </conditionalFormatting>
  <conditionalFormatting sqref="A14:A20 B13:H20 I13 I16:I17 I20 I25 J13:AC20">
    <cfRule type="expression" dxfId="1" priority="120">
      <formula>AND(#REF!="Вышло",N(#REF!)=0,N(#REF!)=0)</formula>
    </cfRule>
  </conditionalFormatting>
  <conditionalFormatting sqref="A14 A25:AC25 A29:AC39 B14:G15 B18:G19 H14:H19 I14:U15 I18:I19 J11 J18:J20 K18:U19 V14:V19 W14:X15 W18:X19 Y14:Y19 Z14:AC15 Z18:AC19">
    <cfRule type="expression" dxfId="0" priority="121">
      <formula>AND($H11="Вышло",$G11="")</formula>
    </cfRule>
  </conditionalFormatting>
  <conditionalFormatting sqref="A14 A25:AC25 A29:AC39 B14:G15 B18:G19 H14:H19 I14:U15 I18:I19 J11 J18:J20 K18:U19 V14:V19 W14:X15 W18:X19 Y14:Y19 Z14:AC15 Z18:AC19">
    <cfRule type="expression" dxfId="1" priority="122">
      <formula>AND($H11="Вышло",N($Z11)=0,N($V11)=0)</formula>
    </cfRule>
  </conditionalFormatting>
  <conditionalFormatting sqref="A14 A25:AC25 A29:AC39 B14:G15 B18:G19 H14:H19 I14:U15 I18:I19 J11 J18:J20 K18:U19 V14:V19 W14:X15 W18:X19 Y14:Y19 Z14:AC15 Z18:AC19">
    <cfRule type="expression" dxfId="0" priority="123">
      <formula>AND($H11="Вышло",$G11="")</formula>
    </cfRule>
  </conditionalFormatting>
  <conditionalFormatting sqref="A14 A25:AC25 A29:AC39 B14:G15 B18:G19 H14:H19 I14:U15 I18:I19 J11 J18:J20 K18:U19 V14:V19 W14:X15 W18:X19 Y14:Y19 Z14:AC15 Z18:AC19">
    <cfRule type="expression" dxfId="1" priority="124">
      <formula>AND($H11="Вышло",N($Z11)=0,N($V11)=0)</formula>
    </cfRule>
  </conditionalFormatting>
  <conditionalFormatting sqref="A28:C28 A40:P40 D14:D15 D28:D29 D36 E28:G28 H28:I34 J28:M28 N28:N34 O28:P28 Q28:Q34 Q36:Q40 R28:AC28 R30:S34 R40:AC40">
    <cfRule type="expression" dxfId="0" priority="125">
      <formula>AND(#REF!="Вышло",#REF!="")</formula>
    </cfRule>
  </conditionalFormatting>
  <conditionalFormatting sqref="A28:C28 A40:P40 D14:D15 D28:D29 D36 E28:G28 H28:I34 J28:M28 N28:N34 O28:P28 Q28:Q34 Q36:Q40 R28:AC28 R30:S34 R40:AC40">
    <cfRule type="expression" dxfId="1" priority="126">
      <formula>AND(#REF!="Вышло",N(#REF!)=0,N(#REF!)=0)</formula>
    </cfRule>
  </conditionalFormatting>
  <conditionalFormatting sqref="A28:C28 A40:P40 D14:D15 D28:D29 D36 E28:G28 H28:I34 J28:M28 N28:N34 O28:P28 Q28:Q34 Q36:Q40 R28:AC28 R30:S34 R40:AC40">
    <cfRule type="expression" dxfId="0" priority="127">
      <formula>AND(#REF!="Вышло",#REF!="")</formula>
    </cfRule>
  </conditionalFormatting>
  <conditionalFormatting sqref="A28:C28 A40:P40 D14:D15 D28:D29 D36 E28:G28 H28:I34 J28:M28 N28:N34 O28:P28 Q28:Q34 Q36:Q40 R28:AC28 R30:S34 R40:AC40">
    <cfRule type="expression" dxfId="1" priority="128">
      <formula>AND(#REF!="Вышло",N(#REF!)=0,N(#REF!)=0)</formula>
    </cfRule>
  </conditionalFormatting>
  <conditionalFormatting sqref="A7:AH8 A10:D10 A16:A17 B17:D17 F10:H10 F13:F14 F16:F17 G17:H17 I11 I20 J10:AH10 J15 J17:AH17">
    <cfRule type="expression" dxfId="0" priority="129">
      <formula>AND($H7="Вышло",$G7="")</formula>
    </cfRule>
  </conditionalFormatting>
  <conditionalFormatting sqref="A7:AH8 A10:D10 A16:A17 B17:D17 F10:H10 F13:F14 F16:F17 G17:H17 I11 I20 J10:AH10 J15 J17:AH17">
    <cfRule type="expression" dxfId="1" priority="130">
      <formula>AND($H7="Вышло",N($Z7)=0,N($V7)=0)</formula>
    </cfRule>
  </conditionalFormatting>
  <conditionalFormatting sqref="A11:AH11 A16:A17 I16:I17">
    <cfRule type="expression" dxfId="0" priority="131">
      <formula>AND($H10="Вышло",$G10="")</formula>
    </cfRule>
  </conditionalFormatting>
  <conditionalFormatting sqref="A11:AH11 A16:A17 I16:I17">
    <cfRule type="expression" dxfId="1" priority="132">
      <formula>AND($H10="Вышло",N($Z10)=0,N($V10)=0)</formula>
    </cfRule>
  </conditionalFormatting>
  <conditionalFormatting sqref="A14:A20 B13:H20 I13 I16:I17 I20 I25 J13:AH20">
    <cfRule type="expression" dxfId="0" priority="133">
      <formula>AND(#REF!="Вышло",#REF!="")</formula>
    </cfRule>
  </conditionalFormatting>
  <conditionalFormatting sqref="A14:A20 B13:H20 I13 I16:I17 I20 I25 J13:AH20">
    <cfRule type="expression" dxfId="1" priority="134">
      <formula>AND(#REF!="Вышло",N(#REF!)=0,N(#REF!)=0)</formula>
    </cfRule>
  </conditionalFormatting>
  <conditionalFormatting sqref="A14 A25:AH25 A29:AH39 B14:G15 B18:G19 H14:H19 I14:U15 I18:I19 J11 J18:J20 K18:U19 V14:V19 W14:X15 W18:X19 Y14:Y19 Z14:AC15 Z18:AC19 AD14:AD19 AE14:AE15 AE18:AE19 AF14:AH19">
    <cfRule type="expression" dxfId="0" priority="135">
      <formula>AND($H11="Вышло",$G11="")</formula>
    </cfRule>
  </conditionalFormatting>
  <conditionalFormatting sqref="A14 A25:AH25 A29:AH39 B14:G15 B18:G19 H14:H19 I14:U15 I18:I19 J11 J18:J20 K18:U19 V14:V19 W14:X15 W18:X19 Y14:Y19 Z14:AC15 Z18:AC19 AD14:AD19 AE14:AE15 AE18:AE19 AF14:AH19">
    <cfRule type="expression" dxfId="1" priority="136">
      <formula>AND($H11="Вышло",N($Z11)=0,N($V11)=0)</formula>
    </cfRule>
  </conditionalFormatting>
  <conditionalFormatting sqref="A28:C28 A40:P40 D14:D15 D28:D29 D36 E28:G28 H28:I34 J28:M28 N28:N34 O28:P28 Q28:Q34 Q36:Q40 R28:AH28 R30:S34 R40:AH40">
    <cfRule type="expression" dxfId="0" priority="137">
      <formula>AND(#REF!="Вышло",#REF!="")</formula>
    </cfRule>
  </conditionalFormatting>
  <conditionalFormatting sqref="A28:C28 A40:P40 D14:D15 D28:D29 D36 E28:G28 H28:I34 J28:M28 N28:N34 O28:P28 Q28:Q34 Q36:Q40 R28:AH28 R30:S34 R40:AH40">
    <cfRule type="expression" dxfId="1" priority="138">
      <formula>AND(#REF!="Вышло",N(#REF!)=0,N(#REF!)=0)</formula>
    </cfRule>
  </conditionalFormatting>
  <conditionalFormatting sqref="A7:AI7 A10:D10 A16:D17 F10:H10 F13:F14 F16:H17 J10:AI10 J15:J17 K16:AI17">
    <cfRule type="expression" dxfId="0" priority="139">
      <formula>AND($I7="Вышло",$H7="")</formula>
    </cfRule>
  </conditionalFormatting>
  <conditionalFormatting sqref="A7:AI7 A10:D10 A16:D17 F10:H10 F13:F14 F16:H17 J10:AI10 J15:J17 K16:AI17">
    <cfRule type="expression" dxfId="1" priority="140">
      <formula>AND($I7="Вышло",N($AA7)=0,N($W7)=0)</formula>
    </cfRule>
  </conditionalFormatting>
  <conditionalFormatting sqref="A16:D17 F13:F14 F16:I17 J15:J17 K16:AI17">
    <cfRule type="expression" dxfId="0" priority="141">
      <formula>AND(#REF!="Вышло",#REF!="")</formula>
    </cfRule>
  </conditionalFormatting>
  <conditionalFormatting sqref="A16:D17 F13:F14 F16:I17 J15:J17 K16:AI17">
    <cfRule type="expression" dxfId="1" priority="142">
      <formula>AND(#REF!="Вышло",N(#REF!)=0,N(#REF!)=0)</formula>
    </cfRule>
  </conditionalFormatting>
  <conditionalFormatting sqref="A14:A19 B13:H19 I13 I16:I17 J13:AI19">
    <cfRule type="expression" dxfId="0" priority="143">
      <formula>AND(#REF!="Вышло",#REF!="")</formula>
    </cfRule>
  </conditionalFormatting>
  <conditionalFormatting sqref="A14:A19 B13:H19 I13 I16:I17 J13:AI19">
    <cfRule type="expression" dxfId="1" priority="144">
      <formula>AND(#REF!="Вышло",N(#REF!)=0,N(#REF!)=0)</formula>
    </cfRule>
  </conditionalFormatting>
  <conditionalFormatting sqref="A14 A29:AI39 B14:G15 B18:G19 H14:H19 I14:U15 I18:U19 V14:V19 W14:X15 W18:X19 Y14:Y19 Z14:AC15 Z18:AC19 AD14:AD19 AE14:AE15 AE18:AE19 AF14:AH19 AI14:AI15 AI18:AI19">
    <cfRule type="expression" dxfId="0" priority="145">
      <formula>AND($I14="Вышло",$H14="")</formula>
    </cfRule>
  </conditionalFormatting>
  <conditionalFormatting sqref="A14 A29:AI39 B14:G15 B18:G19 H14:H19 I14:U15 I18:U19 V14:V19 W14:X15 W18:X19 Y14:Y19 Z14:AC15 Z18:AC19 AD14:AD19 AE14:AE15 AE18:AE19 AF14:AH19 AI14:AI15 AI18:AI19">
    <cfRule type="expression" dxfId="1" priority="146">
      <formula>AND($I14="Вышло",N($AA14)=0,N($W14)=0)</formula>
    </cfRule>
  </conditionalFormatting>
  <conditionalFormatting sqref="A28:C28 D14:D15 D28:D29 D36 E28:G28 H28:I34 J28:M28 N28:N34 O28:P28 Q28:Q34 Q36:Q39 R28:AI28 R30:S34">
    <cfRule type="expression" dxfId="0" priority="147">
      <formula>AND(#REF!="Вышло",#REF!="")</formula>
    </cfRule>
  </conditionalFormatting>
  <conditionalFormatting sqref="A28:C28 D14:D15 D28:D29 D36 E28:G28 H28:I34 J28:M28 N28:N34 O28:P28 Q28:Q34 Q36:Q39 R28:AI28 R30:S34">
    <cfRule type="expression" dxfId="1" priority="148">
      <formula>AND(#REF!="Вышло",N(#REF!)=0,N(#REF!)=0)</formula>
    </cfRule>
  </conditionalFormatting>
  <dataValidations>
    <dataValidation type="list" allowBlank="1" sqref="D7:E7 D8:D9 D10:E10 D11:D12 D13:E15 E16 D17:E19 D20:D21 D22:E24 D25 D27:E39 D40">
      <formula1>"WB,Ozon,Сайт,Макс"</formula1>
    </dataValidation>
    <dataValidation type="list" allowBlank="1" sqref="I7 H8 I10 H11 I13:I19 H20 I22:I24 H25 I27:I39 H40">
      <formula1>"Ожидаем выхода,Вышло,Перенос,Отказ"</formula1>
    </dataValidation>
    <dataValidation type="date" allowBlank="1" showInputMessage="1" showErrorMessage="1" prompt="Только дата - Введи дату, например 14.07.2026" sqref="G9 G12 G21 G23:G24 G27">
      <formula1>DATE(2026,1,1)</formula1>
      <formula2>DATE(2027,12,31)</formula2>
    </dataValidation>
    <dataValidation type="list" allowBlank="1" sqref="A7:A12 A16:A17 A20:A25 A27:A40">
      <formula1>bloggers_list</formula1>
    </dataValidation>
    <dataValidation type="list" allowBlank="1" showErrorMessage="1" sqref="H9 H12 H21">
      <formula1>"Ожидаем выхода,Вышло,Перенос,Отказ"</formula1>
    </dataValidation>
    <dataValidation type="date" allowBlank="1" sqref="G7:H7 G8 G10:H10 G11 G13:H15 H16 G17:H19 G20 G22:H22 H23:H24 G25 H27 G28:H39 G40">
      <formula1>DATE(2026,1,1)</formula1>
      <formula2>0.0</formula2>
    </dataValidation>
  </dataValidations>
  <hyperlinks>
    <hyperlink r:id="rId1" ref="A7"/>
    <hyperlink r:id="rId2" ref="O7"/>
    <hyperlink r:id="rId3" ref="P7"/>
    <hyperlink r:id="rId4" ref="T7"/>
    <hyperlink r:id="rId5" ref="A10"/>
    <hyperlink r:id="rId6" ref="O10"/>
    <hyperlink r:id="rId7" ref="P10"/>
    <hyperlink r:id="rId8" ref="T10"/>
    <hyperlink r:id="rId9" ref="A13"/>
    <hyperlink r:id="rId10" ref="T13"/>
    <hyperlink r:id="rId11" ref="A14"/>
    <hyperlink r:id="rId12" ref="T14"/>
    <hyperlink r:id="rId13" ref="A15"/>
    <hyperlink r:id="rId14" ref="O15"/>
    <hyperlink r:id="rId15" ref="P15"/>
    <hyperlink r:id="rId16" ref="T15"/>
    <hyperlink r:id="rId17" ref="A16"/>
    <hyperlink r:id="rId18" ref="O16"/>
    <hyperlink r:id="rId19" ref="P16"/>
    <hyperlink r:id="rId20" ref="T16"/>
    <hyperlink r:id="rId21" ref="A17"/>
    <hyperlink r:id="rId22" ref="O17"/>
    <hyperlink r:id="rId23" ref="P17"/>
    <hyperlink r:id="rId24" ref="T17"/>
    <hyperlink r:id="rId25" ref="A18"/>
    <hyperlink r:id="rId26" ref="O18"/>
    <hyperlink r:id="rId27" ref="P18"/>
    <hyperlink r:id="rId28" ref="T18"/>
    <hyperlink r:id="rId29" ref="A19"/>
    <hyperlink r:id="rId30" ref="T19"/>
    <hyperlink r:id="rId31" ref="A22"/>
    <hyperlink r:id="rId32" ref="T22"/>
    <hyperlink r:id="rId33" ref="A23"/>
    <hyperlink r:id="rId34" ref="T23"/>
    <hyperlink r:id="rId35" ref="A24"/>
    <hyperlink r:id="rId36" ref="O24"/>
    <hyperlink r:id="rId37" ref="T24"/>
    <hyperlink r:id="rId38" ref="A27"/>
    <hyperlink r:id="rId39" ref="O27"/>
    <hyperlink r:id="rId40" ref="T27"/>
    <hyperlink r:id="rId41" ref="A28"/>
    <hyperlink r:id="rId42" ref="O28"/>
    <hyperlink r:id="rId43" ref="T28"/>
    <hyperlink r:id="rId44" ref="A29"/>
    <hyperlink r:id="rId45" ref="O29"/>
    <hyperlink r:id="rId46" ref="T29"/>
    <hyperlink r:id="rId47" ref="A30"/>
    <hyperlink r:id="rId48" ref="O30"/>
    <hyperlink r:id="rId49" ref="T30"/>
    <hyperlink r:id="rId50" ref="A31"/>
    <hyperlink r:id="rId51" ref="O31"/>
    <hyperlink r:id="rId52" ref="T31"/>
    <hyperlink r:id="rId53" ref="A32"/>
    <hyperlink r:id="rId54" ref="O32"/>
    <hyperlink r:id="rId55" ref="T32"/>
    <hyperlink r:id="rId56" ref="A33"/>
    <hyperlink r:id="rId57" ref="O33"/>
    <hyperlink r:id="rId58" ref="T33"/>
    <hyperlink r:id="rId59" ref="A34"/>
    <hyperlink r:id="rId60" ref="O34"/>
    <hyperlink r:id="rId61" ref="T34"/>
  </hyperlinks>
  <printOptions/>
  <pageMargins bottom="0.75" footer="0.0" header="0.0" left="0.7" right="0.7" top="0.75"/>
  <pageSetup paperSize="9" orientation="portrait"/>
  <drawing r:id="rId62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2.63" defaultRowHeight="15.0"/>
  <cols>
    <col customWidth="1" min="1" max="1" width="31.0"/>
    <col customWidth="1" min="2" max="2" width="21.0"/>
    <col customWidth="1" min="3" max="5" width="18.0"/>
    <col customWidth="1" min="6" max="7" width="15.0"/>
    <col customWidth="1" min="8" max="9" width="18.0"/>
    <col customWidth="1" min="10" max="10" width="20.0"/>
    <col customWidth="1" min="11" max="15" width="16.0"/>
    <col customWidth="1" min="16" max="16" width="12.0"/>
    <col customWidth="1" min="17" max="17" width="18.63"/>
    <col customWidth="1" min="18" max="18" width="12.0"/>
    <col customWidth="1" min="19" max="19" width="15.0"/>
    <col customWidth="1" min="20" max="20" width="9.0"/>
    <col customWidth="1" min="21" max="21" width="8.0"/>
    <col customWidth="1" min="22" max="22" width="10.0"/>
    <col customWidth="1" min="23" max="24" width="9.0"/>
    <col customWidth="1" min="25" max="25" width="10.0"/>
    <col customWidth="1" min="26" max="26" width="12.75"/>
    <col customWidth="1" min="27" max="27" width="10.0"/>
    <col customWidth="1" min="28" max="28" width="8.0"/>
    <col customWidth="1" min="29" max="30" width="11.0"/>
    <col customWidth="1" min="31" max="31" width="8.0"/>
    <col customWidth="1" min="32" max="32" width="10.0"/>
    <col customWidth="1" min="33" max="33" width="12.0"/>
    <col customWidth="1" min="34" max="34" width="11.0"/>
    <col customWidth="1" min="35" max="35" width="8.0"/>
    <col customWidth="1" min="36" max="36" width="14.38"/>
  </cols>
  <sheetData>
    <row r="1" ht="15.0" customHeight="1">
      <c r="A1" s="114" t="s">
        <v>1018</v>
      </c>
      <c r="B1" s="3"/>
      <c r="C1" s="3"/>
      <c r="D1" s="3"/>
      <c r="E1" s="172"/>
      <c r="F1" s="3"/>
      <c r="G1" s="3"/>
      <c r="H1" s="3"/>
      <c r="I1" s="3"/>
      <c r="J1" s="3"/>
      <c r="K1" s="3"/>
      <c r="L1" s="3"/>
      <c r="M1" s="3"/>
      <c r="N1" s="55"/>
      <c r="O1" s="55"/>
      <c r="P1" s="3"/>
      <c r="Q1" s="19"/>
      <c r="R1" s="3"/>
      <c r="S1" s="55"/>
      <c r="T1" s="3"/>
      <c r="U1" s="155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ht="15.0" customHeight="1">
      <c r="A2" s="115" t="s">
        <v>832</v>
      </c>
      <c r="B2" s="3"/>
      <c r="C2" s="3"/>
      <c r="D2" s="3"/>
      <c r="E2" s="172"/>
      <c r="F2" s="3"/>
      <c r="G2" s="3"/>
      <c r="H2" s="3"/>
      <c r="I2" s="3"/>
      <c r="J2" s="3"/>
      <c r="K2" s="3"/>
      <c r="L2" s="3"/>
      <c r="M2" s="3"/>
      <c r="N2" s="55"/>
      <c r="O2" s="55"/>
      <c r="P2" s="3"/>
      <c r="Q2" s="19"/>
      <c r="R2" s="3"/>
      <c r="S2" s="55"/>
      <c r="T2" s="3"/>
      <c r="U2" s="155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ht="15.0" customHeight="1">
      <c r="A3" s="115" t="s">
        <v>833</v>
      </c>
      <c r="B3" s="3"/>
      <c r="C3" s="3"/>
      <c r="D3" s="3"/>
      <c r="E3" s="172"/>
      <c r="F3" s="3"/>
      <c r="G3" s="3"/>
      <c r="H3" s="3"/>
      <c r="I3" s="3"/>
      <c r="J3" s="3"/>
      <c r="K3" s="3"/>
      <c r="L3" s="3"/>
      <c r="M3" s="3"/>
      <c r="N3" s="55"/>
      <c r="O3" s="55"/>
      <c r="P3" s="3"/>
      <c r="Q3" s="19"/>
      <c r="R3" s="3"/>
      <c r="S3" s="55"/>
      <c r="T3" s="3"/>
      <c r="U3" s="155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</row>
    <row r="4" ht="15.0" customHeight="1">
      <c r="A4" s="3"/>
      <c r="B4" s="3"/>
      <c r="C4" s="3"/>
      <c r="D4" s="3"/>
      <c r="E4" s="172"/>
      <c r="F4" s="3"/>
      <c r="G4" s="3"/>
      <c r="H4" s="3"/>
      <c r="I4" s="3"/>
      <c r="J4" s="3"/>
      <c r="K4" s="3"/>
      <c r="L4" s="3"/>
      <c r="M4" s="3"/>
      <c r="N4" s="55"/>
      <c r="O4" s="55"/>
      <c r="P4" s="3"/>
      <c r="Q4" s="19"/>
      <c r="R4" s="3"/>
      <c r="S4" s="55"/>
      <c r="T4" s="3"/>
      <c r="U4" s="155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</row>
    <row r="5" ht="31.5" customHeight="1">
      <c r="A5" s="173" t="s">
        <v>778</v>
      </c>
      <c r="B5" s="173" t="s">
        <v>4</v>
      </c>
      <c r="C5" s="173" t="s">
        <v>1</v>
      </c>
      <c r="D5" s="173" t="s">
        <v>835</v>
      </c>
      <c r="E5" s="173" t="s">
        <v>836</v>
      </c>
      <c r="F5" s="173" t="s">
        <v>837</v>
      </c>
      <c r="G5" s="173" t="s">
        <v>838</v>
      </c>
      <c r="H5" s="173" t="s">
        <v>839</v>
      </c>
      <c r="I5" s="173" t="s">
        <v>840</v>
      </c>
      <c r="J5" s="173" t="s">
        <v>841</v>
      </c>
      <c r="K5" s="173" t="s">
        <v>842</v>
      </c>
      <c r="L5" s="173" t="s">
        <v>843</v>
      </c>
      <c r="M5" s="173" t="s">
        <v>844</v>
      </c>
      <c r="N5" s="173" t="s">
        <v>845</v>
      </c>
      <c r="O5" s="173" t="s">
        <v>846</v>
      </c>
      <c r="P5" s="173" t="s">
        <v>847</v>
      </c>
      <c r="Q5" s="174" t="s">
        <v>726</v>
      </c>
      <c r="R5" s="173" t="s">
        <v>927</v>
      </c>
      <c r="S5" s="173" t="s">
        <v>779</v>
      </c>
      <c r="T5" s="173" t="s">
        <v>729</v>
      </c>
      <c r="U5" s="175" t="s">
        <v>849</v>
      </c>
      <c r="V5" s="173" t="s">
        <v>850</v>
      </c>
      <c r="W5" s="173" t="s">
        <v>851</v>
      </c>
      <c r="X5" s="173" t="s">
        <v>1019</v>
      </c>
      <c r="Y5" s="173" t="s">
        <v>852</v>
      </c>
      <c r="Z5" s="173" t="s">
        <v>1020</v>
      </c>
      <c r="AA5" s="173" t="s">
        <v>853</v>
      </c>
      <c r="AB5" s="173" t="s">
        <v>656</v>
      </c>
      <c r="AC5" s="173" t="s">
        <v>854</v>
      </c>
      <c r="AD5" s="173" t="s">
        <v>664</v>
      </c>
      <c r="AE5" s="173" t="s">
        <v>658</v>
      </c>
      <c r="AF5" s="173" t="s">
        <v>855</v>
      </c>
      <c r="AG5" s="173" t="s">
        <v>856</v>
      </c>
      <c r="AH5" s="173" t="s">
        <v>659</v>
      </c>
      <c r="AI5" s="173" t="s">
        <v>657</v>
      </c>
    </row>
    <row r="6" ht="33.75" customHeight="1">
      <c r="A6" s="117" t="s">
        <v>1021</v>
      </c>
      <c r="B6" s="117"/>
      <c r="C6" s="117"/>
      <c r="D6" s="117"/>
      <c r="E6" s="176"/>
      <c r="F6" s="117"/>
      <c r="G6" s="117"/>
      <c r="H6" s="117"/>
      <c r="I6" s="117"/>
      <c r="J6" s="117"/>
      <c r="K6" s="117"/>
      <c r="L6" s="117"/>
      <c r="M6" s="117"/>
      <c r="N6" s="157"/>
      <c r="O6" s="157"/>
      <c r="P6" s="117"/>
      <c r="Q6" s="177"/>
      <c r="R6" s="117"/>
      <c r="S6" s="157"/>
      <c r="T6" s="117"/>
      <c r="U6" s="131"/>
      <c r="V6" s="117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  <c r="AI6" s="117"/>
    </row>
    <row r="7" ht="15.0" customHeight="1">
      <c r="A7" s="151" t="s">
        <v>1022</v>
      </c>
      <c r="B7" s="11">
        <v>160900.0</v>
      </c>
      <c r="C7" s="120" t="s">
        <v>1023</v>
      </c>
      <c r="D7" s="178" t="s">
        <v>858</v>
      </c>
      <c r="E7" s="21" t="s">
        <v>244</v>
      </c>
      <c r="F7" s="21" t="s">
        <v>956</v>
      </c>
      <c r="G7" s="121">
        <v>46266.0</v>
      </c>
      <c r="H7" s="21" t="s">
        <v>859</v>
      </c>
      <c r="I7" s="11">
        <v>571.0</v>
      </c>
      <c r="J7" s="122"/>
      <c r="K7" s="122"/>
      <c r="L7" s="11">
        <f t="shared" ref="L7:L12" si="1">IF(N($I7)+N($J7)+N($K7)=0,"",N($I7)+N($J7)+N($K7))</f>
        <v>571</v>
      </c>
      <c r="M7" s="21"/>
      <c r="N7" s="169" t="s">
        <v>979</v>
      </c>
      <c r="O7" s="153"/>
      <c r="P7" s="120" t="s">
        <v>1024</v>
      </c>
      <c r="Q7" s="20" t="s">
        <v>1025</v>
      </c>
      <c r="R7" s="21"/>
      <c r="S7" s="169" t="s">
        <v>1026</v>
      </c>
      <c r="T7" s="122">
        <v>11933.0</v>
      </c>
      <c r="U7" s="123">
        <f t="shared" ref="U7:U27" si="2">IF(N($T7)=0,"",$L7/$T7)</f>
        <v>0.04785049862</v>
      </c>
      <c r="V7" s="122">
        <v>29.0</v>
      </c>
      <c r="W7" s="122">
        <v>24.0</v>
      </c>
      <c r="X7" s="122"/>
      <c r="Y7" s="123">
        <f t="shared" ref="Y7:Y20" si="3">IF(N($V7)=0,"",$L7/$V7)</f>
        <v>19.68965517</v>
      </c>
      <c r="Z7" s="123" t="str">
        <f t="shared" ref="Z7:Z27" si="4">IFERROR(L7/X7,"")</f>
        <v/>
      </c>
      <c r="AA7" s="122">
        <v>13.0</v>
      </c>
      <c r="AB7" s="122">
        <v>2.0</v>
      </c>
      <c r="AC7" s="122">
        <v>1412.0</v>
      </c>
      <c r="AD7" s="124">
        <v>0.95</v>
      </c>
      <c r="AE7" s="11">
        <f>IF(OR(N($AB7)=0,$AD7=""),"",ROUND($AB7*$AD7,0))</f>
        <v>2</v>
      </c>
      <c r="AF7" s="122">
        <v>705.0</v>
      </c>
      <c r="AG7" s="11">
        <f t="shared" ref="AG7:AG27" si="5">IF(OR(N($AE7)=0,$AF7=""),"",ROUND($AE7*$AF7,0))</f>
        <v>1410</v>
      </c>
      <c r="AH7" s="11">
        <f t="shared" ref="AH7:AH27" si="6">IF(N($AE7)=0,"",ROUND($L7/$AE7,0))</f>
        <v>286</v>
      </c>
      <c r="AI7" s="179">
        <f t="shared" ref="AI7:AI27" si="7">IF(N($AB7)=0,"",ROUND($L7/$AB7,0))</f>
        <v>286</v>
      </c>
    </row>
    <row r="8" ht="15.0" customHeight="1">
      <c r="A8" s="151" t="s">
        <v>1027</v>
      </c>
      <c r="B8" s="11">
        <v>30300.0</v>
      </c>
      <c r="C8" s="120" t="s">
        <v>1023</v>
      </c>
      <c r="D8" s="178" t="s">
        <v>858</v>
      </c>
      <c r="E8" s="21" t="s">
        <v>244</v>
      </c>
      <c r="F8" s="21" t="s">
        <v>956</v>
      </c>
      <c r="G8" s="121">
        <v>46266.0</v>
      </c>
      <c r="H8" s="21" t="s">
        <v>859</v>
      </c>
      <c r="I8" s="11">
        <v>142.0</v>
      </c>
      <c r="J8" s="122"/>
      <c r="K8" s="122"/>
      <c r="L8" s="11">
        <f t="shared" si="1"/>
        <v>142</v>
      </c>
      <c r="M8" s="21"/>
      <c r="N8" s="169" t="s">
        <v>1028</v>
      </c>
      <c r="O8" s="153"/>
      <c r="P8" s="120" t="s">
        <v>1024</v>
      </c>
      <c r="Q8" s="20" t="s">
        <v>1025</v>
      </c>
      <c r="R8" s="21"/>
      <c r="S8" s="169" t="s">
        <v>1029</v>
      </c>
      <c r="T8" s="122">
        <v>1522.0</v>
      </c>
      <c r="U8" s="123">
        <f t="shared" si="2"/>
        <v>0.09329829172</v>
      </c>
      <c r="V8" s="122">
        <v>7.0</v>
      </c>
      <c r="W8" s="122">
        <v>5.0</v>
      </c>
      <c r="X8" s="122"/>
      <c r="Y8" s="123">
        <f t="shared" si="3"/>
        <v>20.28571429</v>
      </c>
      <c r="Z8" s="123" t="str">
        <f t="shared" si="4"/>
        <v/>
      </c>
      <c r="AA8" s="122">
        <v>0.0</v>
      </c>
      <c r="AB8" s="122">
        <v>0.0</v>
      </c>
      <c r="AC8" s="122">
        <v>0.0</v>
      </c>
      <c r="AD8" s="124">
        <v>0.0</v>
      </c>
      <c r="AE8" s="11">
        <v>0.0</v>
      </c>
      <c r="AF8" s="122">
        <v>0.0</v>
      </c>
      <c r="AG8" s="11" t="str">
        <f t="shared" si="5"/>
        <v/>
      </c>
      <c r="AH8" s="11" t="str">
        <f t="shared" si="6"/>
        <v/>
      </c>
      <c r="AI8" s="11" t="str">
        <f t="shared" si="7"/>
        <v/>
      </c>
    </row>
    <row r="9" ht="15.0" customHeight="1">
      <c r="A9" s="151" t="s">
        <v>1030</v>
      </c>
      <c r="B9" s="11">
        <v>19428.0</v>
      </c>
      <c r="C9" s="120" t="s">
        <v>786</v>
      </c>
      <c r="D9" s="178" t="s">
        <v>861</v>
      </c>
      <c r="E9" s="165" t="s">
        <v>991</v>
      </c>
      <c r="F9" s="21" t="s">
        <v>951</v>
      </c>
      <c r="G9" s="121">
        <v>46266.0</v>
      </c>
      <c r="H9" s="21" t="s">
        <v>859</v>
      </c>
      <c r="I9" s="11">
        <v>3776.0</v>
      </c>
      <c r="J9" s="122"/>
      <c r="K9" s="122"/>
      <c r="L9" s="11">
        <f t="shared" si="1"/>
        <v>3776</v>
      </c>
      <c r="M9" s="21"/>
      <c r="N9" s="169" t="s">
        <v>1031</v>
      </c>
      <c r="O9" s="153"/>
      <c r="P9" s="120" t="s">
        <v>1024</v>
      </c>
      <c r="Q9" s="20" t="s">
        <v>1025</v>
      </c>
      <c r="R9" s="21"/>
      <c r="S9" s="169" t="s">
        <v>1032</v>
      </c>
      <c r="T9" s="122">
        <v>4900.0</v>
      </c>
      <c r="U9" s="123">
        <f t="shared" si="2"/>
        <v>0.7706122449</v>
      </c>
      <c r="V9" s="122">
        <v>19.0</v>
      </c>
      <c r="W9" s="122">
        <v>7.0</v>
      </c>
      <c r="X9" s="122"/>
      <c r="Y9" s="123">
        <f t="shared" si="3"/>
        <v>198.7368421</v>
      </c>
      <c r="Z9" s="123" t="str">
        <f t="shared" si="4"/>
        <v/>
      </c>
      <c r="AA9" s="122">
        <v>2.0</v>
      </c>
      <c r="AB9" s="122">
        <v>0.0</v>
      </c>
      <c r="AC9" s="122">
        <v>0.0</v>
      </c>
      <c r="AD9" s="124">
        <v>0.0</v>
      </c>
      <c r="AE9" s="11">
        <v>0.0</v>
      </c>
      <c r="AF9" s="122">
        <v>0.0</v>
      </c>
      <c r="AG9" s="11" t="str">
        <f t="shared" si="5"/>
        <v/>
      </c>
      <c r="AH9" s="11" t="str">
        <f t="shared" si="6"/>
        <v/>
      </c>
      <c r="AI9" s="11" t="str">
        <f t="shared" si="7"/>
        <v/>
      </c>
    </row>
    <row r="10" ht="15.0" customHeight="1">
      <c r="A10" s="151" t="s">
        <v>1033</v>
      </c>
      <c r="B10" s="11">
        <v>60900.0</v>
      </c>
      <c r="C10" s="120" t="s">
        <v>244</v>
      </c>
      <c r="D10" s="178" t="s">
        <v>858</v>
      </c>
      <c r="E10" s="21" t="s">
        <v>244</v>
      </c>
      <c r="F10" s="21" t="s">
        <v>956</v>
      </c>
      <c r="G10" s="121">
        <v>46267.0</v>
      </c>
      <c r="H10" s="21" t="s">
        <v>859</v>
      </c>
      <c r="I10" s="11">
        <v>3571.0</v>
      </c>
      <c r="J10" s="122"/>
      <c r="K10" s="122"/>
      <c r="L10" s="11">
        <f t="shared" si="1"/>
        <v>3571</v>
      </c>
      <c r="M10" s="21" t="s">
        <v>1034</v>
      </c>
      <c r="N10" s="169" t="s">
        <v>1035</v>
      </c>
      <c r="O10" s="153"/>
      <c r="P10" s="120" t="s">
        <v>1024</v>
      </c>
      <c r="Q10" s="20" t="s">
        <v>1025</v>
      </c>
      <c r="R10" s="21"/>
      <c r="S10" s="169" t="s">
        <v>1036</v>
      </c>
      <c r="T10" s="122">
        <v>12002.0</v>
      </c>
      <c r="U10" s="123">
        <f t="shared" si="2"/>
        <v>0.2975337444</v>
      </c>
      <c r="V10" s="122">
        <v>83.0</v>
      </c>
      <c r="W10" s="122">
        <v>83.0</v>
      </c>
      <c r="X10" s="122"/>
      <c r="Y10" s="123">
        <f t="shared" si="3"/>
        <v>43.02409639</v>
      </c>
      <c r="Z10" s="123" t="str">
        <f t="shared" si="4"/>
        <v/>
      </c>
      <c r="AA10" s="122">
        <v>40.0</v>
      </c>
      <c r="AB10" s="122">
        <v>7.0</v>
      </c>
      <c r="AC10" s="122">
        <v>4720.0</v>
      </c>
      <c r="AD10" s="124">
        <v>0.95</v>
      </c>
      <c r="AE10" s="11">
        <f t="shared" ref="AE10:AE11" si="8">IF(OR(N($AB10)=0,$AD10=""),"",ROUND($AB10*$AD10,0))</f>
        <v>7</v>
      </c>
      <c r="AF10" s="122">
        <v>674.0</v>
      </c>
      <c r="AG10" s="11">
        <f t="shared" si="5"/>
        <v>4718</v>
      </c>
      <c r="AH10" s="11">
        <f t="shared" si="6"/>
        <v>510</v>
      </c>
      <c r="AI10" s="180">
        <f t="shared" si="7"/>
        <v>510</v>
      </c>
    </row>
    <row r="11" ht="15.0" customHeight="1">
      <c r="A11" s="151" t="s">
        <v>1037</v>
      </c>
      <c r="B11" s="11">
        <v>15300.0</v>
      </c>
      <c r="C11" s="120" t="s">
        <v>244</v>
      </c>
      <c r="D11" s="178" t="s">
        <v>858</v>
      </c>
      <c r="E11" s="21" t="s">
        <v>244</v>
      </c>
      <c r="F11" s="21" t="s">
        <v>956</v>
      </c>
      <c r="G11" s="121">
        <v>46267.0</v>
      </c>
      <c r="H11" s="21" t="s">
        <v>859</v>
      </c>
      <c r="I11" s="11">
        <v>141.0</v>
      </c>
      <c r="J11" s="122"/>
      <c r="K11" s="122"/>
      <c r="L11" s="11">
        <f t="shared" si="1"/>
        <v>141</v>
      </c>
      <c r="M11" s="21" t="s">
        <v>1038</v>
      </c>
      <c r="N11" s="169" t="s">
        <v>1039</v>
      </c>
      <c r="O11" s="153"/>
      <c r="P11" s="120" t="s">
        <v>1024</v>
      </c>
      <c r="Q11" s="20" t="s">
        <v>1025</v>
      </c>
      <c r="R11" s="21"/>
      <c r="S11" s="169" t="s">
        <v>1040</v>
      </c>
      <c r="T11" s="122">
        <v>6625.0</v>
      </c>
      <c r="U11" s="123">
        <f t="shared" si="2"/>
        <v>0.02128301887</v>
      </c>
      <c r="V11" s="122">
        <v>43.0</v>
      </c>
      <c r="W11" s="122">
        <v>43.0</v>
      </c>
      <c r="X11" s="122"/>
      <c r="Y11" s="123">
        <f t="shared" si="3"/>
        <v>3.279069767</v>
      </c>
      <c r="Z11" s="123" t="str">
        <f t="shared" si="4"/>
        <v/>
      </c>
      <c r="AA11" s="122">
        <v>16.0</v>
      </c>
      <c r="AB11" s="122">
        <v>4.0</v>
      </c>
      <c r="AC11" s="122">
        <v>7600.0</v>
      </c>
      <c r="AD11" s="124">
        <v>0.95</v>
      </c>
      <c r="AE11" s="11">
        <f t="shared" si="8"/>
        <v>4</v>
      </c>
      <c r="AF11" s="122">
        <v>1200.0</v>
      </c>
      <c r="AG11" s="11">
        <f t="shared" si="5"/>
        <v>4800</v>
      </c>
      <c r="AH11" s="11">
        <f t="shared" si="6"/>
        <v>35</v>
      </c>
      <c r="AI11" s="179">
        <f t="shared" si="7"/>
        <v>35</v>
      </c>
    </row>
    <row r="12" ht="15.0" customHeight="1">
      <c r="A12" s="151" t="s">
        <v>1041</v>
      </c>
      <c r="B12" s="11">
        <v>2755.0</v>
      </c>
      <c r="C12" s="120" t="s">
        <v>786</v>
      </c>
      <c r="D12" s="178" t="s">
        <v>861</v>
      </c>
      <c r="E12" s="165" t="s">
        <v>991</v>
      </c>
      <c r="F12" s="21" t="s">
        <v>1042</v>
      </c>
      <c r="G12" s="121">
        <v>46269.0</v>
      </c>
      <c r="H12" s="21" t="s">
        <v>859</v>
      </c>
      <c r="I12" s="11">
        <v>2097.0</v>
      </c>
      <c r="J12" s="122"/>
      <c r="K12" s="122"/>
      <c r="L12" s="11">
        <f t="shared" si="1"/>
        <v>2097</v>
      </c>
      <c r="M12" s="21" t="s">
        <v>1043</v>
      </c>
      <c r="N12" s="160" t="s">
        <v>1044</v>
      </c>
      <c r="O12" s="160" t="s">
        <v>1045</v>
      </c>
      <c r="P12" s="120" t="s">
        <v>1024</v>
      </c>
      <c r="Q12" s="20" t="s">
        <v>1025</v>
      </c>
      <c r="R12" s="21"/>
      <c r="S12" s="169" t="s">
        <v>1046</v>
      </c>
      <c r="T12" s="122">
        <v>1881.0</v>
      </c>
      <c r="U12" s="123">
        <f t="shared" si="2"/>
        <v>1.114832536</v>
      </c>
      <c r="V12" s="122">
        <v>147.0</v>
      </c>
      <c r="W12" s="122"/>
      <c r="X12" s="122"/>
      <c r="Y12" s="123">
        <f t="shared" si="3"/>
        <v>14.26530612</v>
      </c>
      <c r="Z12" s="123" t="str">
        <f t="shared" si="4"/>
        <v/>
      </c>
      <c r="AA12" s="122">
        <v>0.0</v>
      </c>
      <c r="AB12" s="122">
        <v>0.0</v>
      </c>
      <c r="AC12" s="122">
        <v>0.0</v>
      </c>
      <c r="AD12" s="124">
        <v>0.0</v>
      </c>
      <c r="AE12" s="11">
        <v>0.0</v>
      </c>
      <c r="AF12" s="122">
        <v>0.0</v>
      </c>
      <c r="AG12" s="11" t="str">
        <f t="shared" si="5"/>
        <v/>
      </c>
      <c r="AH12" s="11" t="str">
        <f t="shared" si="6"/>
        <v/>
      </c>
      <c r="AI12" s="11" t="str">
        <f t="shared" si="7"/>
        <v/>
      </c>
    </row>
    <row r="13" ht="15.0" customHeight="1">
      <c r="A13" s="151" t="s">
        <v>40</v>
      </c>
      <c r="B13" s="11">
        <v>26500.0</v>
      </c>
      <c r="C13" s="120" t="s">
        <v>786</v>
      </c>
      <c r="D13" s="178" t="s">
        <v>861</v>
      </c>
      <c r="E13" s="165" t="s">
        <v>991</v>
      </c>
      <c r="F13" s="21" t="s">
        <v>1042</v>
      </c>
      <c r="G13" s="121">
        <v>46269.0</v>
      </c>
      <c r="H13" s="21" t="s">
        <v>859</v>
      </c>
      <c r="I13" s="11">
        <v>3216.0</v>
      </c>
      <c r="J13" s="122"/>
      <c r="K13" s="122"/>
      <c r="L13" s="11">
        <v>3216.0</v>
      </c>
      <c r="M13" s="21"/>
      <c r="N13" s="162" t="s">
        <v>1047</v>
      </c>
      <c r="O13" s="169" t="s">
        <v>1048</v>
      </c>
      <c r="P13" s="120" t="s">
        <v>1024</v>
      </c>
      <c r="Q13" s="20" t="s">
        <v>1025</v>
      </c>
      <c r="R13" s="21"/>
      <c r="S13" s="169" t="s">
        <v>1049</v>
      </c>
      <c r="T13" s="122">
        <v>3954.0</v>
      </c>
      <c r="U13" s="123">
        <f t="shared" si="2"/>
        <v>0.813353566</v>
      </c>
      <c r="V13" s="122">
        <v>105.0</v>
      </c>
      <c r="W13" s="122"/>
      <c r="X13" s="122"/>
      <c r="Y13" s="123">
        <f t="shared" si="3"/>
        <v>30.62857143</v>
      </c>
      <c r="Z13" s="123" t="str">
        <f t="shared" si="4"/>
        <v/>
      </c>
      <c r="AA13" s="122">
        <v>3.0</v>
      </c>
      <c r="AB13" s="122">
        <v>0.0</v>
      </c>
      <c r="AC13" s="122">
        <v>0.0</v>
      </c>
      <c r="AD13" s="124">
        <v>0.0</v>
      </c>
      <c r="AE13" s="11">
        <v>0.0</v>
      </c>
      <c r="AF13" s="122">
        <v>0.0</v>
      </c>
      <c r="AG13" s="11" t="str">
        <f t="shared" si="5"/>
        <v/>
      </c>
      <c r="AH13" s="11" t="str">
        <f t="shared" si="6"/>
        <v/>
      </c>
      <c r="AI13" s="11" t="str">
        <f t="shared" si="7"/>
        <v/>
      </c>
    </row>
    <row r="14" ht="15.0" customHeight="1">
      <c r="A14" s="151" t="s">
        <v>1050</v>
      </c>
      <c r="B14" s="11">
        <v>34500.0</v>
      </c>
      <c r="C14" s="120" t="s">
        <v>786</v>
      </c>
      <c r="D14" s="178" t="s">
        <v>861</v>
      </c>
      <c r="E14" s="165" t="s">
        <v>991</v>
      </c>
      <c r="F14" s="21" t="s">
        <v>1042</v>
      </c>
      <c r="G14" s="121">
        <v>46270.0</v>
      </c>
      <c r="H14" s="21" t="s">
        <v>859</v>
      </c>
      <c r="I14" s="11">
        <v>5944.0</v>
      </c>
      <c r="J14" s="122"/>
      <c r="K14" s="122"/>
      <c r="L14" s="11">
        <f>IF(N($I14)+N($J14)+N($K14)=0,"",N($I14)+N($J14)+N($K14))</f>
        <v>5944</v>
      </c>
      <c r="M14" s="21"/>
      <c r="N14" s="160" t="s">
        <v>1051</v>
      </c>
      <c r="O14" s="169" t="s">
        <v>1052</v>
      </c>
      <c r="P14" s="120" t="s">
        <v>1024</v>
      </c>
      <c r="Q14" s="20" t="s">
        <v>1025</v>
      </c>
      <c r="R14" s="21"/>
      <c r="S14" s="169" t="s">
        <v>1053</v>
      </c>
      <c r="T14" s="122">
        <v>6746.0</v>
      </c>
      <c r="U14" s="123">
        <f t="shared" si="2"/>
        <v>0.8811147347</v>
      </c>
      <c r="V14" s="122">
        <v>301.0</v>
      </c>
      <c r="W14" s="122"/>
      <c r="X14" s="122"/>
      <c r="Y14" s="123">
        <f t="shared" si="3"/>
        <v>19.74750831</v>
      </c>
      <c r="Z14" s="123" t="str">
        <f t="shared" si="4"/>
        <v/>
      </c>
      <c r="AA14" s="122">
        <v>0.0</v>
      </c>
      <c r="AB14" s="122">
        <v>0.0</v>
      </c>
      <c r="AC14" s="122">
        <v>0.0</v>
      </c>
      <c r="AD14" s="124">
        <v>0.0</v>
      </c>
      <c r="AE14" s="11">
        <v>0.0</v>
      </c>
      <c r="AF14" s="122">
        <v>0.0</v>
      </c>
      <c r="AG14" s="11" t="str">
        <f t="shared" si="5"/>
        <v/>
      </c>
      <c r="AH14" s="11" t="str">
        <f t="shared" si="6"/>
        <v/>
      </c>
      <c r="AI14" s="11" t="str">
        <f t="shared" si="7"/>
        <v/>
      </c>
    </row>
    <row r="15" ht="15.0" customHeight="1">
      <c r="A15" s="151" t="s">
        <v>58</v>
      </c>
      <c r="B15" s="11">
        <f>IFERROR(VLOOKUP($A15,'Мои блогеры'!$A:$N,5,0),"")</f>
        <v>89000</v>
      </c>
      <c r="C15" s="120" t="str">
        <f>IFERROR(VLOOKUP($A15,'Мои блогеры'!$A:$N,2,0),"")</f>
        <v>YouTube</v>
      </c>
      <c r="D15" s="178" t="s">
        <v>861</v>
      </c>
      <c r="E15" s="165" t="s">
        <v>950</v>
      </c>
      <c r="F15" s="21" t="s">
        <v>1054</v>
      </c>
      <c r="G15" s="121">
        <v>46270.0</v>
      </c>
      <c r="H15" s="21" t="s">
        <v>859</v>
      </c>
      <c r="I15" s="11">
        <f>IFERROR(VLOOKUP($A15,'Мои блогеры'!$A$2:$N$673,8,0),"")</f>
        <v>7500</v>
      </c>
      <c r="J15" s="122"/>
      <c r="K15" s="122"/>
      <c r="L15" s="11">
        <v>7500.0</v>
      </c>
      <c r="M15" s="21"/>
      <c r="N15" s="162" t="s">
        <v>1055</v>
      </c>
      <c r="O15" s="162" t="s">
        <v>1056</v>
      </c>
      <c r="P15" s="120" t="str">
        <f>IFERROR(VLOOKUP($A15,'Мои блогеры'!$A$2:$N$673,10,0)&amp;"-TRG","")</f>
        <v>-TRG</v>
      </c>
      <c r="Q15" s="20" t="s">
        <v>1025</v>
      </c>
      <c r="R15" s="21"/>
      <c r="S15" s="162" t="s">
        <v>1057</v>
      </c>
      <c r="T15" s="122">
        <v>7901.0</v>
      </c>
      <c r="U15" s="123">
        <f t="shared" si="2"/>
        <v>0.9492469308</v>
      </c>
      <c r="V15" s="122">
        <v>43.0</v>
      </c>
      <c r="W15" s="122">
        <v>43.0</v>
      </c>
      <c r="X15" s="122"/>
      <c r="Y15" s="123">
        <f t="shared" si="3"/>
        <v>174.4186047</v>
      </c>
      <c r="Z15" s="123" t="str">
        <f t="shared" si="4"/>
        <v/>
      </c>
      <c r="AA15" s="122">
        <v>18.0</v>
      </c>
      <c r="AB15" s="122">
        <v>0.0</v>
      </c>
      <c r="AC15" s="122">
        <v>0.0</v>
      </c>
      <c r="AD15" s="124">
        <v>0.0</v>
      </c>
      <c r="AE15" s="11">
        <v>0.0</v>
      </c>
      <c r="AF15" s="122">
        <v>0.0</v>
      </c>
      <c r="AG15" s="11" t="str">
        <f t="shared" si="5"/>
        <v/>
      </c>
      <c r="AH15" s="11" t="str">
        <f t="shared" si="6"/>
        <v/>
      </c>
      <c r="AI15" s="11" t="str">
        <f t="shared" si="7"/>
        <v/>
      </c>
    </row>
    <row r="16" ht="15.0" customHeight="1">
      <c r="A16" s="151" t="s">
        <v>1058</v>
      </c>
      <c r="B16" s="11">
        <v>1381.0</v>
      </c>
      <c r="C16" s="120" t="s">
        <v>786</v>
      </c>
      <c r="D16" s="178" t="s">
        <v>861</v>
      </c>
      <c r="E16" s="165" t="s">
        <v>991</v>
      </c>
      <c r="F16" s="21" t="s">
        <v>1042</v>
      </c>
      <c r="G16" s="121">
        <v>46270.0</v>
      </c>
      <c r="H16" s="21" t="s">
        <v>859</v>
      </c>
      <c r="I16" s="11">
        <v>755.0</v>
      </c>
      <c r="J16" s="122"/>
      <c r="K16" s="122"/>
      <c r="L16" s="11">
        <f>IF(N($I16)+N($J16)+N($K16)=0,"",N($I16)+N($J16)+N($K16))</f>
        <v>755</v>
      </c>
      <c r="M16" s="21"/>
      <c r="N16" s="162" t="s">
        <v>1059</v>
      </c>
      <c r="O16" s="169" t="s">
        <v>1060</v>
      </c>
      <c r="P16" s="120" t="s">
        <v>1024</v>
      </c>
      <c r="Q16" s="20" t="s">
        <v>1025</v>
      </c>
      <c r="R16" s="21"/>
      <c r="S16" s="169" t="s">
        <v>1061</v>
      </c>
      <c r="T16" s="122">
        <v>654.0</v>
      </c>
      <c r="U16" s="123">
        <f t="shared" si="2"/>
        <v>1.154434251</v>
      </c>
      <c r="V16" s="122">
        <v>30.0</v>
      </c>
      <c r="W16" s="122"/>
      <c r="X16" s="122"/>
      <c r="Y16" s="123">
        <f t="shared" si="3"/>
        <v>25.16666667</v>
      </c>
      <c r="Z16" s="123" t="str">
        <f t="shared" si="4"/>
        <v/>
      </c>
      <c r="AA16" s="122">
        <v>1.0</v>
      </c>
      <c r="AB16" s="122">
        <v>0.0</v>
      </c>
      <c r="AC16" s="122">
        <v>0.0</v>
      </c>
      <c r="AD16" s="124">
        <v>0.0</v>
      </c>
      <c r="AE16" s="11">
        <v>0.0</v>
      </c>
      <c r="AF16" s="122">
        <v>0.0</v>
      </c>
      <c r="AG16" s="11" t="str">
        <f t="shared" si="5"/>
        <v/>
      </c>
      <c r="AH16" s="11" t="str">
        <f t="shared" si="6"/>
        <v/>
      </c>
      <c r="AI16" s="11" t="str">
        <f t="shared" si="7"/>
        <v/>
      </c>
    </row>
    <row r="17" ht="15.0" customHeight="1">
      <c r="A17" s="151" t="s">
        <v>1062</v>
      </c>
      <c r="B17" s="11">
        <v>1124.0</v>
      </c>
      <c r="C17" s="120" t="s">
        <v>786</v>
      </c>
      <c r="D17" s="178" t="s">
        <v>861</v>
      </c>
      <c r="E17" s="165" t="s">
        <v>991</v>
      </c>
      <c r="F17" s="21" t="s">
        <v>1042</v>
      </c>
      <c r="G17" s="121">
        <v>46270.0</v>
      </c>
      <c r="H17" s="21" t="s">
        <v>859</v>
      </c>
      <c r="I17" s="11">
        <v>559.0</v>
      </c>
      <c r="J17" s="122"/>
      <c r="K17" s="122"/>
      <c r="L17" s="11">
        <v>559.0</v>
      </c>
      <c r="M17" s="21"/>
      <c r="N17" s="169" t="s">
        <v>1063</v>
      </c>
      <c r="O17" s="169" t="s">
        <v>1064</v>
      </c>
      <c r="P17" s="120" t="s">
        <v>1024</v>
      </c>
      <c r="Q17" s="20" t="s">
        <v>1025</v>
      </c>
      <c r="R17" s="21"/>
      <c r="S17" s="169" t="s">
        <v>1065</v>
      </c>
      <c r="T17" s="122">
        <v>479.0</v>
      </c>
      <c r="U17" s="123">
        <f t="shared" si="2"/>
        <v>1.167014614</v>
      </c>
      <c r="V17" s="122">
        <v>18.0</v>
      </c>
      <c r="W17" s="122"/>
      <c r="X17" s="122"/>
      <c r="Y17" s="123">
        <f t="shared" si="3"/>
        <v>31.05555556</v>
      </c>
      <c r="Z17" s="123" t="str">
        <f t="shared" si="4"/>
        <v/>
      </c>
      <c r="AA17" s="122">
        <v>1.0</v>
      </c>
      <c r="AB17" s="122">
        <v>0.0</v>
      </c>
      <c r="AC17" s="122">
        <v>0.0</v>
      </c>
      <c r="AD17" s="124">
        <v>0.0</v>
      </c>
      <c r="AE17" s="11">
        <v>0.0</v>
      </c>
      <c r="AF17" s="122">
        <v>0.0</v>
      </c>
      <c r="AG17" s="11" t="str">
        <f t="shared" si="5"/>
        <v/>
      </c>
      <c r="AH17" s="11" t="str">
        <f t="shared" si="6"/>
        <v/>
      </c>
      <c r="AI17" s="11" t="str">
        <f t="shared" si="7"/>
        <v/>
      </c>
    </row>
    <row r="18" ht="15.0" customHeight="1">
      <c r="A18" s="151" t="s">
        <v>1066</v>
      </c>
      <c r="B18" s="11">
        <v>456.0</v>
      </c>
      <c r="C18" s="120" t="s">
        <v>786</v>
      </c>
      <c r="D18" s="178" t="s">
        <v>861</v>
      </c>
      <c r="E18" s="165" t="s">
        <v>991</v>
      </c>
      <c r="F18" s="21" t="s">
        <v>1042</v>
      </c>
      <c r="G18" s="121">
        <v>46270.0</v>
      </c>
      <c r="H18" s="21" t="s">
        <v>859</v>
      </c>
      <c r="I18" s="11">
        <v>713.0</v>
      </c>
      <c r="J18" s="122"/>
      <c r="K18" s="122"/>
      <c r="L18" s="11">
        <v>713.0</v>
      </c>
      <c r="M18" s="21"/>
      <c r="N18" s="162" t="s">
        <v>1067</v>
      </c>
      <c r="O18" s="169" t="s">
        <v>1068</v>
      </c>
      <c r="P18" s="120" t="s">
        <v>1024</v>
      </c>
      <c r="Q18" s="20" t="s">
        <v>1025</v>
      </c>
      <c r="R18" s="21"/>
      <c r="S18" s="169" t="s">
        <v>1069</v>
      </c>
      <c r="T18" s="122">
        <v>537.0</v>
      </c>
      <c r="U18" s="123">
        <f t="shared" si="2"/>
        <v>1.327746741</v>
      </c>
      <c r="V18" s="122">
        <v>16.0</v>
      </c>
      <c r="W18" s="122"/>
      <c r="X18" s="122"/>
      <c r="Y18" s="123">
        <f t="shared" si="3"/>
        <v>44.5625</v>
      </c>
      <c r="Z18" s="123" t="str">
        <f t="shared" si="4"/>
        <v/>
      </c>
      <c r="AA18" s="122">
        <v>0.0</v>
      </c>
      <c r="AB18" s="122">
        <v>0.0</v>
      </c>
      <c r="AC18" s="122">
        <v>0.0</v>
      </c>
      <c r="AD18" s="124">
        <v>0.0</v>
      </c>
      <c r="AE18" s="11">
        <v>0.0</v>
      </c>
      <c r="AF18" s="122">
        <v>0.0</v>
      </c>
      <c r="AG18" s="11" t="str">
        <f t="shared" si="5"/>
        <v/>
      </c>
      <c r="AH18" s="11" t="str">
        <f t="shared" si="6"/>
        <v/>
      </c>
      <c r="AI18" s="11" t="str">
        <f t="shared" si="7"/>
        <v/>
      </c>
    </row>
    <row r="19" ht="15.0" customHeight="1">
      <c r="A19" s="151" t="s">
        <v>1070</v>
      </c>
      <c r="B19" s="11">
        <v>1761.0</v>
      </c>
      <c r="C19" s="120" t="s">
        <v>786</v>
      </c>
      <c r="D19" s="178" t="s">
        <v>861</v>
      </c>
      <c r="E19" s="165" t="s">
        <v>991</v>
      </c>
      <c r="F19" s="21" t="s">
        <v>1042</v>
      </c>
      <c r="G19" s="121">
        <v>46270.0</v>
      </c>
      <c r="H19" s="21" t="s">
        <v>859</v>
      </c>
      <c r="I19" s="11">
        <v>839.0</v>
      </c>
      <c r="J19" s="122"/>
      <c r="K19" s="122"/>
      <c r="L19" s="11">
        <v>839.0</v>
      </c>
      <c r="M19" s="21"/>
      <c r="N19" s="160" t="s">
        <v>1071</v>
      </c>
      <c r="O19" s="169" t="s">
        <v>1072</v>
      </c>
      <c r="P19" s="120" t="s">
        <v>1024</v>
      </c>
      <c r="Q19" s="20" t="s">
        <v>1025</v>
      </c>
      <c r="R19" s="21"/>
      <c r="S19" s="169" t="s">
        <v>1073</v>
      </c>
      <c r="T19" s="122">
        <v>846.0</v>
      </c>
      <c r="U19" s="123">
        <f t="shared" si="2"/>
        <v>0.9917257683</v>
      </c>
      <c r="V19" s="122">
        <v>41.0</v>
      </c>
      <c r="W19" s="122"/>
      <c r="X19" s="122"/>
      <c r="Y19" s="123">
        <f t="shared" si="3"/>
        <v>20.46341463</v>
      </c>
      <c r="Z19" s="123" t="str">
        <f t="shared" si="4"/>
        <v/>
      </c>
      <c r="AA19" s="122">
        <v>0.0</v>
      </c>
      <c r="AB19" s="122">
        <v>0.0</v>
      </c>
      <c r="AC19" s="122">
        <v>0.0</v>
      </c>
      <c r="AD19" s="124">
        <v>0.0</v>
      </c>
      <c r="AE19" s="11">
        <v>0.0</v>
      </c>
      <c r="AF19" s="122">
        <v>0.0</v>
      </c>
      <c r="AG19" s="11" t="str">
        <f t="shared" si="5"/>
        <v/>
      </c>
      <c r="AH19" s="11" t="str">
        <f t="shared" si="6"/>
        <v/>
      </c>
      <c r="AI19" s="11" t="str">
        <f t="shared" si="7"/>
        <v/>
      </c>
    </row>
    <row r="20" ht="15.0" customHeight="1">
      <c r="A20" s="125" t="s">
        <v>994</v>
      </c>
      <c r="B20" s="11">
        <v>5936.0</v>
      </c>
      <c r="C20" s="120" t="s">
        <v>786</v>
      </c>
      <c r="D20" s="178" t="s">
        <v>861</v>
      </c>
      <c r="E20" s="165" t="s">
        <v>991</v>
      </c>
      <c r="F20" s="21" t="s">
        <v>1042</v>
      </c>
      <c r="G20" s="121">
        <v>46270.0</v>
      </c>
      <c r="H20" s="21" t="s">
        <v>859</v>
      </c>
      <c r="I20" s="11">
        <v>1006.0</v>
      </c>
      <c r="J20" s="122"/>
      <c r="K20" s="122"/>
      <c r="L20" s="11">
        <v>1006.0</v>
      </c>
      <c r="M20" s="21"/>
      <c r="N20" s="169" t="s">
        <v>1074</v>
      </c>
      <c r="O20" s="169" t="s">
        <v>1075</v>
      </c>
      <c r="P20" s="120" t="s">
        <v>1024</v>
      </c>
      <c r="Q20" s="20" t="s">
        <v>1025</v>
      </c>
      <c r="R20" s="21"/>
      <c r="S20" s="169" t="s">
        <v>1076</v>
      </c>
      <c r="T20" s="122">
        <v>1261.0</v>
      </c>
      <c r="U20" s="123">
        <f t="shared" si="2"/>
        <v>0.79777954</v>
      </c>
      <c r="V20" s="122">
        <v>24.0</v>
      </c>
      <c r="W20" s="122">
        <v>21.0</v>
      </c>
      <c r="X20" s="122"/>
      <c r="Y20" s="123">
        <f t="shared" si="3"/>
        <v>41.91666667</v>
      </c>
      <c r="Z20" s="123" t="str">
        <f t="shared" si="4"/>
        <v/>
      </c>
      <c r="AA20" s="122">
        <v>1.0</v>
      </c>
      <c r="AB20" s="122">
        <v>0.0</v>
      </c>
      <c r="AC20" s="122">
        <v>0.0</v>
      </c>
      <c r="AD20" s="124">
        <v>0.0</v>
      </c>
      <c r="AE20" s="11">
        <v>0.0</v>
      </c>
      <c r="AF20" s="122">
        <v>0.0</v>
      </c>
      <c r="AG20" s="11" t="str">
        <f t="shared" si="5"/>
        <v/>
      </c>
      <c r="AH20" s="11" t="str">
        <f t="shared" si="6"/>
        <v/>
      </c>
      <c r="AI20" s="11" t="str">
        <f t="shared" si="7"/>
        <v/>
      </c>
    </row>
    <row r="21" ht="15.0" customHeight="1">
      <c r="A21" s="181" t="s">
        <v>1077</v>
      </c>
      <c r="B21" s="11">
        <v>376.0</v>
      </c>
      <c r="C21" s="120" t="s">
        <v>244</v>
      </c>
      <c r="D21" s="178" t="s">
        <v>858</v>
      </c>
      <c r="E21" s="21" t="s">
        <v>244</v>
      </c>
      <c r="F21" s="21" t="s">
        <v>956</v>
      </c>
      <c r="G21" s="121">
        <v>46271.0</v>
      </c>
      <c r="H21" s="21" t="s">
        <v>859</v>
      </c>
      <c r="I21" s="11">
        <v>357.0</v>
      </c>
      <c r="J21" s="122"/>
      <c r="K21" s="122"/>
      <c r="L21" s="11">
        <v>357.0</v>
      </c>
      <c r="M21" s="21"/>
      <c r="N21" s="182" t="s">
        <v>1078</v>
      </c>
      <c r="O21" s="153"/>
      <c r="P21" s="120" t="s">
        <v>1024</v>
      </c>
      <c r="Q21" s="20" t="s">
        <v>1025</v>
      </c>
      <c r="R21" s="21"/>
      <c r="S21" s="169" t="s">
        <v>1079</v>
      </c>
      <c r="T21" s="122">
        <v>81.0</v>
      </c>
      <c r="U21" s="123">
        <f t="shared" si="2"/>
        <v>4.407407407</v>
      </c>
      <c r="V21" s="122">
        <v>0.0</v>
      </c>
      <c r="W21" s="122">
        <v>0.0</v>
      </c>
      <c r="X21" s="122"/>
      <c r="Y21" s="123">
        <v>0.0</v>
      </c>
      <c r="Z21" s="123" t="str">
        <f t="shared" si="4"/>
        <v/>
      </c>
      <c r="AA21" s="122">
        <v>0.0</v>
      </c>
      <c r="AB21" s="122">
        <v>0.0</v>
      </c>
      <c r="AC21" s="122">
        <v>0.0</v>
      </c>
      <c r="AD21" s="124">
        <v>0.0</v>
      </c>
      <c r="AE21" s="11" t="str">
        <f>IF(OR(N($AB21)=0,$AD21=""),"",ROUND($AB21*$AD21,0))</f>
        <v/>
      </c>
      <c r="AF21" s="122"/>
      <c r="AG21" s="11" t="str">
        <f t="shared" si="5"/>
        <v/>
      </c>
      <c r="AH21" s="11" t="str">
        <f t="shared" si="6"/>
        <v/>
      </c>
      <c r="AI21" s="11" t="str">
        <f t="shared" si="7"/>
        <v/>
      </c>
    </row>
    <row r="22" ht="13.5" customHeight="1">
      <c r="A22" s="151" t="s">
        <v>1080</v>
      </c>
      <c r="B22" s="11">
        <v>5300.0</v>
      </c>
      <c r="C22" s="120" t="s">
        <v>786</v>
      </c>
      <c r="D22" s="178" t="s">
        <v>861</v>
      </c>
      <c r="E22" s="165" t="s">
        <v>991</v>
      </c>
      <c r="F22" s="21" t="s">
        <v>1081</v>
      </c>
      <c r="G22" s="121">
        <v>46271.0</v>
      </c>
      <c r="H22" s="21" t="s">
        <v>859</v>
      </c>
      <c r="I22" s="11">
        <v>1230.0</v>
      </c>
      <c r="J22" s="122"/>
      <c r="K22" s="122"/>
      <c r="L22" s="11">
        <v>1230.0</v>
      </c>
      <c r="M22" s="21"/>
      <c r="N22" s="162" t="s">
        <v>1082</v>
      </c>
      <c r="O22" s="169" t="s">
        <v>1083</v>
      </c>
      <c r="P22" s="120" t="s">
        <v>1024</v>
      </c>
      <c r="Q22" s="20" t="s">
        <v>1025</v>
      </c>
      <c r="R22" s="21"/>
      <c r="S22" s="169" t="s">
        <v>1084</v>
      </c>
      <c r="T22" s="122">
        <v>796.0</v>
      </c>
      <c r="U22" s="123">
        <f t="shared" si="2"/>
        <v>1.545226131</v>
      </c>
      <c r="V22" s="122">
        <v>31.0</v>
      </c>
      <c r="W22" s="122">
        <v>16.0</v>
      </c>
      <c r="X22" s="122"/>
      <c r="Y22" s="123">
        <f t="shared" ref="Y22:Y27" si="9">IF(N($V22)=0,"",$L22/$V22)</f>
        <v>39.67741935</v>
      </c>
      <c r="Z22" s="123" t="str">
        <f t="shared" si="4"/>
        <v/>
      </c>
      <c r="AA22" s="122">
        <v>2.0</v>
      </c>
      <c r="AB22" s="122">
        <v>0.0</v>
      </c>
      <c r="AC22" s="122">
        <v>0.0</v>
      </c>
      <c r="AD22" s="124">
        <v>0.0</v>
      </c>
      <c r="AE22" s="11">
        <v>0.0</v>
      </c>
      <c r="AF22" s="122">
        <v>0.0</v>
      </c>
      <c r="AG22" s="11" t="str">
        <f t="shared" si="5"/>
        <v/>
      </c>
      <c r="AH22" s="11" t="str">
        <f t="shared" si="6"/>
        <v/>
      </c>
      <c r="AI22" s="11" t="str">
        <f t="shared" si="7"/>
        <v/>
      </c>
    </row>
    <row r="23" ht="15.0" customHeight="1">
      <c r="A23" s="151" t="s">
        <v>1085</v>
      </c>
      <c r="B23" s="11">
        <v>3686.0</v>
      </c>
      <c r="C23" s="120" t="s">
        <v>786</v>
      </c>
      <c r="D23" s="178" t="s">
        <v>861</v>
      </c>
      <c r="E23" s="165" t="s">
        <v>991</v>
      </c>
      <c r="F23" s="21" t="s">
        <v>1081</v>
      </c>
      <c r="G23" s="121">
        <v>46271.0</v>
      </c>
      <c r="H23" s="21" t="s">
        <v>859</v>
      </c>
      <c r="I23" s="11">
        <v>469.0</v>
      </c>
      <c r="J23" s="122"/>
      <c r="K23" s="122"/>
      <c r="L23" s="11">
        <v>469.0</v>
      </c>
      <c r="M23" s="21"/>
      <c r="N23" s="162" t="s">
        <v>1086</v>
      </c>
      <c r="O23" s="169" t="s">
        <v>1087</v>
      </c>
      <c r="P23" s="120" t="s">
        <v>1024</v>
      </c>
      <c r="Q23" s="20" t="s">
        <v>1025</v>
      </c>
      <c r="R23" s="21"/>
      <c r="S23" s="169" t="s">
        <v>1088</v>
      </c>
      <c r="T23" s="122">
        <v>679.0</v>
      </c>
      <c r="U23" s="123">
        <f t="shared" si="2"/>
        <v>0.6907216495</v>
      </c>
      <c r="V23" s="122">
        <v>56.0</v>
      </c>
      <c r="W23" s="122"/>
      <c r="X23" s="122"/>
      <c r="Y23" s="123">
        <f t="shared" si="9"/>
        <v>8.375</v>
      </c>
      <c r="Z23" s="123" t="str">
        <f t="shared" si="4"/>
        <v/>
      </c>
      <c r="AA23" s="122">
        <v>0.0</v>
      </c>
      <c r="AB23" s="122">
        <v>0.0</v>
      </c>
      <c r="AC23" s="122">
        <v>0.0</v>
      </c>
      <c r="AD23" s="124">
        <v>0.0</v>
      </c>
      <c r="AE23" s="11">
        <v>0.0</v>
      </c>
      <c r="AF23" s="122">
        <v>0.0</v>
      </c>
      <c r="AG23" s="11" t="str">
        <f t="shared" si="5"/>
        <v/>
      </c>
      <c r="AH23" s="11" t="str">
        <f t="shared" si="6"/>
        <v/>
      </c>
      <c r="AI23" s="11" t="str">
        <f t="shared" si="7"/>
        <v/>
      </c>
    </row>
    <row r="24" ht="15.0" customHeight="1">
      <c r="A24" s="151" t="s">
        <v>149</v>
      </c>
      <c r="B24" s="11">
        <v>7689.0</v>
      </c>
      <c r="C24" s="120" t="s">
        <v>786</v>
      </c>
      <c r="D24" s="178" t="s">
        <v>861</v>
      </c>
      <c r="E24" s="165" t="s">
        <v>991</v>
      </c>
      <c r="F24" s="21" t="s">
        <v>1081</v>
      </c>
      <c r="G24" s="121">
        <v>46271.0</v>
      </c>
      <c r="H24" s="21" t="s">
        <v>859</v>
      </c>
      <c r="I24" s="11">
        <v>2643.0</v>
      </c>
      <c r="J24" s="122"/>
      <c r="K24" s="122"/>
      <c r="L24" s="11">
        <v>2643.0</v>
      </c>
      <c r="M24" s="21"/>
      <c r="N24" s="162" t="s">
        <v>1089</v>
      </c>
      <c r="O24" s="169" t="s">
        <v>1090</v>
      </c>
      <c r="P24" s="120"/>
      <c r="Q24" s="20" t="s">
        <v>1025</v>
      </c>
      <c r="R24" s="21"/>
      <c r="S24" s="169" t="s">
        <v>1091</v>
      </c>
      <c r="T24" s="122">
        <v>3334.0</v>
      </c>
      <c r="U24" s="123">
        <f t="shared" si="2"/>
        <v>0.7927414517</v>
      </c>
      <c r="V24" s="122">
        <v>92.0</v>
      </c>
      <c r="W24" s="122"/>
      <c r="X24" s="122"/>
      <c r="Y24" s="123">
        <f t="shared" si="9"/>
        <v>28.72826087</v>
      </c>
      <c r="Z24" s="123" t="str">
        <f t="shared" si="4"/>
        <v/>
      </c>
      <c r="AA24" s="122">
        <v>0.0</v>
      </c>
      <c r="AB24" s="122">
        <v>0.0</v>
      </c>
      <c r="AC24" s="122">
        <v>0.0</v>
      </c>
      <c r="AD24" s="124">
        <v>0.0</v>
      </c>
      <c r="AE24" s="11">
        <v>0.0</v>
      </c>
      <c r="AF24" s="122">
        <v>0.0</v>
      </c>
      <c r="AG24" s="11" t="str">
        <f t="shared" si="5"/>
        <v/>
      </c>
      <c r="AH24" s="11" t="str">
        <f t="shared" si="6"/>
        <v/>
      </c>
      <c r="AI24" s="11" t="str">
        <f t="shared" si="7"/>
        <v/>
      </c>
    </row>
    <row r="25" ht="15.75" customHeight="1">
      <c r="A25" s="181" t="s">
        <v>1092</v>
      </c>
      <c r="B25" s="11">
        <v>15700.0</v>
      </c>
      <c r="C25" s="120" t="s">
        <v>244</v>
      </c>
      <c r="D25" s="178" t="s">
        <v>858</v>
      </c>
      <c r="E25" s="21" t="s">
        <v>244</v>
      </c>
      <c r="F25" s="21" t="s">
        <v>1081</v>
      </c>
      <c r="G25" s="121">
        <v>46271.0</v>
      </c>
      <c r="H25" s="21" t="s">
        <v>859</v>
      </c>
      <c r="I25" s="11">
        <v>7142.0</v>
      </c>
      <c r="J25" s="122"/>
      <c r="K25" s="122"/>
      <c r="L25" s="11">
        <f t="shared" ref="L25:L27" si="10">IF(N($I25)+N($J25)+N($K25)=0,"",N($I25)+N($J25)+N($K25))</f>
        <v>7142</v>
      </c>
      <c r="M25" s="21"/>
      <c r="N25" s="183" t="s">
        <v>1093</v>
      </c>
      <c r="O25" s="153"/>
      <c r="P25" s="120" t="s">
        <v>1024</v>
      </c>
      <c r="Q25" s="20" t="s">
        <v>1025</v>
      </c>
      <c r="R25" s="21"/>
      <c r="S25" s="169" t="s">
        <v>1094</v>
      </c>
      <c r="T25" s="122">
        <v>2620.0</v>
      </c>
      <c r="U25" s="123">
        <f t="shared" si="2"/>
        <v>2.725954198</v>
      </c>
      <c r="V25" s="122">
        <v>8.0</v>
      </c>
      <c r="W25" s="122">
        <v>5.0</v>
      </c>
      <c r="X25" s="122"/>
      <c r="Y25" s="123">
        <f t="shared" si="9"/>
        <v>892.75</v>
      </c>
      <c r="Z25" s="123" t="str">
        <f t="shared" si="4"/>
        <v/>
      </c>
      <c r="AA25" s="122">
        <v>0.0</v>
      </c>
      <c r="AB25" s="122">
        <v>0.0</v>
      </c>
      <c r="AC25" s="122">
        <v>0.0</v>
      </c>
      <c r="AD25" s="124">
        <v>0.0</v>
      </c>
      <c r="AE25" s="11">
        <v>0.0</v>
      </c>
      <c r="AF25" s="122">
        <v>0.0</v>
      </c>
      <c r="AG25" s="11" t="str">
        <f t="shared" si="5"/>
        <v/>
      </c>
      <c r="AH25" s="11" t="str">
        <f t="shared" si="6"/>
        <v/>
      </c>
      <c r="AI25" s="11" t="str">
        <f t="shared" si="7"/>
        <v/>
      </c>
    </row>
    <row r="26" ht="15.0" customHeight="1">
      <c r="A26" s="151" t="s">
        <v>1095</v>
      </c>
      <c r="B26" s="11">
        <v>15499.0</v>
      </c>
      <c r="C26" s="120" t="s">
        <v>244</v>
      </c>
      <c r="D26" s="21" t="s">
        <v>858</v>
      </c>
      <c r="E26" s="21" t="s">
        <v>244</v>
      </c>
      <c r="F26" s="21" t="s">
        <v>956</v>
      </c>
      <c r="G26" s="121">
        <v>46272.0</v>
      </c>
      <c r="H26" s="21" t="s">
        <v>859</v>
      </c>
      <c r="I26" s="11">
        <v>142.0</v>
      </c>
      <c r="J26" s="122"/>
      <c r="K26" s="122"/>
      <c r="L26" s="11">
        <f t="shared" si="10"/>
        <v>142</v>
      </c>
      <c r="M26" s="21"/>
      <c r="N26" s="169" t="s">
        <v>1096</v>
      </c>
      <c r="O26" s="153"/>
      <c r="P26" s="120" t="s">
        <v>1024</v>
      </c>
      <c r="Q26" s="20" t="s">
        <v>1025</v>
      </c>
      <c r="R26" s="21"/>
      <c r="S26" s="169" t="s">
        <v>1097</v>
      </c>
      <c r="T26" s="122">
        <v>226.0</v>
      </c>
      <c r="U26" s="123">
        <f t="shared" si="2"/>
        <v>0.6283185841</v>
      </c>
      <c r="V26" s="122">
        <v>1.0</v>
      </c>
      <c r="W26" s="122">
        <v>1.0</v>
      </c>
      <c r="X26" s="122"/>
      <c r="Y26" s="123">
        <f t="shared" si="9"/>
        <v>142</v>
      </c>
      <c r="Z26" s="123" t="str">
        <f t="shared" si="4"/>
        <v/>
      </c>
      <c r="AA26" s="122">
        <v>0.0</v>
      </c>
      <c r="AB26" s="122">
        <v>0.0</v>
      </c>
      <c r="AC26" s="122">
        <v>0.0</v>
      </c>
      <c r="AD26" s="124">
        <v>0.0</v>
      </c>
      <c r="AE26" s="11">
        <v>0.0</v>
      </c>
      <c r="AF26" s="122">
        <v>0.0</v>
      </c>
      <c r="AG26" s="11" t="str">
        <f t="shared" si="5"/>
        <v/>
      </c>
      <c r="AH26" s="11" t="str">
        <f t="shared" si="6"/>
        <v/>
      </c>
      <c r="AI26" s="11" t="str">
        <f t="shared" si="7"/>
        <v/>
      </c>
    </row>
    <row r="27" ht="15.0" customHeight="1">
      <c r="A27" s="181" t="s">
        <v>261</v>
      </c>
      <c r="B27" s="11">
        <v>416000.0</v>
      </c>
      <c r="C27" s="120" t="s">
        <v>244</v>
      </c>
      <c r="D27" s="178" t="s">
        <v>861</v>
      </c>
      <c r="E27" s="165">
        <v>18.0</v>
      </c>
      <c r="F27" s="21" t="s">
        <v>1042</v>
      </c>
      <c r="G27" s="121">
        <v>46272.0</v>
      </c>
      <c r="H27" s="21" t="s">
        <v>859</v>
      </c>
      <c r="I27" s="11">
        <v>20000.0</v>
      </c>
      <c r="J27" s="122">
        <v>1200.0</v>
      </c>
      <c r="K27" s="122"/>
      <c r="L27" s="11">
        <f t="shared" si="10"/>
        <v>21200</v>
      </c>
      <c r="M27" s="21" t="s">
        <v>1098</v>
      </c>
      <c r="N27" s="169" t="s">
        <v>1099</v>
      </c>
      <c r="O27" s="169" t="s">
        <v>1100</v>
      </c>
      <c r="P27" s="120" t="s">
        <v>1024</v>
      </c>
      <c r="Q27" s="20" t="s">
        <v>1025</v>
      </c>
      <c r="R27" s="21" t="s">
        <v>935</v>
      </c>
      <c r="S27" s="162" t="s">
        <v>1101</v>
      </c>
      <c r="T27" s="122">
        <v>62700.0</v>
      </c>
      <c r="U27" s="123">
        <f t="shared" si="2"/>
        <v>0.3381180223</v>
      </c>
      <c r="V27" s="122">
        <v>15.0</v>
      </c>
      <c r="W27" s="122">
        <v>2.0</v>
      </c>
      <c r="X27" s="122"/>
      <c r="Y27" s="123">
        <f t="shared" si="9"/>
        <v>1413.333333</v>
      </c>
      <c r="Z27" s="123" t="str">
        <f t="shared" si="4"/>
        <v/>
      </c>
      <c r="AA27" s="122">
        <v>2.0</v>
      </c>
      <c r="AB27" s="122">
        <v>0.0</v>
      </c>
      <c r="AC27" s="122">
        <v>0.0</v>
      </c>
      <c r="AD27" s="124">
        <v>0.0</v>
      </c>
      <c r="AE27" s="11">
        <v>0.0</v>
      </c>
      <c r="AF27" s="122">
        <v>0.0</v>
      </c>
      <c r="AG27" s="11" t="str">
        <f t="shared" si="5"/>
        <v/>
      </c>
      <c r="AH27" s="11" t="str">
        <f t="shared" si="6"/>
        <v/>
      </c>
      <c r="AI27" s="11" t="str">
        <f t="shared" si="7"/>
        <v/>
      </c>
    </row>
    <row r="28" ht="15.0" customHeight="1">
      <c r="A28" s="126" t="s">
        <v>1102</v>
      </c>
      <c r="B28" s="127"/>
      <c r="C28" s="126"/>
      <c r="D28" s="126"/>
      <c r="E28" s="184"/>
      <c r="F28" s="126"/>
      <c r="G28" s="126"/>
      <c r="H28" s="126" t="str">
        <f>COUNTIF(H7:H27,"Вышло")&amp;" / "&amp;COUNTA(A7:A27)</f>
        <v>21 / 21</v>
      </c>
      <c r="I28" s="127">
        <f t="shared" ref="I28:L28" si="11">SUM(I7:I27)</f>
        <v>62813</v>
      </c>
      <c r="J28" s="127">
        <f t="shared" si="11"/>
        <v>1200</v>
      </c>
      <c r="K28" s="127">
        <f t="shared" si="11"/>
        <v>0</v>
      </c>
      <c r="L28" s="127">
        <f t="shared" si="11"/>
        <v>64013</v>
      </c>
      <c r="M28" s="126"/>
      <c r="N28" s="163"/>
      <c r="O28" s="163"/>
      <c r="P28" s="126"/>
      <c r="Q28" s="185"/>
      <c r="R28" s="126"/>
      <c r="S28" s="163"/>
      <c r="T28" s="127">
        <f>SUM(T7:T27)</f>
        <v>131677</v>
      </c>
      <c r="U28" s="128">
        <f>IF(N(T28)=0,"",L28/T28)</f>
        <v>0.4861365311</v>
      </c>
      <c r="V28" s="127">
        <f t="shared" ref="V28:W28" si="12">SUM(V7:V27)</f>
        <v>1109</v>
      </c>
      <c r="W28" s="127">
        <f t="shared" si="12"/>
        <v>250</v>
      </c>
      <c r="X28" s="127"/>
      <c r="Y28" s="128">
        <f>IF(N(V28)=0,"",L28/V28)</f>
        <v>57.7213706</v>
      </c>
      <c r="Z28" s="128"/>
      <c r="AA28" s="127">
        <f t="shared" ref="AA28:AC28" si="13">SUM(AA7:AA27)</f>
        <v>99</v>
      </c>
      <c r="AB28" s="127">
        <f t="shared" si="13"/>
        <v>13</v>
      </c>
      <c r="AC28" s="127">
        <f t="shared" si="13"/>
        <v>13732</v>
      </c>
      <c r="AD28" s="129"/>
      <c r="AE28" s="127">
        <f>SUM(AE7:AE27)</f>
        <v>13</v>
      </c>
      <c r="AF28" s="127"/>
      <c r="AG28" s="127">
        <f>SUM(AG7:AG27)</f>
        <v>10928</v>
      </c>
      <c r="AH28" s="127">
        <f>IF(N(AE28)=0,"—",ROUND(L28/AE28,0))</f>
        <v>4924</v>
      </c>
      <c r="AI28" s="127">
        <f>IF(N(AB28)=0,"—",ROUND(L28/AB28,0))</f>
        <v>4924</v>
      </c>
    </row>
    <row r="29" ht="15.0" customHeight="1">
      <c r="A29" s="117" t="s">
        <v>1103</v>
      </c>
      <c r="B29" s="130"/>
      <c r="C29" s="117"/>
      <c r="D29" s="117"/>
      <c r="E29" s="176"/>
      <c r="F29" s="117"/>
      <c r="G29" s="117"/>
      <c r="H29" s="117"/>
      <c r="I29" s="130"/>
      <c r="J29" s="130"/>
      <c r="K29" s="130"/>
      <c r="L29" s="130"/>
      <c r="M29" s="117"/>
      <c r="N29" s="157"/>
      <c r="O29" s="157"/>
      <c r="P29" s="117"/>
      <c r="Q29" s="177"/>
      <c r="R29" s="117"/>
      <c r="S29" s="157"/>
      <c r="T29" s="130"/>
      <c r="U29" s="131"/>
      <c r="V29" s="130"/>
      <c r="W29" s="130"/>
      <c r="X29" s="130"/>
      <c r="Y29" s="131"/>
      <c r="Z29" s="131"/>
      <c r="AA29" s="130"/>
      <c r="AB29" s="130"/>
      <c r="AC29" s="130"/>
      <c r="AD29" s="132"/>
      <c r="AE29" s="130"/>
      <c r="AF29" s="130"/>
      <c r="AG29" s="130"/>
      <c r="AH29" s="130"/>
      <c r="AI29" s="130"/>
    </row>
    <row r="30" ht="15.0" customHeight="1">
      <c r="A30" s="151" t="s">
        <v>152</v>
      </c>
      <c r="B30" s="11">
        <f>IFERROR(VLOOKUP($A30,'Мои блогеры'!$A:$N,5,0),"")</f>
        <v>18855</v>
      </c>
      <c r="C30" s="120" t="s">
        <v>1104</v>
      </c>
      <c r="D30" s="178" t="s">
        <v>861</v>
      </c>
      <c r="E30" s="165" t="s">
        <v>1105</v>
      </c>
      <c r="F30" s="21" t="s">
        <v>951</v>
      </c>
      <c r="G30" s="121">
        <v>46274.0</v>
      </c>
      <c r="H30" s="21" t="s">
        <v>859</v>
      </c>
      <c r="I30" s="11">
        <v>600.0</v>
      </c>
      <c r="J30" s="122"/>
      <c r="K30" s="122"/>
      <c r="L30" s="11">
        <f t="shared" ref="L30:L43" si="14">IF(N($I30)+N($J30)+N($K30)=0,"",N($I30)+N($J30)+N($K30))</f>
        <v>600</v>
      </c>
      <c r="M30" s="21" t="s">
        <v>1106</v>
      </c>
      <c r="N30" s="169" t="s">
        <v>1107</v>
      </c>
      <c r="O30" s="160" t="s">
        <v>1108</v>
      </c>
      <c r="P30" s="120" t="s">
        <v>1024</v>
      </c>
      <c r="Q30" s="20" t="s">
        <v>1025</v>
      </c>
      <c r="R30" s="21"/>
      <c r="S30" s="162" t="s">
        <v>1109</v>
      </c>
      <c r="T30" s="122">
        <v>1331.0</v>
      </c>
      <c r="U30" s="123">
        <f t="shared" ref="U30:U39" si="15">IF(N($T30)=0,"",$L30/$T30)</f>
        <v>0.4507888805</v>
      </c>
      <c r="V30" s="122">
        <v>8.0</v>
      </c>
      <c r="W30" s="122">
        <v>5.0</v>
      </c>
      <c r="X30" s="122"/>
      <c r="Y30" s="123">
        <f t="shared" ref="Y30:Y39" si="16">IF(N($V30)=0,"",$L30/$V30)</f>
        <v>75</v>
      </c>
      <c r="Z30" s="123" t="str">
        <f t="shared" ref="Z30:Z88" si="17">IFERROR(L30/X30,"")</f>
        <v/>
      </c>
      <c r="AA30" s="122">
        <v>0.0</v>
      </c>
      <c r="AB30" s="122">
        <v>0.0</v>
      </c>
      <c r="AC30" s="122">
        <v>0.0</v>
      </c>
      <c r="AD30" s="124">
        <v>0.0</v>
      </c>
      <c r="AE30" s="11">
        <v>0.0</v>
      </c>
      <c r="AF30" s="122">
        <v>0.0</v>
      </c>
      <c r="AG30" s="11">
        <v>0.0</v>
      </c>
      <c r="AH30" s="11">
        <v>0.0</v>
      </c>
      <c r="AI30" s="11">
        <v>0.0</v>
      </c>
    </row>
    <row r="31" ht="15.0" customHeight="1">
      <c r="A31" s="151" t="s">
        <v>161</v>
      </c>
      <c r="B31" s="11">
        <v>8700.0</v>
      </c>
      <c r="C31" s="120" t="s">
        <v>29</v>
      </c>
      <c r="D31" s="178" t="s">
        <v>861</v>
      </c>
      <c r="E31" s="165" t="s">
        <v>1105</v>
      </c>
      <c r="F31" s="21" t="s">
        <v>1042</v>
      </c>
      <c r="G31" s="121">
        <v>46274.0</v>
      </c>
      <c r="H31" s="21" t="s">
        <v>859</v>
      </c>
      <c r="I31" s="11">
        <v>600.0</v>
      </c>
      <c r="J31" s="122"/>
      <c r="K31" s="122"/>
      <c r="L31" s="11">
        <f t="shared" si="14"/>
        <v>600</v>
      </c>
      <c r="M31" s="21" t="s">
        <v>1110</v>
      </c>
      <c r="N31" s="160" t="s">
        <v>1111</v>
      </c>
      <c r="O31" s="160" t="s">
        <v>1108</v>
      </c>
      <c r="P31" s="120" t="s">
        <v>1024</v>
      </c>
      <c r="Q31" s="20" t="s">
        <v>1025</v>
      </c>
      <c r="R31" s="21"/>
      <c r="S31" s="162" t="s">
        <v>1112</v>
      </c>
      <c r="T31" s="122">
        <v>1241.0</v>
      </c>
      <c r="U31" s="123">
        <f t="shared" si="15"/>
        <v>0.4834810637</v>
      </c>
      <c r="V31" s="122">
        <v>8.0</v>
      </c>
      <c r="W31" s="122">
        <v>4.0</v>
      </c>
      <c r="X31" s="122"/>
      <c r="Y31" s="123">
        <f t="shared" si="16"/>
        <v>75</v>
      </c>
      <c r="Z31" s="123" t="str">
        <f t="shared" si="17"/>
        <v/>
      </c>
      <c r="AA31" s="122">
        <v>2.0</v>
      </c>
      <c r="AB31" s="122">
        <v>0.0</v>
      </c>
      <c r="AC31" s="122">
        <v>0.0</v>
      </c>
      <c r="AD31" s="124">
        <v>0.0</v>
      </c>
      <c r="AE31" s="11">
        <v>0.0</v>
      </c>
      <c r="AF31" s="122">
        <v>0.0</v>
      </c>
      <c r="AG31" s="11" t="str">
        <f t="shared" ref="AG31:AG89" si="18">IF(OR(N($AE31)=0,$AF31=""),"",ROUND($AE31*$AF31,0))</f>
        <v/>
      </c>
      <c r="AH31" s="11" t="str">
        <f t="shared" ref="AH31:AH89" si="19">IF(N($AE31)=0,"",ROUND($L31/$AE31,0))</f>
        <v/>
      </c>
      <c r="AI31" s="11" t="str">
        <f t="shared" ref="AI31:AI89" si="20">IF(N($AB31)=0,"",ROUND($L31/$AB31,0))</f>
        <v/>
      </c>
    </row>
    <row r="32" ht="15.0" customHeight="1">
      <c r="A32" s="151" t="s">
        <v>1113</v>
      </c>
      <c r="B32" s="11">
        <v>3100.0</v>
      </c>
      <c r="C32" s="120" t="s">
        <v>1114</v>
      </c>
      <c r="D32" s="178" t="s">
        <v>861</v>
      </c>
      <c r="E32" s="165" t="s">
        <v>1105</v>
      </c>
      <c r="F32" s="21" t="s">
        <v>1042</v>
      </c>
      <c r="G32" s="121">
        <v>46274.0</v>
      </c>
      <c r="H32" s="21" t="s">
        <v>859</v>
      </c>
      <c r="I32" s="11">
        <v>600.0</v>
      </c>
      <c r="J32" s="122"/>
      <c r="K32" s="122"/>
      <c r="L32" s="11">
        <f t="shared" si="14"/>
        <v>600</v>
      </c>
      <c r="M32" s="21" t="s">
        <v>1115</v>
      </c>
      <c r="N32" s="160" t="s">
        <v>1116</v>
      </c>
      <c r="O32" s="160" t="s">
        <v>1117</v>
      </c>
      <c r="P32" s="120" t="s">
        <v>1024</v>
      </c>
      <c r="Q32" s="20" t="s">
        <v>1025</v>
      </c>
      <c r="R32" s="21"/>
      <c r="S32" s="162" t="s">
        <v>1118</v>
      </c>
      <c r="T32" s="122">
        <v>395.0</v>
      </c>
      <c r="U32" s="123">
        <f t="shared" si="15"/>
        <v>1.518987342</v>
      </c>
      <c r="V32" s="122">
        <v>14.0</v>
      </c>
      <c r="W32" s="122">
        <v>4.0</v>
      </c>
      <c r="X32" s="122"/>
      <c r="Y32" s="123">
        <f t="shared" si="16"/>
        <v>42.85714286</v>
      </c>
      <c r="Z32" s="123" t="str">
        <f t="shared" si="17"/>
        <v/>
      </c>
      <c r="AA32" s="122">
        <v>6.0</v>
      </c>
      <c r="AB32" s="122">
        <v>0.0</v>
      </c>
      <c r="AC32" s="122">
        <v>0.0</v>
      </c>
      <c r="AD32" s="124">
        <v>0.0</v>
      </c>
      <c r="AE32" s="11">
        <v>0.0</v>
      </c>
      <c r="AF32" s="122">
        <v>0.0</v>
      </c>
      <c r="AG32" s="11" t="str">
        <f t="shared" si="18"/>
        <v/>
      </c>
      <c r="AH32" s="11" t="str">
        <f t="shared" si="19"/>
        <v/>
      </c>
      <c r="AI32" s="11" t="str">
        <f t="shared" si="20"/>
        <v/>
      </c>
    </row>
    <row r="33" ht="15.0" customHeight="1">
      <c r="A33" s="125" t="s">
        <v>295</v>
      </c>
      <c r="B33" s="11">
        <f>IFERROR(VLOOKUP($A33,'Мои блогеры'!$A:$N,5,0),"")</f>
        <v>41700</v>
      </c>
      <c r="C33" s="120" t="str">
        <f>IFERROR(VLOOKUP($A33,'Мои блогеры'!$A:$N,2,0),"")</f>
        <v>VK</v>
      </c>
      <c r="D33" s="21" t="s">
        <v>861</v>
      </c>
      <c r="E33" s="165" t="s">
        <v>950</v>
      </c>
      <c r="F33" s="21" t="s">
        <v>956</v>
      </c>
      <c r="G33" s="121">
        <v>46274.0</v>
      </c>
      <c r="H33" s="21" t="s">
        <v>859</v>
      </c>
      <c r="I33" s="11">
        <f>IFERROR(VLOOKUP($A33,'Мои блогеры'!$A$2:$N$673,8,0),"")</f>
        <v>30000</v>
      </c>
      <c r="J33" s="122">
        <v>2100.0</v>
      </c>
      <c r="K33" s="122"/>
      <c r="L33" s="11">
        <f t="shared" si="14"/>
        <v>32100</v>
      </c>
      <c r="M33" s="21" t="s">
        <v>1119</v>
      </c>
      <c r="N33" s="162" t="s">
        <v>1120</v>
      </c>
      <c r="O33" s="160" t="s">
        <v>1121</v>
      </c>
      <c r="P33" s="120" t="str">
        <f>IFERROR(VLOOKUP($A33,'Мои блогеры'!$A$2:$N$673,10,0)&amp;"-TRG","")</f>
        <v>-TRG</v>
      </c>
      <c r="Q33" s="20" t="s">
        <v>1025</v>
      </c>
      <c r="R33" s="21"/>
      <c r="S33" s="162" t="s">
        <v>1122</v>
      </c>
      <c r="T33" s="122">
        <v>47900.0</v>
      </c>
      <c r="U33" s="123">
        <f t="shared" si="15"/>
        <v>0.6701461378</v>
      </c>
      <c r="V33" s="122">
        <v>34.0</v>
      </c>
      <c r="W33" s="122">
        <v>34.0</v>
      </c>
      <c r="X33" s="122"/>
      <c r="Y33" s="123">
        <f t="shared" si="16"/>
        <v>944.1176471</v>
      </c>
      <c r="Z33" s="123" t="str">
        <f t="shared" si="17"/>
        <v/>
      </c>
      <c r="AA33" s="122">
        <v>9.0</v>
      </c>
      <c r="AB33" s="122">
        <v>2.0</v>
      </c>
      <c r="AC33" s="122">
        <v>3800.0</v>
      </c>
      <c r="AD33" s="124">
        <v>0.95</v>
      </c>
      <c r="AE33" s="11">
        <f>IF(OR(N($AB33)=0,$AD33=""),"",ROUND($AB33*$AD33,0))</f>
        <v>2</v>
      </c>
      <c r="AF33" s="122">
        <v>1400.0</v>
      </c>
      <c r="AG33" s="11">
        <f t="shared" si="18"/>
        <v>2800</v>
      </c>
      <c r="AH33" s="11">
        <f t="shared" si="19"/>
        <v>16050</v>
      </c>
      <c r="AI33" s="11">
        <f t="shared" si="20"/>
        <v>16050</v>
      </c>
    </row>
    <row r="34" ht="15.0" customHeight="1">
      <c r="A34" s="151" t="s">
        <v>151</v>
      </c>
      <c r="B34" s="11">
        <v>37400.0</v>
      </c>
      <c r="C34" s="120" t="str">
        <f>IFERROR(VLOOKUP($A34,'Мои блогеры'!$A:$N,2,0),"")</f>
        <v>MAX</v>
      </c>
      <c r="D34" s="21" t="s">
        <v>861</v>
      </c>
      <c r="E34" s="165" t="s">
        <v>950</v>
      </c>
      <c r="F34" s="21" t="s">
        <v>1042</v>
      </c>
      <c r="G34" s="121">
        <v>46278.0</v>
      </c>
      <c r="H34" s="21" t="s">
        <v>859</v>
      </c>
      <c r="I34" s="11">
        <v>15000.0</v>
      </c>
      <c r="J34" s="122"/>
      <c r="K34" s="122"/>
      <c r="L34" s="11">
        <f t="shared" si="14"/>
        <v>15000</v>
      </c>
      <c r="M34" s="21" t="s">
        <v>1123</v>
      </c>
      <c r="N34" s="160" t="s">
        <v>1124</v>
      </c>
      <c r="O34" s="160" t="s">
        <v>1125</v>
      </c>
      <c r="P34" s="120" t="str">
        <f>IFERROR(VLOOKUP($A34,'Мои блогеры'!$A$2:$N$673,10,0)&amp;"-TRG","")</f>
        <v>RYBALKAR-TRG</v>
      </c>
      <c r="Q34" s="20" t="s">
        <v>1025</v>
      </c>
      <c r="R34" s="21"/>
      <c r="S34" s="162" t="s">
        <v>785</v>
      </c>
      <c r="T34" s="122">
        <v>16700.0</v>
      </c>
      <c r="U34" s="123">
        <f t="shared" si="15"/>
        <v>0.8982035928</v>
      </c>
      <c r="V34" s="122">
        <v>264.0</v>
      </c>
      <c r="W34" s="122">
        <v>263.0</v>
      </c>
      <c r="X34" s="122"/>
      <c r="Y34" s="123">
        <f t="shared" si="16"/>
        <v>56.81818182</v>
      </c>
      <c r="Z34" s="123" t="str">
        <f t="shared" si="17"/>
        <v/>
      </c>
      <c r="AA34" s="122">
        <v>80.0</v>
      </c>
      <c r="AB34" s="122">
        <v>21.0</v>
      </c>
      <c r="AC34" s="122">
        <f>24987+1800</f>
        <v>26787</v>
      </c>
      <c r="AD34" s="124">
        <v>1.0</v>
      </c>
      <c r="AE34" s="11">
        <v>17.0</v>
      </c>
      <c r="AF34" s="122">
        <v>1249.0</v>
      </c>
      <c r="AG34" s="11">
        <f t="shared" si="18"/>
        <v>21233</v>
      </c>
      <c r="AH34" s="11">
        <f t="shared" si="19"/>
        <v>882</v>
      </c>
      <c r="AI34" s="180">
        <f t="shared" si="20"/>
        <v>714</v>
      </c>
    </row>
    <row r="35" ht="14.25" customHeight="1">
      <c r="A35" s="151" t="s">
        <v>272</v>
      </c>
      <c r="B35" s="11">
        <f>IFERROR(VLOOKUP($A35,'Мои блогеры'!$A:$N,5,0),"")</f>
        <v>22900</v>
      </c>
      <c r="C35" s="120" t="s">
        <v>244</v>
      </c>
      <c r="D35" s="178" t="s">
        <v>861</v>
      </c>
      <c r="E35" s="165" t="s">
        <v>1105</v>
      </c>
      <c r="F35" s="21" t="s">
        <v>956</v>
      </c>
      <c r="G35" s="121">
        <v>46275.0</v>
      </c>
      <c r="H35" s="21" t="s">
        <v>859</v>
      </c>
      <c r="I35" s="11">
        <f>IFERROR(VLOOKUP($A35,'Мои блогеры'!$A$2:$N$673,8,0),"")</f>
        <v>4800</v>
      </c>
      <c r="J35" s="122"/>
      <c r="K35" s="122"/>
      <c r="L35" s="11">
        <f t="shared" si="14"/>
        <v>4800</v>
      </c>
      <c r="M35" s="21" t="s">
        <v>1126</v>
      </c>
      <c r="N35" s="160" t="s">
        <v>1127</v>
      </c>
      <c r="O35" s="160" t="s">
        <v>1128</v>
      </c>
      <c r="P35" s="120" t="s">
        <v>1024</v>
      </c>
      <c r="Q35" s="20" t="s">
        <v>1025</v>
      </c>
      <c r="R35" s="21"/>
      <c r="S35" s="162" t="s">
        <v>788</v>
      </c>
      <c r="T35" s="122">
        <v>5000.0</v>
      </c>
      <c r="U35" s="123">
        <f t="shared" si="15"/>
        <v>0.96</v>
      </c>
      <c r="V35" s="122">
        <v>66.0</v>
      </c>
      <c r="W35" s="122">
        <v>24.0</v>
      </c>
      <c r="X35" s="122"/>
      <c r="Y35" s="123">
        <f t="shared" si="16"/>
        <v>72.72727273</v>
      </c>
      <c r="Z35" s="123" t="str">
        <f t="shared" si="17"/>
        <v/>
      </c>
      <c r="AA35" s="122">
        <v>6.0</v>
      </c>
      <c r="AB35" s="122">
        <v>2.0</v>
      </c>
      <c r="AC35" s="122">
        <v>2400.0</v>
      </c>
      <c r="AD35" s="124">
        <v>0.95</v>
      </c>
      <c r="AE35" s="11">
        <f t="shared" ref="AE35:AE36" si="21">IF(OR(N($AB35)=0,$AD35=""),"",ROUND($AB35*$AD35,0))</f>
        <v>2</v>
      </c>
      <c r="AF35" s="122">
        <v>1249.0</v>
      </c>
      <c r="AG35" s="11">
        <f t="shared" si="18"/>
        <v>2498</v>
      </c>
      <c r="AH35" s="11">
        <f t="shared" si="19"/>
        <v>2400</v>
      </c>
      <c r="AI35" s="11">
        <f t="shared" si="20"/>
        <v>2400</v>
      </c>
    </row>
    <row r="36" ht="15.0" customHeight="1">
      <c r="A36" s="151" t="s">
        <v>279</v>
      </c>
      <c r="B36" s="11">
        <f>IFERROR(VLOOKUP($A36,'Мои блогеры'!$A:$N,5,0),"")</f>
        <v>131431</v>
      </c>
      <c r="C36" s="120" t="s">
        <v>244</v>
      </c>
      <c r="D36" s="21" t="s">
        <v>861</v>
      </c>
      <c r="E36" s="165">
        <v>20.0</v>
      </c>
      <c r="F36" s="21" t="s">
        <v>1042</v>
      </c>
      <c r="G36" s="167">
        <v>46275.0</v>
      </c>
      <c r="H36" s="21" t="s">
        <v>859</v>
      </c>
      <c r="I36" s="11">
        <v>50000.0</v>
      </c>
      <c r="J36" s="122">
        <v>3500.0</v>
      </c>
      <c r="K36" s="122"/>
      <c r="L36" s="11">
        <f t="shared" si="14"/>
        <v>53500</v>
      </c>
      <c r="M36" s="21" t="s">
        <v>1129</v>
      </c>
      <c r="N36" s="160" t="s">
        <v>1130</v>
      </c>
      <c r="O36" s="160" t="s">
        <v>1131</v>
      </c>
      <c r="P36" s="120" t="str">
        <f>IFERROR(VLOOKUP($A36,'Мои блогеры'!$A$2:$N$673,10,0)&amp;"-TRG","")</f>
        <v>-TRG</v>
      </c>
      <c r="Q36" s="20" t="s">
        <v>1025</v>
      </c>
      <c r="R36" s="21"/>
      <c r="S36" s="162" t="s">
        <v>1132</v>
      </c>
      <c r="T36" s="122">
        <v>76486.0</v>
      </c>
      <c r="U36" s="123">
        <f t="shared" si="15"/>
        <v>0.6994744136</v>
      </c>
      <c r="V36" s="122">
        <v>39.0</v>
      </c>
      <c r="W36" s="122">
        <v>32.0</v>
      </c>
      <c r="X36" s="122"/>
      <c r="Y36" s="123">
        <f t="shared" si="16"/>
        <v>1371.794872</v>
      </c>
      <c r="Z36" s="123" t="str">
        <f t="shared" si="17"/>
        <v/>
      </c>
      <c r="AA36" s="122">
        <v>3.0</v>
      </c>
      <c r="AB36" s="122">
        <v>5.0</v>
      </c>
      <c r="AC36" s="122">
        <v>6193.0</v>
      </c>
      <c r="AD36" s="124">
        <v>0.95</v>
      </c>
      <c r="AE36" s="11">
        <f t="shared" si="21"/>
        <v>5</v>
      </c>
      <c r="AF36" s="122">
        <v>1238.0</v>
      </c>
      <c r="AG36" s="11">
        <f t="shared" si="18"/>
        <v>6190</v>
      </c>
      <c r="AH36" s="11">
        <f t="shared" si="19"/>
        <v>10700</v>
      </c>
      <c r="AI36" s="11">
        <f t="shared" si="20"/>
        <v>10700</v>
      </c>
    </row>
    <row r="37" ht="15.0" customHeight="1">
      <c r="A37" s="151" t="s">
        <v>1133</v>
      </c>
      <c r="B37" s="11">
        <v>11500.0</v>
      </c>
      <c r="C37" s="120" t="s">
        <v>244</v>
      </c>
      <c r="D37" s="21" t="s">
        <v>861</v>
      </c>
      <c r="E37" s="165">
        <v>20.0</v>
      </c>
      <c r="F37" s="21" t="s">
        <v>1042</v>
      </c>
      <c r="G37" s="121">
        <v>46275.0</v>
      </c>
      <c r="H37" s="21" t="s">
        <v>859</v>
      </c>
      <c r="I37" s="11">
        <v>10000.0</v>
      </c>
      <c r="J37" s="122">
        <v>700.0</v>
      </c>
      <c r="K37" s="122"/>
      <c r="L37" s="11">
        <f t="shared" si="14"/>
        <v>10700</v>
      </c>
      <c r="M37" s="21" t="s">
        <v>1134</v>
      </c>
      <c r="N37" s="160" t="s">
        <v>1135</v>
      </c>
      <c r="O37" s="160" t="s">
        <v>1136</v>
      </c>
      <c r="P37" s="120" t="str">
        <f>IFERROR(VLOOKUP($A37,'Мои блогеры'!$A$2:$N$673,10,0)&amp;"-TRG","")</f>
        <v/>
      </c>
      <c r="Q37" s="20" t="s">
        <v>1025</v>
      </c>
      <c r="R37" s="21"/>
      <c r="S37" s="162" t="s">
        <v>1137</v>
      </c>
      <c r="T37" s="122">
        <v>27634.0</v>
      </c>
      <c r="U37" s="123">
        <f t="shared" si="15"/>
        <v>0.3872041688</v>
      </c>
      <c r="V37" s="122">
        <v>6.0</v>
      </c>
      <c r="W37" s="122">
        <v>6.0</v>
      </c>
      <c r="X37" s="122"/>
      <c r="Y37" s="123">
        <f t="shared" si="16"/>
        <v>1783.333333</v>
      </c>
      <c r="Z37" s="123" t="str">
        <f t="shared" si="17"/>
        <v/>
      </c>
      <c r="AA37" s="122">
        <v>4.0</v>
      </c>
      <c r="AB37" s="122">
        <v>0.0</v>
      </c>
      <c r="AC37" s="122">
        <v>0.0</v>
      </c>
      <c r="AD37" s="124">
        <v>0.0</v>
      </c>
      <c r="AE37" s="11">
        <v>0.0</v>
      </c>
      <c r="AF37" s="122">
        <v>0.0</v>
      </c>
      <c r="AG37" s="11" t="str">
        <f t="shared" si="18"/>
        <v/>
      </c>
      <c r="AH37" s="11" t="str">
        <f t="shared" si="19"/>
        <v/>
      </c>
      <c r="AI37" s="11" t="str">
        <f t="shared" si="20"/>
        <v/>
      </c>
    </row>
    <row r="38" ht="15.0" customHeight="1">
      <c r="A38" s="151" t="s">
        <v>283</v>
      </c>
      <c r="B38" s="11">
        <v>37400.0</v>
      </c>
      <c r="C38" s="120" t="s">
        <v>244</v>
      </c>
      <c r="D38" s="21" t="s">
        <v>861</v>
      </c>
      <c r="E38" s="165">
        <v>20.0</v>
      </c>
      <c r="F38" s="21" t="s">
        <v>1042</v>
      </c>
      <c r="G38" s="121">
        <v>46275.0</v>
      </c>
      <c r="H38" s="21" t="s">
        <v>859</v>
      </c>
      <c r="I38" s="11">
        <v>40000.0</v>
      </c>
      <c r="J38" s="122">
        <v>2800.0</v>
      </c>
      <c r="K38" s="122"/>
      <c r="L38" s="11">
        <f t="shared" si="14"/>
        <v>42800</v>
      </c>
      <c r="M38" s="21" t="s">
        <v>1138</v>
      </c>
      <c r="N38" s="160" t="s">
        <v>1139</v>
      </c>
      <c r="O38" s="160" t="s">
        <v>1140</v>
      </c>
      <c r="P38" s="120" t="str">
        <f>IFERROR(VLOOKUP($A38,'Мои блогеры'!$A$2:$N$673,10,0)&amp;"-TRG","")</f>
        <v>-TRG</v>
      </c>
      <c r="Q38" s="20" t="s">
        <v>1025</v>
      </c>
      <c r="R38" s="21"/>
      <c r="S38" s="162" t="s">
        <v>1141</v>
      </c>
      <c r="T38" s="122">
        <v>102634.0</v>
      </c>
      <c r="U38" s="123">
        <f t="shared" si="15"/>
        <v>0.4170158037</v>
      </c>
      <c r="V38" s="122">
        <v>92.0</v>
      </c>
      <c r="W38" s="122">
        <v>86.0</v>
      </c>
      <c r="X38" s="122"/>
      <c r="Y38" s="123">
        <f t="shared" si="16"/>
        <v>465.2173913</v>
      </c>
      <c r="Z38" s="123" t="str">
        <f t="shared" si="17"/>
        <v/>
      </c>
      <c r="AA38" s="122">
        <v>23.0</v>
      </c>
      <c r="AB38" s="122">
        <v>7.0</v>
      </c>
      <c r="AC38" s="122">
        <v>9347.0</v>
      </c>
      <c r="AD38" s="124">
        <v>0.95</v>
      </c>
      <c r="AE38" s="11">
        <f t="shared" ref="AE38:AE39" si="22">IF(OR(N($AB38)=0,$AD38=""),"",ROUND($AB38*$AD38,0))</f>
        <v>7</v>
      </c>
      <c r="AF38" s="122">
        <v>1336.0</v>
      </c>
      <c r="AG38" s="11">
        <f t="shared" si="18"/>
        <v>9352</v>
      </c>
      <c r="AH38" s="11">
        <f t="shared" si="19"/>
        <v>6114</v>
      </c>
      <c r="AI38" s="11">
        <f t="shared" si="20"/>
        <v>6114</v>
      </c>
    </row>
    <row r="39" ht="15.0" customHeight="1">
      <c r="A39" s="151" t="s">
        <v>787</v>
      </c>
      <c r="B39" s="11">
        <v>12965.0</v>
      </c>
      <c r="C39" s="120" t="s">
        <v>786</v>
      </c>
      <c r="D39" s="178" t="s">
        <v>861</v>
      </c>
      <c r="E39" s="165" t="s">
        <v>950</v>
      </c>
      <c r="F39" s="21" t="s">
        <v>956</v>
      </c>
      <c r="G39" s="121">
        <v>46275.0</v>
      </c>
      <c r="H39" s="21" t="s">
        <v>859</v>
      </c>
      <c r="I39" s="11">
        <v>3000.0</v>
      </c>
      <c r="J39" s="122">
        <v>200.0</v>
      </c>
      <c r="K39" s="122"/>
      <c r="L39" s="11">
        <f t="shared" si="14"/>
        <v>3200</v>
      </c>
      <c r="M39" s="21"/>
      <c r="N39" s="153"/>
      <c r="O39" s="153"/>
      <c r="P39" s="120" t="s">
        <v>1024</v>
      </c>
      <c r="Q39" s="20" t="s">
        <v>1025</v>
      </c>
      <c r="R39" s="21"/>
      <c r="S39" s="169" t="s">
        <v>788</v>
      </c>
      <c r="T39" s="122"/>
      <c r="U39" s="123" t="str">
        <f t="shared" si="15"/>
        <v/>
      </c>
      <c r="V39" s="122">
        <v>85.0</v>
      </c>
      <c r="W39" s="122">
        <v>83.0</v>
      </c>
      <c r="X39" s="122"/>
      <c r="Y39" s="123">
        <f t="shared" si="16"/>
        <v>37.64705882</v>
      </c>
      <c r="Z39" s="123" t="str">
        <f t="shared" si="17"/>
        <v/>
      </c>
      <c r="AA39" s="122">
        <v>32.0</v>
      </c>
      <c r="AB39" s="122">
        <v>6.0</v>
      </c>
      <c r="AC39" s="122">
        <v>7141.0</v>
      </c>
      <c r="AD39" s="124">
        <v>0.95</v>
      </c>
      <c r="AE39" s="11">
        <f t="shared" si="22"/>
        <v>6</v>
      </c>
      <c r="AF39" s="122">
        <v>1190.0</v>
      </c>
      <c r="AG39" s="11">
        <f t="shared" si="18"/>
        <v>7140</v>
      </c>
      <c r="AH39" s="11">
        <f t="shared" si="19"/>
        <v>533</v>
      </c>
      <c r="AI39" s="180">
        <f t="shared" si="20"/>
        <v>533</v>
      </c>
    </row>
    <row r="40" ht="15.0" customHeight="1">
      <c r="A40" s="151" t="s">
        <v>1142</v>
      </c>
      <c r="B40" s="11">
        <v>967.0</v>
      </c>
      <c r="C40" s="120" t="s">
        <v>244</v>
      </c>
      <c r="D40" s="21" t="s">
        <v>861</v>
      </c>
      <c r="E40" s="165" t="s">
        <v>984</v>
      </c>
      <c r="F40" s="21" t="s">
        <v>1042</v>
      </c>
      <c r="G40" s="121">
        <v>46277.0</v>
      </c>
      <c r="H40" s="21" t="s">
        <v>859</v>
      </c>
      <c r="I40" s="11">
        <v>5000.0</v>
      </c>
      <c r="J40" s="122"/>
      <c r="K40" s="122"/>
      <c r="L40" s="11">
        <f t="shared" si="14"/>
        <v>5000</v>
      </c>
      <c r="M40" s="21"/>
      <c r="N40" s="169" t="s">
        <v>1143</v>
      </c>
      <c r="O40" s="169" t="s">
        <v>1144</v>
      </c>
      <c r="P40" s="120"/>
      <c r="Q40" s="20" t="s">
        <v>1025</v>
      </c>
      <c r="R40" s="21"/>
      <c r="S40" s="169" t="s">
        <v>1145</v>
      </c>
      <c r="T40" s="122">
        <v>1515.0</v>
      </c>
      <c r="U40" s="123">
        <f t="shared" ref="U40:U42" si="23">IFERROR(L40/T40,"")</f>
        <v>3.300330033</v>
      </c>
      <c r="V40" s="122">
        <v>4.0</v>
      </c>
      <c r="W40" s="122"/>
      <c r="X40" s="122"/>
      <c r="Y40" s="123">
        <f t="shared" ref="Y40:Y42" si="24">IFERROR(L40/V40,"")</f>
        <v>1250</v>
      </c>
      <c r="Z40" s="123" t="str">
        <f t="shared" si="17"/>
        <v/>
      </c>
      <c r="AA40" s="122">
        <v>0.0</v>
      </c>
      <c r="AB40" s="122">
        <v>0.0</v>
      </c>
      <c r="AC40" s="122">
        <v>0.0</v>
      </c>
      <c r="AD40" s="124">
        <v>0.0</v>
      </c>
      <c r="AE40" s="11">
        <v>0.0</v>
      </c>
      <c r="AF40" s="122">
        <v>0.0</v>
      </c>
      <c r="AG40" s="11" t="str">
        <f t="shared" si="18"/>
        <v/>
      </c>
      <c r="AH40" s="11" t="str">
        <f t="shared" si="19"/>
        <v/>
      </c>
      <c r="AI40" s="11" t="str">
        <f t="shared" si="20"/>
        <v/>
      </c>
    </row>
    <row r="41" ht="15.0" customHeight="1">
      <c r="A41" s="151" t="s">
        <v>1146</v>
      </c>
      <c r="B41" s="11">
        <v>4333.0</v>
      </c>
      <c r="C41" s="120" t="s">
        <v>783</v>
      </c>
      <c r="D41" s="21" t="s">
        <v>1147</v>
      </c>
      <c r="E41" s="165" t="s">
        <v>991</v>
      </c>
      <c r="F41" s="21" t="s">
        <v>951</v>
      </c>
      <c r="G41" s="121">
        <v>46274.0</v>
      </c>
      <c r="H41" s="21" t="s">
        <v>859</v>
      </c>
      <c r="I41" s="11">
        <v>559.0</v>
      </c>
      <c r="J41" s="122"/>
      <c r="K41" s="122"/>
      <c r="L41" s="11">
        <f t="shared" si="14"/>
        <v>559</v>
      </c>
      <c r="M41" s="21"/>
      <c r="N41" s="153"/>
      <c r="O41" s="153"/>
      <c r="P41" s="120" t="str">
        <f>IFERROR(VLOOKUP($A41,'Мои блогеры'!$A$2:$N$673,10,0)&amp;"-TRG","")</f>
        <v/>
      </c>
      <c r="Q41" s="20" t="s">
        <v>1148</v>
      </c>
      <c r="R41" s="21"/>
      <c r="S41" s="169" t="s">
        <v>1149</v>
      </c>
      <c r="T41" s="122">
        <v>630.0</v>
      </c>
      <c r="U41" s="123">
        <f t="shared" si="23"/>
        <v>0.8873015873</v>
      </c>
      <c r="V41" s="122"/>
      <c r="W41" s="122">
        <v>3.0</v>
      </c>
      <c r="X41" s="122">
        <v>3.0</v>
      </c>
      <c r="Y41" s="123" t="str">
        <f t="shared" si="24"/>
        <v/>
      </c>
      <c r="Z41" s="123">
        <f t="shared" si="17"/>
        <v>186.3333333</v>
      </c>
      <c r="AA41" s="122"/>
      <c r="AB41" s="122"/>
      <c r="AC41" s="122"/>
      <c r="AD41" s="124"/>
      <c r="AE41" s="11"/>
      <c r="AF41" s="122"/>
      <c r="AG41" s="11" t="str">
        <f t="shared" si="18"/>
        <v/>
      </c>
      <c r="AH41" s="11" t="str">
        <f t="shared" si="19"/>
        <v/>
      </c>
      <c r="AI41" s="11" t="str">
        <f t="shared" si="20"/>
        <v/>
      </c>
    </row>
    <row r="42" ht="15.0" customHeight="1">
      <c r="A42" s="151" t="s">
        <v>799</v>
      </c>
      <c r="B42" s="11">
        <v>8563.0</v>
      </c>
      <c r="C42" s="120" t="s">
        <v>783</v>
      </c>
      <c r="D42" s="21" t="s">
        <v>1147</v>
      </c>
      <c r="E42" s="165" t="s">
        <v>991</v>
      </c>
      <c r="F42" s="21" t="s">
        <v>951</v>
      </c>
      <c r="G42" s="121">
        <v>46274.0</v>
      </c>
      <c r="H42" s="21" t="s">
        <v>859</v>
      </c>
      <c r="I42" s="11">
        <v>5594.0</v>
      </c>
      <c r="J42" s="122"/>
      <c r="K42" s="122"/>
      <c r="L42" s="11">
        <f t="shared" si="14"/>
        <v>5594</v>
      </c>
      <c r="M42" s="21"/>
      <c r="N42" s="169" t="s">
        <v>1150</v>
      </c>
      <c r="O42" s="153"/>
      <c r="P42" s="120" t="str">
        <f>IFERROR(VLOOKUP($A42,'Мои блогеры'!$A$2:$N$673,10,0)&amp;"-TRG","")</f>
        <v/>
      </c>
      <c r="Q42" s="20" t="s">
        <v>1148</v>
      </c>
      <c r="R42" s="21"/>
      <c r="S42" s="169" t="s">
        <v>800</v>
      </c>
      <c r="T42" s="122">
        <v>1456.0</v>
      </c>
      <c r="U42" s="123">
        <f t="shared" si="23"/>
        <v>3.842032967</v>
      </c>
      <c r="V42" s="122"/>
      <c r="W42" s="122"/>
      <c r="X42" s="122">
        <v>168.0</v>
      </c>
      <c r="Y42" s="123" t="str">
        <f t="shared" si="24"/>
        <v/>
      </c>
      <c r="Z42" s="123">
        <f t="shared" si="17"/>
        <v>33.29761905</v>
      </c>
      <c r="AA42" s="122"/>
      <c r="AB42" s="122"/>
      <c r="AC42" s="122"/>
      <c r="AD42" s="124"/>
      <c r="AE42" s="11"/>
      <c r="AF42" s="122"/>
      <c r="AG42" s="11" t="str">
        <f t="shared" si="18"/>
        <v/>
      </c>
      <c r="AH42" s="11" t="str">
        <f t="shared" si="19"/>
        <v/>
      </c>
      <c r="AI42" s="11" t="str">
        <f t="shared" si="20"/>
        <v/>
      </c>
    </row>
    <row r="43" ht="15.0" customHeight="1">
      <c r="A43" s="151" t="s">
        <v>1151</v>
      </c>
      <c r="B43" s="11">
        <v>5561.0</v>
      </c>
      <c r="C43" s="120" t="s">
        <v>783</v>
      </c>
      <c r="D43" s="21" t="s">
        <v>1147</v>
      </c>
      <c r="E43" s="165" t="s">
        <v>991</v>
      </c>
      <c r="F43" s="21" t="s">
        <v>951</v>
      </c>
      <c r="G43" s="121">
        <v>46274.0</v>
      </c>
      <c r="H43" s="21" t="s">
        <v>859</v>
      </c>
      <c r="I43" s="11">
        <v>2797.0</v>
      </c>
      <c r="J43" s="122"/>
      <c r="K43" s="122"/>
      <c r="L43" s="11">
        <f t="shared" si="14"/>
        <v>2797</v>
      </c>
      <c r="M43" s="21"/>
      <c r="N43" s="169" t="s">
        <v>1152</v>
      </c>
      <c r="O43" s="153"/>
      <c r="P43" s="120" t="str">
        <f>IFERROR(VLOOKUP($A43,'Мои блогеры'!$A$2:$N$673,10,0)&amp;"-TRG","")</f>
        <v/>
      </c>
      <c r="Q43" s="20" t="s">
        <v>1148</v>
      </c>
      <c r="R43" s="21"/>
      <c r="S43" s="169" t="s">
        <v>1153</v>
      </c>
      <c r="T43" s="122">
        <v>956.0</v>
      </c>
      <c r="U43" s="123">
        <f t="shared" ref="U43:U45" si="25">IF(N($T43)=0,"",$L43/$T43)</f>
        <v>2.925732218</v>
      </c>
      <c r="V43" s="122"/>
      <c r="W43" s="122"/>
      <c r="X43" s="122">
        <v>30.0</v>
      </c>
      <c r="Y43" s="123" t="str">
        <f t="shared" ref="Y43:Y45" si="26">IF(N($V43)=0,"",$L43/$V43)</f>
        <v/>
      </c>
      <c r="Z43" s="123">
        <f t="shared" si="17"/>
        <v>93.23333333</v>
      </c>
      <c r="AA43" s="122"/>
      <c r="AB43" s="122"/>
      <c r="AC43" s="122"/>
      <c r="AD43" s="124"/>
      <c r="AE43" s="11" t="str">
        <f t="shared" ref="AE43:AE44" si="27">IF(OR(N($AB43)=0,$AD43=""),"",ROUND($AB43*$AD43,0))</f>
        <v/>
      </c>
      <c r="AF43" s="122"/>
      <c r="AG43" s="11" t="str">
        <f t="shared" si="18"/>
        <v/>
      </c>
      <c r="AH43" s="11" t="str">
        <f t="shared" si="19"/>
        <v/>
      </c>
      <c r="AI43" s="11" t="str">
        <f t="shared" si="20"/>
        <v/>
      </c>
    </row>
    <row r="44" ht="15.0" customHeight="1">
      <c r="A44" s="151" t="s">
        <v>40</v>
      </c>
      <c r="B44" s="11">
        <v>14759.0</v>
      </c>
      <c r="C44" s="120" t="s">
        <v>783</v>
      </c>
      <c r="D44" s="21" t="s">
        <v>1147</v>
      </c>
      <c r="E44" s="165" t="s">
        <v>991</v>
      </c>
      <c r="F44" s="21" t="s">
        <v>951</v>
      </c>
      <c r="G44" s="121">
        <v>46274.0</v>
      </c>
      <c r="H44" s="21" t="s">
        <v>859</v>
      </c>
      <c r="I44" s="11">
        <v>699.0</v>
      </c>
      <c r="J44" s="122"/>
      <c r="K44" s="122"/>
      <c r="L44" s="11">
        <v>699.0</v>
      </c>
      <c r="M44" s="21"/>
      <c r="N44" s="169" t="s">
        <v>1154</v>
      </c>
      <c r="O44" s="153"/>
      <c r="P44" s="120" t="str">
        <f>IFERROR(VLOOKUP($A44,'Мои блогеры'!$A$2:$N$673,10,0)&amp;"-TRG","")</f>
        <v>-TRG</v>
      </c>
      <c r="Q44" s="20" t="s">
        <v>1148</v>
      </c>
      <c r="R44" s="21"/>
      <c r="S44" s="169" t="s">
        <v>1155</v>
      </c>
      <c r="T44" s="122">
        <v>613.0</v>
      </c>
      <c r="U44" s="123">
        <f t="shared" si="25"/>
        <v>1.140293638</v>
      </c>
      <c r="V44" s="122"/>
      <c r="W44" s="122"/>
      <c r="X44" s="122">
        <v>8.0</v>
      </c>
      <c r="Y44" s="123" t="str">
        <f t="shared" si="26"/>
        <v/>
      </c>
      <c r="Z44" s="123">
        <f t="shared" si="17"/>
        <v>87.375</v>
      </c>
      <c r="AA44" s="122"/>
      <c r="AB44" s="122"/>
      <c r="AC44" s="122"/>
      <c r="AD44" s="124"/>
      <c r="AE44" s="11" t="str">
        <f t="shared" si="27"/>
        <v/>
      </c>
      <c r="AF44" s="122"/>
      <c r="AG44" s="11" t="str">
        <f t="shared" si="18"/>
        <v/>
      </c>
      <c r="AH44" s="11" t="str">
        <f t="shared" si="19"/>
        <v/>
      </c>
      <c r="AI44" s="11" t="str">
        <f t="shared" si="20"/>
        <v/>
      </c>
    </row>
    <row r="45" ht="15.0" customHeight="1">
      <c r="A45" s="151" t="s">
        <v>1156</v>
      </c>
      <c r="B45" s="11">
        <v>2567.0</v>
      </c>
      <c r="C45" s="120" t="s">
        <v>244</v>
      </c>
      <c r="D45" s="21" t="s">
        <v>1157</v>
      </c>
      <c r="E45" s="165" t="s">
        <v>984</v>
      </c>
      <c r="F45" s="21" t="s">
        <v>1042</v>
      </c>
      <c r="G45" s="121">
        <v>46273.0</v>
      </c>
      <c r="H45" s="21" t="s">
        <v>859</v>
      </c>
      <c r="I45" s="11">
        <v>1000.0</v>
      </c>
      <c r="J45" s="122"/>
      <c r="K45" s="122"/>
      <c r="L45" s="11">
        <f>IF(N($I45)+N($J45)+N($K45)=0,"",N($I45)+N($J45)+N($K45))</f>
        <v>1000</v>
      </c>
      <c r="M45" s="21"/>
      <c r="N45" s="169" t="s">
        <v>1154</v>
      </c>
      <c r="O45" s="169" t="s">
        <v>1158</v>
      </c>
      <c r="P45" s="120" t="str">
        <f>IFERROR(VLOOKUP($A45,'Мои блогеры'!$A$2:$N$673,10,0)&amp;"-TRG","")</f>
        <v/>
      </c>
      <c r="Q45" s="20" t="s">
        <v>1025</v>
      </c>
      <c r="R45" s="21"/>
      <c r="S45" s="169" t="s">
        <v>1159</v>
      </c>
      <c r="T45" s="122">
        <v>1274.0</v>
      </c>
      <c r="U45" s="123">
        <f t="shared" si="25"/>
        <v>0.7849293564</v>
      </c>
      <c r="V45" s="122">
        <v>11.0</v>
      </c>
      <c r="W45" s="122"/>
      <c r="X45" s="122"/>
      <c r="Y45" s="123">
        <f t="shared" si="26"/>
        <v>90.90909091</v>
      </c>
      <c r="Z45" s="123" t="str">
        <f t="shared" si="17"/>
        <v/>
      </c>
      <c r="AA45" s="122">
        <v>3.0</v>
      </c>
      <c r="AB45" s="122">
        <v>0.0</v>
      </c>
      <c r="AC45" s="122">
        <v>0.0</v>
      </c>
      <c r="AD45" s="124">
        <v>0.0</v>
      </c>
      <c r="AE45" s="11">
        <v>0.0</v>
      </c>
      <c r="AF45" s="122">
        <v>0.0</v>
      </c>
      <c r="AG45" s="11" t="str">
        <f t="shared" si="18"/>
        <v/>
      </c>
      <c r="AH45" s="11" t="str">
        <f t="shared" si="19"/>
        <v/>
      </c>
      <c r="AI45" s="11" t="str">
        <f t="shared" si="20"/>
        <v/>
      </c>
    </row>
    <row r="46" ht="15.0" customHeight="1">
      <c r="A46" s="151" t="s">
        <v>1160</v>
      </c>
      <c r="B46" s="11">
        <v>25500.0</v>
      </c>
      <c r="C46" s="120" t="s">
        <v>244</v>
      </c>
      <c r="D46" s="21" t="s">
        <v>1157</v>
      </c>
      <c r="E46" s="165" t="s">
        <v>984</v>
      </c>
      <c r="F46" s="21" t="s">
        <v>1042</v>
      </c>
      <c r="G46" s="121">
        <v>46273.0</v>
      </c>
      <c r="H46" s="21" t="s">
        <v>859</v>
      </c>
      <c r="I46" s="11">
        <v>357.0</v>
      </c>
      <c r="J46" s="122"/>
      <c r="K46" s="122"/>
      <c r="L46" s="11">
        <v>357.0</v>
      </c>
      <c r="M46" s="21"/>
      <c r="N46" s="153"/>
      <c r="O46" s="169" t="s">
        <v>1161</v>
      </c>
      <c r="P46" s="120"/>
      <c r="Q46" s="20" t="s">
        <v>1025</v>
      </c>
      <c r="R46" s="21"/>
      <c r="S46" s="169" t="s">
        <v>1162</v>
      </c>
      <c r="T46" s="122">
        <v>1946.0</v>
      </c>
      <c r="U46" s="123">
        <f t="shared" ref="U46:U89" si="28">IFERROR(L46/T46,"")</f>
        <v>0.1834532374</v>
      </c>
      <c r="V46" s="122">
        <v>4.0</v>
      </c>
      <c r="W46" s="122"/>
      <c r="X46" s="122"/>
      <c r="Y46" s="123">
        <f t="shared" ref="Y46:Y89" si="29">IFERROR(L46/V46,"")</f>
        <v>89.25</v>
      </c>
      <c r="Z46" s="123" t="str">
        <f t="shared" si="17"/>
        <v/>
      </c>
      <c r="AA46" s="122">
        <v>0.0</v>
      </c>
      <c r="AB46" s="122">
        <v>0.0</v>
      </c>
      <c r="AC46" s="122">
        <v>0.0</v>
      </c>
      <c r="AD46" s="124">
        <v>0.0</v>
      </c>
      <c r="AE46" s="11">
        <v>0.0</v>
      </c>
      <c r="AF46" s="122">
        <v>0.0</v>
      </c>
      <c r="AG46" s="11" t="str">
        <f t="shared" si="18"/>
        <v/>
      </c>
      <c r="AH46" s="11" t="str">
        <f t="shared" si="19"/>
        <v/>
      </c>
      <c r="AI46" s="11" t="str">
        <f t="shared" si="20"/>
        <v/>
      </c>
    </row>
    <row r="47" ht="15.0" customHeight="1">
      <c r="A47" s="151" t="s">
        <v>1163</v>
      </c>
      <c r="B47" s="11">
        <v>6300.0</v>
      </c>
      <c r="C47" s="120" t="s">
        <v>244</v>
      </c>
      <c r="D47" s="21" t="s">
        <v>1157</v>
      </c>
      <c r="E47" s="165" t="s">
        <v>984</v>
      </c>
      <c r="F47" s="21" t="s">
        <v>1042</v>
      </c>
      <c r="G47" s="121">
        <v>46273.0</v>
      </c>
      <c r="H47" s="21" t="s">
        <v>859</v>
      </c>
      <c r="I47" s="11">
        <v>357.0</v>
      </c>
      <c r="J47" s="122"/>
      <c r="K47" s="122"/>
      <c r="L47" s="11">
        <v>357.0</v>
      </c>
      <c r="M47" s="21"/>
      <c r="N47" s="153"/>
      <c r="O47" s="169" t="s">
        <v>1164</v>
      </c>
      <c r="P47" s="120"/>
      <c r="Q47" s="20" t="s">
        <v>1025</v>
      </c>
      <c r="R47" s="21"/>
      <c r="S47" s="169" t="s">
        <v>1165</v>
      </c>
      <c r="T47" s="122">
        <v>2218.0</v>
      </c>
      <c r="U47" s="123">
        <f t="shared" si="28"/>
        <v>0.1609558161</v>
      </c>
      <c r="V47" s="122">
        <v>0.0</v>
      </c>
      <c r="W47" s="122"/>
      <c r="X47" s="122"/>
      <c r="Y47" s="123" t="str">
        <f t="shared" si="29"/>
        <v/>
      </c>
      <c r="Z47" s="123" t="str">
        <f t="shared" si="17"/>
        <v/>
      </c>
      <c r="AA47" s="122">
        <v>0.0</v>
      </c>
      <c r="AB47" s="122">
        <v>0.0</v>
      </c>
      <c r="AC47" s="122">
        <v>0.0</v>
      </c>
      <c r="AD47" s="124">
        <v>0.0</v>
      </c>
      <c r="AE47" s="11">
        <v>0.0</v>
      </c>
      <c r="AF47" s="122">
        <v>0.0</v>
      </c>
      <c r="AG47" s="11" t="str">
        <f t="shared" si="18"/>
        <v/>
      </c>
      <c r="AH47" s="11" t="str">
        <f t="shared" si="19"/>
        <v/>
      </c>
      <c r="AI47" s="11" t="str">
        <f t="shared" si="20"/>
        <v/>
      </c>
    </row>
    <row r="48" ht="15.0" customHeight="1">
      <c r="A48" s="151" t="s">
        <v>1166</v>
      </c>
      <c r="B48" s="11">
        <v>6000.0</v>
      </c>
      <c r="C48" s="120" t="s">
        <v>244</v>
      </c>
      <c r="D48" s="21" t="s">
        <v>1157</v>
      </c>
      <c r="E48" s="165" t="s">
        <v>984</v>
      </c>
      <c r="F48" s="21" t="s">
        <v>1042</v>
      </c>
      <c r="G48" s="121">
        <v>46274.0</v>
      </c>
      <c r="H48" s="21" t="s">
        <v>859</v>
      </c>
      <c r="I48" s="11">
        <v>1428.0</v>
      </c>
      <c r="J48" s="122"/>
      <c r="K48" s="122"/>
      <c r="L48" s="11">
        <v>1428.0</v>
      </c>
      <c r="M48" s="21"/>
      <c r="N48" s="153"/>
      <c r="O48" s="169" t="s">
        <v>1035</v>
      </c>
      <c r="P48" s="120"/>
      <c r="Q48" s="20" t="s">
        <v>1025</v>
      </c>
      <c r="R48" s="21"/>
      <c r="S48" s="169" t="s">
        <v>1167</v>
      </c>
      <c r="T48" s="122">
        <v>2005.0</v>
      </c>
      <c r="U48" s="123">
        <f t="shared" si="28"/>
        <v>0.7122194514</v>
      </c>
      <c r="V48" s="122">
        <v>33.0</v>
      </c>
      <c r="W48" s="122"/>
      <c r="X48" s="122"/>
      <c r="Y48" s="123">
        <f t="shared" si="29"/>
        <v>43.27272727</v>
      </c>
      <c r="Z48" s="123" t="str">
        <f t="shared" si="17"/>
        <v/>
      </c>
      <c r="AA48" s="122">
        <v>0.0</v>
      </c>
      <c r="AB48" s="122">
        <v>0.0</v>
      </c>
      <c r="AC48" s="122">
        <v>0.0</v>
      </c>
      <c r="AD48" s="124">
        <v>0.0</v>
      </c>
      <c r="AE48" s="11">
        <v>0.0</v>
      </c>
      <c r="AF48" s="122">
        <v>0.0</v>
      </c>
      <c r="AG48" s="11" t="str">
        <f t="shared" si="18"/>
        <v/>
      </c>
      <c r="AH48" s="11" t="str">
        <f t="shared" si="19"/>
        <v/>
      </c>
      <c r="AI48" s="11" t="str">
        <f t="shared" si="20"/>
        <v/>
      </c>
    </row>
    <row r="49" ht="15.0" customHeight="1">
      <c r="A49" s="151" t="s">
        <v>1168</v>
      </c>
      <c r="B49" s="11">
        <v>3629.0</v>
      </c>
      <c r="C49" s="120" t="s">
        <v>783</v>
      </c>
      <c r="D49" s="21" t="s">
        <v>1147</v>
      </c>
      <c r="E49" s="165" t="s">
        <v>991</v>
      </c>
      <c r="F49" s="21" t="s">
        <v>951</v>
      </c>
      <c r="G49" s="121">
        <v>46274.0</v>
      </c>
      <c r="H49" s="21" t="s">
        <v>859</v>
      </c>
      <c r="I49" s="11">
        <v>249.0</v>
      </c>
      <c r="J49" s="122"/>
      <c r="K49" s="122"/>
      <c r="L49" s="11">
        <v>249.0</v>
      </c>
      <c r="M49" s="21"/>
      <c r="N49" s="162" t="s">
        <v>1169</v>
      </c>
      <c r="O49" s="153"/>
      <c r="P49" s="120"/>
      <c r="Q49" s="20" t="s">
        <v>1148</v>
      </c>
      <c r="R49" s="21"/>
      <c r="S49" s="169" t="s">
        <v>1170</v>
      </c>
      <c r="T49" s="122">
        <v>236.0</v>
      </c>
      <c r="U49" s="123">
        <f t="shared" si="28"/>
        <v>1.055084746</v>
      </c>
      <c r="V49" s="122"/>
      <c r="W49" s="122"/>
      <c r="X49" s="122">
        <v>2.0</v>
      </c>
      <c r="Y49" s="123" t="str">
        <f t="shared" si="29"/>
        <v/>
      </c>
      <c r="Z49" s="123">
        <f t="shared" si="17"/>
        <v>124.5</v>
      </c>
      <c r="AA49" s="122"/>
      <c r="AB49" s="122"/>
      <c r="AC49" s="122"/>
      <c r="AD49" s="124"/>
      <c r="AE49" s="11"/>
      <c r="AF49" s="122"/>
      <c r="AG49" s="11" t="str">
        <f t="shared" si="18"/>
        <v/>
      </c>
      <c r="AH49" s="11" t="str">
        <f t="shared" si="19"/>
        <v/>
      </c>
      <c r="AI49" s="11" t="str">
        <f t="shared" si="20"/>
        <v/>
      </c>
    </row>
    <row r="50" ht="15.0" customHeight="1">
      <c r="A50" s="151" t="s">
        <v>1171</v>
      </c>
      <c r="B50" s="11">
        <v>11620.0</v>
      </c>
      <c r="C50" s="120" t="s">
        <v>783</v>
      </c>
      <c r="D50" s="21" t="s">
        <v>1147</v>
      </c>
      <c r="E50" s="165" t="s">
        <v>991</v>
      </c>
      <c r="F50" s="21" t="s">
        <v>951</v>
      </c>
      <c r="G50" s="121">
        <v>46275.0</v>
      </c>
      <c r="H50" s="21" t="s">
        <v>859</v>
      </c>
      <c r="I50" s="11">
        <v>391.0</v>
      </c>
      <c r="J50" s="122"/>
      <c r="K50" s="122"/>
      <c r="L50" s="11">
        <v>391.0</v>
      </c>
      <c r="M50" s="21"/>
      <c r="N50" s="169" t="s">
        <v>1172</v>
      </c>
      <c r="O50" s="153"/>
      <c r="P50" s="120"/>
      <c r="Q50" s="20" t="s">
        <v>1148</v>
      </c>
      <c r="R50" s="21"/>
      <c r="S50" s="169" t="s">
        <v>1173</v>
      </c>
      <c r="T50" s="122">
        <v>698.0</v>
      </c>
      <c r="U50" s="123">
        <f t="shared" si="28"/>
        <v>0.5601719198</v>
      </c>
      <c r="V50" s="122"/>
      <c r="W50" s="122"/>
      <c r="X50" s="122">
        <v>9.0</v>
      </c>
      <c r="Y50" s="123" t="str">
        <f t="shared" si="29"/>
        <v/>
      </c>
      <c r="Z50" s="123">
        <f t="shared" si="17"/>
        <v>43.44444444</v>
      </c>
      <c r="AA50" s="122"/>
      <c r="AB50" s="122"/>
      <c r="AC50" s="122"/>
      <c r="AD50" s="124"/>
      <c r="AE50" s="11"/>
      <c r="AF50" s="122"/>
      <c r="AG50" s="11" t="str">
        <f t="shared" si="18"/>
        <v/>
      </c>
      <c r="AH50" s="11" t="str">
        <f t="shared" si="19"/>
        <v/>
      </c>
      <c r="AI50" s="11" t="str">
        <f t="shared" si="20"/>
        <v/>
      </c>
    </row>
    <row r="51" ht="15.0" customHeight="1">
      <c r="A51" s="151" t="s">
        <v>1174</v>
      </c>
      <c r="B51" s="11">
        <v>12215.0</v>
      </c>
      <c r="C51" s="120" t="s">
        <v>783</v>
      </c>
      <c r="D51" s="21" t="s">
        <v>1147</v>
      </c>
      <c r="E51" s="165" t="s">
        <v>991</v>
      </c>
      <c r="F51" s="21" t="s">
        <v>951</v>
      </c>
      <c r="G51" s="121">
        <v>46275.0</v>
      </c>
      <c r="H51" s="21" t="s">
        <v>859</v>
      </c>
      <c r="I51" s="11">
        <v>499.0</v>
      </c>
      <c r="J51" s="122"/>
      <c r="K51" s="122"/>
      <c r="L51" s="11">
        <v>499.0</v>
      </c>
      <c r="M51" s="21"/>
      <c r="N51" s="169" t="s">
        <v>1175</v>
      </c>
      <c r="O51" s="153"/>
      <c r="P51" s="120"/>
      <c r="Q51" s="20" t="s">
        <v>1148</v>
      </c>
      <c r="R51" s="21"/>
      <c r="S51" s="169" t="s">
        <v>1176</v>
      </c>
      <c r="T51" s="122">
        <v>808.0</v>
      </c>
      <c r="U51" s="123">
        <f t="shared" si="28"/>
        <v>0.6175742574</v>
      </c>
      <c r="V51" s="122"/>
      <c r="W51" s="122"/>
      <c r="X51" s="122">
        <v>5.0</v>
      </c>
      <c r="Y51" s="123" t="str">
        <f t="shared" si="29"/>
        <v/>
      </c>
      <c r="Z51" s="123">
        <f t="shared" si="17"/>
        <v>99.8</v>
      </c>
      <c r="AA51" s="122"/>
      <c r="AB51" s="122"/>
      <c r="AC51" s="122"/>
      <c r="AD51" s="124"/>
      <c r="AE51" s="11"/>
      <c r="AF51" s="122"/>
      <c r="AG51" s="11" t="str">
        <f t="shared" si="18"/>
        <v/>
      </c>
      <c r="AH51" s="11" t="str">
        <f t="shared" si="19"/>
        <v/>
      </c>
      <c r="AI51" s="11" t="str">
        <f t="shared" si="20"/>
        <v/>
      </c>
    </row>
    <row r="52" ht="15.0" customHeight="1">
      <c r="A52" s="151" t="s">
        <v>155</v>
      </c>
      <c r="B52" s="11">
        <v>38217.0</v>
      </c>
      <c r="C52" s="120" t="s">
        <v>783</v>
      </c>
      <c r="D52" s="21" t="s">
        <v>1147</v>
      </c>
      <c r="E52" s="165" t="s">
        <v>991</v>
      </c>
      <c r="F52" s="21" t="s">
        <v>951</v>
      </c>
      <c r="G52" s="121">
        <v>46275.0</v>
      </c>
      <c r="H52" s="21" t="s">
        <v>859</v>
      </c>
      <c r="I52" s="11">
        <v>1538.0</v>
      </c>
      <c r="J52" s="122"/>
      <c r="K52" s="122"/>
      <c r="L52" s="11">
        <v>1538.0</v>
      </c>
      <c r="M52" s="21"/>
      <c r="N52" s="169" t="s">
        <v>1177</v>
      </c>
      <c r="O52" s="153"/>
      <c r="P52" s="120"/>
      <c r="Q52" s="20" t="s">
        <v>1148</v>
      </c>
      <c r="R52" s="21"/>
      <c r="S52" s="162" t="s">
        <v>1173</v>
      </c>
      <c r="T52" s="122">
        <v>1209.0</v>
      </c>
      <c r="U52" s="123">
        <f t="shared" si="28"/>
        <v>1.272125724</v>
      </c>
      <c r="V52" s="122"/>
      <c r="W52" s="122"/>
      <c r="X52" s="122">
        <v>16.0</v>
      </c>
      <c r="Y52" s="123" t="str">
        <f t="shared" si="29"/>
        <v/>
      </c>
      <c r="Z52" s="123">
        <f t="shared" si="17"/>
        <v>96.125</v>
      </c>
      <c r="AA52" s="122"/>
      <c r="AB52" s="122"/>
      <c r="AC52" s="122"/>
      <c r="AD52" s="124"/>
      <c r="AE52" s="11"/>
      <c r="AF52" s="122"/>
      <c r="AG52" s="11" t="str">
        <f t="shared" si="18"/>
        <v/>
      </c>
      <c r="AH52" s="11" t="str">
        <f t="shared" si="19"/>
        <v/>
      </c>
      <c r="AI52" s="11" t="str">
        <f t="shared" si="20"/>
        <v/>
      </c>
    </row>
    <row r="53" ht="15.0" customHeight="1">
      <c r="A53" s="151" t="s">
        <v>801</v>
      </c>
      <c r="B53" s="11">
        <v>108336.0</v>
      </c>
      <c r="C53" s="120" t="s">
        <v>783</v>
      </c>
      <c r="D53" s="21" t="s">
        <v>1147</v>
      </c>
      <c r="E53" s="165" t="s">
        <v>991</v>
      </c>
      <c r="F53" s="21" t="s">
        <v>951</v>
      </c>
      <c r="G53" s="121">
        <v>46275.0</v>
      </c>
      <c r="H53" s="21" t="s">
        <v>859</v>
      </c>
      <c r="I53" s="11">
        <v>4895.0</v>
      </c>
      <c r="J53" s="122"/>
      <c r="K53" s="122"/>
      <c r="L53" s="11">
        <v>4895.0</v>
      </c>
      <c r="M53" s="21"/>
      <c r="N53" s="169" t="s">
        <v>1178</v>
      </c>
      <c r="O53" s="153"/>
      <c r="P53" s="120"/>
      <c r="Q53" s="20" t="s">
        <v>1148</v>
      </c>
      <c r="R53" s="21"/>
      <c r="S53" s="169" t="s">
        <v>802</v>
      </c>
      <c r="T53" s="122">
        <v>6103.0</v>
      </c>
      <c r="U53" s="123">
        <f t="shared" si="28"/>
        <v>0.8020645584</v>
      </c>
      <c r="V53" s="122"/>
      <c r="W53" s="122"/>
      <c r="X53" s="122">
        <v>83.0</v>
      </c>
      <c r="Y53" s="123" t="str">
        <f t="shared" si="29"/>
        <v/>
      </c>
      <c r="Z53" s="123">
        <f t="shared" si="17"/>
        <v>58.97590361</v>
      </c>
      <c r="AA53" s="122"/>
      <c r="AB53" s="122"/>
      <c r="AC53" s="122"/>
      <c r="AD53" s="124"/>
      <c r="AE53" s="11"/>
      <c r="AF53" s="122"/>
      <c r="AG53" s="11" t="str">
        <f t="shared" si="18"/>
        <v/>
      </c>
      <c r="AH53" s="11" t="str">
        <f t="shared" si="19"/>
        <v/>
      </c>
      <c r="AI53" s="11" t="str">
        <f t="shared" si="20"/>
        <v/>
      </c>
    </row>
    <row r="54" ht="15.0" customHeight="1">
      <c r="A54" s="151" t="s">
        <v>803</v>
      </c>
      <c r="B54" s="11">
        <v>43317.0</v>
      </c>
      <c r="C54" s="120" t="s">
        <v>783</v>
      </c>
      <c r="D54" s="21" t="s">
        <v>1147</v>
      </c>
      <c r="E54" s="165" t="s">
        <v>991</v>
      </c>
      <c r="F54" s="21" t="s">
        <v>951</v>
      </c>
      <c r="G54" s="121">
        <v>46275.0</v>
      </c>
      <c r="H54" s="21" t="s">
        <v>859</v>
      </c>
      <c r="I54" s="11">
        <v>1538.0</v>
      </c>
      <c r="J54" s="122"/>
      <c r="K54" s="122"/>
      <c r="L54" s="11">
        <v>1538.0</v>
      </c>
      <c r="M54" s="21"/>
      <c r="N54" s="169" t="s">
        <v>1179</v>
      </c>
      <c r="O54" s="153"/>
      <c r="P54" s="120"/>
      <c r="Q54" s="20" t="s">
        <v>1148</v>
      </c>
      <c r="R54" s="21"/>
      <c r="S54" s="169" t="s">
        <v>804</v>
      </c>
      <c r="T54" s="122">
        <v>1104.0</v>
      </c>
      <c r="U54" s="123">
        <f t="shared" si="28"/>
        <v>1.393115942</v>
      </c>
      <c r="V54" s="122"/>
      <c r="W54" s="122"/>
      <c r="X54" s="122">
        <v>36.0</v>
      </c>
      <c r="Y54" s="123" t="str">
        <f t="shared" si="29"/>
        <v/>
      </c>
      <c r="Z54" s="123">
        <f t="shared" si="17"/>
        <v>42.72222222</v>
      </c>
      <c r="AA54" s="122"/>
      <c r="AB54" s="122"/>
      <c r="AC54" s="122"/>
      <c r="AD54" s="124"/>
      <c r="AE54" s="11"/>
      <c r="AF54" s="122"/>
      <c r="AG54" s="11" t="str">
        <f t="shared" si="18"/>
        <v/>
      </c>
      <c r="AH54" s="11" t="str">
        <f t="shared" si="19"/>
        <v/>
      </c>
      <c r="AI54" s="11" t="str">
        <f t="shared" si="20"/>
        <v/>
      </c>
    </row>
    <row r="55" ht="15.0" customHeight="1">
      <c r="A55" s="151" t="s">
        <v>1180</v>
      </c>
      <c r="B55" s="11">
        <v>6435.0</v>
      </c>
      <c r="C55" s="120" t="s">
        <v>783</v>
      </c>
      <c r="D55" s="21" t="s">
        <v>1147</v>
      </c>
      <c r="E55" s="165" t="s">
        <v>991</v>
      </c>
      <c r="F55" s="21" t="s">
        <v>951</v>
      </c>
      <c r="G55" s="121">
        <v>46275.0</v>
      </c>
      <c r="H55" s="21" t="s">
        <v>859</v>
      </c>
      <c r="I55" s="11">
        <v>2097.0</v>
      </c>
      <c r="J55" s="122"/>
      <c r="K55" s="122"/>
      <c r="L55" s="11">
        <v>2097.0</v>
      </c>
      <c r="M55" s="21"/>
      <c r="N55" s="169" t="s">
        <v>1181</v>
      </c>
      <c r="O55" s="153"/>
      <c r="P55" s="120"/>
      <c r="Q55" s="20" t="s">
        <v>1148</v>
      </c>
      <c r="R55" s="21"/>
      <c r="S55" s="169" t="s">
        <v>1182</v>
      </c>
      <c r="T55" s="122">
        <v>1809.0</v>
      </c>
      <c r="U55" s="123">
        <f t="shared" si="28"/>
        <v>1.15920398</v>
      </c>
      <c r="V55" s="122"/>
      <c r="W55" s="122"/>
      <c r="X55" s="122">
        <v>22.0</v>
      </c>
      <c r="Y55" s="123" t="str">
        <f t="shared" si="29"/>
        <v/>
      </c>
      <c r="Z55" s="123">
        <f t="shared" si="17"/>
        <v>95.31818182</v>
      </c>
      <c r="AA55" s="122"/>
      <c r="AB55" s="122"/>
      <c r="AC55" s="122"/>
      <c r="AD55" s="124"/>
      <c r="AE55" s="11"/>
      <c r="AF55" s="122"/>
      <c r="AG55" s="11" t="str">
        <f t="shared" si="18"/>
        <v/>
      </c>
      <c r="AH55" s="11" t="str">
        <f t="shared" si="19"/>
        <v/>
      </c>
      <c r="AI55" s="11" t="str">
        <f t="shared" si="20"/>
        <v/>
      </c>
    </row>
    <row r="56" ht="15.0" customHeight="1">
      <c r="A56" s="151" t="s">
        <v>1183</v>
      </c>
      <c r="B56" s="11">
        <v>3639.0</v>
      </c>
      <c r="C56" s="120" t="s">
        <v>783</v>
      </c>
      <c r="D56" s="21" t="s">
        <v>1147</v>
      </c>
      <c r="E56" s="165" t="s">
        <v>991</v>
      </c>
      <c r="F56" s="21" t="s">
        <v>951</v>
      </c>
      <c r="G56" s="121">
        <v>46275.0</v>
      </c>
      <c r="H56" s="21" t="s">
        <v>859</v>
      </c>
      <c r="I56" s="11">
        <v>1398.0</v>
      </c>
      <c r="J56" s="122"/>
      <c r="K56" s="122"/>
      <c r="L56" s="11">
        <v>1398.0</v>
      </c>
      <c r="M56" s="21"/>
      <c r="N56" s="169" t="s">
        <v>1184</v>
      </c>
      <c r="O56" s="153"/>
      <c r="P56" s="120"/>
      <c r="Q56" s="20" t="s">
        <v>1148</v>
      </c>
      <c r="R56" s="21"/>
      <c r="S56" s="169" t="s">
        <v>1185</v>
      </c>
      <c r="T56" s="122">
        <v>1222.0</v>
      </c>
      <c r="U56" s="123">
        <f t="shared" si="28"/>
        <v>1.144026187</v>
      </c>
      <c r="V56" s="122"/>
      <c r="W56" s="122"/>
      <c r="X56" s="122">
        <v>13.0</v>
      </c>
      <c r="Y56" s="123" t="str">
        <f t="shared" si="29"/>
        <v/>
      </c>
      <c r="Z56" s="123">
        <f t="shared" si="17"/>
        <v>107.5384615</v>
      </c>
      <c r="AA56" s="122"/>
      <c r="AB56" s="122"/>
      <c r="AC56" s="122"/>
      <c r="AD56" s="124"/>
      <c r="AE56" s="11"/>
      <c r="AF56" s="122"/>
      <c r="AG56" s="11" t="str">
        <f t="shared" si="18"/>
        <v/>
      </c>
      <c r="AH56" s="11" t="str">
        <f t="shared" si="19"/>
        <v/>
      </c>
      <c r="AI56" s="11" t="str">
        <f t="shared" si="20"/>
        <v/>
      </c>
    </row>
    <row r="57" ht="15.0" customHeight="1">
      <c r="A57" s="151" t="s">
        <v>149</v>
      </c>
      <c r="B57" s="11">
        <v>10312.0</v>
      </c>
      <c r="C57" s="120" t="s">
        <v>783</v>
      </c>
      <c r="D57" s="21" t="s">
        <v>1147</v>
      </c>
      <c r="E57" s="165" t="s">
        <v>991</v>
      </c>
      <c r="F57" s="21" t="s">
        <v>951</v>
      </c>
      <c r="G57" s="121">
        <v>46275.0</v>
      </c>
      <c r="H57" s="21" t="s">
        <v>859</v>
      </c>
      <c r="I57" s="11">
        <v>1398.0</v>
      </c>
      <c r="J57" s="122"/>
      <c r="K57" s="122"/>
      <c r="L57" s="11">
        <v>1398.0</v>
      </c>
      <c r="M57" s="21"/>
      <c r="N57" s="169" t="s">
        <v>1186</v>
      </c>
      <c r="O57" s="153"/>
      <c r="P57" s="120"/>
      <c r="Q57" s="20" t="s">
        <v>1148</v>
      </c>
      <c r="R57" s="21"/>
      <c r="S57" s="169" t="s">
        <v>805</v>
      </c>
      <c r="T57" s="122">
        <v>1255.0</v>
      </c>
      <c r="U57" s="123">
        <f t="shared" si="28"/>
        <v>1.113944223</v>
      </c>
      <c r="V57" s="122"/>
      <c r="W57" s="122"/>
      <c r="X57" s="122">
        <v>36.0</v>
      </c>
      <c r="Y57" s="123" t="str">
        <f t="shared" si="29"/>
        <v/>
      </c>
      <c r="Z57" s="123">
        <f t="shared" si="17"/>
        <v>38.83333333</v>
      </c>
      <c r="AA57" s="122"/>
      <c r="AB57" s="122"/>
      <c r="AC57" s="122"/>
      <c r="AD57" s="124"/>
      <c r="AE57" s="11"/>
      <c r="AF57" s="122"/>
      <c r="AG57" s="11" t="str">
        <f t="shared" si="18"/>
        <v/>
      </c>
      <c r="AH57" s="11" t="str">
        <f t="shared" si="19"/>
        <v/>
      </c>
      <c r="AI57" s="11" t="str">
        <f t="shared" si="20"/>
        <v/>
      </c>
    </row>
    <row r="58" ht="15.0" customHeight="1">
      <c r="A58" s="151" t="s">
        <v>127</v>
      </c>
      <c r="B58" s="11">
        <v>12514.0</v>
      </c>
      <c r="C58" s="120" t="s">
        <v>783</v>
      </c>
      <c r="D58" s="21" t="s">
        <v>1147</v>
      </c>
      <c r="E58" s="165" t="s">
        <v>991</v>
      </c>
      <c r="F58" s="21" t="s">
        <v>951</v>
      </c>
      <c r="G58" s="121">
        <v>46275.0</v>
      </c>
      <c r="H58" s="21" t="s">
        <v>859</v>
      </c>
      <c r="I58" s="11">
        <v>699.0</v>
      </c>
      <c r="J58" s="122"/>
      <c r="K58" s="122"/>
      <c r="L58" s="11">
        <v>699.0</v>
      </c>
      <c r="M58" s="21"/>
      <c r="N58" s="169" t="s">
        <v>1187</v>
      </c>
      <c r="O58" s="153"/>
      <c r="P58" s="120"/>
      <c r="Q58" s="20" t="s">
        <v>1148</v>
      </c>
      <c r="R58" s="21"/>
      <c r="S58" s="169" t="s">
        <v>806</v>
      </c>
      <c r="T58" s="122">
        <v>707.0</v>
      </c>
      <c r="U58" s="123">
        <f t="shared" si="28"/>
        <v>0.9886845827</v>
      </c>
      <c r="V58" s="122"/>
      <c r="W58" s="122"/>
      <c r="X58" s="122">
        <v>19.0</v>
      </c>
      <c r="Y58" s="123" t="str">
        <f t="shared" si="29"/>
        <v/>
      </c>
      <c r="Z58" s="123">
        <f t="shared" si="17"/>
        <v>36.78947368</v>
      </c>
      <c r="AA58" s="122"/>
      <c r="AB58" s="122"/>
      <c r="AC58" s="122"/>
      <c r="AD58" s="124"/>
      <c r="AE58" s="11"/>
      <c r="AF58" s="122"/>
      <c r="AG58" s="11" t="str">
        <f t="shared" si="18"/>
        <v/>
      </c>
      <c r="AH58" s="11" t="str">
        <f t="shared" si="19"/>
        <v/>
      </c>
      <c r="AI58" s="11" t="str">
        <f t="shared" si="20"/>
        <v/>
      </c>
    </row>
    <row r="59" ht="15.0" customHeight="1">
      <c r="A59" s="151" t="s">
        <v>161</v>
      </c>
      <c r="B59" s="11">
        <v>8775.0</v>
      </c>
      <c r="C59" s="120" t="s">
        <v>783</v>
      </c>
      <c r="D59" s="21" t="s">
        <v>1147</v>
      </c>
      <c r="E59" s="165" t="s">
        <v>991</v>
      </c>
      <c r="F59" s="21" t="s">
        <v>951</v>
      </c>
      <c r="G59" s="121">
        <v>46275.0</v>
      </c>
      <c r="H59" s="21" t="s">
        <v>859</v>
      </c>
      <c r="I59" s="11">
        <v>692.0</v>
      </c>
      <c r="J59" s="122"/>
      <c r="K59" s="122"/>
      <c r="L59" s="11">
        <v>692.0</v>
      </c>
      <c r="M59" s="21"/>
      <c r="N59" s="169" t="s">
        <v>1188</v>
      </c>
      <c r="O59" s="153"/>
      <c r="P59" s="120"/>
      <c r="Q59" s="20" t="s">
        <v>1148</v>
      </c>
      <c r="R59" s="21"/>
      <c r="S59" s="169" t="s">
        <v>807</v>
      </c>
      <c r="T59" s="122">
        <v>816.0</v>
      </c>
      <c r="U59" s="123">
        <f t="shared" si="28"/>
        <v>0.8480392157</v>
      </c>
      <c r="V59" s="122"/>
      <c r="W59" s="122"/>
      <c r="X59" s="122">
        <v>85.0</v>
      </c>
      <c r="Y59" s="123" t="str">
        <f t="shared" si="29"/>
        <v/>
      </c>
      <c r="Z59" s="123">
        <f t="shared" si="17"/>
        <v>8.141176471</v>
      </c>
      <c r="AA59" s="122"/>
      <c r="AB59" s="122"/>
      <c r="AC59" s="122"/>
      <c r="AD59" s="124"/>
      <c r="AE59" s="11"/>
      <c r="AF59" s="122"/>
      <c r="AG59" s="11" t="str">
        <f t="shared" si="18"/>
        <v/>
      </c>
      <c r="AH59" s="11" t="str">
        <f t="shared" si="19"/>
        <v/>
      </c>
      <c r="AI59" s="11" t="str">
        <f t="shared" si="20"/>
        <v/>
      </c>
    </row>
    <row r="60" ht="15.0" customHeight="1">
      <c r="A60" s="151" t="s">
        <v>808</v>
      </c>
      <c r="B60" s="11">
        <v>22216.0</v>
      </c>
      <c r="C60" s="120" t="s">
        <v>783</v>
      </c>
      <c r="D60" s="21" t="s">
        <v>1147</v>
      </c>
      <c r="E60" s="165" t="s">
        <v>991</v>
      </c>
      <c r="F60" s="21" t="s">
        <v>951</v>
      </c>
      <c r="G60" s="121">
        <v>46275.0</v>
      </c>
      <c r="H60" s="21" t="s">
        <v>859</v>
      </c>
      <c r="I60" s="11">
        <v>2265.0</v>
      </c>
      <c r="J60" s="122"/>
      <c r="K60" s="122"/>
      <c r="L60" s="11">
        <v>2265.0</v>
      </c>
      <c r="M60" s="21"/>
      <c r="N60" s="169" t="s">
        <v>1189</v>
      </c>
      <c r="O60" s="153"/>
      <c r="P60" s="120"/>
      <c r="Q60" s="20" t="s">
        <v>1148</v>
      </c>
      <c r="R60" s="21"/>
      <c r="S60" s="169" t="s">
        <v>809</v>
      </c>
      <c r="T60" s="122">
        <v>1806.0</v>
      </c>
      <c r="U60" s="123">
        <f t="shared" si="28"/>
        <v>1.254152824</v>
      </c>
      <c r="V60" s="122"/>
      <c r="W60" s="122"/>
      <c r="X60" s="122">
        <v>44.0</v>
      </c>
      <c r="Y60" s="123" t="str">
        <f t="shared" si="29"/>
        <v/>
      </c>
      <c r="Z60" s="123">
        <f t="shared" si="17"/>
        <v>51.47727273</v>
      </c>
      <c r="AA60" s="122"/>
      <c r="AB60" s="122"/>
      <c r="AC60" s="122"/>
      <c r="AD60" s="124"/>
      <c r="AE60" s="11"/>
      <c r="AF60" s="122"/>
      <c r="AG60" s="11" t="str">
        <f t="shared" si="18"/>
        <v/>
      </c>
      <c r="AH60" s="11" t="str">
        <f t="shared" si="19"/>
        <v/>
      </c>
      <c r="AI60" s="11" t="str">
        <f t="shared" si="20"/>
        <v/>
      </c>
    </row>
    <row r="61" ht="15.0" customHeight="1">
      <c r="A61" s="151" t="s">
        <v>177</v>
      </c>
      <c r="B61" s="11">
        <v>43840.0</v>
      </c>
      <c r="C61" s="120" t="s">
        <v>783</v>
      </c>
      <c r="D61" s="21" t="s">
        <v>1147</v>
      </c>
      <c r="E61" s="165" t="s">
        <v>991</v>
      </c>
      <c r="F61" s="21" t="s">
        <v>951</v>
      </c>
      <c r="G61" s="121">
        <v>46275.0</v>
      </c>
      <c r="H61" s="21" t="s">
        <v>859</v>
      </c>
      <c r="I61" s="11">
        <v>1328.0</v>
      </c>
      <c r="J61" s="122"/>
      <c r="K61" s="122"/>
      <c r="L61" s="11">
        <v>1328.0</v>
      </c>
      <c r="M61" s="21"/>
      <c r="N61" s="169" t="s">
        <v>1190</v>
      </c>
      <c r="O61" s="153"/>
      <c r="P61" s="120"/>
      <c r="Q61" s="20" t="s">
        <v>1191</v>
      </c>
      <c r="R61" s="21"/>
      <c r="S61" s="169" t="s">
        <v>1192</v>
      </c>
      <c r="T61" s="122">
        <v>1046.0</v>
      </c>
      <c r="U61" s="123">
        <f t="shared" si="28"/>
        <v>1.26959847</v>
      </c>
      <c r="V61" s="122"/>
      <c r="W61" s="122"/>
      <c r="X61" s="122">
        <v>5.0</v>
      </c>
      <c r="Y61" s="123" t="str">
        <f t="shared" si="29"/>
        <v/>
      </c>
      <c r="Z61" s="123">
        <f t="shared" si="17"/>
        <v>265.6</v>
      </c>
      <c r="AA61" s="122"/>
      <c r="AB61" s="122"/>
      <c r="AC61" s="122"/>
      <c r="AD61" s="124"/>
      <c r="AE61" s="11"/>
      <c r="AF61" s="122"/>
      <c r="AG61" s="11" t="str">
        <f t="shared" si="18"/>
        <v/>
      </c>
      <c r="AH61" s="11" t="str">
        <f t="shared" si="19"/>
        <v/>
      </c>
      <c r="AI61" s="11" t="str">
        <f t="shared" si="20"/>
        <v/>
      </c>
    </row>
    <row r="62" ht="15.0" customHeight="1">
      <c r="A62" s="151" t="s">
        <v>1193</v>
      </c>
      <c r="B62" s="11">
        <v>7016.0</v>
      </c>
      <c r="C62" s="120" t="s">
        <v>783</v>
      </c>
      <c r="D62" s="21" t="s">
        <v>1147</v>
      </c>
      <c r="E62" s="165" t="s">
        <v>991</v>
      </c>
      <c r="F62" s="21" t="s">
        <v>951</v>
      </c>
      <c r="G62" s="121">
        <v>46275.0</v>
      </c>
      <c r="H62" s="21" t="s">
        <v>859</v>
      </c>
      <c r="I62" s="11">
        <v>839.0</v>
      </c>
      <c r="J62" s="122"/>
      <c r="K62" s="122"/>
      <c r="L62" s="11">
        <v>839.0</v>
      </c>
      <c r="M62" s="21"/>
      <c r="N62" s="153" t="s">
        <v>1194</v>
      </c>
      <c r="O62" s="153"/>
      <c r="P62" s="120"/>
      <c r="Q62" s="20" t="s">
        <v>1148</v>
      </c>
      <c r="R62" s="21"/>
      <c r="S62" s="169" t="s">
        <v>1195</v>
      </c>
      <c r="T62" s="122">
        <v>457.0</v>
      </c>
      <c r="U62" s="123">
        <f t="shared" si="28"/>
        <v>1.835886214</v>
      </c>
      <c r="V62" s="122"/>
      <c r="W62" s="122"/>
      <c r="X62" s="122">
        <v>2.0</v>
      </c>
      <c r="Y62" s="123" t="str">
        <f t="shared" si="29"/>
        <v/>
      </c>
      <c r="Z62" s="123">
        <f t="shared" si="17"/>
        <v>419.5</v>
      </c>
      <c r="AA62" s="122"/>
      <c r="AB62" s="122"/>
      <c r="AC62" s="122"/>
      <c r="AD62" s="124"/>
      <c r="AE62" s="11"/>
      <c r="AF62" s="122"/>
      <c r="AG62" s="11" t="str">
        <f t="shared" si="18"/>
        <v/>
      </c>
      <c r="AH62" s="11" t="str">
        <f t="shared" si="19"/>
        <v/>
      </c>
      <c r="AI62" s="11" t="str">
        <f t="shared" si="20"/>
        <v/>
      </c>
    </row>
    <row r="63" ht="15.0" customHeight="1">
      <c r="A63" s="151" t="s">
        <v>1196</v>
      </c>
      <c r="B63" s="11"/>
      <c r="C63" s="120" t="s">
        <v>244</v>
      </c>
      <c r="D63" s="21" t="s">
        <v>1157</v>
      </c>
      <c r="E63" s="165" t="s">
        <v>984</v>
      </c>
      <c r="F63" s="21" t="s">
        <v>1042</v>
      </c>
      <c r="G63" s="121">
        <v>46275.0</v>
      </c>
      <c r="H63" s="21" t="s">
        <v>859</v>
      </c>
      <c r="I63" s="11">
        <v>714.0</v>
      </c>
      <c r="J63" s="122"/>
      <c r="K63" s="122"/>
      <c r="L63" s="11">
        <v>714.0</v>
      </c>
      <c r="M63" s="21"/>
      <c r="N63" s="169" t="s">
        <v>1197</v>
      </c>
      <c r="O63" s="153"/>
      <c r="P63" s="120"/>
      <c r="Q63" s="20" t="s">
        <v>1025</v>
      </c>
      <c r="R63" s="21"/>
      <c r="S63" s="169" t="s">
        <v>1198</v>
      </c>
      <c r="T63" s="122"/>
      <c r="U63" s="123" t="str">
        <f t="shared" si="28"/>
        <v/>
      </c>
      <c r="V63" s="122">
        <v>12.0</v>
      </c>
      <c r="W63" s="122"/>
      <c r="X63" s="122"/>
      <c r="Y63" s="123">
        <f t="shared" si="29"/>
        <v>59.5</v>
      </c>
      <c r="Z63" s="123" t="str">
        <f t="shared" si="17"/>
        <v/>
      </c>
      <c r="AA63" s="122">
        <v>0.0</v>
      </c>
      <c r="AB63" s="122">
        <v>0.0</v>
      </c>
      <c r="AC63" s="122">
        <v>0.0</v>
      </c>
      <c r="AD63" s="124">
        <v>0.0</v>
      </c>
      <c r="AE63" s="11">
        <v>0.0</v>
      </c>
      <c r="AF63" s="122">
        <v>0.0</v>
      </c>
      <c r="AG63" s="11" t="str">
        <f t="shared" si="18"/>
        <v/>
      </c>
      <c r="AH63" s="11" t="str">
        <f t="shared" si="19"/>
        <v/>
      </c>
      <c r="AI63" s="11" t="str">
        <f t="shared" si="20"/>
        <v/>
      </c>
    </row>
    <row r="64" ht="15.0" customHeight="1">
      <c r="A64" s="151" t="s">
        <v>155</v>
      </c>
      <c r="B64" s="11">
        <v>38174.0</v>
      </c>
      <c r="C64" s="120" t="s">
        <v>783</v>
      </c>
      <c r="D64" s="21" t="s">
        <v>1147</v>
      </c>
      <c r="E64" s="165" t="s">
        <v>991</v>
      </c>
      <c r="F64" s="21" t="s">
        <v>951</v>
      </c>
      <c r="G64" s="121">
        <v>46275.0</v>
      </c>
      <c r="H64" s="21" t="s">
        <v>859</v>
      </c>
      <c r="I64" s="11">
        <v>1538.0</v>
      </c>
      <c r="J64" s="122"/>
      <c r="K64" s="122"/>
      <c r="L64" s="11">
        <v>1538.0</v>
      </c>
      <c r="M64" s="21"/>
      <c r="N64" s="169" t="s">
        <v>1199</v>
      </c>
      <c r="O64" s="153"/>
      <c r="P64" s="120"/>
      <c r="Q64" s="20" t="s">
        <v>1148</v>
      </c>
      <c r="R64" s="21"/>
      <c r="S64" s="169" t="s">
        <v>1200</v>
      </c>
      <c r="T64" s="122">
        <v>1729.0</v>
      </c>
      <c r="U64" s="123">
        <f t="shared" si="28"/>
        <v>0.8895315211</v>
      </c>
      <c r="V64" s="122"/>
      <c r="W64" s="122"/>
      <c r="X64" s="122">
        <v>14.0</v>
      </c>
      <c r="Y64" s="123" t="str">
        <f t="shared" si="29"/>
        <v/>
      </c>
      <c r="Z64" s="123">
        <f t="shared" si="17"/>
        <v>109.8571429</v>
      </c>
      <c r="AA64" s="122"/>
      <c r="AB64" s="122"/>
      <c r="AC64" s="122"/>
      <c r="AD64" s="124"/>
      <c r="AE64" s="11"/>
      <c r="AF64" s="122"/>
      <c r="AG64" s="11" t="str">
        <f t="shared" si="18"/>
        <v/>
      </c>
      <c r="AH64" s="11" t="str">
        <f t="shared" si="19"/>
        <v/>
      </c>
      <c r="AI64" s="11" t="str">
        <f t="shared" si="20"/>
        <v/>
      </c>
    </row>
    <row r="65" ht="15.0" customHeight="1">
      <c r="A65" s="151" t="s">
        <v>186</v>
      </c>
      <c r="B65" s="11">
        <v>20143.0</v>
      </c>
      <c r="C65" s="120" t="s">
        <v>783</v>
      </c>
      <c r="D65" s="21" t="s">
        <v>1147</v>
      </c>
      <c r="E65" s="165" t="s">
        <v>991</v>
      </c>
      <c r="F65" s="21" t="s">
        <v>951</v>
      </c>
      <c r="G65" s="121">
        <v>46275.0</v>
      </c>
      <c r="H65" s="21" t="s">
        <v>859</v>
      </c>
      <c r="I65" s="11">
        <v>1818.0</v>
      </c>
      <c r="J65" s="122"/>
      <c r="K65" s="122"/>
      <c r="L65" s="11">
        <v>1818.0</v>
      </c>
      <c r="M65" s="21"/>
      <c r="N65" s="169" t="s">
        <v>1201</v>
      </c>
      <c r="O65" s="153"/>
      <c r="P65" s="120"/>
      <c r="Q65" s="20" t="s">
        <v>1191</v>
      </c>
      <c r="R65" s="21"/>
      <c r="S65" s="169" t="s">
        <v>1202</v>
      </c>
      <c r="T65" s="122">
        <v>953.0</v>
      </c>
      <c r="U65" s="123">
        <f t="shared" si="28"/>
        <v>1.907660021</v>
      </c>
      <c r="V65" s="122"/>
      <c r="W65" s="122"/>
      <c r="X65" s="122">
        <v>9.0</v>
      </c>
      <c r="Y65" s="123" t="str">
        <f t="shared" si="29"/>
        <v/>
      </c>
      <c r="Z65" s="123">
        <f t="shared" si="17"/>
        <v>202</v>
      </c>
      <c r="AA65" s="122"/>
      <c r="AB65" s="122"/>
      <c r="AC65" s="122"/>
      <c r="AD65" s="124"/>
      <c r="AE65" s="11"/>
      <c r="AF65" s="122"/>
      <c r="AG65" s="11" t="str">
        <f t="shared" si="18"/>
        <v/>
      </c>
      <c r="AH65" s="11" t="str">
        <f t="shared" si="19"/>
        <v/>
      </c>
      <c r="AI65" s="11" t="str">
        <f t="shared" si="20"/>
        <v/>
      </c>
    </row>
    <row r="66" ht="15.0" customHeight="1">
      <c r="A66" s="151" t="s">
        <v>311</v>
      </c>
      <c r="B66" s="11">
        <v>8374.0</v>
      </c>
      <c r="C66" s="120" t="s">
        <v>783</v>
      </c>
      <c r="D66" s="21" t="s">
        <v>1147</v>
      </c>
      <c r="E66" s="165" t="s">
        <v>991</v>
      </c>
      <c r="F66" s="21" t="s">
        <v>951</v>
      </c>
      <c r="G66" s="121">
        <v>46275.0</v>
      </c>
      <c r="H66" s="21" t="s">
        <v>859</v>
      </c>
      <c r="I66" s="11">
        <v>3216.0</v>
      </c>
      <c r="J66" s="122"/>
      <c r="K66" s="122"/>
      <c r="L66" s="11">
        <v>3216.0</v>
      </c>
      <c r="M66" s="21"/>
      <c r="N66" s="169" t="s">
        <v>1203</v>
      </c>
      <c r="O66" s="153"/>
      <c r="P66" s="120"/>
      <c r="Q66" s="20" t="s">
        <v>1191</v>
      </c>
      <c r="R66" s="21"/>
      <c r="S66" s="169" t="s">
        <v>1204</v>
      </c>
      <c r="T66" s="122">
        <v>2739.0</v>
      </c>
      <c r="U66" s="123">
        <f t="shared" si="28"/>
        <v>1.17415115</v>
      </c>
      <c r="V66" s="122"/>
      <c r="W66" s="122"/>
      <c r="X66" s="122">
        <v>28.0</v>
      </c>
      <c r="Y66" s="123" t="str">
        <f t="shared" si="29"/>
        <v/>
      </c>
      <c r="Z66" s="123">
        <f t="shared" si="17"/>
        <v>114.8571429</v>
      </c>
      <c r="AA66" s="122"/>
      <c r="AB66" s="122"/>
      <c r="AC66" s="122"/>
      <c r="AD66" s="124"/>
      <c r="AE66" s="11"/>
      <c r="AF66" s="122"/>
      <c r="AG66" s="11" t="str">
        <f t="shared" si="18"/>
        <v/>
      </c>
      <c r="AH66" s="11" t="str">
        <f t="shared" si="19"/>
        <v/>
      </c>
      <c r="AI66" s="11" t="str">
        <f t="shared" si="20"/>
        <v/>
      </c>
    </row>
    <row r="67" ht="15.0" customHeight="1">
      <c r="A67" s="151" t="s">
        <v>1205</v>
      </c>
      <c r="B67" s="11">
        <v>2146.0</v>
      </c>
      <c r="C67" s="120" t="s">
        <v>783</v>
      </c>
      <c r="D67" s="21" t="s">
        <v>1147</v>
      </c>
      <c r="E67" s="165" t="s">
        <v>991</v>
      </c>
      <c r="F67" s="21" t="s">
        <v>951</v>
      </c>
      <c r="G67" s="121">
        <v>46275.0</v>
      </c>
      <c r="H67" s="21" t="s">
        <v>859</v>
      </c>
      <c r="I67" s="11">
        <v>447.0</v>
      </c>
      <c r="J67" s="122"/>
      <c r="K67" s="122"/>
      <c r="L67" s="11">
        <v>447.0</v>
      </c>
      <c r="M67" s="21"/>
      <c r="N67" s="169" t="s">
        <v>1206</v>
      </c>
      <c r="O67" s="153"/>
      <c r="P67" s="120"/>
      <c r="Q67" s="20" t="s">
        <v>1191</v>
      </c>
      <c r="R67" s="21"/>
      <c r="S67" s="169" t="s">
        <v>1207</v>
      </c>
      <c r="T67" s="122">
        <v>406.0</v>
      </c>
      <c r="U67" s="123">
        <f t="shared" si="28"/>
        <v>1.100985222</v>
      </c>
      <c r="V67" s="122"/>
      <c r="W67" s="122"/>
      <c r="X67" s="122">
        <v>14.0</v>
      </c>
      <c r="Y67" s="123" t="str">
        <f t="shared" si="29"/>
        <v/>
      </c>
      <c r="Z67" s="123">
        <f t="shared" si="17"/>
        <v>31.92857143</v>
      </c>
      <c r="AA67" s="122"/>
      <c r="AB67" s="122"/>
      <c r="AC67" s="122"/>
      <c r="AD67" s="124"/>
      <c r="AE67" s="11"/>
      <c r="AF67" s="122"/>
      <c r="AG67" s="11" t="str">
        <f t="shared" si="18"/>
        <v/>
      </c>
      <c r="AH67" s="11" t="str">
        <f t="shared" si="19"/>
        <v/>
      </c>
      <c r="AI67" s="11" t="str">
        <f t="shared" si="20"/>
        <v/>
      </c>
    </row>
    <row r="68" ht="15.0" customHeight="1">
      <c r="A68" s="151" t="s">
        <v>152</v>
      </c>
      <c r="B68" s="11">
        <v>12415.0</v>
      </c>
      <c r="C68" s="120" t="s">
        <v>783</v>
      </c>
      <c r="D68" s="21" t="s">
        <v>1147</v>
      </c>
      <c r="E68" s="165" t="s">
        <v>991</v>
      </c>
      <c r="F68" s="21" t="s">
        <v>951</v>
      </c>
      <c r="G68" s="121">
        <v>46275.0</v>
      </c>
      <c r="H68" s="21" t="s">
        <v>859</v>
      </c>
      <c r="I68" s="11">
        <v>990.0</v>
      </c>
      <c r="J68" s="122"/>
      <c r="K68" s="122"/>
      <c r="L68" s="11">
        <v>990.0</v>
      </c>
      <c r="M68" s="21"/>
      <c r="N68" s="169" t="s">
        <v>1208</v>
      </c>
      <c r="O68" s="153"/>
      <c r="P68" s="120"/>
      <c r="Q68" s="20" t="s">
        <v>1148</v>
      </c>
      <c r="R68" s="21"/>
      <c r="S68" s="169" t="s">
        <v>810</v>
      </c>
      <c r="T68" s="122">
        <v>1200.0</v>
      </c>
      <c r="U68" s="123">
        <f t="shared" si="28"/>
        <v>0.825</v>
      </c>
      <c r="V68" s="122"/>
      <c r="W68" s="122"/>
      <c r="X68" s="122">
        <v>47.0</v>
      </c>
      <c r="Y68" s="123" t="str">
        <f t="shared" si="29"/>
        <v/>
      </c>
      <c r="Z68" s="123">
        <f t="shared" si="17"/>
        <v>21.06382979</v>
      </c>
      <c r="AA68" s="122"/>
      <c r="AB68" s="122"/>
      <c r="AC68" s="122"/>
      <c r="AD68" s="124"/>
      <c r="AE68" s="11"/>
      <c r="AF68" s="122"/>
      <c r="AG68" s="11" t="str">
        <f t="shared" si="18"/>
        <v/>
      </c>
      <c r="AH68" s="11" t="str">
        <f t="shared" si="19"/>
        <v/>
      </c>
      <c r="AI68" s="11" t="str">
        <f t="shared" si="20"/>
        <v/>
      </c>
    </row>
    <row r="69" ht="15.0" customHeight="1">
      <c r="A69" s="151" t="s">
        <v>1209</v>
      </c>
      <c r="B69" s="11" t="s">
        <v>1210</v>
      </c>
      <c r="C69" s="120" t="s">
        <v>783</v>
      </c>
      <c r="D69" s="21" t="s">
        <v>1147</v>
      </c>
      <c r="E69" s="165" t="s">
        <v>991</v>
      </c>
      <c r="F69" s="21" t="s">
        <v>951</v>
      </c>
      <c r="G69" s="121">
        <v>46276.0</v>
      </c>
      <c r="H69" s="21" t="s">
        <v>859</v>
      </c>
      <c r="I69" s="11">
        <v>1398.0</v>
      </c>
      <c r="J69" s="122"/>
      <c r="K69" s="122"/>
      <c r="L69" s="11">
        <v>1398.0</v>
      </c>
      <c r="M69" s="21"/>
      <c r="N69" s="169" t="s">
        <v>1211</v>
      </c>
      <c r="O69" s="153"/>
      <c r="P69" s="120"/>
      <c r="Q69" s="20" t="s">
        <v>1148</v>
      </c>
      <c r="R69" s="21"/>
      <c r="S69" s="169" t="s">
        <v>1212</v>
      </c>
      <c r="T69" s="122">
        <v>1978.0</v>
      </c>
      <c r="U69" s="123">
        <f t="shared" si="28"/>
        <v>0.7067745197</v>
      </c>
      <c r="V69" s="122"/>
      <c r="W69" s="122"/>
      <c r="X69" s="122">
        <v>6.0</v>
      </c>
      <c r="Y69" s="123" t="str">
        <f t="shared" si="29"/>
        <v/>
      </c>
      <c r="Z69" s="123">
        <f t="shared" si="17"/>
        <v>233</v>
      </c>
      <c r="AA69" s="122"/>
      <c r="AB69" s="122"/>
      <c r="AC69" s="122"/>
      <c r="AD69" s="124"/>
      <c r="AE69" s="11"/>
      <c r="AF69" s="122"/>
      <c r="AG69" s="11" t="str">
        <f t="shared" si="18"/>
        <v/>
      </c>
      <c r="AH69" s="11" t="str">
        <f t="shared" si="19"/>
        <v/>
      </c>
      <c r="AI69" s="11" t="str">
        <f t="shared" si="20"/>
        <v/>
      </c>
    </row>
    <row r="70" ht="15.0" customHeight="1">
      <c r="A70" s="151" t="s">
        <v>1213</v>
      </c>
      <c r="B70" s="11">
        <v>17193.0</v>
      </c>
      <c r="C70" s="120" t="s">
        <v>783</v>
      </c>
      <c r="D70" s="21" t="s">
        <v>1147</v>
      </c>
      <c r="E70" s="165" t="s">
        <v>991</v>
      </c>
      <c r="F70" s="21" t="s">
        <v>951</v>
      </c>
      <c r="G70" s="121">
        <v>46276.0</v>
      </c>
      <c r="H70" s="21" t="s">
        <v>859</v>
      </c>
      <c r="I70" s="11">
        <v>1818.0</v>
      </c>
      <c r="J70" s="122"/>
      <c r="K70" s="122"/>
      <c r="L70" s="11">
        <v>1818.0</v>
      </c>
      <c r="M70" s="21"/>
      <c r="N70" s="169" t="s">
        <v>1214</v>
      </c>
      <c r="O70" s="153"/>
      <c r="P70" s="120"/>
      <c r="Q70" s="20" t="s">
        <v>1191</v>
      </c>
      <c r="R70" s="21"/>
      <c r="S70" s="169" t="s">
        <v>1215</v>
      </c>
      <c r="T70" s="122">
        <v>1878.0</v>
      </c>
      <c r="U70" s="123">
        <f t="shared" si="28"/>
        <v>0.9680511182</v>
      </c>
      <c r="V70" s="122"/>
      <c r="W70" s="122"/>
      <c r="X70" s="122">
        <v>46.0</v>
      </c>
      <c r="Y70" s="123" t="str">
        <f t="shared" si="29"/>
        <v/>
      </c>
      <c r="Z70" s="123">
        <f t="shared" si="17"/>
        <v>39.52173913</v>
      </c>
      <c r="AA70" s="122"/>
      <c r="AB70" s="122"/>
      <c r="AC70" s="122"/>
      <c r="AD70" s="124"/>
      <c r="AE70" s="11"/>
      <c r="AF70" s="122"/>
      <c r="AG70" s="11" t="str">
        <f t="shared" si="18"/>
        <v/>
      </c>
      <c r="AH70" s="11" t="str">
        <f t="shared" si="19"/>
        <v/>
      </c>
      <c r="AI70" s="11" t="str">
        <f t="shared" si="20"/>
        <v/>
      </c>
    </row>
    <row r="71" ht="15.0" customHeight="1">
      <c r="A71" s="151" t="s">
        <v>1216</v>
      </c>
      <c r="B71" s="11">
        <v>27476.0</v>
      </c>
      <c r="C71" s="120" t="s">
        <v>783</v>
      </c>
      <c r="D71" s="21" t="s">
        <v>1147</v>
      </c>
      <c r="E71" s="165" t="s">
        <v>991</v>
      </c>
      <c r="F71" s="21" t="s">
        <v>951</v>
      </c>
      <c r="G71" s="121">
        <v>46276.0</v>
      </c>
      <c r="H71" s="21" t="s">
        <v>859</v>
      </c>
      <c r="I71" s="11">
        <v>5594.0</v>
      </c>
      <c r="J71" s="122"/>
      <c r="K71" s="122"/>
      <c r="L71" s="11">
        <v>5594.0</v>
      </c>
      <c r="M71" s="21"/>
      <c r="N71" s="169" t="s">
        <v>1217</v>
      </c>
      <c r="O71" s="153"/>
      <c r="P71" s="120"/>
      <c r="Q71" s="20" t="s">
        <v>1191</v>
      </c>
      <c r="R71" s="21"/>
      <c r="S71" s="169" t="s">
        <v>1218</v>
      </c>
      <c r="T71" s="122">
        <v>5898.0</v>
      </c>
      <c r="U71" s="123">
        <f t="shared" si="28"/>
        <v>0.9484571041</v>
      </c>
      <c r="V71" s="122"/>
      <c r="W71" s="122"/>
      <c r="X71" s="122">
        <v>26.0</v>
      </c>
      <c r="Y71" s="123" t="str">
        <f t="shared" si="29"/>
        <v/>
      </c>
      <c r="Z71" s="123">
        <f t="shared" si="17"/>
        <v>215.1538462</v>
      </c>
      <c r="AA71" s="122"/>
      <c r="AB71" s="122"/>
      <c r="AC71" s="122"/>
      <c r="AD71" s="124"/>
      <c r="AE71" s="11"/>
      <c r="AF71" s="122"/>
      <c r="AG71" s="11" t="str">
        <f t="shared" si="18"/>
        <v/>
      </c>
      <c r="AH71" s="11" t="str">
        <f t="shared" si="19"/>
        <v/>
      </c>
      <c r="AI71" s="11" t="str">
        <f t="shared" si="20"/>
        <v/>
      </c>
    </row>
    <row r="72" ht="15.0" customHeight="1">
      <c r="A72" s="151" t="s">
        <v>200</v>
      </c>
      <c r="B72" s="11">
        <v>9244.0</v>
      </c>
      <c r="C72" s="120" t="s">
        <v>783</v>
      </c>
      <c r="D72" s="21" t="s">
        <v>1147</v>
      </c>
      <c r="E72" s="165" t="s">
        <v>991</v>
      </c>
      <c r="F72" s="21" t="s">
        <v>951</v>
      </c>
      <c r="G72" s="121">
        <v>46276.0</v>
      </c>
      <c r="H72" s="21" t="s">
        <v>859</v>
      </c>
      <c r="I72" s="11">
        <v>839.0</v>
      </c>
      <c r="J72" s="122"/>
      <c r="K72" s="122"/>
      <c r="L72" s="11">
        <v>839.0</v>
      </c>
      <c r="M72" s="21"/>
      <c r="N72" s="169" t="s">
        <v>1219</v>
      </c>
      <c r="O72" s="153"/>
      <c r="P72" s="120"/>
      <c r="Q72" s="20" t="s">
        <v>1191</v>
      </c>
      <c r="R72" s="21"/>
      <c r="S72" s="169" t="s">
        <v>1220</v>
      </c>
      <c r="T72" s="122">
        <v>1192.0</v>
      </c>
      <c r="U72" s="123">
        <f t="shared" si="28"/>
        <v>0.7038590604</v>
      </c>
      <c r="V72" s="122"/>
      <c r="W72" s="122"/>
      <c r="X72" s="122">
        <v>1.0</v>
      </c>
      <c r="Y72" s="123" t="str">
        <f t="shared" si="29"/>
        <v/>
      </c>
      <c r="Z72" s="123">
        <f t="shared" si="17"/>
        <v>839</v>
      </c>
      <c r="AA72" s="122"/>
      <c r="AB72" s="122"/>
      <c r="AC72" s="122"/>
      <c r="AD72" s="124"/>
      <c r="AE72" s="11"/>
      <c r="AF72" s="122"/>
      <c r="AG72" s="11" t="str">
        <f t="shared" si="18"/>
        <v/>
      </c>
      <c r="AH72" s="11" t="str">
        <f t="shared" si="19"/>
        <v/>
      </c>
      <c r="AI72" s="11" t="str">
        <f t="shared" si="20"/>
        <v/>
      </c>
    </row>
    <row r="73" ht="14.25" customHeight="1">
      <c r="A73" s="151" t="s">
        <v>1221</v>
      </c>
      <c r="B73" s="11">
        <v>21189.0</v>
      </c>
      <c r="C73" s="120" t="s">
        <v>783</v>
      </c>
      <c r="D73" s="21" t="s">
        <v>1147</v>
      </c>
      <c r="E73" s="165" t="s">
        <v>991</v>
      </c>
      <c r="F73" s="21" t="s">
        <v>951</v>
      </c>
      <c r="G73" s="121">
        <v>46276.0</v>
      </c>
      <c r="H73" s="21" t="s">
        <v>859</v>
      </c>
      <c r="I73" s="11">
        <v>839.0</v>
      </c>
      <c r="J73" s="122"/>
      <c r="K73" s="122"/>
      <c r="L73" s="11">
        <v>839.0</v>
      </c>
      <c r="M73" s="21"/>
      <c r="N73" s="169" t="s">
        <v>1222</v>
      </c>
      <c r="O73" s="153"/>
      <c r="P73" s="120"/>
      <c r="Q73" s="20" t="s">
        <v>1191</v>
      </c>
      <c r="R73" s="21"/>
      <c r="S73" s="169" t="s">
        <v>1223</v>
      </c>
      <c r="T73" s="122">
        <v>794.0</v>
      </c>
      <c r="U73" s="123">
        <f t="shared" si="28"/>
        <v>1.056675063</v>
      </c>
      <c r="V73" s="122"/>
      <c r="W73" s="122"/>
      <c r="X73" s="122">
        <v>9.0</v>
      </c>
      <c r="Y73" s="123" t="str">
        <f t="shared" si="29"/>
        <v/>
      </c>
      <c r="Z73" s="123">
        <f t="shared" si="17"/>
        <v>93.22222222</v>
      </c>
      <c r="AA73" s="122"/>
      <c r="AB73" s="122"/>
      <c r="AC73" s="122"/>
      <c r="AD73" s="124"/>
      <c r="AE73" s="11"/>
      <c r="AF73" s="122"/>
      <c r="AG73" s="11" t="str">
        <f t="shared" si="18"/>
        <v/>
      </c>
      <c r="AH73" s="11" t="str">
        <f t="shared" si="19"/>
        <v/>
      </c>
      <c r="AI73" s="11" t="str">
        <f t="shared" si="20"/>
        <v/>
      </c>
    </row>
    <row r="74" ht="14.25" customHeight="1">
      <c r="A74" s="151" t="s">
        <v>1224</v>
      </c>
      <c r="B74" s="11">
        <v>17988.0</v>
      </c>
      <c r="C74" s="120" t="s">
        <v>783</v>
      </c>
      <c r="D74" s="21" t="s">
        <v>1147</v>
      </c>
      <c r="E74" s="165" t="s">
        <v>991</v>
      </c>
      <c r="F74" s="21" t="s">
        <v>951</v>
      </c>
      <c r="G74" s="121">
        <v>46276.0</v>
      </c>
      <c r="H74" s="21" t="s">
        <v>859</v>
      </c>
      <c r="I74" s="11">
        <v>699.0</v>
      </c>
      <c r="J74" s="122"/>
      <c r="K74" s="122"/>
      <c r="L74" s="11">
        <v>699.0</v>
      </c>
      <c r="M74" s="21"/>
      <c r="N74" s="169" t="s">
        <v>1225</v>
      </c>
      <c r="O74" s="153"/>
      <c r="P74" s="120"/>
      <c r="Q74" s="20" t="s">
        <v>1191</v>
      </c>
      <c r="R74" s="21"/>
      <c r="S74" s="169" t="s">
        <v>1226</v>
      </c>
      <c r="T74" s="122">
        <v>1723.0</v>
      </c>
      <c r="U74" s="123">
        <f t="shared" si="28"/>
        <v>0.4056877539</v>
      </c>
      <c r="V74" s="122"/>
      <c r="W74" s="122"/>
      <c r="X74" s="122">
        <v>22.0</v>
      </c>
      <c r="Y74" s="123" t="str">
        <f t="shared" si="29"/>
        <v/>
      </c>
      <c r="Z74" s="123">
        <f t="shared" si="17"/>
        <v>31.77272727</v>
      </c>
      <c r="AA74" s="122"/>
      <c r="AB74" s="122"/>
      <c r="AC74" s="122"/>
      <c r="AD74" s="124"/>
      <c r="AE74" s="11"/>
      <c r="AF74" s="122"/>
      <c r="AG74" s="11" t="str">
        <f t="shared" si="18"/>
        <v/>
      </c>
      <c r="AH74" s="11" t="str">
        <f t="shared" si="19"/>
        <v/>
      </c>
      <c r="AI74" s="11" t="str">
        <f t="shared" si="20"/>
        <v/>
      </c>
    </row>
    <row r="75" ht="14.25" customHeight="1">
      <c r="A75" s="151" t="s">
        <v>1227</v>
      </c>
      <c r="B75" s="11">
        <v>14393.0</v>
      </c>
      <c r="C75" s="120" t="s">
        <v>783</v>
      </c>
      <c r="D75" s="21" t="s">
        <v>1147</v>
      </c>
      <c r="E75" s="165" t="s">
        <v>991</v>
      </c>
      <c r="F75" s="21" t="s">
        <v>951</v>
      </c>
      <c r="G75" s="121">
        <v>46276.0</v>
      </c>
      <c r="H75" s="21" t="s">
        <v>859</v>
      </c>
      <c r="I75" s="11">
        <v>1258.0</v>
      </c>
      <c r="J75" s="122"/>
      <c r="K75" s="122"/>
      <c r="L75" s="11">
        <v>1258.0</v>
      </c>
      <c r="M75" s="21"/>
      <c r="N75" s="169" t="s">
        <v>1228</v>
      </c>
      <c r="O75" s="153"/>
      <c r="P75" s="120"/>
      <c r="Q75" s="20" t="s">
        <v>1191</v>
      </c>
      <c r="R75" s="21"/>
      <c r="S75" s="169" t="s">
        <v>1229</v>
      </c>
      <c r="T75" s="122">
        <v>988.0</v>
      </c>
      <c r="U75" s="123">
        <f t="shared" si="28"/>
        <v>1.273279352</v>
      </c>
      <c r="V75" s="122"/>
      <c r="W75" s="122"/>
      <c r="X75" s="122">
        <v>24.0</v>
      </c>
      <c r="Y75" s="123" t="str">
        <f t="shared" si="29"/>
        <v/>
      </c>
      <c r="Z75" s="123">
        <f t="shared" si="17"/>
        <v>52.41666667</v>
      </c>
      <c r="AA75" s="122"/>
      <c r="AB75" s="122"/>
      <c r="AC75" s="122"/>
      <c r="AD75" s="124"/>
      <c r="AE75" s="11"/>
      <c r="AF75" s="122"/>
      <c r="AG75" s="11" t="str">
        <f t="shared" si="18"/>
        <v/>
      </c>
      <c r="AH75" s="11" t="str">
        <f t="shared" si="19"/>
        <v/>
      </c>
      <c r="AI75" s="11" t="str">
        <f t="shared" si="20"/>
        <v/>
      </c>
    </row>
    <row r="76" ht="14.25" customHeight="1">
      <c r="A76" s="151" t="s">
        <v>811</v>
      </c>
      <c r="B76" s="11">
        <v>10984.0</v>
      </c>
      <c r="C76" s="120" t="s">
        <v>783</v>
      </c>
      <c r="D76" s="21" t="s">
        <v>1147</v>
      </c>
      <c r="E76" s="165" t="s">
        <v>991</v>
      </c>
      <c r="F76" s="21" t="s">
        <v>956</v>
      </c>
      <c r="G76" s="121">
        <v>46276.0</v>
      </c>
      <c r="H76" s="21" t="s">
        <v>859</v>
      </c>
      <c r="I76" s="11">
        <v>1818.0</v>
      </c>
      <c r="J76" s="122"/>
      <c r="K76" s="122"/>
      <c r="L76" s="11">
        <v>1818.0</v>
      </c>
      <c r="M76" s="21"/>
      <c r="N76" s="169" t="s">
        <v>1230</v>
      </c>
      <c r="O76" s="153"/>
      <c r="P76" s="120"/>
      <c r="Q76" s="20" t="s">
        <v>1148</v>
      </c>
      <c r="R76" s="21"/>
      <c r="S76" s="169" t="s">
        <v>812</v>
      </c>
      <c r="T76" s="122">
        <v>1998.0</v>
      </c>
      <c r="U76" s="123">
        <f t="shared" si="28"/>
        <v>0.9099099099</v>
      </c>
      <c r="V76" s="122"/>
      <c r="W76" s="122"/>
      <c r="X76" s="122">
        <v>47.0</v>
      </c>
      <c r="Y76" s="123" t="str">
        <f t="shared" si="29"/>
        <v/>
      </c>
      <c r="Z76" s="123">
        <f t="shared" si="17"/>
        <v>38.68085106</v>
      </c>
      <c r="AA76" s="122"/>
      <c r="AB76" s="122"/>
      <c r="AC76" s="122"/>
      <c r="AD76" s="124"/>
      <c r="AE76" s="11"/>
      <c r="AF76" s="122"/>
      <c r="AG76" s="11" t="str">
        <f t="shared" si="18"/>
        <v/>
      </c>
      <c r="AH76" s="11" t="str">
        <f t="shared" si="19"/>
        <v/>
      </c>
      <c r="AI76" s="11" t="str">
        <f t="shared" si="20"/>
        <v/>
      </c>
    </row>
    <row r="77" ht="14.25" customHeight="1">
      <c r="A77" s="151" t="s">
        <v>813</v>
      </c>
      <c r="B77" s="11">
        <v>2411.0</v>
      </c>
      <c r="C77" s="120" t="s">
        <v>783</v>
      </c>
      <c r="D77" s="21" t="s">
        <v>1147</v>
      </c>
      <c r="E77" s="165" t="s">
        <v>991</v>
      </c>
      <c r="F77" s="21" t="s">
        <v>956</v>
      </c>
      <c r="G77" s="121">
        <v>46276.0</v>
      </c>
      <c r="H77" s="21" t="s">
        <v>859</v>
      </c>
      <c r="I77" s="11">
        <v>559.0</v>
      </c>
      <c r="J77" s="122"/>
      <c r="K77" s="122"/>
      <c r="L77" s="11">
        <v>559.0</v>
      </c>
      <c r="M77" s="21"/>
      <c r="N77" s="162" t="s">
        <v>1231</v>
      </c>
      <c r="O77" s="153"/>
      <c r="P77" s="120"/>
      <c r="Q77" s="20" t="s">
        <v>1148</v>
      </c>
      <c r="R77" s="21"/>
      <c r="S77" s="169" t="s">
        <v>814</v>
      </c>
      <c r="T77" s="122">
        <v>509.0</v>
      </c>
      <c r="U77" s="123">
        <f t="shared" si="28"/>
        <v>1.098231827</v>
      </c>
      <c r="V77" s="122"/>
      <c r="W77" s="122"/>
      <c r="X77" s="122">
        <v>15.0</v>
      </c>
      <c r="Y77" s="123" t="str">
        <f t="shared" si="29"/>
        <v/>
      </c>
      <c r="Z77" s="123">
        <f t="shared" si="17"/>
        <v>37.26666667</v>
      </c>
      <c r="AA77" s="122"/>
      <c r="AB77" s="122"/>
      <c r="AC77" s="122"/>
      <c r="AD77" s="124"/>
      <c r="AE77" s="11"/>
      <c r="AF77" s="122"/>
      <c r="AG77" s="11" t="str">
        <f t="shared" si="18"/>
        <v/>
      </c>
      <c r="AH77" s="11" t="str">
        <f t="shared" si="19"/>
        <v/>
      </c>
      <c r="AI77" s="11" t="str">
        <f t="shared" si="20"/>
        <v/>
      </c>
    </row>
    <row r="78" ht="14.25" customHeight="1">
      <c r="A78" s="151" t="s">
        <v>1232</v>
      </c>
      <c r="B78" s="11">
        <v>15521.0</v>
      </c>
      <c r="C78" s="120" t="s">
        <v>783</v>
      </c>
      <c r="D78" s="21" t="s">
        <v>1147</v>
      </c>
      <c r="E78" s="165" t="s">
        <v>991</v>
      </c>
      <c r="F78" s="21" t="s">
        <v>956</v>
      </c>
      <c r="G78" s="121">
        <v>46276.0</v>
      </c>
      <c r="H78" s="21" t="s">
        <v>859</v>
      </c>
      <c r="I78" s="11">
        <v>1118.0</v>
      </c>
      <c r="J78" s="122"/>
      <c r="K78" s="122"/>
      <c r="L78" s="11">
        <v>1118.0</v>
      </c>
      <c r="M78" s="21"/>
      <c r="N78" s="169" t="s">
        <v>1233</v>
      </c>
      <c r="O78" s="153"/>
      <c r="P78" s="120"/>
      <c r="Q78" s="20" t="s">
        <v>1148</v>
      </c>
      <c r="R78" s="21"/>
      <c r="S78" s="169" t="s">
        <v>1234</v>
      </c>
      <c r="T78" s="122">
        <v>554.0</v>
      </c>
      <c r="U78" s="123">
        <f t="shared" si="28"/>
        <v>2.018050542</v>
      </c>
      <c r="V78" s="122"/>
      <c r="W78" s="122"/>
      <c r="X78" s="122">
        <v>17.0</v>
      </c>
      <c r="Y78" s="123" t="str">
        <f t="shared" si="29"/>
        <v/>
      </c>
      <c r="Z78" s="123">
        <f t="shared" si="17"/>
        <v>65.76470588</v>
      </c>
      <c r="AA78" s="122"/>
      <c r="AB78" s="122"/>
      <c r="AC78" s="122"/>
      <c r="AD78" s="124"/>
      <c r="AE78" s="11"/>
      <c r="AF78" s="122"/>
      <c r="AG78" s="11" t="str">
        <f t="shared" si="18"/>
        <v/>
      </c>
      <c r="AH78" s="11" t="str">
        <f t="shared" si="19"/>
        <v/>
      </c>
      <c r="AI78" s="11" t="str">
        <f t="shared" si="20"/>
        <v/>
      </c>
    </row>
    <row r="79" ht="14.25" customHeight="1">
      <c r="A79" s="151" t="s">
        <v>1235</v>
      </c>
      <c r="B79" s="11">
        <v>5630.0</v>
      </c>
      <c r="C79" s="120" t="s">
        <v>783</v>
      </c>
      <c r="D79" s="21" t="s">
        <v>1147</v>
      </c>
      <c r="E79" s="165" t="s">
        <v>991</v>
      </c>
      <c r="F79" s="21" t="s">
        <v>956</v>
      </c>
      <c r="G79" s="121">
        <v>46276.0</v>
      </c>
      <c r="H79" s="21" t="s">
        <v>859</v>
      </c>
      <c r="I79" s="11">
        <v>1006.0</v>
      </c>
      <c r="J79" s="122"/>
      <c r="K79" s="122"/>
      <c r="L79" s="11">
        <v>1006.0</v>
      </c>
      <c r="M79" s="21"/>
      <c r="N79" s="169" t="s">
        <v>1236</v>
      </c>
      <c r="O79" s="153"/>
      <c r="P79" s="120"/>
      <c r="Q79" s="20" t="s">
        <v>1148</v>
      </c>
      <c r="R79" s="21"/>
      <c r="S79" s="169" t="s">
        <v>1237</v>
      </c>
      <c r="T79" s="122">
        <v>2006.0</v>
      </c>
      <c r="U79" s="123">
        <f t="shared" si="28"/>
        <v>0.5014955135</v>
      </c>
      <c r="V79" s="122"/>
      <c r="W79" s="122"/>
      <c r="X79" s="122">
        <v>13.0</v>
      </c>
      <c r="Y79" s="123" t="str">
        <f t="shared" si="29"/>
        <v/>
      </c>
      <c r="Z79" s="123">
        <f t="shared" si="17"/>
        <v>77.38461538</v>
      </c>
      <c r="AA79" s="122"/>
      <c r="AB79" s="122"/>
      <c r="AC79" s="122"/>
      <c r="AD79" s="124"/>
      <c r="AE79" s="11"/>
      <c r="AF79" s="122"/>
      <c r="AG79" s="11" t="str">
        <f t="shared" si="18"/>
        <v/>
      </c>
      <c r="AH79" s="11" t="str">
        <f t="shared" si="19"/>
        <v/>
      </c>
      <c r="AI79" s="11" t="str">
        <f t="shared" si="20"/>
        <v/>
      </c>
    </row>
    <row r="80" ht="14.25" customHeight="1">
      <c r="A80" s="151" t="s">
        <v>1238</v>
      </c>
      <c r="B80" s="11">
        <v>3837.0</v>
      </c>
      <c r="C80" s="120" t="s">
        <v>783</v>
      </c>
      <c r="D80" s="21" t="s">
        <v>1147</v>
      </c>
      <c r="E80" s="165" t="s">
        <v>991</v>
      </c>
      <c r="F80" s="21" t="s">
        <v>956</v>
      </c>
      <c r="G80" s="121">
        <v>46276.0</v>
      </c>
      <c r="H80" s="21" t="s">
        <v>859</v>
      </c>
      <c r="I80" s="11">
        <v>769.0</v>
      </c>
      <c r="J80" s="122"/>
      <c r="K80" s="122"/>
      <c r="L80" s="11">
        <v>769.0</v>
      </c>
      <c r="M80" s="21"/>
      <c r="N80" s="169" t="s">
        <v>1239</v>
      </c>
      <c r="O80" s="153"/>
      <c r="P80" s="120"/>
      <c r="Q80" s="20" t="s">
        <v>1148</v>
      </c>
      <c r="R80" s="21"/>
      <c r="S80" s="169" t="s">
        <v>1240</v>
      </c>
      <c r="T80" s="122">
        <v>703.0</v>
      </c>
      <c r="U80" s="123">
        <f t="shared" si="28"/>
        <v>1.093883357</v>
      </c>
      <c r="V80" s="122"/>
      <c r="W80" s="122"/>
      <c r="X80" s="122">
        <v>8.0</v>
      </c>
      <c r="Y80" s="123" t="str">
        <f t="shared" si="29"/>
        <v/>
      </c>
      <c r="Z80" s="123">
        <f t="shared" si="17"/>
        <v>96.125</v>
      </c>
      <c r="AA80" s="122"/>
      <c r="AB80" s="122"/>
      <c r="AC80" s="122"/>
      <c r="AD80" s="124"/>
      <c r="AE80" s="11"/>
      <c r="AF80" s="122"/>
      <c r="AG80" s="11" t="str">
        <f t="shared" si="18"/>
        <v/>
      </c>
      <c r="AH80" s="11" t="str">
        <f t="shared" si="19"/>
        <v/>
      </c>
      <c r="AI80" s="11" t="str">
        <f t="shared" si="20"/>
        <v/>
      </c>
    </row>
    <row r="81" ht="14.25" customHeight="1">
      <c r="A81" s="151" t="s">
        <v>1241</v>
      </c>
      <c r="B81" s="11">
        <v>16565.0</v>
      </c>
      <c r="C81" s="120" t="s">
        <v>783</v>
      </c>
      <c r="D81" s="21" t="s">
        <v>1147</v>
      </c>
      <c r="E81" s="165" t="s">
        <v>991</v>
      </c>
      <c r="F81" s="21" t="s">
        <v>956</v>
      </c>
      <c r="G81" s="121">
        <v>46276.0</v>
      </c>
      <c r="H81" s="21" t="s">
        <v>859</v>
      </c>
      <c r="I81" s="11">
        <v>3496.0</v>
      </c>
      <c r="J81" s="122"/>
      <c r="K81" s="122"/>
      <c r="L81" s="11">
        <v>3496.0</v>
      </c>
      <c r="M81" s="21"/>
      <c r="N81" s="169" t="s">
        <v>1242</v>
      </c>
      <c r="O81" s="153"/>
      <c r="P81" s="120"/>
      <c r="Q81" s="20" t="s">
        <v>1148</v>
      </c>
      <c r="R81" s="21"/>
      <c r="S81" s="169" t="s">
        <v>1243</v>
      </c>
      <c r="T81" s="122">
        <v>2300.0</v>
      </c>
      <c r="U81" s="123">
        <f t="shared" si="28"/>
        <v>1.52</v>
      </c>
      <c r="V81" s="122"/>
      <c r="W81" s="122"/>
      <c r="X81" s="122">
        <v>13.0</v>
      </c>
      <c r="Y81" s="123" t="str">
        <f t="shared" si="29"/>
        <v/>
      </c>
      <c r="Z81" s="123">
        <f t="shared" si="17"/>
        <v>268.9230769</v>
      </c>
      <c r="AA81" s="122"/>
      <c r="AB81" s="122"/>
      <c r="AC81" s="122"/>
      <c r="AD81" s="124"/>
      <c r="AE81" s="11"/>
      <c r="AF81" s="122"/>
      <c r="AG81" s="11" t="str">
        <f t="shared" si="18"/>
        <v/>
      </c>
      <c r="AH81" s="11" t="str">
        <f t="shared" si="19"/>
        <v/>
      </c>
      <c r="AI81" s="11" t="str">
        <f t="shared" si="20"/>
        <v/>
      </c>
    </row>
    <row r="82" ht="14.25" customHeight="1">
      <c r="A82" s="151" t="s">
        <v>1244</v>
      </c>
      <c r="B82" s="11">
        <v>1927.0</v>
      </c>
      <c r="C82" s="120" t="s">
        <v>783</v>
      </c>
      <c r="D82" s="21" t="s">
        <v>1147</v>
      </c>
      <c r="E82" s="165" t="s">
        <v>991</v>
      </c>
      <c r="F82" s="21" t="s">
        <v>956</v>
      </c>
      <c r="G82" s="121">
        <v>46276.0</v>
      </c>
      <c r="H82" s="21" t="s">
        <v>859</v>
      </c>
      <c r="I82" s="11">
        <v>293.0</v>
      </c>
      <c r="J82" s="122"/>
      <c r="K82" s="122"/>
      <c r="L82" s="11">
        <v>293.0</v>
      </c>
      <c r="M82" s="21"/>
      <c r="N82" s="169" t="s">
        <v>1245</v>
      </c>
      <c r="O82" s="153"/>
      <c r="P82" s="120"/>
      <c r="Q82" s="20" t="s">
        <v>1148</v>
      </c>
      <c r="R82" s="21"/>
      <c r="S82" s="169" t="s">
        <v>1246</v>
      </c>
      <c r="T82" s="122">
        <v>556.0</v>
      </c>
      <c r="U82" s="123">
        <f t="shared" si="28"/>
        <v>0.5269784173</v>
      </c>
      <c r="V82" s="122"/>
      <c r="W82" s="122"/>
      <c r="X82" s="122">
        <v>9.0</v>
      </c>
      <c r="Y82" s="123" t="str">
        <f t="shared" si="29"/>
        <v/>
      </c>
      <c r="Z82" s="123">
        <f t="shared" si="17"/>
        <v>32.55555556</v>
      </c>
      <c r="AA82" s="122"/>
      <c r="AB82" s="122"/>
      <c r="AC82" s="122"/>
      <c r="AD82" s="124"/>
      <c r="AE82" s="11"/>
      <c r="AF82" s="122"/>
      <c r="AG82" s="11" t="str">
        <f t="shared" si="18"/>
        <v/>
      </c>
      <c r="AH82" s="11" t="str">
        <f t="shared" si="19"/>
        <v/>
      </c>
      <c r="AI82" s="11" t="str">
        <f t="shared" si="20"/>
        <v/>
      </c>
    </row>
    <row r="83" ht="14.25" customHeight="1">
      <c r="A83" s="151" t="s">
        <v>1247</v>
      </c>
      <c r="B83" s="11">
        <v>10950.0</v>
      </c>
      <c r="C83" s="120" t="s">
        <v>783</v>
      </c>
      <c r="D83" s="21" t="s">
        <v>1147</v>
      </c>
      <c r="E83" s="165" t="s">
        <v>991</v>
      </c>
      <c r="F83" s="21" t="s">
        <v>956</v>
      </c>
      <c r="G83" s="121">
        <v>46276.0</v>
      </c>
      <c r="H83" s="21" t="s">
        <v>859</v>
      </c>
      <c r="I83" s="11">
        <v>3076.0</v>
      </c>
      <c r="J83" s="122"/>
      <c r="K83" s="122"/>
      <c r="L83" s="11">
        <v>3076.0</v>
      </c>
      <c r="M83" s="21"/>
      <c r="N83" s="169" t="s">
        <v>1248</v>
      </c>
      <c r="O83" s="153"/>
      <c r="P83" s="120"/>
      <c r="Q83" s="20" t="s">
        <v>1148</v>
      </c>
      <c r="R83" s="21"/>
      <c r="S83" s="169" t="s">
        <v>1249</v>
      </c>
      <c r="T83" s="122">
        <v>2700.0</v>
      </c>
      <c r="U83" s="123">
        <f t="shared" si="28"/>
        <v>1.139259259</v>
      </c>
      <c r="V83" s="122"/>
      <c r="W83" s="122"/>
      <c r="X83" s="122">
        <v>14.0</v>
      </c>
      <c r="Y83" s="123" t="str">
        <f t="shared" si="29"/>
        <v/>
      </c>
      <c r="Z83" s="123">
        <f t="shared" si="17"/>
        <v>219.7142857</v>
      </c>
      <c r="AA83" s="122"/>
      <c r="AB83" s="122"/>
      <c r="AC83" s="122"/>
      <c r="AD83" s="124"/>
      <c r="AE83" s="11"/>
      <c r="AF83" s="122"/>
      <c r="AG83" s="11" t="str">
        <f t="shared" si="18"/>
        <v/>
      </c>
      <c r="AH83" s="11" t="str">
        <f t="shared" si="19"/>
        <v/>
      </c>
      <c r="AI83" s="11" t="str">
        <f t="shared" si="20"/>
        <v/>
      </c>
    </row>
    <row r="84" ht="14.25" customHeight="1">
      <c r="A84" s="151" t="s">
        <v>815</v>
      </c>
      <c r="B84" s="11">
        <v>2797.0</v>
      </c>
      <c r="C84" s="120" t="s">
        <v>783</v>
      </c>
      <c r="D84" s="21" t="s">
        <v>1147</v>
      </c>
      <c r="E84" s="165" t="s">
        <v>991</v>
      </c>
      <c r="F84" s="21" t="s">
        <v>956</v>
      </c>
      <c r="G84" s="121">
        <v>46276.0</v>
      </c>
      <c r="H84" s="21" t="s">
        <v>859</v>
      </c>
      <c r="I84" s="11">
        <v>377.0</v>
      </c>
      <c r="J84" s="122"/>
      <c r="K84" s="122"/>
      <c r="L84" s="11">
        <v>377.0</v>
      </c>
      <c r="M84" s="21"/>
      <c r="N84" s="169" t="s">
        <v>1250</v>
      </c>
      <c r="O84" s="153"/>
      <c r="P84" s="120"/>
      <c r="Q84" s="20" t="s">
        <v>1148</v>
      </c>
      <c r="R84" s="21"/>
      <c r="S84" s="169" t="s">
        <v>816</v>
      </c>
      <c r="T84" s="122">
        <v>532.0</v>
      </c>
      <c r="U84" s="123">
        <f t="shared" si="28"/>
        <v>0.7086466165</v>
      </c>
      <c r="V84" s="122"/>
      <c r="W84" s="122"/>
      <c r="X84" s="122">
        <v>24.0</v>
      </c>
      <c r="Y84" s="123" t="str">
        <f t="shared" si="29"/>
        <v/>
      </c>
      <c r="Z84" s="123">
        <f t="shared" si="17"/>
        <v>15.70833333</v>
      </c>
      <c r="AA84" s="122"/>
      <c r="AB84" s="122"/>
      <c r="AC84" s="122"/>
      <c r="AD84" s="124"/>
      <c r="AE84" s="11"/>
      <c r="AF84" s="122"/>
      <c r="AG84" s="11" t="str">
        <f t="shared" si="18"/>
        <v/>
      </c>
      <c r="AH84" s="11" t="str">
        <f t="shared" si="19"/>
        <v/>
      </c>
      <c r="AI84" s="11" t="str">
        <f t="shared" si="20"/>
        <v/>
      </c>
    </row>
    <row r="85" ht="14.25" customHeight="1">
      <c r="A85" s="151" t="s">
        <v>142</v>
      </c>
      <c r="B85" s="11">
        <v>13701.0</v>
      </c>
      <c r="C85" s="120" t="s">
        <v>783</v>
      </c>
      <c r="D85" s="21" t="s">
        <v>1147</v>
      </c>
      <c r="E85" s="165" t="s">
        <v>991</v>
      </c>
      <c r="F85" s="21" t="s">
        <v>956</v>
      </c>
      <c r="G85" s="121">
        <v>46276.0</v>
      </c>
      <c r="H85" s="21" t="s">
        <v>859</v>
      </c>
      <c r="I85" s="11">
        <v>979.0</v>
      </c>
      <c r="J85" s="122"/>
      <c r="K85" s="122"/>
      <c r="L85" s="11">
        <v>979.0</v>
      </c>
      <c r="M85" s="186"/>
      <c r="N85" s="169" t="s">
        <v>1251</v>
      </c>
      <c r="O85" s="153"/>
      <c r="P85" s="120"/>
      <c r="Q85" s="20" t="s">
        <v>1148</v>
      </c>
      <c r="R85" s="21"/>
      <c r="S85" s="169" t="s">
        <v>1252</v>
      </c>
      <c r="T85" s="122">
        <v>1100.0</v>
      </c>
      <c r="U85" s="123">
        <f t="shared" si="28"/>
        <v>0.89</v>
      </c>
      <c r="V85" s="122"/>
      <c r="W85" s="122"/>
      <c r="X85" s="122">
        <v>6.0</v>
      </c>
      <c r="Y85" s="123" t="str">
        <f t="shared" si="29"/>
        <v/>
      </c>
      <c r="Z85" s="123">
        <f t="shared" si="17"/>
        <v>163.1666667</v>
      </c>
      <c r="AA85" s="122"/>
      <c r="AB85" s="122"/>
      <c r="AC85" s="122"/>
      <c r="AD85" s="124"/>
      <c r="AE85" s="11"/>
      <c r="AF85" s="122"/>
      <c r="AG85" s="11" t="str">
        <f t="shared" si="18"/>
        <v/>
      </c>
      <c r="AH85" s="11" t="str">
        <f t="shared" si="19"/>
        <v/>
      </c>
      <c r="AI85" s="11" t="str">
        <f t="shared" si="20"/>
        <v/>
      </c>
    </row>
    <row r="86" ht="15.0" customHeight="1">
      <c r="A86" s="151" t="s">
        <v>56</v>
      </c>
      <c r="B86" s="11">
        <v>37400.0</v>
      </c>
      <c r="C86" s="120" t="str">
        <f>IFERROR(VLOOKUP($A86,'Мои блогеры'!$A:$N,2,0),"")</f>
        <v>YouTube</v>
      </c>
      <c r="D86" s="21" t="s">
        <v>861</v>
      </c>
      <c r="E86" s="165">
        <v>1.0</v>
      </c>
      <c r="F86" s="21" t="s">
        <v>973</v>
      </c>
      <c r="G86" s="121">
        <v>46278.0</v>
      </c>
      <c r="H86" s="21" t="s">
        <v>859</v>
      </c>
      <c r="I86" s="11">
        <v>26000.0</v>
      </c>
      <c r="J86" s="122">
        <v>2750.0</v>
      </c>
      <c r="K86" s="122"/>
      <c r="L86" s="11">
        <f>IF(N($I86)+N($J86)+N($K86)=0,"",N($I86)+N($J86)+N($K86))</f>
        <v>28750</v>
      </c>
      <c r="M86" s="186" t="s">
        <v>1253</v>
      </c>
      <c r="N86" s="162" t="s">
        <v>1254</v>
      </c>
      <c r="O86" s="160" t="s">
        <v>1255</v>
      </c>
      <c r="P86" s="120" t="str">
        <f>IFERROR(VLOOKUP($A86,'Мои блогеры'!$A$2:$N$673,10,0)&amp;"-TRG","")</f>
        <v>-TRG</v>
      </c>
      <c r="Q86" s="20" t="s">
        <v>1025</v>
      </c>
      <c r="R86" s="21" t="s">
        <v>935</v>
      </c>
      <c r="S86" s="169" t="s">
        <v>796</v>
      </c>
      <c r="T86" s="122">
        <v>20000.0</v>
      </c>
      <c r="U86" s="123">
        <f t="shared" si="28"/>
        <v>1.4375</v>
      </c>
      <c r="V86" s="122">
        <v>157.0</v>
      </c>
      <c r="W86" s="122">
        <v>157.0</v>
      </c>
      <c r="X86" s="122"/>
      <c r="Y86" s="123">
        <f t="shared" si="29"/>
        <v>183.1210191</v>
      </c>
      <c r="Z86" s="123" t="str">
        <f t="shared" si="17"/>
        <v/>
      </c>
      <c r="AA86" s="122">
        <v>64.0</v>
      </c>
      <c r="AB86" s="122">
        <v>5.0</v>
      </c>
      <c r="AC86" s="122">
        <v>7454.0</v>
      </c>
      <c r="AD86" s="124">
        <v>0.95</v>
      </c>
      <c r="AE86" s="11">
        <v>5.0</v>
      </c>
      <c r="AF86" s="122">
        <v>1490.0</v>
      </c>
      <c r="AG86" s="11">
        <f t="shared" si="18"/>
        <v>7450</v>
      </c>
      <c r="AH86" s="11">
        <f t="shared" si="19"/>
        <v>5750</v>
      </c>
      <c r="AI86" s="11">
        <f t="shared" si="20"/>
        <v>5750</v>
      </c>
    </row>
    <row r="87" ht="15.0" customHeight="1">
      <c r="A87" s="151" t="s">
        <v>817</v>
      </c>
      <c r="B87" s="11">
        <v>15554.0</v>
      </c>
      <c r="C87" s="120" t="s">
        <v>783</v>
      </c>
      <c r="D87" s="21" t="s">
        <v>1147</v>
      </c>
      <c r="E87" s="165" t="s">
        <v>991</v>
      </c>
      <c r="F87" s="21" t="s">
        <v>956</v>
      </c>
      <c r="G87" s="121">
        <v>46277.0</v>
      </c>
      <c r="H87" s="21" t="s">
        <v>859</v>
      </c>
      <c r="I87" s="11">
        <v>2097.0</v>
      </c>
      <c r="J87" s="122"/>
      <c r="K87" s="122"/>
      <c r="L87" s="11">
        <v>2097.0</v>
      </c>
      <c r="M87" s="186"/>
      <c r="N87" s="169" t="s">
        <v>1256</v>
      </c>
      <c r="O87" s="187"/>
      <c r="P87" s="120"/>
      <c r="Q87" s="20" t="s">
        <v>1148</v>
      </c>
      <c r="R87" s="21"/>
      <c r="S87" s="169" t="s">
        <v>818</v>
      </c>
      <c r="T87" s="122">
        <v>5300.0</v>
      </c>
      <c r="U87" s="123">
        <f t="shared" si="28"/>
        <v>0.3956603774</v>
      </c>
      <c r="V87" s="122"/>
      <c r="W87" s="122"/>
      <c r="X87" s="122">
        <v>122.0</v>
      </c>
      <c r="Y87" s="123" t="str">
        <f t="shared" si="29"/>
        <v/>
      </c>
      <c r="Z87" s="123">
        <f t="shared" si="17"/>
        <v>17.18852459</v>
      </c>
      <c r="AA87" s="122"/>
      <c r="AB87" s="122"/>
      <c r="AC87" s="122"/>
      <c r="AD87" s="124"/>
      <c r="AE87" s="11"/>
      <c r="AF87" s="122"/>
      <c r="AG87" s="11" t="str">
        <f t="shared" si="18"/>
        <v/>
      </c>
      <c r="AH87" s="11" t="str">
        <f t="shared" si="19"/>
        <v/>
      </c>
      <c r="AI87" s="11" t="str">
        <f t="shared" si="20"/>
        <v/>
      </c>
    </row>
    <row r="88" ht="15.0" customHeight="1">
      <c r="A88" s="151" t="s">
        <v>78</v>
      </c>
      <c r="B88" s="11">
        <v>72100.0</v>
      </c>
      <c r="C88" s="120" t="s">
        <v>244</v>
      </c>
      <c r="D88" s="21" t="s">
        <v>1157</v>
      </c>
      <c r="E88" s="165" t="s">
        <v>984</v>
      </c>
      <c r="F88" s="21" t="s">
        <v>1042</v>
      </c>
      <c r="G88" s="121">
        <v>46277.0</v>
      </c>
      <c r="H88" s="21" t="s">
        <v>859</v>
      </c>
      <c r="I88" s="11">
        <v>357.0</v>
      </c>
      <c r="J88" s="122"/>
      <c r="K88" s="122"/>
      <c r="L88" s="11">
        <v>357.0</v>
      </c>
      <c r="M88" s="188"/>
      <c r="N88" s="169" t="s">
        <v>1257</v>
      </c>
      <c r="O88" s="187"/>
      <c r="P88" s="120"/>
      <c r="Q88" s="20" t="s">
        <v>1258</v>
      </c>
      <c r="R88" s="21"/>
      <c r="S88" s="169" t="s">
        <v>1259</v>
      </c>
      <c r="T88" s="122">
        <v>1551.0</v>
      </c>
      <c r="U88" s="123">
        <f t="shared" si="28"/>
        <v>0.2301740812</v>
      </c>
      <c r="V88" s="122"/>
      <c r="W88" s="122">
        <v>21.0</v>
      </c>
      <c r="X88" s="122"/>
      <c r="Y88" s="123" t="str">
        <f t="shared" si="29"/>
        <v/>
      </c>
      <c r="Z88" s="123" t="str">
        <f t="shared" si="17"/>
        <v/>
      </c>
      <c r="AA88" s="122">
        <v>6.0</v>
      </c>
      <c r="AB88" s="122">
        <v>2.0</v>
      </c>
      <c r="AC88" s="122">
        <v>2400.0</v>
      </c>
      <c r="AD88" s="124">
        <v>1.0</v>
      </c>
      <c r="AE88" s="11">
        <v>2.0</v>
      </c>
      <c r="AF88" s="122">
        <v>1200.0</v>
      </c>
      <c r="AG88" s="11">
        <f t="shared" si="18"/>
        <v>2400</v>
      </c>
      <c r="AH88" s="11">
        <f t="shared" si="19"/>
        <v>179</v>
      </c>
      <c r="AI88" s="189">
        <f t="shared" si="20"/>
        <v>179</v>
      </c>
    </row>
    <row r="89" ht="15.0" customHeight="1">
      <c r="A89" s="151" t="s">
        <v>1260</v>
      </c>
      <c r="B89" s="11">
        <v>15300.0</v>
      </c>
      <c r="C89" s="120" t="s">
        <v>244</v>
      </c>
      <c r="D89" s="21" t="s">
        <v>1157</v>
      </c>
      <c r="E89" s="165" t="s">
        <v>984</v>
      </c>
      <c r="F89" s="21" t="s">
        <v>1042</v>
      </c>
      <c r="G89" s="121">
        <v>46278.0</v>
      </c>
      <c r="H89" s="21" t="s">
        <v>859</v>
      </c>
      <c r="I89" s="11">
        <v>714.0</v>
      </c>
      <c r="J89" s="122"/>
      <c r="K89" s="122"/>
      <c r="L89" s="11">
        <v>714.0</v>
      </c>
      <c r="M89" s="188"/>
      <c r="N89" s="169" t="s">
        <v>1261</v>
      </c>
      <c r="O89" s="187"/>
      <c r="P89" s="120"/>
      <c r="Q89" s="20" t="s">
        <v>1258</v>
      </c>
      <c r="R89" s="21"/>
      <c r="S89" s="169" t="s">
        <v>1262</v>
      </c>
      <c r="T89" s="122">
        <v>3065.0</v>
      </c>
      <c r="U89" s="123">
        <f t="shared" si="28"/>
        <v>0.2329526917</v>
      </c>
      <c r="V89" s="122"/>
      <c r="W89" s="122">
        <v>19.0</v>
      </c>
      <c r="X89" s="122"/>
      <c r="Y89" s="123" t="str">
        <f t="shared" si="29"/>
        <v/>
      </c>
      <c r="Z89" s="123"/>
      <c r="AA89" s="122">
        <v>4.0</v>
      </c>
      <c r="AB89" s="122">
        <v>1.0</v>
      </c>
      <c r="AC89" s="122">
        <v>1200.0</v>
      </c>
      <c r="AD89" s="124">
        <v>1.0</v>
      </c>
      <c r="AE89" s="11">
        <v>1.0</v>
      </c>
      <c r="AF89" s="122">
        <v>1200.0</v>
      </c>
      <c r="AG89" s="11">
        <f t="shared" si="18"/>
        <v>1200</v>
      </c>
      <c r="AH89" s="11">
        <f t="shared" si="19"/>
        <v>714</v>
      </c>
      <c r="AI89" s="189">
        <f t="shared" si="20"/>
        <v>714</v>
      </c>
    </row>
    <row r="90" ht="15.0" customHeight="1">
      <c r="A90" s="126" t="s">
        <v>1263</v>
      </c>
      <c r="B90" s="127"/>
      <c r="C90" s="126"/>
      <c r="D90" s="126"/>
      <c r="E90" s="184"/>
      <c r="F90" s="126"/>
      <c r="G90" s="126"/>
      <c r="H90" s="126" t="str">
        <f>COUNTIF(H30:H89,"Вышло")&amp;" / "&amp;COUNTA(A30:A89)</f>
        <v>60 / 60</v>
      </c>
      <c r="I90" s="127">
        <f>SUM(I30:I89)</f>
        <v>256044</v>
      </c>
      <c r="J90" s="127">
        <f>SUM(J36:J89)</f>
        <v>9950</v>
      </c>
      <c r="K90" s="127">
        <f>SUM(K36:K38)</f>
        <v>0</v>
      </c>
      <c r="L90" s="127">
        <f>SUM(L30:L89)</f>
        <v>268094</v>
      </c>
      <c r="M90" s="126"/>
      <c r="N90" s="163"/>
      <c r="O90" s="163"/>
      <c r="P90" s="126"/>
      <c r="Q90" s="185"/>
      <c r="R90" s="126"/>
      <c r="S90" s="163"/>
      <c r="T90" s="127">
        <f>SUM(T30:T89)</f>
        <v>375562</v>
      </c>
      <c r="U90" s="128">
        <f>IF(N($T90)=0,"",$L90/$T90)</f>
        <v>0.7138475139</v>
      </c>
      <c r="V90" s="127">
        <f t="shared" ref="V90:W90" si="30">SUM(V30:V89)</f>
        <v>837</v>
      </c>
      <c r="W90" s="127">
        <f t="shared" si="30"/>
        <v>741</v>
      </c>
      <c r="X90" s="127">
        <f>SUM(X30:X86)</f>
        <v>998</v>
      </c>
      <c r="Y90" s="128">
        <f>IF(N(V90)=0,"",L90/V90)</f>
        <v>320.3034648</v>
      </c>
      <c r="Z90" s="128"/>
      <c r="AA90" s="127">
        <f t="shared" ref="AA90:AC90" si="31">SUM(AA30:AA89)</f>
        <v>242</v>
      </c>
      <c r="AB90" s="127">
        <f t="shared" si="31"/>
        <v>51</v>
      </c>
      <c r="AC90" s="127">
        <f t="shared" si="31"/>
        <v>66722</v>
      </c>
      <c r="AD90" s="129"/>
      <c r="AE90" s="127">
        <f>SUM(AE30:AE89)</f>
        <v>47</v>
      </c>
      <c r="AF90" s="127"/>
      <c r="AG90" s="127">
        <f>SUM(AG30:AG87)</f>
        <v>56663</v>
      </c>
      <c r="AH90" s="127">
        <f>IF(N(AE90)=0,"—",ROUND(L90/AE90,0))</f>
        <v>5704</v>
      </c>
      <c r="AI90" s="127">
        <f>IF(N(AB90)=0,"—",ROUND(L90/AB90,0))</f>
        <v>5257</v>
      </c>
    </row>
    <row r="91" ht="15.0" customHeight="1">
      <c r="A91" s="117" t="s">
        <v>1264</v>
      </c>
      <c r="B91" s="130"/>
      <c r="C91" s="117"/>
      <c r="D91" s="117"/>
      <c r="E91" s="176"/>
      <c r="F91" s="117"/>
      <c r="G91" s="117"/>
      <c r="H91" s="117"/>
      <c r="I91" s="130"/>
      <c r="J91" s="130"/>
      <c r="K91" s="130"/>
      <c r="L91" s="130"/>
      <c r="M91" s="117"/>
      <c r="N91" s="157"/>
      <c r="O91" s="157"/>
      <c r="P91" s="117"/>
      <c r="Q91" s="177"/>
      <c r="R91" s="117"/>
      <c r="S91" s="157"/>
      <c r="T91" s="130"/>
      <c r="U91" s="131"/>
      <c r="V91" s="130"/>
      <c r="W91" s="130"/>
      <c r="X91" s="130"/>
      <c r="Y91" s="131"/>
      <c r="Z91" s="131"/>
      <c r="AA91" s="130"/>
      <c r="AB91" s="130"/>
      <c r="AC91" s="130"/>
      <c r="AD91" s="132"/>
      <c r="AE91" s="130"/>
      <c r="AF91" s="130"/>
      <c r="AG91" s="130"/>
      <c r="AH91" s="130"/>
      <c r="AI91" s="130"/>
    </row>
    <row r="92" ht="15.75" customHeight="1">
      <c r="A92" s="151" t="s">
        <v>1265</v>
      </c>
      <c r="B92" s="11">
        <v>3791.0</v>
      </c>
      <c r="C92" s="120" t="s">
        <v>786</v>
      </c>
      <c r="D92" s="21" t="s">
        <v>861</v>
      </c>
      <c r="E92" s="165" t="s">
        <v>991</v>
      </c>
      <c r="F92" s="21" t="s">
        <v>1266</v>
      </c>
      <c r="G92" s="121">
        <v>46279.0</v>
      </c>
      <c r="H92" s="21" t="s">
        <v>859</v>
      </c>
      <c r="I92" s="11">
        <v>1118.0</v>
      </c>
      <c r="J92" s="122"/>
      <c r="K92" s="122"/>
      <c r="L92" s="11">
        <f t="shared" ref="L92:L141" si="32">IF(N($I92)+N($J92)+N($K92)=0,"",N($I92)+N($J92)+N($K92))</f>
        <v>1118</v>
      </c>
      <c r="M92" s="21"/>
      <c r="N92" s="169" t="s">
        <v>1267</v>
      </c>
      <c r="O92" s="169" t="s">
        <v>1268</v>
      </c>
      <c r="P92" s="120" t="str">
        <f>IFERROR(VLOOKUP($A92,'Мои блогеры'!$A$2:$N$673,10,0)&amp;"-TRG","")</f>
        <v/>
      </c>
      <c r="Q92" s="20" t="s">
        <v>1025</v>
      </c>
      <c r="R92" s="21"/>
      <c r="S92" s="169" t="s">
        <v>1269</v>
      </c>
      <c r="T92" s="122">
        <v>1207.0</v>
      </c>
      <c r="U92" s="123">
        <f t="shared" ref="U92:U142" si="33">IF(N($T92)=0,"",$L92/$T92)</f>
        <v>0.9262634631</v>
      </c>
      <c r="V92" s="122">
        <v>14.0</v>
      </c>
      <c r="W92" s="122">
        <v>8.0</v>
      </c>
      <c r="X92" s="122"/>
      <c r="Y92" s="123">
        <f t="shared" ref="Y92:Y127" si="34">IF(N($V92)=0,"",$L92/$V92)</f>
        <v>79.85714286</v>
      </c>
      <c r="Z92" s="123" t="str">
        <f t="shared" ref="Z92:Z141" si="35">IFERROR(L92/X92,"")</f>
        <v/>
      </c>
      <c r="AA92" s="122">
        <v>8.0</v>
      </c>
      <c r="AB92" s="122">
        <v>1.0</v>
      </c>
      <c r="AC92" s="122">
        <v>1300.0</v>
      </c>
      <c r="AD92" s="124">
        <v>1.0</v>
      </c>
      <c r="AE92" s="11">
        <f>IF(OR(N($AB92)=0,$AD92=""),"",ROUND($AB92*$AD92,0))</f>
        <v>1</v>
      </c>
      <c r="AF92" s="122">
        <v>1300.0</v>
      </c>
      <c r="AG92" s="11">
        <f>IF(OR(N($AE92)=0,$AF92=""),"",ROUND($AE92*$AF92,0))</f>
        <v>1300</v>
      </c>
      <c r="AH92" s="11">
        <f>IF(N($AE92)=0,"",ROUND($L92/$AE92,0))</f>
        <v>1118</v>
      </c>
      <c r="AI92" s="11">
        <f>IF(N($AB92)=0,"",ROUND($L92/$AB92,0))</f>
        <v>1118</v>
      </c>
    </row>
    <row r="93" ht="15.75" customHeight="1">
      <c r="A93" s="151" t="s">
        <v>1270</v>
      </c>
      <c r="B93" s="11">
        <v>19166.0</v>
      </c>
      <c r="C93" s="120" t="s">
        <v>786</v>
      </c>
      <c r="D93" s="21" t="s">
        <v>861</v>
      </c>
      <c r="E93" s="165" t="s">
        <v>991</v>
      </c>
      <c r="F93" s="21" t="s">
        <v>1266</v>
      </c>
      <c r="G93" s="121">
        <v>46279.0</v>
      </c>
      <c r="H93" s="21" t="s">
        <v>859</v>
      </c>
      <c r="I93" s="11">
        <v>5594.0</v>
      </c>
      <c r="J93" s="122"/>
      <c r="K93" s="122"/>
      <c r="L93" s="11">
        <f t="shared" si="32"/>
        <v>5594</v>
      </c>
      <c r="M93" s="21"/>
      <c r="N93" s="169" t="s">
        <v>1271</v>
      </c>
      <c r="O93" s="169" t="s">
        <v>1272</v>
      </c>
      <c r="P93" s="120" t="str">
        <f>IFERROR(VLOOKUP($A93,'Мои блогеры'!$A$2:$N$673,10,0)&amp;"-TRG","")</f>
        <v/>
      </c>
      <c r="Q93" s="20" t="s">
        <v>1025</v>
      </c>
      <c r="R93" s="21"/>
      <c r="S93" s="169" t="s">
        <v>1273</v>
      </c>
      <c r="T93" s="122">
        <v>5850.0</v>
      </c>
      <c r="U93" s="123">
        <f t="shared" si="33"/>
        <v>0.9562393162</v>
      </c>
      <c r="V93" s="122">
        <v>21.0</v>
      </c>
      <c r="W93" s="122">
        <v>17.0</v>
      </c>
      <c r="X93" s="122"/>
      <c r="Y93" s="123">
        <f t="shared" si="34"/>
        <v>266.3809524</v>
      </c>
      <c r="Z93" s="123" t="str">
        <f t="shared" si="35"/>
        <v/>
      </c>
      <c r="AA93" s="122">
        <v>8.0</v>
      </c>
      <c r="AB93" s="122">
        <v>0.0</v>
      </c>
      <c r="AC93" s="122">
        <v>0.0</v>
      </c>
      <c r="AD93" s="124">
        <v>0.0</v>
      </c>
      <c r="AE93" s="11">
        <v>0.0</v>
      </c>
      <c r="AF93" s="122">
        <v>0.0</v>
      </c>
      <c r="AG93" s="11">
        <v>0.0</v>
      </c>
      <c r="AH93" s="11">
        <v>0.0</v>
      </c>
      <c r="AI93" s="11">
        <v>0.0</v>
      </c>
    </row>
    <row r="94" ht="15.75" customHeight="1">
      <c r="A94" s="151" t="s">
        <v>145</v>
      </c>
      <c r="B94" s="11">
        <v>7099.0</v>
      </c>
      <c r="C94" s="120" t="s">
        <v>786</v>
      </c>
      <c r="D94" s="21" t="s">
        <v>861</v>
      </c>
      <c r="E94" s="165" t="s">
        <v>991</v>
      </c>
      <c r="F94" s="21" t="s">
        <v>1266</v>
      </c>
      <c r="G94" s="121">
        <v>46280.0</v>
      </c>
      <c r="H94" s="21" t="s">
        <v>859</v>
      </c>
      <c r="I94" s="11">
        <v>1888.0</v>
      </c>
      <c r="J94" s="122"/>
      <c r="K94" s="122"/>
      <c r="L94" s="11">
        <f t="shared" si="32"/>
        <v>1888</v>
      </c>
      <c r="M94" s="21"/>
      <c r="N94" s="169" t="s">
        <v>1274</v>
      </c>
      <c r="O94" s="169" t="s">
        <v>1275</v>
      </c>
      <c r="P94" s="120" t="str">
        <f>IFERROR(VLOOKUP($A94,'Мои блогеры'!$A$2:$N$673,10,0)&amp;"-TRG","")</f>
        <v>MYIPRIRO-TRG</v>
      </c>
      <c r="Q94" s="20" t="s">
        <v>1025</v>
      </c>
      <c r="R94" s="21"/>
      <c r="S94" s="169" t="s">
        <v>1276</v>
      </c>
      <c r="T94" s="122">
        <v>4003.0</v>
      </c>
      <c r="U94" s="123">
        <f t="shared" si="33"/>
        <v>0.4716462653</v>
      </c>
      <c r="V94" s="122">
        <v>23.0</v>
      </c>
      <c r="W94" s="122">
        <v>17.0</v>
      </c>
      <c r="X94" s="122"/>
      <c r="Y94" s="123">
        <f t="shared" si="34"/>
        <v>82.08695652</v>
      </c>
      <c r="Z94" s="123" t="str">
        <f t="shared" si="35"/>
        <v/>
      </c>
      <c r="AA94" s="122">
        <v>4.0</v>
      </c>
      <c r="AB94" s="122">
        <v>1.0</v>
      </c>
      <c r="AC94" s="122">
        <v>1300.0</v>
      </c>
      <c r="AD94" s="124">
        <v>1.0</v>
      </c>
      <c r="AE94" s="11">
        <f t="shared" ref="AE94:AE95" si="36">IF(OR(N($AB94)=0,$AD94=""),"",ROUND($AB94*$AD94,0))</f>
        <v>1</v>
      </c>
      <c r="AF94" s="122">
        <v>1300.0</v>
      </c>
      <c r="AG94" s="11">
        <f t="shared" ref="AG94:AG95" si="37">IF(OR(N($AE94)=0,$AF94=""),"",ROUND($AE94*$AF94,0))</f>
        <v>1300</v>
      </c>
      <c r="AH94" s="11">
        <f t="shared" ref="AH94:AH95" si="38">IF(N($AE94)=0,"",ROUND($L94/$AE94,0))</f>
        <v>1888</v>
      </c>
      <c r="AI94" s="11">
        <f t="shared" ref="AI94:AI95" si="39">IF(N($AB94)=0,"",ROUND($L94/$AB94,0))</f>
        <v>1888</v>
      </c>
    </row>
    <row r="95" ht="15.75" customHeight="1">
      <c r="A95" s="151" t="s">
        <v>789</v>
      </c>
      <c r="B95" s="11">
        <v>4191.0</v>
      </c>
      <c r="C95" s="120" t="s">
        <v>786</v>
      </c>
      <c r="D95" s="21" t="s">
        <v>861</v>
      </c>
      <c r="E95" s="165" t="s">
        <v>991</v>
      </c>
      <c r="F95" s="21" t="s">
        <v>1266</v>
      </c>
      <c r="G95" s="121">
        <v>46279.0</v>
      </c>
      <c r="H95" s="21" t="s">
        <v>859</v>
      </c>
      <c r="I95" s="11">
        <f>IFERROR(VLOOKUP($A95,'Мои блогеры'!$A$2:$N$673,8,0),"")</f>
        <v>629</v>
      </c>
      <c r="J95" s="122"/>
      <c r="K95" s="122"/>
      <c r="L95" s="11">
        <f t="shared" si="32"/>
        <v>629</v>
      </c>
      <c r="M95" s="21"/>
      <c r="N95" s="169" t="s">
        <v>1277</v>
      </c>
      <c r="O95" s="169" t="s">
        <v>1278</v>
      </c>
      <c r="P95" s="120" t="str">
        <f>IFERROR(VLOOKUP($A95,'Мои блогеры'!$A$2:$N$673,10,0)&amp;"-TRG","")</f>
        <v>RYBAKIST-TRG</v>
      </c>
      <c r="Q95" s="20" t="s">
        <v>1025</v>
      </c>
      <c r="R95" s="21"/>
      <c r="S95" s="169" t="s">
        <v>790</v>
      </c>
      <c r="T95" s="122">
        <v>1140.0</v>
      </c>
      <c r="U95" s="123">
        <f t="shared" si="33"/>
        <v>0.551754386</v>
      </c>
      <c r="V95" s="122">
        <v>47.0</v>
      </c>
      <c r="W95" s="122">
        <v>40.0</v>
      </c>
      <c r="X95" s="122"/>
      <c r="Y95" s="123">
        <f t="shared" si="34"/>
        <v>13.38297872</v>
      </c>
      <c r="Z95" s="123" t="str">
        <f t="shared" si="35"/>
        <v/>
      </c>
      <c r="AA95" s="122">
        <v>8.0</v>
      </c>
      <c r="AB95" s="122">
        <v>5.0</v>
      </c>
      <c r="AC95" s="122">
        <v>6300.0</v>
      </c>
      <c r="AD95" s="124">
        <v>1.0</v>
      </c>
      <c r="AE95" s="11">
        <f t="shared" si="36"/>
        <v>5</v>
      </c>
      <c r="AF95" s="122">
        <v>1260.0</v>
      </c>
      <c r="AG95" s="11">
        <f t="shared" si="37"/>
        <v>6300</v>
      </c>
      <c r="AH95" s="11">
        <f t="shared" si="38"/>
        <v>126</v>
      </c>
      <c r="AI95" s="179">
        <f t="shared" si="39"/>
        <v>126</v>
      </c>
    </row>
    <row r="96" ht="15.75" customHeight="1">
      <c r="A96" s="151" t="s">
        <v>1279</v>
      </c>
      <c r="B96" s="11">
        <v>1625.0</v>
      </c>
      <c r="C96" s="120" t="s">
        <v>786</v>
      </c>
      <c r="D96" s="21" t="s">
        <v>861</v>
      </c>
      <c r="E96" s="165" t="s">
        <v>991</v>
      </c>
      <c r="F96" s="21" t="s">
        <v>1266</v>
      </c>
      <c r="G96" s="121">
        <v>46279.0</v>
      </c>
      <c r="H96" s="21" t="s">
        <v>859</v>
      </c>
      <c r="I96" s="11">
        <v>293.0</v>
      </c>
      <c r="J96" s="122"/>
      <c r="K96" s="122"/>
      <c r="L96" s="11">
        <f t="shared" si="32"/>
        <v>293</v>
      </c>
      <c r="M96" s="21"/>
      <c r="N96" s="169" t="s">
        <v>1280</v>
      </c>
      <c r="O96" s="169" t="s">
        <v>1281</v>
      </c>
      <c r="P96" s="120"/>
      <c r="Q96" s="20" t="s">
        <v>1025</v>
      </c>
      <c r="R96" s="21"/>
      <c r="S96" s="169" t="s">
        <v>1282</v>
      </c>
      <c r="T96" s="122">
        <v>1396.0</v>
      </c>
      <c r="U96" s="123">
        <f t="shared" si="33"/>
        <v>0.2098853868</v>
      </c>
      <c r="V96" s="122">
        <v>6.0</v>
      </c>
      <c r="W96" s="122">
        <v>2.0</v>
      </c>
      <c r="X96" s="122"/>
      <c r="Y96" s="123">
        <f t="shared" si="34"/>
        <v>48.83333333</v>
      </c>
      <c r="Z96" s="123" t="str">
        <f t="shared" si="35"/>
        <v/>
      </c>
      <c r="AA96" s="122">
        <v>0.0</v>
      </c>
      <c r="AB96" s="122">
        <v>0.0</v>
      </c>
      <c r="AC96" s="122">
        <v>0.0</v>
      </c>
      <c r="AD96" s="124">
        <v>0.0</v>
      </c>
      <c r="AE96" s="11">
        <v>0.0</v>
      </c>
      <c r="AF96" s="122">
        <v>0.0</v>
      </c>
      <c r="AG96" s="11">
        <v>0.0</v>
      </c>
      <c r="AH96" s="11">
        <v>0.0</v>
      </c>
      <c r="AI96" s="11">
        <v>0.0</v>
      </c>
    </row>
    <row r="97" ht="15.75" customHeight="1">
      <c r="A97" s="151" t="s">
        <v>1283</v>
      </c>
      <c r="B97" s="11">
        <v>9102.0</v>
      </c>
      <c r="C97" s="120" t="s">
        <v>786</v>
      </c>
      <c r="D97" s="21" t="s">
        <v>861</v>
      </c>
      <c r="E97" s="165" t="s">
        <v>991</v>
      </c>
      <c r="F97" s="21" t="s">
        <v>1266</v>
      </c>
      <c r="G97" s="121">
        <v>46279.0</v>
      </c>
      <c r="H97" s="21" t="s">
        <v>859</v>
      </c>
      <c r="I97" s="11">
        <v>5594.0</v>
      </c>
      <c r="J97" s="122"/>
      <c r="K97" s="122"/>
      <c r="L97" s="11">
        <f t="shared" si="32"/>
        <v>5594</v>
      </c>
      <c r="M97" s="21"/>
      <c r="N97" s="169" t="s">
        <v>1284</v>
      </c>
      <c r="O97" s="169" t="s">
        <v>1285</v>
      </c>
      <c r="P97" s="120"/>
      <c r="Q97" s="20" t="s">
        <v>1025</v>
      </c>
      <c r="R97" s="21"/>
      <c r="S97" s="169" t="s">
        <v>1286</v>
      </c>
      <c r="T97" s="122">
        <v>4651.0</v>
      </c>
      <c r="U97" s="123">
        <f t="shared" si="33"/>
        <v>1.202752096</v>
      </c>
      <c r="V97" s="122">
        <v>7.0</v>
      </c>
      <c r="W97" s="122">
        <v>2.0</v>
      </c>
      <c r="X97" s="122"/>
      <c r="Y97" s="123">
        <f t="shared" si="34"/>
        <v>799.1428571</v>
      </c>
      <c r="Z97" s="123" t="str">
        <f t="shared" si="35"/>
        <v/>
      </c>
      <c r="AA97" s="122">
        <v>0.0</v>
      </c>
      <c r="AB97" s="122">
        <v>0.0</v>
      </c>
      <c r="AC97" s="122">
        <v>0.0</v>
      </c>
      <c r="AD97" s="124">
        <v>0.0</v>
      </c>
      <c r="AE97" s="11">
        <v>0.0</v>
      </c>
      <c r="AF97" s="122">
        <v>0.0</v>
      </c>
      <c r="AG97" s="11">
        <v>0.0</v>
      </c>
      <c r="AH97" s="11">
        <v>0.0</v>
      </c>
      <c r="AI97" s="11">
        <v>0.0</v>
      </c>
    </row>
    <row r="98" ht="15.75" customHeight="1">
      <c r="A98" s="151" t="s">
        <v>1287</v>
      </c>
      <c r="B98" s="11">
        <v>7533.0</v>
      </c>
      <c r="C98" s="120" t="s">
        <v>786</v>
      </c>
      <c r="D98" s="21" t="s">
        <v>861</v>
      </c>
      <c r="E98" s="165" t="s">
        <v>991</v>
      </c>
      <c r="F98" s="21" t="s">
        <v>1266</v>
      </c>
      <c r="G98" s="121">
        <v>46279.0</v>
      </c>
      <c r="H98" s="21" t="s">
        <v>859</v>
      </c>
      <c r="I98" s="11">
        <v>1678.0</v>
      </c>
      <c r="J98" s="122"/>
      <c r="K98" s="122"/>
      <c r="L98" s="11">
        <f t="shared" si="32"/>
        <v>1678</v>
      </c>
      <c r="M98" s="21"/>
      <c r="N98" s="169" t="s">
        <v>1288</v>
      </c>
      <c r="O98" s="169" t="s">
        <v>1289</v>
      </c>
      <c r="P98" s="120"/>
      <c r="Q98" s="20" t="s">
        <v>1025</v>
      </c>
      <c r="R98" s="21"/>
      <c r="S98" s="169" t="s">
        <v>1290</v>
      </c>
      <c r="T98" s="122">
        <v>1129.0</v>
      </c>
      <c r="U98" s="123">
        <f t="shared" si="33"/>
        <v>1.486271036</v>
      </c>
      <c r="V98" s="122">
        <v>27.0</v>
      </c>
      <c r="W98" s="122">
        <v>22.0</v>
      </c>
      <c r="X98" s="122"/>
      <c r="Y98" s="123">
        <f t="shared" si="34"/>
        <v>62.14814815</v>
      </c>
      <c r="Z98" s="123" t="str">
        <f t="shared" si="35"/>
        <v/>
      </c>
      <c r="AA98" s="122">
        <v>4.0</v>
      </c>
      <c r="AB98" s="122">
        <v>1.0</v>
      </c>
      <c r="AC98" s="122">
        <v>1300.0</v>
      </c>
      <c r="AD98" s="124">
        <v>1.0</v>
      </c>
      <c r="AE98" s="11">
        <v>1.0</v>
      </c>
      <c r="AF98" s="122">
        <v>1300.0</v>
      </c>
      <c r="AG98" s="11">
        <f t="shared" ref="AG98:AG101" si="40">IF(OR(N($AE98)=0,$AF98=""),"",ROUND($AE98*$AF98,0))</f>
        <v>1300</v>
      </c>
      <c r="AH98" s="11">
        <f t="shared" ref="AH98:AH101" si="41">IF(N($AE98)=0,"",ROUND($L98/$AE98,0))</f>
        <v>1678</v>
      </c>
      <c r="AI98" s="11">
        <f t="shared" ref="AI98:AI101" si="42">IF(N($AB98)=0,"",ROUND($L98/$AB98,0))</f>
        <v>1678</v>
      </c>
    </row>
    <row r="99" ht="15.75" customHeight="1">
      <c r="A99" s="151" t="s">
        <v>1291</v>
      </c>
      <c r="B99" s="11">
        <v>9200.0</v>
      </c>
      <c r="C99" s="120" t="s">
        <v>786</v>
      </c>
      <c r="D99" s="21" t="s">
        <v>861</v>
      </c>
      <c r="E99" s="165" t="s">
        <v>991</v>
      </c>
      <c r="F99" s="21" t="s">
        <v>1266</v>
      </c>
      <c r="G99" s="121">
        <v>46280.0</v>
      </c>
      <c r="H99" s="21" t="s">
        <v>859</v>
      </c>
      <c r="I99" s="11">
        <v>2377.0</v>
      </c>
      <c r="J99" s="122"/>
      <c r="K99" s="122"/>
      <c r="L99" s="11">
        <f t="shared" si="32"/>
        <v>2377</v>
      </c>
      <c r="M99" s="21"/>
      <c r="N99" s="169" t="s">
        <v>1292</v>
      </c>
      <c r="O99" s="169" t="s">
        <v>1293</v>
      </c>
      <c r="P99" s="120"/>
      <c r="Q99" s="20" t="s">
        <v>1025</v>
      </c>
      <c r="R99" s="21"/>
      <c r="S99" s="169" t="s">
        <v>1294</v>
      </c>
      <c r="T99" s="122">
        <v>2223.0</v>
      </c>
      <c r="U99" s="123">
        <f t="shared" si="33"/>
        <v>1.069275753</v>
      </c>
      <c r="V99" s="122">
        <v>39.0</v>
      </c>
      <c r="W99" s="122">
        <v>37.0</v>
      </c>
      <c r="X99" s="122"/>
      <c r="Y99" s="123">
        <f t="shared" si="34"/>
        <v>60.94871795</v>
      </c>
      <c r="Z99" s="123" t="str">
        <f t="shared" si="35"/>
        <v/>
      </c>
      <c r="AA99" s="122">
        <v>14.0</v>
      </c>
      <c r="AB99" s="122">
        <v>2.0</v>
      </c>
      <c r="AC99" s="122">
        <v>2600.0</v>
      </c>
      <c r="AD99" s="124">
        <v>1.0</v>
      </c>
      <c r="AE99" s="11">
        <v>2.0</v>
      </c>
      <c r="AF99" s="122">
        <v>1300.0</v>
      </c>
      <c r="AG99" s="11">
        <f t="shared" si="40"/>
        <v>2600</v>
      </c>
      <c r="AH99" s="11">
        <f t="shared" si="41"/>
        <v>1189</v>
      </c>
      <c r="AI99" s="11">
        <f t="shared" si="42"/>
        <v>1189</v>
      </c>
    </row>
    <row r="100" ht="15.75" customHeight="1">
      <c r="A100" s="151" t="s">
        <v>1295</v>
      </c>
      <c r="B100" s="11">
        <v>2424.0</v>
      </c>
      <c r="C100" s="120" t="s">
        <v>786</v>
      </c>
      <c r="D100" s="21" t="s">
        <v>861</v>
      </c>
      <c r="E100" s="165" t="s">
        <v>991</v>
      </c>
      <c r="F100" s="21" t="s">
        <v>1266</v>
      </c>
      <c r="G100" s="121">
        <v>46280.0</v>
      </c>
      <c r="H100" s="21" t="s">
        <v>859</v>
      </c>
      <c r="I100" s="11">
        <v>1258.0</v>
      </c>
      <c r="J100" s="122"/>
      <c r="K100" s="122"/>
      <c r="L100" s="11">
        <f t="shared" si="32"/>
        <v>1258</v>
      </c>
      <c r="M100" s="21"/>
      <c r="N100" s="169" t="s">
        <v>1296</v>
      </c>
      <c r="O100" s="169" t="s">
        <v>1297</v>
      </c>
      <c r="P100" s="120"/>
      <c r="Q100" s="20" t="s">
        <v>1025</v>
      </c>
      <c r="R100" s="21"/>
      <c r="S100" s="169" t="s">
        <v>1298</v>
      </c>
      <c r="T100" s="122">
        <v>1244.0</v>
      </c>
      <c r="U100" s="123">
        <f t="shared" si="33"/>
        <v>1.011254019</v>
      </c>
      <c r="V100" s="122">
        <v>42.0</v>
      </c>
      <c r="W100" s="122">
        <v>36.0</v>
      </c>
      <c r="X100" s="122"/>
      <c r="Y100" s="123">
        <f t="shared" si="34"/>
        <v>29.95238095</v>
      </c>
      <c r="Z100" s="123" t="str">
        <f t="shared" si="35"/>
        <v/>
      </c>
      <c r="AA100" s="122">
        <v>10.0</v>
      </c>
      <c r="AB100" s="122">
        <v>2.0</v>
      </c>
      <c r="AC100" s="122">
        <v>3650.0</v>
      </c>
      <c r="AD100" s="124">
        <v>1.0</v>
      </c>
      <c r="AE100" s="11">
        <v>2.0</v>
      </c>
      <c r="AF100" s="122">
        <v>1825.0</v>
      </c>
      <c r="AG100" s="11">
        <f t="shared" si="40"/>
        <v>3650</v>
      </c>
      <c r="AH100" s="11">
        <f t="shared" si="41"/>
        <v>629</v>
      </c>
      <c r="AI100" s="180">
        <f t="shared" si="42"/>
        <v>629</v>
      </c>
    </row>
    <row r="101" ht="15.75" customHeight="1">
      <c r="A101" s="151" t="s">
        <v>1299</v>
      </c>
      <c r="B101" s="11">
        <v>2301.0</v>
      </c>
      <c r="C101" s="120" t="s">
        <v>786</v>
      </c>
      <c r="D101" s="21" t="s">
        <v>861</v>
      </c>
      <c r="E101" s="165" t="s">
        <v>991</v>
      </c>
      <c r="F101" s="21" t="s">
        <v>1266</v>
      </c>
      <c r="G101" s="121">
        <v>46279.0</v>
      </c>
      <c r="H101" s="21" t="s">
        <v>859</v>
      </c>
      <c r="I101" s="11">
        <v>293.0</v>
      </c>
      <c r="J101" s="122"/>
      <c r="K101" s="122"/>
      <c r="L101" s="11">
        <f t="shared" si="32"/>
        <v>293</v>
      </c>
      <c r="M101" s="21"/>
      <c r="N101" s="169" t="s">
        <v>1300</v>
      </c>
      <c r="O101" s="169" t="s">
        <v>1301</v>
      </c>
      <c r="P101" s="120"/>
      <c r="Q101" s="20" t="s">
        <v>1025</v>
      </c>
      <c r="R101" s="21"/>
      <c r="S101" s="169" t="s">
        <v>1302</v>
      </c>
      <c r="T101" s="122">
        <v>794.0</v>
      </c>
      <c r="U101" s="123">
        <f t="shared" si="33"/>
        <v>0.3690176322</v>
      </c>
      <c r="V101" s="122">
        <v>12.0</v>
      </c>
      <c r="W101" s="122">
        <v>10.0</v>
      </c>
      <c r="X101" s="122"/>
      <c r="Y101" s="123">
        <f t="shared" si="34"/>
        <v>24.41666667</v>
      </c>
      <c r="Z101" s="123" t="str">
        <f t="shared" si="35"/>
        <v/>
      </c>
      <c r="AA101" s="122">
        <v>4.0</v>
      </c>
      <c r="AB101" s="122">
        <v>2.0</v>
      </c>
      <c r="AC101" s="122">
        <v>2600.0</v>
      </c>
      <c r="AD101" s="124">
        <v>1.0</v>
      </c>
      <c r="AE101" s="11">
        <v>1.0</v>
      </c>
      <c r="AF101" s="122">
        <v>1300.0</v>
      </c>
      <c r="AG101" s="11">
        <f t="shared" si="40"/>
        <v>1300</v>
      </c>
      <c r="AH101" s="11">
        <f t="shared" si="41"/>
        <v>293</v>
      </c>
      <c r="AI101" s="179">
        <f t="shared" si="42"/>
        <v>147</v>
      </c>
    </row>
    <row r="102" ht="15.75" customHeight="1">
      <c r="A102" s="151" t="s">
        <v>1303</v>
      </c>
      <c r="B102" s="11">
        <v>1921.0</v>
      </c>
      <c r="C102" s="120" t="s">
        <v>786</v>
      </c>
      <c r="D102" s="21" t="s">
        <v>861</v>
      </c>
      <c r="E102" s="165" t="s">
        <v>991</v>
      </c>
      <c r="F102" s="21" t="s">
        <v>1266</v>
      </c>
      <c r="G102" s="121">
        <v>46279.0</v>
      </c>
      <c r="H102" s="21" t="s">
        <v>859</v>
      </c>
      <c r="I102" s="11">
        <v>349.0</v>
      </c>
      <c r="J102" s="122"/>
      <c r="K102" s="122"/>
      <c r="L102" s="11">
        <f t="shared" si="32"/>
        <v>349</v>
      </c>
      <c r="M102" s="21"/>
      <c r="N102" s="169" t="s">
        <v>1304</v>
      </c>
      <c r="O102" s="169" t="s">
        <v>1305</v>
      </c>
      <c r="P102" s="120"/>
      <c r="Q102" s="20" t="s">
        <v>1025</v>
      </c>
      <c r="R102" s="21"/>
      <c r="S102" s="169" t="s">
        <v>1306</v>
      </c>
      <c r="T102" s="122">
        <v>752.0</v>
      </c>
      <c r="U102" s="123">
        <f t="shared" si="33"/>
        <v>0.4640957447</v>
      </c>
      <c r="V102" s="122">
        <v>23.0</v>
      </c>
      <c r="W102" s="122">
        <v>13.0</v>
      </c>
      <c r="X102" s="122"/>
      <c r="Y102" s="123">
        <f t="shared" si="34"/>
        <v>15.17391304</v>
      </c>
      <c r="Z102" s="123" t="str">
        <f t="shared" si="35"/>
        <v/>
      </c>
      <c r="AA102" s="122">
        <v>4.0</v>
      </c>
      <c r="AB102" s="122">
        <v>0.0</v>
      </c>
      <c r="AC102" s="122">
        <v>0.0</v>
      </c>
      <c r="AD102" s="124">
        <v>0.0</v>
      </c>
      <c r="AE102" s="11">
        <v>0.0</v>
      </c>
      <c r="AF102" s="122">
        <v>0.0</v>
      </c>
      <c r="AG102" s="11">
        <v>0.0</v>
      </c>
      <c r="AH102" s="11">
        <v>0.0</v>
      </c>
      <c r="AI102" s="11">
        <v>0.0</v>
      </c>
    </row>
    <row r="103" ht="15.75" customHeight="1">
      <c r="A103" s="151" t="s">
        <v>1307</v>
      </c>
      <c r="B103" s="11">
        <v>1129.0</v>
      </c>
      <c r="C103" s="120" t="s">
        <v>786</v>
      </c>
      <c r="D103" s="21" t="s">
        <v>861</v>
      </c>
      <c r="E103" s="165" t="s">
        <v>991</v>
      </c>
      <c r="F103" s="21" t="s">
        <v>1266</v>
      </c>
      <c r="G103" s="121">
        <v>46279.0</v>
      </c>
      <c r="H103" s="21" t="s">
        <v>859</v>
      </c>
      <c r="I103" s="11">
        <v>1118.0</v>
      </c>
      <c r="J103" s="122"/>
      <c r="K103" s="122"/>
      <c r="L103" s="11">
        <f t="shared" si="32"/>
        <v>1118</v>
      </c>
      <c r="M103" s="21"/>
      <c r="N103" s="169" t="s">
        <v>1308</v>
      </c>
      <c r="O103" s="169" t="s">
        <v>1309</v>
      </c>
      <c r="P103" s="120"/>
      <c r="Q103" s="20" t="s">
        <v>1025</v>
      </c>
      <c r="R103" s="21"/>
      <c r="S103" s="169" t="s">
        <v>1310</v>
      </c>
      <c r="T103" s="122">
        <v>1954.0</v>
      </c>
      <c r="U103" s="123">
        <f t="shared" si="33"/>
        <v>0.5721596725</v>
      </c>
      <c r="V103" s="122">
        <v>13.0</v>
      </c>
      <c r="W103" s="122">
        <v>12.0</v>
      </c>
      <c r="X103" s="122"/>
      <c r="Y103" s="123">
        <f t="shared" si="34"/>
        <v>86</v>
      </c>
      <c r="Z103" s="123" t="str">
        <f t="shared" si="35"/>
        <v/>
      </c>
      <c r="AA103" s="122">
        <v>5.0</v>
      </c>
      <c r="AB103" s="122">
        <v>0.0</v>
      </c>
      <c r="AC103" s="122">
        <v>0.0</v>
      </c>
      <c r="AD103" s="124">
        <v>0.0</v>
      </c>
      <c r="AE103" s="11">
        <v>0.0</v>
      </c>
      <c r="AF103" s="122">
        <v>0.0</v>
      </c>
      <c r="AG103" s="11">
        <v>0.0</v>
      </c>
      <c r="AH103" s="11">
        <v>0.0</v>
      </c>
      <c r="AI103" s="11">
        <v>0.0</v>
      </c>
    </row>
    <row r="104" ht="15.75" customHeight="1">
      <c r="A104" s="151" t="s">
        <v>1311</v>
      </c>
      <c r="B104" s="11">
        <v>7057.0</v>
      </c>
      <c r="C104" s="120" t="s">
        <v>786</v>
      </c>
      <c r="D104" s="21" t="s">
        <v>861</v>
      </c>
      <c r="E104" s="165" t="s">
        <v>991</v>
      </c>
      <c r="F104" s="21" t="s">
        <v>1266</v>
      </c>
      <c r="G104" s="121">
        <v>46279.0</v>
      </c>
      <c r="H104" s="21" t="s">
        <v>859</v>
      </c>
      <c r="I104" s="11">
        <v>2797.0</v>
      </c>
      <c r="J104" s="122"/>
      <c r="K104" s="122"/>
      <c r="L104" s="11">
        <f t="shared" si="32"/>
        <v>2797</v>
      </c>
      <c r="M104" s="21"/>
      <c r="N104" s="169" t="s">
        <v>1312</v>
      </c>
      <c r="O104" s="169" t="s">
        <v>1313</v>
      </c>
      <c r="P104" s="120"/>
      <c r="Q104" s="20" t="s">
        <v>1025</v>
      </c>
      <c r="R104" s="21"/>
      <c r="S104" s="169" t="s">
        <v>1314</v>
      </c>
      <c r="T104" s="122">
        <v>1233.0</v>
      </c>
      <c r="U104" s="123">
        <f t="shared" si="33"/>
        <v>2.268450933</v>
      </c>
      <c r="V104" s="122">
        <v>24.0</v>
      </c>
      <c r="W104" s="122">
        <v>20.0</v>
      </c>
      <c r="X104" s="122"/>
      <c r="Y104" s="123">
        <f t="shared" si="34"/>
        <v>116.5416667</v>
      </c>
      <c r="Z104" s="123" t="str">
        <f t="shared" si="35"/>
        <v/>
      </c>
      <c r="AA104" s="122">
        <v>7.0</v>
      </c>
      <c r="AB104" s="122">
        <v>4.0</v>
      </c>
      <c r="AC104" s="122">
        <v>5329.0</v>
      </c>
      <c r="AD104" s="124">
        <v>1.0</v>
      </c>
      <c r="AE104" s="11">
        <v>3.0</v>
      </c>
      <c r="AF104" s="122">
        <v>1267.0</v>
      </c>
      <c r="AG104" s="11">
        <f t="shared" ref="AG104:AG105" si="43">IF(OR(N($AE104)=0,$AF104=""),"",ROUND($AE104*$AF104,0))</f>
        <v>3801</v>
      </c>
      <c r="AH104" s="11">
        <f t="shared" ref="AH104:AH105" si="44">IF(N($AE104)=0,"",ROUND($L104/$AE104,0))</f>
        <v>932</v>
      </c>
      <c r="AI104" s="180">
        <f t="shared" ref="AI104:AI105" si="45">IF(N($AB104)=0,"",ROUND($L104/$AB104,0))</f>
        <v>699</v>
      </c>
    </row>
    <row r="105" ht="15.75" customHeight="1">
      <c r="A105" s="151" t="s">
        <v>1315</v>
      </c>
      <c r="B105" s="11">
        <v>6800.0</v>
      </c>
      <c r="C105" s="120" t="s">
        <v>783</v>
      </c>
      <c r="D105" s="21" t="s">
        <v>861</v>
      </c>
      <c r="E105" s="165" t="s">
        <v>991</v>
      </c>
      <c r="F105" s="21" t="s">
        <v>1081</v>
      </c>
      <c r="G105" s="121">
        <v>46280.0</v>
      </c>
      <c r="H105" s="21" t="s">
        <v>859</v>
      </c>
      <c r="I105" s="11">
        <v>3496.0</v>
      </c>
      <c r="J105" s="122"/>
      <c r="K105" s="122"/>
      <c r="L105" s="11">
        <f t="shared" si="32"/>
        <v>3496</v>
      </c>
      <c r="M105" s="21"/>
      <c r="N105" s="169" t="s">
        <v>1316</v>
      </c>
      <c r="O105" s="169" t="s">
        <v>1317</v>
      </c>
      <c r="P105" s="120"/>
      <c r="Q105" s="20" t="s">
        <v>1025</v>
      </c>
      <c r="R105" s="21"/>
      <c r="S105" s="169" t="s">
        <v>1318</v>
      </c>
      <c r="T105" s="122">
        <v>3548.0</v>
      </c>
      <c r="U105" s="123">
        <f t="shared" si="33"/>
        <v>0.9853438557</v>
      </c>
      <c r="V105" s="122">
        <v>15.0</v>
      </c>
      <c r="W105" s="122">
        <v>7.0</v>
      </c>
      <c r="X105" s="122"/>
      <c r="Y105" s="123">
        <f t="shared" si="34"/>
        <v>233.0666667</v>
      </c>
      <c r="Z105" s="123" t="str">
        <f t="shared" si="35"/>
        <v/>
      </c>
      <c r="AA105" s="122">
        <v>2.0</v>
      </c>
      <c r="AB105" s="122">
        <v>1.0</v>
      </c>
      <c r="AC105" s="122">
        <v>1300.0</v>
      </c>
      <c r="AD105" s="124">
        <v>1.0</v>
      </c>
      <c r="AE105" s="11">
        <v>1.0</v>
      </c>
      <c r="AF105" s="122">
        <v>1300.0</v>
      </c>
      <c r="AG105" s="11">
        <f t="shared" si="43"/>
        <v>1300</v>
      </c>
      <c r="AH105" s="11">
        <f t="shared" si="44"/>
        <v>3496</v>
      </c>
      <c r="AI105" s="11">
        <f t="shared" si="45"/>
        <v>3496</v>
      </c>
    </row>
    <row r="106" ht="15.75" customHeight="1">
      <c r="A106" s="151" t="s">
        <v>1319</v>
      </c>
      <c r="B106" s="11">
        <v>6938.0</v>
      </c>
      <c r="C106" s="120" t="s">
        <v>783</v>
      </c>
      <c r="D106" s="21" t="s">
        <v>861</v>
      </c>
      <c r="E106" s="165" t="s">
        <v>991</v>
      </c>
      <c r="F106" s="21" t="s">
        <v>1081</v>
      </c>
      <c r="G106" s="121">
        <v>46279.0</v>
      </c>
      <c r="H106" s="21" t="s">
        <v>859</v>
      </c>
      <c r="I106" s="11">
        <v>1765.0</v>
      </c>
      <c r="J106" s="122"/>
      <c r="K106" s="122"/>
      <c r="L106" s="11">
        <f t="shared" si="32"/>
        <v>1765</v>
      </c>
      <c r="M106" s="21"/>
      <c r="N106" s="169" t="s">
        <v>1320</v>
      </c>
      <c r="O106" s="169" t="s">
        <v>1321</v>
      </c>
      <c r="P106" s="120"/>
      <c r="Q106" s="20" t="s">
        <v>1025</v>
      </c>
      <c r="R106" s="21"/>
      <c r="S106" s="169" t="s">
        <v>1322</v>
      </c>
      <c r="T106" s="122">
        <v>2765.0</v>
      </c>
      <c r="U106" s="123">
        <f t="shared" si="33"/>
        <v>0.6383363472</v>
      </c>
      <c r="V106" s="122">
        <v>8.0</v>
      </c>
      <c r="W106" s="122">
        <v>1.0</v>
      </c>
      <c r="X106" s="122"/>
      <c r="Y106" s="123">
        <f t="shared" si="34"/>
        <v>220.625</v>
      </c>
      <c r="Z106" s="123" t="str">
        <f t="shared" si="35"/>
        <v/>
      </c>
      <c r="AA106" s="122">
        <v>1.0</v>
      </c>
      <c r="AB106" s="122">
        <v>0.0</v>
      </c>
      <c r="AC106" s="122">
        <v>0.0</v>
      </c>
      <c r="AD106" s="124">
        <v>0.0</v>
      </c>
      <c r="AE106" s="11">
        <v>0.0</v>
      </c>
      <c r="AF106" s="122">
        <v>0.0</v>
      </c>
      <c r="AG106" s="11">
        <v>0.0</v>
      </c>
      <c r="AH106" s="11">
        <v>0.0</v>
      </c>
      <c r="AI106" s="11">
        <v>0.0</v>
      </c>
    </row>
    <row r="107" ht="15.75" customHeight="1">
      <c r="A107" s="151" t="s">
        <v>754</v>
      </c>
      <c r="B107" s="11">
        <v>180565.0</v>
      </c>
      <c r="C107" s="120" t="s">
        <v>783</v>
      </c>
      <c r="D107" s="21" t="s">
        <v>861</v>
      </c>
      <c r="E107" s="165" t="s">
        <v>991</v>
      </c>
      <c r="F107" s="21" t="s">
        <v>1081</v>
      </c>
      <c r="G107" s="121">
        <v>46279.0</v>
      </c>
      <c r="H107" s="21" t="s">
        <v>859</v>
      </c>
      <c r="I107" s="11">
        <v>13986.0</v>
      </c>
      <c r="J107" s="122"/>
      <c r="K107" s="122"/>
      <c r="L107" s="11">
        <f t="shared" si="32"/>
        <v>13986</v>
      </c>
      <c r="M107" s="21"/>
      <c r="N107" s="169" t="s">
        <v>1323</v>
      </c>
      <c r="O107" s="169" t="s">
        <v>1324</v>
      </c>
      <c r="P107" s="120"/>
      <c r="Q107" s="20" t="s">
        <v>1025</v>
      </c>
      <c r="R107" s="21"/>
      <c r="S107" s="169" t="s">
        <v>784</v>
      </c>
      <c r="T107" s="122">
        <v>23500.0</v>
      </c>
      <c r="U107" s="123">
        <f t="shared" si="33"/>
        <v>0.5951489362</v>
      </c>
      <c r="V107" s="122">
        <v>55.0</v>
      </c>
      <c r="W107" s="122">
        <v>49.0</v>
      </c>
      <c r="X107" s="122"/>
      <c r="Y107" s="123">
        <f t="shared" si="34"/>
        <v>254.2909091</v>
      </c>
      <c r="Z107" s="123" t="str">
        <f t="shared" si="35"/>
        <v/>
      </c>
      <c r="AA107" s="122">
        <v>11.0</v>
      </c>
      <c r="AB107" s="122">
        <v>6.0</v>
      </c>
      <c r="AC107" s="122">
        <v>7599.0</v>
      </c>
      <c r="AD107" s="124">
        <v>1.0</v>
      </c>
      <c r="AE107" s="11">
        <v>4.0</v>
      </c>
      <c r="AF107" s="122">
        <v>1267.0</v>
      </c>
      <c r="AG107" s="11">
        <f t="shared" ref="AG107:AG113" si="46">IF(OR(N($AE107)=0,$AF107=""),"",ROUND($AE107*$AF107,0))</f>
        <v>5068</v>
      </c>
      <c r="AH107" s="11">
        <f t="shared" ref="AH107:AH113" si="47">IF(N($AE107)=0,"",ROUND($L107/$AE107,0))</f>
        <v>3497</v>
      </c>
      <c r="AI107" s="11">
        <f t="shared" ref="AI107:AI113" si="48">IF(N($AB107)=0,"",ROUND($L107/$AB107,0))</f>
        <v>2331</v>
      </c>
    </row>
    <row r="108" ht="15.75" customHeight="1">
      <c r="A108" s="151" t="s">
        <v>1325</v>
      </c>
      <c r="B108" s="11">
        <v>6900.0</v>
      </c>
      <c r="C108" s="120" t="s">
        <v>786</v>
      </c>
      <c r="D108" s="21" t="s">
        <v>861</v>
      </c>
      <c r="E108" s="165" t="s">
        <v>991</v>
      </c>
      <c r="F108" s="21" t="s">
        <v>1326</v>
      </c>
      <c r="G108" s="121">
        <v>46280.0</v>
      </c>
      <c r="H108" s="21" t="s">
        <v>859</v>
      </c>
      <c r="I108" s="11">
        <v>489.0</v>
      </c>
      <c r="J108" s="122"/>
      <c r="K108" s="122"/>
      <c r="L108" s="11">
        <f t="shared" si="32"/>
        <v>489</v>
      </c>
      <c r="M108" s="21"/>
      <c r="N108" s="169" t="s">
        <v>1327</v>
      </c>
      <c r="O108" s="169" t="s">
        <v>1328</v>
      </c>
      <c r="P108" s="120"/>
      <c r="Q108" s="20" t="s">
        <v>1025</v>
      </c>
      <c r="R108" s="21"/>
      <c r="S108" s="169" t="s">
        <v>1329</v>
      </c>
      <c r="T108" s="122">
        <v>1247.0</v>
      </c>
      <c r="U108" s="123">
        <f t="shared" si="33"/>
        <v>0.3921411387</v>
      </c>
      <c r="V108" s="122">
        <v>10.0</v>
      </c>
      <c r="W108" s="122">
        <v>8.0</v>
      </c>
      <c r="X108" s="122"/>
      <c r="Y108" s="123">
        <f t="shared" si="34"/>
        <v>48.9</v>
      </c>
      <c r="Z108" s="123" t="str">
        <f t="shared" si="35"/>
        <v/>
      </c>
      <c r="AA108" s="122">
        <v>2.0</v>
      </c>
      <c r="AB108" s="122">
        <v>0.0</v>
      </c>
      <c r="AC108" s="122">
        <v>0.0</v>
      </c>
      <c r="AD108" s="124">
        <v>0.0</v>
      </c>
      <c r="AE108" s="11">
        <v>0.0</v>
      </c>
      <c r="AF108" s="122">
        <v>0.0</v>
      </c>
      <c r="AG108" s="11" t="str">
        <f t="shared" si="46"/>
        <v/>
      </c>
      <c r="AH108" s="11" t="str">
        <f t="shared" si="47"/>
        <v/>
      </c>
      <c r="AI108" s="11" t="str">
        <f t="shared" si="48"/>
        <v/>
      </c>
    </row>
    <row r="109" ht="15.75" customHeight="1">
      <c r="A109" s="151" t="s">
        <v>142</v>
      </c>
      <c r="B109" s="11">
        <v>2900.0</v>
      </c>
      <c r="C109" s="120" t="s">
        <v>786</v>
      </c>
      <c r="D109" s="21" t="s">
        <v>861</v>
      </c>
      <c r="E109" s="165" t="s">
        <v>991</v>
      </c>
      <c r="F109" s="21" t="s">
        <v>1326</v>
      </c>
      <c r="G109" s="121">
        <v>46281.0</v>
      </c>
      <c r="H109" s="21" t="s">
        <v>859</v>
      </c>
      <c r="I109" s="11">
        <v>1398.0</v>
      </c>
      <c r="J109" s="122"/>
      <c r="K109" s="122"/>
      <c r="L109" s="11">
        <f t="shared" si="32"/>
        <v>1398</v>
      </c>
      <c r="M109" s="21"/>
      <c r="N109" s="169" t="s">
        <v>1330</v>
      </c>
      <c r="O109" s="169" t="s">
        <v>1331</v>
      </c>
      <c r="P109" s="120"/>
      <c r="Q109" s="20" t="s">
        <v>1025</v>
      </c>
      <c r="R109" s="21"/>
      <c r="S109" s="169" t="s">
        <v>1332</v>
      </c>
      <c r="T109" s="122">
        <v>1112.0</v>
      </c>
      <c r="U109" s="123">
        <f t="shared" si="33"/>
        <v>1.257194245</v>
      </c>
      <c r="V109" s="122">
        <v>8.0</v>
      </c>
      <c r="W109" s="122">
        <v>4.0</v>
      </c>
      <c r="X109" s="122"/>
      <c r="Y109" s="123">
        <f t="shared" si="34"/>
        <v>174.75</v>
      </c>
      <c r="Z109" s="123" t="str">
        <f t="shared" si="35"/>
        <v/>
      </c>
      <c r="AA109" s="122">
        <v>0.0</v>
      </c>
      <c r="AB109" s="122">
        <v>0.0</v>
      </c>
      <c r="AC109" s="122">
        <v>0.0</v>
      </c>
      <c r="AD109" s="124">
        <v>0.0</v>
      </c>
      <c r="AE109" s="11">
        <v>0.0</v>
      </c>
      <c r="AF109" s="122">
        <v>0.0</v>
      </c>
      <c r="AG109" s="11" t="str">
        <f t="shared" si="46"/>
        <v/>
      </c>
      <c r="AH109" s="11" t="str">
        <f t="shared" si="47"/>
        <v/>
      </c>
      <c r="AI109" s="11" t="str">
        <f t="shared" si="48"/>
        <v/>
      </c>
    </row>
    <row r="110" ht="15.75" customHeight="1">
      <c r="A110" s="151" t="s">
        <v>1333</v>
      </c>
      <c r="B110" s="11">
        <v>8000.0</v>
      </c>
      <c r="C110" s="120" t="s">
        <v>786</v>
      </c>
      <c r="D110" s="21" t="s">
        <v>861</v>
      </c>
      <c r="E110" s="165" t="s">
        <v>991</v>
      </c>
      <c r="F110" s="21" t="s">
        <v>1326</v>
      </c>
      <c r="G110" s="121">
        <v>46281.0</v>
      </c>
      <c r="H110" s="21" t="s">
        <v>859</v>
      </c>
      <c r="I110" s="11">
        <v>979.0</v>
      </c>
      <c r="J110" s="122"/>
      <c r="K110" s="122"/>
      <c r="L110" s="11">
        <f t="shared" si="32"/>
        <v>979</v>
      </c>
      <c r="M110" s="21"/>
      <c r="N110" s="169" t="s">
        <v>1334</v>
      </c>
      <c r="O110" s="169" t="s">
        <v>1335</v>
      </c>
      <c r="P110" s="120"/>
      <c r="Q110" s="20" t="s">
        <v>1025</v>
      </c>
      <c r="R110" s="21"/>
      <c r="S110" s="169" t="s">
        <v>1336</v>
      </c>
      <c r="T110" s="122">
        <v>1741.0</v>
      </c>
      <c r="U110" s="123">
        <f t="shared" si="33"/>
        <v>0.5623205055</v>
      </c>
      <c r="V110" s="122">
        <v>14.0</v>
      </c>
      <c r="W110" s="122">
        <v>8.0</v>
      </c>
      <c r="X110" s="122"/>
      <c r="Y110" s="123">
        <f t="shared" si="34"/>
        <v>69.92857143</v>
      </c>
      <c r="Z110" s="123" t="str">
        <f t="shared" si="35"/>
        <v/>
      </c>
      <c r="AA110" s="122">
        <v>0.0</v>
      </c>
      <c r="AB110" s="122">
        <v>0.0</v>
      </c>
      <c r="AC110" s="122">
        <v>0.0</v>
      </c>
      <c r="AD110" s="124">
        <v>0.0</v>
      </c>
      <c r="AE110" s="11">
        <v>0.0</v>
      </c>
      <c r="AF110" s="122">
        <v>0.0</v>
      </c>
      <c r="AG110" s="11" t="str">
        <f t="shared" si="46"/>
        <v/>
      </c>
      <c r="AH110" s="11" t="str">
        <f t="shared" si="47"/>
        <v/>
      </c>
      <c r="AI110" s="11" t="str">
        <f t="shared" si="48"/>
        <v/>
      </c>
    </row>
    <row r="111" ht="15.75" customHeight="1">
      <c r="A111" s="151" t="s">
        <v>1337</v>
      </c>
      <c r="B111" s="11">
        <v>8700.0</v>
      </c>
      <c r="C111" s="120" t="s">
        <v>786</v>
      </c>
      <c r="D111" s="21" t="s">
        <v>861</v>
      </c>
      <c r="E111" s="165" t="s">
        <v>991</v>
      </c>
      <c r="F111" s="21" t="s">
        <v>1326</v>
      </c>
      <c r="G111" s="121">
        <v>46281.0</v>
      </c>
      <c r="H111" s="21" t="s">
        <v>859</v>
      </c>
      <c r="I111" s="11">
        <v>2097.0</v>
      </c>
      <c r="J111" s="122"/>
      <c r="K111" s="122"/>
      <c r="L111" s="11">
        <f t="shared" si="32"/>
        <v>2097</v>
      </c>
      <c r="M111" s="21"/>
      <c r="N111" s="169" t="s">
        <v>1338</v>
      </c>
      <c r="O111" s="169" t="s">
        <v>1339</v>
      </c>
      <c r="P111" s="120"/>
      <c r="Q111" s="20" t="s">
        <v>1025</v>
      </c>
      <c r="R111" s="21"/>
      <c r="S111" s="169" t="s">
        <v>1340</v>
      </c>
      <c r="T111" s="122">
        <v>2293.0</v>
      </c>
      <c r="U111" s="123">
        <f t="shared" si="33"/>
        <v>0.9145224597</v>
      </c>
      <c r="V111" s="122">
        <v>8.0</v>
      </c>
      <c r="W111" s="122">
        <v>4.0</v>
      </c>
      <c r="X111" s="122"/>
      <c r="Y111" s="123">
        <f t="shared" si="34"/>
        <v>262.125</v>
      </c>
      <c r="Z111" s="123" t="str">
        <f t="shared" si="35"/>
        <v/>
      </c>
      <c r="AA111" s="122">
        <v>2.0</v>
      </c>
      <c r="AB111" s="122">
        <v>1.0</v>
      </c>
      <c r="AC111" s="122">
        <v>1300.0</v>
      </c>
      <c r="AD111" s="124">
        <v>1.0</v>
      </c>
      <c r="AE111" s="11">
        <v>1.0</v>
      </c>
      <c r="AF111" s="122">
        <v>1300.0</v>
      </c>
      <c r="AG111" s="11">
        <f t="shared" si="46"/>
        <v>1300</v>
      </c>
      <c r="AH111" s="11">
        <f t="shared" si="47"/>
        <v>2097</v>
      </c>
      <c r="AI111" s="11">
        <f t="shared" si="48"/>
        <v>2097</v>
      </c>
    </row>
    <row r="112" ht="15.75" customHeight="1">
      <c r="A112" s="151" t="s">
        <v>1341</v>
      </c>
      <c r="B112" s="11">
        <v>24100.0</v>
      </c>
      <c r="C112" s="120" t="s">
        <v>786</v>
      </c>
      <c r="D112" s="21" t="s">
        <v>861</v>
      </c>
      <c r="E112" s="165" t="s">
        <v>991</v>
      </c>
      <c r="F112" s="21" t="s">
        <v>1326</v>
      </c>
      <c r="G112" s="121">
        <v>46281.0</v>
      </c>
      <c r="H112" s="21" t="s">
        <v>859</v>
      </c>
      <c r="I112" s="11">
        <v>2797.0</v>
      </c>
      <c r="J112" s="122"/>
      <c r="K112" s="122"/>
      <c r="L112" s="11">
        <f t="shared" si="32"/>
        <v>2797</v>
      </c>
      <c r="M112" s="21"/>
      <c r="N112" s="169" t="s">
        <v>1342</v>
      </c>
      <c r="O112" s="169" t="s">
        <v>1343</v>
      </c>
      <c r="P112" s="120"/>
      <c r="Q112" s="20" t="s">
        <v>1025</v>
      </c>
      <c r="R112" s="21"/>
      <c r="S112" s="169" t="s">
        <v>1344</v>
      </c>
      <c r="T112" s="122">
        <v>2919.0</v>
      </c>
      <c r="U112" s="123">
        <f t="shared" si="33"/>
        <v>0.9582048647</v>
      </c>
      <c r="V112" s="122">
        <v>9.0</v>
      </c>
      <c r="W112" s="122">
        <v>7.0</v>
      </c>
      <c r="X112" s="122"/>
      <c r="Y112" s="123">
        <f t="shared" si="34"/>
        <v>310.7777778</v>
      </c>
      <c r="Z112" s="123" t="str">
        <f t="shared" si="35"/>
        <v/>
      </c>
      <c r="AA112" s="122">
        <v>2.0</v>
      </c>
      <c r="AB112" s="122">
        <v>1.0</v>
      </c>
      <c r="AC112" s="122">
        <v>1300.0</v>
      </c>
      <c r="AD112" s="124">
        <v>1.0</v>
      </c>
      <c r="AE112" s="11">
        <v>1.0</v>
      </c>
      <c r="AF112" s="122">
        <v>1300.0</v>
      </c>
      <c r="AG112" s="11">
        <f t="shared" si="46"/>
        <v>1300</v>
      </c>
      <c r="AH112" s="11">
        <f t="shared" si="47"/>
        <v>2797</v>
      </c>
      <c r="AI112" s="11">
        <f t="shared" si="48"/>
        <v>2797</v>
      </c>
    </row>
    <row r="113" ht="15.75" customHeight="1">
      <c r="A113" s="151" t="s">
        <v>791</v>
      </c>
      <c r="B113" s="11">
        <v>39700.0</v>
      </c>
      <c r="C113" s="120" t="s">
        <v>786</v>
      </c>
      <c r="D113" s="21" t="s">
        <v>861</v>
      </c>
      <c r="E113" s="165" t="s">
        <v>991</v>
      </c>
      <c r="F113" s="21" t="s">
        <v>1326</v>
      </c>
      <c r="G113" s="121">
        <v>46281.0</v>
      </c>
      <c r="H113" s="21" t="s">
        <v>859</v>
      </c>
      <c r="I113" s="11">
        <v>10489.0</v>
      </c>
      <c r="J113" s="122"/>
      <c r="K113" s="122"/>
      <c r="L113" s="11">
        <f t="shared" si="32"/>
        <v>10489</v>
      </c>
      <c r="M113" s="21"/>
      <c r="N113" s="169" t="s">
        <v>1345</v>
      </c>
      <c r="O113" s="169" t="s">
        <v>1346</v>
      </c>
      <c r="P113" s="120"/>
      <c r="Q113" s="20" t="s">
        <v>1025</v>
      </c>
      <c r="R113" s="21"/>
      <c r="S113" s="169" t="s">
        <v>792</v>
      </c>
      <c r="T113" s="122">
        <v>18326.0</v>
      </c>
      <c r="U113" s="123">
        <f t="shared" si="33"/>
        <v>0.5723562152</v>
      </c>
      <c r="V113" s="122">
        <v>65.0</v>
      </c>
      <c r="W113" s="122">
        <v>65.0</v>
      </c>
      <c r="X113" s="122"/>
      <c r="Y113" s="123">
        <f t="shared" si="34"/>
        <v>161.3692308</v>
      </c>
      <c r="Z113" s="123" t="str">
        <f t="shared" si="35"/>
        <v/>
      </c>
      <c r="AA113" s="122">
        <v>19.0</v>
      </c>
      <c r="AB113" s="122">
        <v>9.0</v>
      </c>
      <c r="AC113" s="122">
        <v>11403.0</v>
      </c>
      <c r="AD113" s="124">
        <v>1.0</v>
      </c>
      <c r="AE113" s="11">
        <v>9.0</v>
      </c>
      <c r="AF113" s="122">
        <v>1267.0</v>
      </c>
      <c r="AG113" s="11">
        <f t="shared" si="46"/>
        <v>11403</v>
      </c>
      <c r="AH113" s="11">
        <f t="shared" si="47"/>
        <v>1165</v>
      </c>
      <c r="AI113" s="180">
        <f t="shared" si="48"/>
        <v>1165</v>
      </c>
    </row>
    <row r="114" ht="15.75" customHeight="1">
      <c r="A114" s="151" t="s">
        <v>1347</v>
      </c>
      <c r="B114" s="11">
        <v>10000.0</v>
      </c>
      <c r="C114" s="120" t="s">
        <v>786</v>
      </c>
      <c r="D114" s="21" t="s">
        <v>861</v>
      </c>
      <c r="E114" s="165" t="s">
        <v>991</v>
      </c>
      <c r="F114" s="21" t="s">
        <v>1326</v>
      </c>
      <c r="G114" s="121">
        <v>46281.0</v>
      </c>
      <c r="H114" s="21" t="s">
        <v>859</v>
      </c>
      <c r="I114" s="11">
        <v>469.0</v>
      </c>
      <c r="J114" s="122"/>
      <c r="K114" s="122"/>
      <c r="L114" s="11">
        <f t="shared" si="32"/>
        <v>469</v>
      </c>
      <c r="M114" s="21"/>
      <c r="N114" s="169" t="s">
        <v>1348</v>
      </c>
      <c r="O114" s="169" t="s">
        <v>1349</v>
      </c>
      <c r="P114" s="120"/>
      <c r="Q114" s="20" t="s">
        <v>1025</v>
      </c>
      <c r="R114" s="21"/>
      <c r="S114" s="169" t="s">
        <v>1350</v>
      </c>
      <c r="T114" s="122">
        <v>412.0</v>
      </c>
      <c r="U114" s="123">
        <f t="shared" si="33"/>
        <v>1.138349515</v>
      </c>
      <c r="V114" s="122">
        <v>7.0</v>
      </c>
      <c r="W114" s="122">
        <v>4.0</v>
      </c>
      <c r="X114" s="122"/>
      <c r="Y114" s="123">
        <f t="shared" si="34"/>
        <v>67</v>
      </c>
      <c r="Z114" s="123" t="str">
        <f t="shared" si="35"/>
        <v/>
      </c>
      <c r="AA114" s="122">
        <v>0.0</v>
      </c>
      <c r="AB114" s="122">
        <v>0.0</v>
      </c>
      <c r="AC114" s="122">
        <v>0.0</v>
      </c>
      <c r="AD114" s="124">
        <v>0.0</v>
      </c>
      <c r="AE114" s="11">
        <v>0.0</v>
      </c>
      <c r="AF114" s="122">
        <v>0.0</v>
      </c>
      <c r="AG114" s="11">
        <v>0.0</v>
      </c>
      <c r="AH114" s="11">
        <v>0.0</v>
      </c>
      <c r="AI114" s="11">
        <v>0.0</v>
      </c>
    </row>
    <row r="115" ht="15.75" customHeight="1">
      <c r="A115" s="151" t="s">
        <v>1351</v>
      </c>
      <c r="B115" s="11">
        <v>2100.0</v>
      </c>
      <c r="C115" s="120" t="s">
        <v>786</v>
      </c>
      <c r="D115" s="21" t="s">
        <v>861</v>
      </c>
      <c r="E115" s="165" t="s">
        <v>991</v>
      </c>
      <c r="F115" s="21" t="s">
        <v>1326</v>
      </c>
      <c r="G115" s="121">
        <v>46281.0</v>
      </c>
      <c r="H115" s="21" t="s">
        <v>859</v>
      </c>
      <c r="I115" s="11">
        <v>1188.0</v>
      </c>
      <c r="J115" s="122"/>
      <c r="K115" s="122"/>
      <c r="L115" s="11">
        <f t="shared" si="32"/>
        <v>1188</v>
      </c>
      <c r="M115" s="21"/>
      <c r="N115" s="169" t="s">
        <v>1352</v>
      </c>
      <c r="O115" s="169" t="s">
        <v>1353</v>
      </c>
      <c r="P115" s="120"/>
      <c r="Q115" s="20" t="s">
        <v>1025</v>
      </c>
      <c r="R115" s="21"/>
      <c r="S115" s="169" t="s">
        <v>1354</v>
      </c>
      <c r="T115" s="122">
        <v>1911.0</v>
      </c>
      <c r="U115" s="123">
        <f t="shared" si="33"/>
        <v>0.6216640502</v>
      </c>
      <c r="V115" s="122">
        <v>53.0</v>
      </c>
      <c r="W115" s="122">
        <v>40.0</v>
      </c>
      <c r="X115" s="122"/>
      <c r="Y115" s="123">
        <f t="shared" si="34"/>
        <v>22.41509434</v>
      </c>
      <c r="Z115" s="123" t="str">
        <f t="shared" si="35"/>
        <v/>
      </c>
      <c r="AA115" s="122">
        <v>13.0</v>
      </c>
      <c r="AB115" s="122">
        <v>3.0</v>
      </c>
      <c r="AC115" s="122">
        <v>3600.0</v>
      </c>
      <c r="AD115" s="124">
        <v>1.0</v>
      </c>
      <c r="AE115" s="11">
        <v>3.0</v>
      </c>
      <c r="AF115" s="122">
        <v>1200.0</v>
      </c>
      <c r="AG115" s="11">
        <f>IF(OR(N($AE115)=0,$AF115=""),"",ROUND($AE115*$AF115,0))</f>
        <v>3600</v>
      </c>
      <c r="AH115" s="11">
        <f>IF(N($AE115)=0,"",ROUND($L115/$AE115,0))</f>
        <v>396</v>
      </c>
      <c r="AI115" s="179">
        <f>IF(N($AB115)=0,"",ROUND($L115/$AB115,0))</f>
        <v>396</v>
      </c>
    </row>
    <row r="116" ht="15.75" customHeight="1">
      <c r="A116" s="151" t="s">
        <v>1355</v>
      </c>
      <c r="B116" s="11">
        <v>3000.0</v>
      </c>
      <c r="C116" s="120" t="s">
        <v>786</v>
      </c>
      <c r="D116" s="21" t="s">
        <v>861</v>
      </c>
      <c r="E116" s="165" t="s">
        <v>991</v>
      </c>
      <c r="F116" s="21" t="s">
        <v>1326</v>
      </c>
      <c r="G116" s="121">
        <v>46280.0</v>
      </c>
      <c r="H116" s="21" t="s">
        <v>859</v>
      </c>
      <c r="I116" s="11">
        <v>1678.0</v>
      </c>
      <c r="J116" s="122"/>
      <c r="K116" s="122"/>
      <c r="L116" s="11">
        <f t="shared" si="32"/>
        <v>1678</v>
      </c>
      <c r="M116" s="21"/>
      <c r="N116" s="169" t="s">
        <v>1356</v>
      </c>
      <c r="O116" s="169" t="s">
        <v>1357</v>
      </c>
      <c r="P116" s="120"/>
      <c r="Q116" s="20" t="s">
        <v>1025</v>
      </c>
      <c r="R116" s="21"/>
      <c r="S116" s="169" t="s">
        <v>1358</v>
      </c>
      <c r="T116" s="122">
        <v>2098.0</v>
      </c>
      <c r="U116" s="123">
        <f t="shared" si="33"/>
        <v>0.7998093422</v>
      </c>
      <c r="V116" s="122">
        <v>20.0</v>
      </c>
      <c r="W116" s="122">
        <v>13.0</v>
      </c>
      <c r="X116" s="122"/>
      <c r="Y116" s="123">
        <f t="shared" si="34"/>
        <v>83.9</v>
      </c>
      <c r="Z116" s="123" t="str">
        <f t="shared" si="35"/>
        <v/>
      </c>
      <c r="AA116" s="122">
        <v>4.0</v>
      </c>
      <c r="AB116" s="122">
        <v>0.0</v>
      </c>
      <c r="AC116" s="122">
        <v>0.0</v>
      </c>
      <c r="AD116" s="124">
        <v>0.0</v>
      </c>
      <c r="AE116" s="11">
        <v>0.0</v>
      </c>
      <c r="AF116" s="122">
        <v>0.0</v>
      </c>
      <c r="AG116" s="11">
        <v>0.0</v>
      </c>
      <c r="AH116" s="11">
        <v>0.0</v>
      </c>
      <c r="AI116" s="11">
        <v>0.0</v>
      </c>
    </row>
    <row r="117" ht="15.75" customHeight="1">
      <c r="A117" s="151" t="s">
        <v>1359</v>
      </c>
      <c r="B117" s="11">
        <v>17016.0</v>
      </c>
      <c r="C117" s="120" t="s">
        <v>786</v>
      </c>
      <c r="D117" s="21" t="s">
        <v>861</v>
      </c>
      <c r="E117" s="165" t="s">
        <v>991</v>
      </c>
      <c r="F117" s="21" t="s">
        <v>1266</v>
      </c>
      <c r="G117" s="121">
        <v>46282.0</v>
      </c>
      <c r="H117" s="21" t="s">
        <v>859</v>
      </c>
      <c r="I117" s="11">
        <v>9020.0</v>
      </c>
      <c r="J117" s="122"/>
      <c r="K117" s="122"/>
      <c r="L117" s="11">
        <f t="shared" si="32"/>
        <v>9020</v>
      </c>
      <c r="M117" s="21"/>
      <c r="N117" s="169" t="s">
        <v>1360</v>
      </c>
      <c r="O117" s="169" t="s">
        <v>1361</v>
      </c>
      <c r="P117" s="120"/>
      <c r="Q117" s="20" t="s">
        <v>1025</v>
      </c>
      <c r="R117" s="21"/>
      <c r="S117" s="169" t="s">
        <v>1358</v>
      </c>
      <c r="T117" s="122">
        <v>7912.0</v>
      </c>
      <c r="U117" s="123">
        <f t="shared" si="33"/>
        <v>1.140040445</v>
      </c>
      <c r="V117" s="122">
        <v>53.0</v>
      </c>
      <c r="W117" s="122">
        <v>42.0</v>
      </c>
      <c r="X117" s="122"/>
      <c r="Y117" s="123">
        <f t="shared" si="34"/>
        <v>170.1886792</v>
      </c>
      <c r="Z117" s="123" t="str">
        <f t="shared" si="35"/>
        <v/>
      </c>
      <c r="AA117" s="122">
        <v>14.0</v>
      </c>
      <c r="AB117" s="122">
        <v>1.0</v>
      </c>
      <c r="AC117" s="122">
        <v>1529.0</v>
      </c>
      <c r="AD117" s="124">
        <v>1.0</v>
      </c>
      <c r="AE117" s="11">
        <v>1.0</v>
      </c>
      <c r="AF117" s="122">
        <v>1529.0</v>
      </c>
      <c r="AG117" s="11">
        <f t="shared" ref="AG117:AG127" si="49">IF(OR(N($AE117)=0,$AF117=""),"",ROUND($AE117*$AF117,0))</f>
        <v>1529</v>
      </c>
      <c r="AH117" s="11">
        <f t="shared" ref="AH117:AH127" si="50">IF(N($AE117)=0,"",ROUND($L117/$AE117,0))</f>
        <v>9020</v>
      </c>
      <c r="AI117" s="11">
        <f t="shared" ref="AI117:AI127" si="51">IF(N($AB117)=0,"",ROUND($L117/$AB117,0))</f>
        <v>9020</v>
      </c>
    </row>
    <row r="118" ht="15.75" customHeight="1">
      <c r="A118" s="151" t="s">
        <v>1362</v>
      </c>
      <c r="B118" s="11">
        <v>15500.0</v>
      </c>
      <c r="C118" s="120" t="s">
        <v>786</v>
      </c>
      <c r="D118" s="21" t="s">
        <v>861</v>
      </c>
      <c r="E118" s="165" t="s">
        <v>991</v>
      </c>
      <c r="F118" s="21" t="s">
        <v>1266</v>
      </c>
      <c r="G118" s="121">
        <v>46282.0</v>
      </c>
      <c r="H118" s="21" t="s">
        <v>859</v>
      </c>
      <c r="I118" s="11">
        <v>5034.0</v>
      </c>
      <c r="J118" s="122"/>
      <c r="K118" s="122"/>
      <c r="L118" s="11">
        <f t="shared" si="32"/>
        <v>5034</v>
      </c>
      <c r="M118" s="21"/>
      <c r="N118" s="169" t="s">
        <v>1363</v>
      </c>
      <c r="O118" s="169" t="s">
        <v>1364</v>
      </c>
      <c r="P118" s="120"/>
      <c r="Q118" s="20" t="s">
        <v>1025</v>
      </c>
      <c r="R118" s="21"/>
      <c r="S118" s="169" t="s">
        <v>1365</v>
      </c>
      <c r="T118" s="122">
        <v>4496.0</v>
      </c>
      <c r="U118" s="123">
        <f t="shared" si="33"/>
        <v>1.119661922</v>
      </c>
      <c r="V118" s="122">
        <v>53.0</v>
      </c>
      <c r="W118" s="122">
        <v>46.0</v>
      </c>
      <c r="X118" s="122"/>
      <c r="Y118" s="123">
        <f t="shared" si="34"/>
        <v>94.98113208</v>
      </c>
      <c r="Z118" s="123" t="str">
        <f t="shared" si="35"/>
        <v/>
      </c>
      <c r="AA118" s="122">
        <v>11.0</v>
      </c>
      <c r="AB118" s="122">
        <v>3.0</v>
      </c>
      <c r="AC118" s="122">
        <v>3801.0</v>
      </c>
      <c r="AD118" s="124">
        <v>1.0</v>
      </c>
      <c r="AE118" s="11">
        <v>3.0</v>
      </c>
      <c r="AF118" s="122">
        <v>1267.0</v>
      </c>
      <c r="AG118" s="11">
        <f t="shared" si="49"/>
        <v>3801</v>
      </c>
      <c r="AH118" s="11">
        <f t="shared" si="50"/>
        <v>1678</v>
      </c>
      <c r="AI118" s="11">
        <f t="shared" si="51"/>
        <v>1678</v>
      </c>
    </row>
    <row r="119" ht="15.75" customHeight="1">
      <c r="A119" s="151" t="s">
        <v>1366</v>
      </c>
      <c r="B119" s="11">
        <v>30400.0</v>
      </c>
      <c r="C119" s="120" t="s">
        <v>786</v>
      </c>
      <c r="D119" s="21" t="s">
        <v>861</v>
      </c>
      <c r="E119" s="165" t="s">
        <v>991</v>
      </c>
      <c r="F119" s="21" t="s">
        <v>1266</v>
      </c>
      <c r="G119" s="121">
        <v>46283.0</v>
      </c>
      <c r="H119" s="21" t="s">
        <v>859</v>
      </c>
      <c r="I119" s="11">
        <v>12857.0</v>
      </c>
      <c r="J119" s="122"/>
      <c r="K119" s="122"/>
      <c r="L119" s="11">
        <f t="shared" si="32"/>
        <v>12857</v>
      </c>
      <c r="M119" s="21"/>
      <c r="N119" s="169" t="s">
        <v>1367</v>
      </c>
      <c r="O119" s="169" t="s">
        <v>1368</v>
      </c>
      <c r="P119" s="120"/>
      <c r="Q119" s="20" t="s">
        <v>1025</v>
      </c>
      <c r="R119" s="21"/>
      <c r="S119" s="169" t="s">
        <v>1369</v>
      </c>
      <c r="T119" s="122">
        <v>19937.0</v>
      </c>
      <c r="U119" s="123">
        <f t="shared" si="33"/>
        <v>0.6448813763</v>
      </c>
      <c r="V119" s="122">
        <v>22.0</v>
      </c>
      <c r="W119" s="122">
        <v>16.0</v>
      </c>
      <c r="X119" s="122"/>
      <c r="Y119" s="123">
        <f t="shared" si="34"/>
        <v>584.4090909</v>
      </c>
      <c r="Z119" s="123" t="str">
        <f t="shared" si="35"/>
        <v/>
      </c>
      <c r="AA119" s="122">
        <v>2.0</v>
      </c>
      <c r="AB119" s="122">
        <v>0.0</v>
      </c>
      <c r="AC119" s="122">
        <v>0.0</v>
      </c>
      <c r="AD119" s="124">
        <v>0.0</v>
      </c>
      <c r="AE119" s="11">
        <v>0.0</v>
      </c>
      <c r="AF119" s="122">
        <v>0.0</v>
      </c>
      <c r="AG119" s="11" t="str">
        <f t="shared" si="49"/>
        <v/>
      </c>
      <c r="AH119" s="11" t="str">
        <f t="shared" si="50"/>
        <v/>
      </c>
      <c r="AI119" s="11" t="str">
        <f t="shared" si="51"/>
        <v/>
      </c>
    </row>
    <row r="120" ht="15.75" customHeight="1">
      <c r="A120" s="151" t="s">
        <v>1370</v>
      </c>
      <c r="B120" s="11">
        <v>23800.0</v>
      </c>
      <c r="C120" s="120" t="s">
        <v>786</v>
      </c>
      <c r="D120" s="21" t="s">
        <v>861</v>
      </c>
      <c r="E120" s="165" t="s">
        <v>991</v>
      </c>
      <c r="F120" s="21" t="s">
        <v>1266</v>
      </c>
      <c r="G120" s="121">
        <v>46283.0</v>
      </c>
      <c r="H120" s="21" t="s">
        <v>859</v>
      </c>
      <c r="I120" s="11">
        <v>6433.0</v>
      </c>
      <c r="J120" s="122"/>
      <c r="K120" s="122"/>
      <c r="L120" s="11">
        <f t="shared" si="32"/>
        <v>6433</v>
      </c>
      <c r="M120" s="21"/>
      <c r="N120" s="169" t="s">
        <v>1371</v>
      </c>
      <c r="O120" s="169" t="s">
        <v>1372</v>
      </c>
      <c r="P120" s="120"/>
      <c r="Q120" s="20" t="s">
        <v>1025</v>
      </c>
      <c r="R120" s="21"/>
      <c r="S120" s="169" t="s">
        <v>1373</v>
      </c>
      <c r="T120" s="122">
        <v>7512.0</v>
      </c>
      <c r="U120" s="123">
        <f t="shared" si="33"/>
        <v>0.8563631523</v>
      </c>
      <c r="V120" s="122">
        <v>24.0</v>
      </c>
      <c r="W120" s="122">
        <v>19.0</v>
      </c>
      <c r="X120" s="122"/>
      <c r="Y120" s="123">
        <f t="shared" si="34"/>
        <v>268.0416667</v>
      </c>
      <c r="Z120" s="123" t="str">
        <f t="shared" si="35"/>
        <v/>
      </c>
      <c r="AA120" s="122">
        <v>7.0</v>
      </c>
      <c r="AB120" s="122">
        <v>1.0</v>
      </c>
      <c r="AC120" s="122">
        <v>1529.0</v>
      </c>
      <c r="AD120" s="124">
        <v>1.0</v>
      </c>
      <c r="AE120" s="11">
        <v>1.0</v>
      </c>
      <c r="AF120" s="122">
        <v>1529.0</v>
      </c>
      <c r="AG120" s="11">
        <f t="shared" si="49"/>
        <v>1529</v>
      </c>
      <c r="AH120" s="11">
        <f t="shared" si="50"/>
        <v>6433</v>
      </c>
      <c r="AI120" s="11">
        <f t="shared" si="51"/>
        <v>6433</v>
      </c>
    </row>
    <row r="121" ht="15.75" customHeight="1">
      <c r="A121" s="151" t="s">
        <v>1374</v>
      </c>
      <c r="B121" s="11">
        <v>44100.0</v>
      </c>
      <c r="C121" s="120" t="s">
        <v>786</v>
      </c>
      <c r="D121" s="21" t="s">
        <v>861</v>
      </c>
      <c r="E121" s="165" t="s">
        <v>991</v>
      </c>
      <c r="F121" s="21" t="s">
        <v>1266</v>
      </c>
      <c r="G121" s="121">
        <v>46283.0</v>
      </c>
      <c r="H121" s="21" t="s">
        <v>859</v>
      </c>
      <c r="I121" s="11">
        <v>7552.0</v>
      </c>
      <c r="J121" s="122"/>
      <c r="K121" s="122"/>
      <c r="L121" s="11">
        <f t="shared" si="32"/>
        <v>7552</v>
      </c>
      <c r="M121" s="21"/>
      <c r="N121" s="169" t="s">
        <v>1375</v>
      </c>
      <c r="O121" s="169" t="s">
        <v>1376</v>
      </c>
      <c r="P121" s="120"/>
      <c r="Q121" s="20" t="s">
        <v>1025</v>
      </c>
      <c r="R121" s="21"/>
      <c r="S121" s="169" t="s">
        <v>1377</v>
      </c>
      <c r="T121" s="122">
        <v>8247.0</v>
      </c>
      <c r="U121" s="123">
        <f t="shared" si="33"/>
        <v>0.915726931</v>
      </c>
      <c r="V121" s="122">
        <v>44.0</v>
      </c>
      <c r="W121" s="122">
        <v>37.0</v>
      </c>
      <c r="X121" s="122"/>
      <c r="Y121" s="123">
        <f t="shared" si="34"/>
        <v>171.6363636</v>
      </c>
      <c r="Z121" s="123" t="str">
        <f t="shared" si="35"/>
        <v/>
      </c>
      <c r="AA121" s="122">
        <v>10.0</v>
      </c>
      <c r="AB121" s="122">
        <v>2.0</v>
      </c>
      <c r="AC121" s="122">
        <v>3058.0</v>
      </c>
      <c r="AD121" s="124">
        <v>1.0</v>
      </c>
      <c r="AE121" s="11">
        <v>2.0</v>
      </c>
      <c r="AF121" s="122">
        <v>1529.0</v>
      </c>
      <c r="AG121" s="11">
        <f t="shared" si="49"/>
        <v>3058</v>
      </c>
      <c r="AH121" s="11">
        <f t="shared" si="50"/>
        <v>3776</v>
      </c>
      <c r="AI121" s="11">
        <f t="shared" si="51"/>
        <v>3776</v>
      </c>
    </row>
    <row r="122" ht="15.75" customHeight="1">
      <c r="A122" s="151" t="s">
        <v>1378</v>
      </c>
      <c r="B122" s="11">
        <v>12900.0</v>
      </c>
      <c r="C122" s="120" t="s">
        <v>786</v>
      </c>
      <c r="D122" s="21" t="s">
        <v>861</v>
      </c>
      <c r="E122" s="165" t="s">
        <v>991</v>
      </c>
      <c r="F122" s="21" t="s">
        <v>1266</v>
      </c>
      <c r="G122" s="121">
        <v>46282.0</v>
      </c>
      <c r="H122" s="21" t="s">
        <v>859</v>
      </c>
      <c r="I122" s="11">
        <v>9790.0</v>
      </c>
      <c r="J122" s="122"/>
      <c r="K122" s="122"/>
      <c r="L122" s="11">
        <f t="shared" si="32"/>
        <v>9790</v>
      </c>
      <c r="M122" s="21"/>
      <c r="N122" s="169" t="s">
        <v>1379</v>
      </c>
      <c r="O122" s="169" t="s">
        <v>1380</v>
      </c>
      <c r="P122" s="120"/>
      <c r="Q122" s="20" t="s">
        <v>1025</v>
      </c>
      <c r="R122" s="21"/>
      <c r="S122" s="169" t="s">
        <v>1381</v>
      </c>
      <c r="T122" s="122">
        <v>15602.0</v>
      </c>
      <c r="U122" s="123">
        <f t="shared" si="33"/>
        <v>0.6274836559</v>
      </c>
      <c r="V122" s="122">
        <v>36.0</v>
      </c>
      <c r="W122" s="122">
        <v>27.0</v>
      </c>
      <c r="X122" s="122"/>
      <c r="Y122" s="123">
        <f t="shared" si="34"/>
        <v>271.9444444</v>
      </c>
      <c r="Z122" s="123" t="str">
        <f t="shared" si="35"/>
        <v/>
      </c>
      <c r="AA122" s="122">
        <v>6.0</v>
      </c>
      <c r="AB122" s="122">
        <v>1.0</v>
      </c>
      <c r="AC122" s="122">
        <v>1800.0</v>
      </c>
      <c r="AD122" s="124">
        <v>1.0</v>
      </c>
      <c r="AE122" s="11">
        <v>1.0</v>
      </c>
      <c r="AF122" s="122">
        <v>1800.0</v>
      </c>
      <c r="AG122" s="11">
        <f t="shared" si="49"/>
        <v>1800</v>
      </c>
      <c r="AH122" s="11">
        <f t="shared" si="50"/>
        <v>9790</v>
      </c>
      <c r="AI122" s="11">
        <f t="shared" si="51"/>
        <v>9790</v>
      </c>
    </row>
    <row r="123" ht="15.75" customHeight="1">
      <c r="A123" s="151" t="s">
        <v>245</v>
      </c>
      <c r="B123" s="11">
        <v>25100.0</v>
      </c>
      <c r="C123" s="120" t="s">
        <v>786</v>
      </c>
      <c r="D123" s="21" t="s">
        <v>861</v>
      </c>
      <c r="E123" s="165" t="s">
        <v>991</v>
      </c>
      <c r="F123" s="21" t="s">
        <v>1266</v>
      </c>
      <c r="G123" s="121">
        <v>46283.0</v>
      </c>
      <c r="H123" s="21" t="s">
        <v>859</v>
      </c>
      <c r="I123" s="11">
        <v>11328.0</v>
      </c>
      <c r="J123" s="122"/>
      <c r="K123" s="122"/>
      <c r="L123" s="11">
        <f t="shared" si="32"/>
        <v>11328</v>
      </c>
      <c r="M123" s="21"/>
      <c r="N123" s="169" t="s">
        <v>1382</v>
      </c>
      <c r="O123" s="169" t="s">
        <v>1383</v>
      </c>
      <c r="P123" s="120"/>
      <c r="Q123" s="20" t="s">
        <v>1025</v>
      </c>
      <c r="R123" s="21"/>
      <c r="S123" s="169" t="s">
        <v>1384</v>
      </c>
      <c r="T123" s="122">
        <v>8980.0</v>
      </c>
      <c r="U123" s="123">
        <f t="shared" si="33"/>
        <v>1.261469933</v>
      </c>
      <c r="V123" s="122">
        <v>38.0</v>
      </c>
      <c r="W123" s="122">
        <v>36.0</v>
      </c>
      <c r="X123" s="122"/>
      <c r="Y123" s="123">
        <f t="shared" si="34"/>
        <v>298.1052632</v>
      </c>
      <c r="Z123" s="123" t="str">
        <f t="shared" si="35"/>
        <v/>
      </c>
      <c r="AA123" s="122">
        <v>8.0</v>
      </c>
      <c r="AB123" s="122">
        <v>0.0</v>
      </c>
      <c r="AC123" s="122">
        <v>0.0</v>
      </c>
      <c r="AD123" s="124">
        <v>0.0</v>
      </c>
      <c r="AE123" s="11">
        <v>0.0</v>
      </c>
      <c r="AF123" s="122">
        <v>0.0</v>
      </c>
      <c r="AG123" s="11" t="str">
        <f t="shared" si="49"/>
        <v/>
      </c>
      <c r="AH123" s="11" t="str">
        <f t="shared" si="50"/>
        <v/>
      </c>
      <c r="AI123" s="11" t="str">
        <f t="shared" si="51"/>
        <v/>
      </c>
    </row>
    <row r="124" ht="15.75" customHeight="1">
      <c r="A124" s="151" t="s">
        <v>1385</v>
      </c>
      <c r="B124" s="11">
        <v>9974.0</v>
      </c>
      <c r="C124" s="120" t="s">
        <v>783</v>
      </c>
      <c r="D124" s="21" t="s">
        <v>1147</v>
      </c>
      <c r="E124" s="165" t="s">
        <v>991</v>
      </c>
      <c r="F124" s="21" t="s">
        <v>951</v>
      </c>
      <c r="G124" s="121">
        <v>46282.0</v>
      </c>
      <c r="H124" s="21" t="s">
        <v>859</v>
      </c>
      <c r="I124" s="11">
        <v>979.0</v>
      </c>
      <c r="J124" s="122"/>
      <c r="K124" s="122"/>
      <c r="L124" s="11">
        <f t="shared" si="32"/>
        <v>979</v>
      </c>
      <c r="M124" s="21"/>
      <c r="N124" s="169" t="s">
        <v>1386</v>
      </c>
      <c r="O124" s="153"/>
      <c r="P124" s="120"/>
      <c r="Q124" s="20" t="s">
        <v>1148</v>
      </c>
      <c r="R124" s="21"/>
      <c r="S124" s="169" t="s">
        <v>1387</v>
      </c>
      <c r="T124" s="122">
        <v>1024.0</v>
      </c>
      <c r="U124" s="123">
        <f t="shared" si="33"/>
        <v>0.9560546875</v>
      </c>
      <c r="V124" s="122"/>
      <c r="W124" s="122"/>
      <c r="X124" s="122">
        <v>3.0</v>
      </c>
      <c r="Y124" s="123" t="str">
        <f t="shared" si="34"/>
        <v/>
      </c>
      <c r="Z124" s="123">
        <f t="shared" si="35"/>
        <v>326.3333333</v>
      </c>
      <c r="AA124" s="122"/>
      <c r="AB124" s="122"/>
      <c r="AC124" s="122"/>
      <c r="AD124" s="124"/>
      <c r="AE124" s="11"/>
      <c r="AF124" s="122"/>
      <c r="AG124" s="11" t="str">
        <f t="shared" si="49"/>
        <v/>
      </c>
      <c r="AH124" s="11" t="str">
        <f t="shared" si="50"/>
        <v/>
      </c>
      <c r="AI124" s="11" t="str">
        <f t="shared" si="51"/>
        <v/>
      </c>
    </row>
    <row r="125" ht="15.75" customHeight="1">
      <c r="A125" s="151" t="s">
        <v>819</v>
      </c>
      <c r="B125" s="11">
        <v>4848.0</v>
      </c>
      <c r="C125" s="120" t="s">
        <v>783</v>
      </c>
      <c r="D125" s="21" t="s">
        <v>1147</v>
      </c>
      <c r="E125" s="165" t="s">
        <v>991</v>
      </c>
      <c r="F125" s="21" t="s">
        <v>951</v>
      </c>
      <c r="G125" s="121">
        <v>46284.0</v>
      </c>
      <c r="H125" s="21" t="s">
        <v>859</v>
      </c>
      <c r="I125" s="11">
        <v>839.0</v>
      </c>
      <c r="J125" s="122"/>
      <c r="K125" s="122"/>
      <c r="L125" s="11">
        <f t="shared" si="32"/>
        <v>839</v>
      </c>
      <c r="M125" s="21"/>
      <c r="N125" s="169" t="s">
        <v>1388</v>
      </c>
      <c r="O125" s="153"/>
      <c r="P125" s="120"/>
      <c r="Q125" s="20" t="s">
        <v>1148</v>
      </c>
      <c r="R125" s="21"/>
      <c r="S125" s="169" t="s">
        <v>820</v>
      </c>
      <c r="T125" s="122">
        <v>3332.0</v>
      </c>
      <c r="U125" s="123">
        <f t="shared" si="33"/>
        <v>0.2518007203</v>
      </c>
      <c r="V125" s="122"/>
      <c r="W125" s="122"/>
      <c r="X125" s="122">
        <v>21.0</v>
      </c>
      <c r="Y125" s="123" t="str">
        <f t="shared" si="34"/>
        <v/>
      </c>
      <c r="Z125" s="123">
        <f t="shared" si="35"/>
        <v>39.95238095</v>
      </c>
      <c r="AA125" s="122"/>
      <c r="AB125" s="122"/>
      <c r="AC125" s="122"/>
      <c r="AD125" s="124"/>
      <c r="AE125" s="11"/>
      <c r="AF125" s="122"/>
      <c r="AG125" s="11" t="str">
        <f t="shared" si="49"/>
        <v/>
      </c>
      <c r="AH125" s="11" t="str">
        <f t="shared" si="50"/>
        <v/>
      </c>
      <c r="AI125" s="11" t="str">
        <f t="shared" si="51"/>
        <v/>
      </c>
    </row>
    <row r="126" ht="15.75" customHeight="1">
      <c r="A126" s="151" t="s">
        <v>821</v>
      </c>
      <c r="B126" s="11">
        <v>41757.0</v>
      </c>
      <c r="C126" s="120" t="s">
        <v>783</v>
      </c>
      <c r="D126" s="21" t="s">
        <v>1147</v>
      </c>
      <c r="E126" s="165" t="s">
        <v>991</v>
      </c>
      <c r="F126" s="21" t="s">
        <v>951</v>
      </c>
      <c r="G126" s="121">
        <v>46283.0</v>
      </c>
      <c r="H126" s="21" t="s">
        <v>859</v>
      </c>
      <c r="I126" s="11">
        <v>3356.0</v>
      </c>
      <c r="J126" s="122"/>
      <c r="K126" s="122"/>
      <c r="L126" s="11">
        <f t="shared" si="32"/>
        <v>3356</v>
      </c>
      <c r="M126" s="21"/>
      <c r="N126" s="169" t="s">
        <v>1389</v>
      </c>
      <c r="O126" s="153"/>
      <c r="P126" s="120"/>
      <c r="Q126" s="20" t="s">
        <v>1148</v>
      </c>
      <c r="R126" s="21"/>
      <c r="S126" s="169" t="s">
        <v>822</v>
      </c>
      <c r="T126" s="122">
        <v>5567.0</v>
      </c>
      <c r="U126" s="123">
        <f t="shared" si="33"/>
        <v>0.6028381534</v>
      </c>
      <c r="V126" s="122"/>
      <c r="W126" s="122"/>
      <c r="X126" s="122">
        <v>91.0</v>
      </c>
      <c r="Y126" s="123" t="str">
        <f t="shared" si="34"/>
        <v/>
      </c>
      <c r="Z126" s="123">
        <f t="shared" si="35"/>
        <v>36.87912088</v>
      </c>
      <c r="AA126" s="122"/>
      <c r="AB126" s="122"/>
      <c r="AC126" s="122"/>
      <c r="AD126" s="124"/>
      <c r="AE126" s="11"/>
      <c r="AF126" s="122"/>
      <c r="AG126" s="11" t="str">
        <f t="shared" si="49"/>
        <v/>
      </c>
      <c r="AH126" s="11" t="str">
        <f t="shared" si="50"/>
        <v/>
      </c>
      <c r="AI126" s="11" t="str">
        <f t="shared" si="51"/>
        <v/>
      </c>
    </row>
    <row r="127" ht="15.75" customHeight="1">
      <c r="A127" s="151" t="s">
        <v>1390</v>
      </c>
      <c r="B127" s="11">
        <v>28707.0</v>
      </c>
      <c r="C127" s="120" t="s">
        <v>783</v>
      </c>
      <c r="D127" s="21" t="s">
        <v>1147</v>
      </c>
      <c r="E127" s="165" t="s">
        <v>991</v>
      </c>
      <c r="F127" s="21" t="s">
        <v>951</v>
      </c>
      <c r="G127" s="121">
        <v>46283.0</v>
      </c>
      <c r="H127" s="21" t="s">
        <v>859</v>
      </c>
      <c r="I127" s="11">
        <v>4055.0</v>
      </c>
      <c r="J127" s="122"/>
      <c r="K127" s="122"/>
      <c r="L127" s="11">
        <f t="shared" si="32"/>
        <v>4055</v>
      </c>
      <c r="M127" s="21"/>
      <c r="N127" s="169" t="s">
        <v>1391</v>
      </c>
      <c r="O127" s="153"/>
      <c r="P127" s="120"/>
      <c r="Q127" s="20" t="s">
        <v>1148</v>
      </c>
      <c r="R127" s="21"/>
      <c r="S127" s="169" t="s">
        <v>1392</v>
      </c>
      <c r="T127" s="122">
        <v>4157.0</v>
      </c>
      <c r="U127" s="123">
        <f t="shared" si="33"/>
        <v>0.9754630743</v>
      </c>
      <c r="V127" s="122"/>
      <c r="W127" s="122"/>
      <c r="X127" s="122">
        <v>25.0</v>
      </c>
      <c r="Y127" s="123" t="str">
        <f t="shared" si="34"/>
        <v/>
      </c>
      <c r="Z127" s="123">
        <f t="shared" si="35"/>
        <v>162.2</v>
      </c>
      <c r="AA127" s="122"/>
      <c r="AB127" s="122"/>
      <c r="AC127" s="122"/>
      <c r="AD127" s="124"/>
      <c r="AE127" s="11"/>
      <c r="AF127" s="122"/>
      <c r="AG127" s="11" t="str">
        <f t="shared" si="49"/>
        <v/>
      </c>
      <c r="AH127" s="11" t="str">
        <f t="shared" si="50"/>
        <v/>
      </c>
      <c r="AI127" s="11" t="str">
        <f t="shared" si="51"/>
        <v/>
      </c>
    </row>
    <row r="128" ht="15.75" customHeight="1">
      <c r="A128" s="151" t="s">
        <v>1393</v>
      </c>
      <c r="B128" s="11">
        <v>18773.0</v>
      </c>
      <c r="C128" s="120" t="s">
        <v>783</v>
      </c>
      <c r="D128" s="21" t="s">
        <v>1147</v>
      </c>
      <c r="E128" s="165" t="s">
        <v>991</v>
      </c>
      <c r="F128" s="21" t="s">
        <v>951</v>
      </c>
      <c r="G128" s="121">
        <v>46283.0</v>
      </c>
      <c r="H128" s="21" t="s">
        <v>859</v>
      </c>
      <c r="I128" s="11">
        <v>3636.0</v>
      </c>
      <c r="J128" s="122"/>
      <c r="K128" s="122"/>
      <c r="L128" s="11">
        <f t="shared" si="32"/>
        <v>3636</v>
      </c>
      <c r="M128" s="21"/>
      <c r="N128" s="169" t="s">
        <v>1394</v>
      </c>
      <c r="O128" s="153"/>
      <c r="P128" s="120"/>
      <c r="Q128" s="20" t="s">
        <v>1148</v>
      </c>
      <c r="R128" s="21"/>
      <c r="S128" s="169" t="s">
        <v>1395</v>
      </c>
      <c r="T128" s="122">
        <v>3967.0</v>
      </c>
      <c r="U128" s="123">
        <f t="shared" si="33"/>
        <v>0.9165616335</v>
      </c>
      <c r="V128" s="122"/>
      <c r="W128" s="122"/>
      <c r="X128" s="122">
        <v>35.0</v>
      </c>
      <c r="Y128" s="123"/>
      <c r="Z128" s="123">
        <f t="shared" si="35"/>
        <v>103.8857143</v>
      </c>
      <c r="AA128" s="122"/>
      <c r="AB128" s="122"/>
      <c r="AC128" s="122"/>
      <c r="AD128" s="124"/>
      <c r="AE128" s="11"/>
      <c r="AF128" s="122"/>
      <c r="AG128" s="11"/>
      <c r="AH128" s="11"/>
      <c r="AI128" s="11"/>
    </row>
    <row r="129" ht="15.75" customHeight="1">
      <c r="A129" s="151" t="s">
        <v>1396</v>
      </c>
      <c r="B129" s="11">
        <v>5412.0</v>
      </c>
      <c r="C129" s="120" t="s">
        <v>783</v>
      </c>
      <c r="D129" s="21" t="s">
        <v>1147</v>
      </c>
      <c r="E129" s="165" t="s">
        <v>991</v>
      </c>
      <c r="F129" s="21" t="s">
        <v>951</v>
      </c>
      <c r="G129" s="121">
        <v>46282.0</v>
      </c>
      <c r="H129" s="21" t="s">
        <v>859</v>
      </c>
      <c r="I129" s="11">
        <v>1678.0</v>
      </c>
      <c r="J129" s="122"/>
      <c r="K129" s="122"/>
      <c r="L129" s="11">
        <f t="shared" si="32"/>
        <v>1678</v>
      </c>
      <c r="M129" s="21"/>
      <c r="N129" s="169" t="s">
        <v>1397</v>
      </c>
      <c r="O129" s="153"/>
      <c r="P129" s="120"/>
      <c r="Q129" s="20" t="s">
        <v>1148</v>
      </c>
      <c r="R129" s="21"/>
      <c r="S129" s="169" t="s">
        <v>1398</v>
      </c>
      <c r="T129" s="122">
        <v>1971.0</v>
      </c>
      <c r="U129" s="123">
        <f t="shared" si="33"/>
        <v>0.8513444952</v>
      </c>
      <c r="V129" s="122"/>
      <c r="W129" s="122"/>
      <c r="X129" s="122">
        <v>7.0</v>
      </c>
      <c r="Y129" s="123"/>
      <c r="Z129" s="123">
        <f t="shared" si="35"/>
        <v>239.7142857</v>
      </c>
      <c r="AA129" s="122"/>
      <c r="AB129" s="122"/>
      <c r="AC129" s="122"/>
      <c r="AD129" s="124"/>
      <c r="AE129" s="11"/>
      <c r="AF129" s="122"/>
      <c r="AG129" s="11"/>
      <c r="AH129" s="11"/>
      <c r="AI129" s="11"/>
    </row>
    <row r="130" ht="15.75" customHeight="1">
      <c r="A130" s="151" t="s">
        <v>1399</v>
      </c>
      <c r="B130" s="11">
        <v>3714.0</v>
      </c>
      <c r="C130" s="120" t="s">
        <v>783</v>
      </c>
      <c r="D130" s="21" t="s">
        <v>1147</v>
      </c>
      <c r="E130" s="165" t="s">
        <v>991</v>
      </c>
      <c r="F130" s="21" t="s">
        <v>951</v>
      </c>
      <c r="G130" s="121">
        <v>46282.0</v>
      </c>
      <c r="H130" s="21" t="s">
        <v>859</v>
      </c>
      <c r="I130" s="11">
        <v>769.0</v>
      </c>
      <c r="J130" s="122"/>
      <c r="K130" s="122"/>
      <c r="L130" s="11">
        <f t="shared" si="32"/>
        <v>769</v>
      </c>
      <c r="M130" s="21"/>
      <c r="N130" s="169" t="s">
        <v>1400</v>
      </c>
      <c r="O130" s="153"/>
      <c r="P130" s="120"/>
      <c r="Q130" s="20" t="s">
        <v>1401</v>
      </c>
      <c r="R130" s="21"/>
      <c r="S130" s="169" t="s">
        <v>1402</v>
      </c>
      <c r="T130" s="122">
        <v>893.0</v>
      </c>
      <c r="U130" s="123">
        <f t="shared" si="33"/>
        <v>0.8611422172</v>
      </c>
      <c r="V130" s="122"/>
      <c r="W130" s="122"/>
      <c r="X130" s="122">
        <v>20.0</v>
      </c>
      <c r="Y130" s="123"/>
      <c r="Z130" s="123">
        <f t="shared" si="35"/>
        <v>38.45</v>
      </c>
      <c r="AA130" s="122"/>
      <c r="AB130" s="122"/>
      <c r="AC130" s="122"/>
      <c r="AD130" s="124"/>
      <c r="AE130" s="11"/>
      <c r="AF130" s="122"/>
      <c r="AG130" s="11"/>
      <c r="AH130" s="11"/>
      <c r="AI130" s="11"/>
    </row>
    <row r="131" ht="15.75" customHeight="1">
      <c r="A131" s="151" t="s">
        <v>1403</v>
      </c>
      <c r="B131" s="11">
        <v>11194.0</v>
      </c>
      <c r="C131" s="120" t="s">
        <v>783</v>
      </c>
      <c r="D131" s="21" t="s">
        <v>1147</v>
      </c>
      <c r="E131" s="165" t="s">
        <v>991</v>
      </c>
      <c r="F131" s="21" t="s">
        <v>951</v>
      </c>
      <c r="G131" s="121">
        <v>46282.0</v>
      </c>
      <c r="H131" s="21" t="s">
        <v>859</v>
      </c>
      <c r="I131" s="11">
        <v>559.0</v>
      </c>
      <c r="J131" s="122"/>
      <c r="K131" s="122"/>
      <c r="L131" s="11">
        <f t="shared" si="32"/>
        <v>559</v>
      </c>
      <c r="M131" s="21"/>
      <c r="N131" s="169" t="s">
        <v>1404</v>
      </c>
      <c r="O131" s="153"/>
      <c r="P131" s="120"/>
      <c r="Q131" s="20" t="s">
        <v>1401</v>
      </c>
      <c r="R131" s="21"/>
      <c r="S131" s="169" t="s">
        <v>1405</v>
      </c>
      <c r="T131" s="122">
        <v>1444.0</v>
      </c>
      <c r="U131" s="123">
        <f t="shared" si="33"/>
        <v>0.3871191136</v>
      </c>
      <c r="V131" s="122"/>
      <c r="W131" s="122"/>
      <c r="X131" s="122">
        <v>2.0</v>
      </c>
      <c r="Y131" s="123"/>
      <c r="Z131" s="123">
        <f t="shared" si="35"/>
        <v>279.5</v>
      </c>
      <c r="AA131" s="122"/>
      <c r="AB131" s="122"/>
      <c r="AC131" s="122"/>
      <c r="AD131" s="124"/>
      <c r="AE131" s="11"/>
      <c r="AF131" s="122"/>
      <c r="AG131" s="11"/>
      <c r="AH131" s="11"/>
      <c r="AI131" s="11"/>
    </row>
    <row r="132" ht="15.75" customHeight="1">
      <c r="A132" s="151" t="s">
        <v>1406</v>
      </c>
      <c r="B132" s="11">
        <v>14275.0</v>
      </c>
      <c r="C132" s="120" t="s">
        <v>783</v>
      </c>
      <c r="D132" s="21" t="s">
        <v>1147</v>
      </c>
      <c r="E132" s="165" t="s">
        <v>991</v>
      </c>
      <c r="F132" s="21" t="s">
        <v>951</v>
      </c>
      <c r="G132" s="121">
        <v>46282.0</v>
      </c>
      <c r="H132" s="21" t="s">
        <v>859</v>
      </c>
      <c r="I132" s="11">
        <v>293.0</v>
      </c>
      <c r="J132" s="122"/>
      <c r="K132" s="122"/>
      <c r="L132" s="11">
        <f t="shared" si="32"/>
        <v>293</v>
      </c>
      <c r="M132" s="21"/>
      <c r="N132" s="169" t="s">
        <v>1407</v>
      </c>
      <c r="O132" s="153"/>
      <c r="P132" s="120"/>
      <c r="Q132" s="20" t="s">
        <v>1401</v>
      </c>
      <c r="R132" s="21"/>
      <c r="S132" s="169" t="s">
        <v>1408</v>
      </c>
      <c r="T132" s="122">
        <v>332.0</v>
      </c>
      <c r="U132" s="123">
        <f t="shared" si="33"/>
        <v>0.8825301205</v>
      </c>
      <c r="V132" s="122"/>
      <c r="W132" s="122"/>
      <c r="X132" s="122">
        <v>2.0</v>
      </c>
      <c r="Y132" s="123"/>
      <c r="Z132" s="123">
        <f t="shared" si="35"/>
        <v>146.5</v>
      </c>
      <c r="AA132" s="122"/>
      <c r="AB132" s="122"/>
      <c r="AC132" s="122"/>
      <c r="AD132" s="124"/>
      <c r="AE132" s="11"/>
      <c r="AF132" s="122"/>
      <c r="AG132" s="11"/>
      <c r="AH132" s="11"/>
      <c r="AI132" s="11"/>
    </row>
    <row r="133" ht="15.75" customHeight="1">
      <c r="A133" s="151" t="s">
        <v>1409</v>
      </c>
      <c r="B133" s="11">
        <v>10058.0</v>
      </c>
      <c r="C133" s="120" t="s">
        <v>783</v>
      </c>
      <c r="D133" s="21" t="s">
        <v>1147</v>
      </c>
      <c r="E133" s="165" t="s">
        <v>991</v>
      </c>
      <c r="F133" s="21" t="s">
        <v>951</v>
      </c>
      <c r="G133" s="121">
        <v>46282.0</v>
      </c>
      <c r="H133" s="21" t="s">
        <v>859</v>
      </c>
      <c r="I133" s="11">
        <v>419.0</v>
      </c>
      <c r="J133" s="122"/>
      <c r="K133" s="122"/>
      <c r="L133" s="11">
        <f t="shared" si="32"/>
        <v>419</v>
      </c>
      <c r="M133" s="21"/>
      <c r="N133" s="169" t="s">
        <v>1410</v>
      </c>
      <c r="O133" s="153"/>
      <c r="P133" s="120"/>
      <c r="Q133" s="20" t="s">
        <v>1401</v>
      </c>
      <c r="R133" s="21"/>
      <c r="S133" s="169" t="s">
        <v>1411</v>
      </c>
      <c r="T133" s="122">
        <v>1096.0</v>
      </c>
      <c r="U133" s="123">
        <f t="shared" si="33"/>
        <v>0.3822992701</v>
      </c>
      <c r="V133" s="122"/>
      <c r="W133" s="122"/>
      <c r="X133" s="122">
        <v>3.0</v>
      </c>
      <c r="Y133" s="123"/>
      <c r="Z133" s="123">
        <f t="shared" si="35"/>
        <v>139.6666667</v>
      </c>
      <c r="AA133" s="122"/>
      <c r="AB133" s="122"/>
      <c r="AC133" s="122"/>
      <c r="AD133" s="124"/>
      <c r="AE133" s="11"/>
      <c r="AF133" s="122"/>
      <c r="AG133" s="11"/>
      <c r="AH133" s="11"/>
      <c r="AI133" s="11"/>
    </row>
    <row r="134" ht="15.75" customHeight="1">
      <c r="A134" s="151" t="s">
        <v>1412</v>
      </c>
      <c r="B134" s="11">
        <v>12777.0</v>
      </c>
      <c r="C134" s="120" t="s">
        <v>783</v>
      </c>
      <c r="D134" s="21" t="s">
        <v>1147</v>
      </c>
      <c r="E134" s="165" t="s">
        <v>991</v>
      </c>
      <c r="F134" s="21" t="s">
        <v>951</v>
      </c>
      <c r="G134" s="121">
        <v>46282.0</v>
      </c>
      <c r="H134" s="21" t="s">
        <v>859</v>
      </c>
      <c r="I134" s="11">
        <v>839.0</v>
      </c>
      <c r="J134" s="122"/>
      <c r="K134" s="122"/>
      <c r="L134" s="11">
        <f t="shared" si="32"/>
        <v>839</v>
      </c>
      <c r="M134" s="21"/>
      <c r="N134" s="169" t="s">
        <v>1413</v>
      </c>
      <c r="O134" s="153"/>
      <c r="P134" s="120"/>
      <c r="Q134" s="20" t="s">
        <v>1401</v>
      </c>
      <c r="R134" s="21"/>
      <c r="S134" s="169" t="s">
        <v>1414</v>
      </c>
      <c r="T134" s="122">
        <v>795.0</v>
      </c>
      <c r="U134" s="123">
        <f t="shared" si="33"/>
        <v>1.055345912</v>
      </c>
      <c r="V134" s="122"/>
      <c r="W134" s="122"/>
      <c r="X134" s="122">
        <v>2.0</v>
      </c>
      <c r="Y134" s="123"/>
      <c r="Z134" s="123">
        <f t="shared" si="35"/>
        <v>419.5</v>
      </c>
      <c r="AA134" s="122"/>
      <c r="AB134" s="122"/>
      <c r="AC134" s="122"/>
      <c r="AD134" s="124"/>
      <c r="AE134" s="11"/>
      <c r="AF134" s="122"/>
      <c r="AG134" s="11"/>
      <c r="AH134" s="11"/>
      <c r="AI134" s="11"/>
    </row>
    <row r="135" ht="15.75" customHeight="1">
      <c r="A135" s="151" t="s">
        <v>1415</v>
      </c>
      <c r="B135" s="11">
        <v>2518.0</v>
      </c>
      <c r="C135" s="120" t="s">
        <v>783</v>
      </c>
      <c r="D135" s="21" t="s">
        <v>1147</v>
      </c>
      <c r="E135" s="165" t="s">
        <v>991</v>
      </c>
      <c r="F135" s="21" t="s">
        <v>951</v>
      </c>
      <c r="G135" s="121">
        <v>46283.0</v>
      </c>
      <c r="H135" s="21" t="s">
        <v>859</v>
      </c>
      <c r="I135" s="11">
        <v>849.0</v>
      </c>
      <c r="J135" s="122"/>
      <c r="K135" s="122"/>
      <c r="L135" s="11">
        <f t="shared" si="32"/>
        <v>849</v>
      </c>
      <c r="M135" s="21"/>
      <c r="N135" s="169" t="s">
        <v>1416</v>
      </c>
      <c r="O135" s="153"/>
      <c r="P135" s="120"/>
      <c r="Q135" s="20" t="s">
        <v>1401</v>
      </c>
      <c r="R135" s="21"/>
      <c r="S135" s="169" t="s">
        <v>1417</v>
      </c>
      <c r="T135" s="122">
        <v>1123.0</v>
      </c>
      <c r="U135" s="123">
        <f t="shared" si="33"/>
        <v>0.7560106857</v>
      </c>
      <c r="V135" s="122"/>
      <c r="W135" s="122"/>
      <c r="X135" s="122">
        <v>2.0</v>
      </c>
      <c r="Y135" s="123"/>
      <c r="Z135" s="123">
        <f t="shared" si="35"/>
        <v>424.5</v>
      </c>
      <c r="AA135" s="122"/>
      <c r="AB135" s="122"/>
      <c r="AC135" s="122"/>
      <c r="AD135" s="124"/>
      <c r="AE135" s="11"/>
      <c r="AF135" s="122"/>
      <c r="AG135" s="11"/>
      <c r="AH135" s="11"/>
      <c r="AI135" s="11"/>
    </row>
    <row r="136" ht="15.75" customHeight="1">
      <c r="A136" s="151" t="s">
        <v>1418</v>
      </c>
      <c r="B136" s="11">
        <v>17313.0</v>
      </c>
      <c r="C136" s="120" t="s">
        <v>783</v>
      </c>
      <c r="D136" s="21" t="s">
        <v>1147</v>
      </c>
      <c r="E136" s="165" t="s">
        <v>991</v>
      </c>
      <c r="F136" s="21" t="s">
        <v>951</v>
      </c>
      <c r="G136" s="121">
        <v>46283.0</v>
      </c>
      <c r="H136" s="21" t="s">
        <v>859</v>
      </c>
      <c r="I136" s="11">
        <v>1778.0</v>
      </c>
      <c r="J136" s="122"/>
      <c r="K136" s="122"/>
      <c r="L136" s="11">
        <f t="shared" si="32"/>
        <v>1778</v>
      </c>
      <c r="M136" s="21"/>
      <c r="N136" s="169" t="s">
        <v>1419</v>
      </c>
      <c r="O136" s="153"/>
      <c r="P136" s="120"/>
      <c r="Q136" s="20" t="s">
        <v>1401</v>
      </c>
      <c r="R136" s="21"/>
      <c r="S136" s="169" t="s">
        <v>1420</v>
      </c>
      <c r="T136" s="122">
        <v>1146.0</v>
      </c>
      <c r="U136" s="123">
        <f t="shared" si="33"/>
        <v>1.551483421</v>
      </c>
      <c r="V136" s="122"/>
      <c r="W136" s="122"/>
      <c r="X136" s="122">
        <v>7.0</v>
      </c>
      <c r="Y136" s="123"/>
      <c r="Z136" s="123">
        <f t="shared" si="35"/>
        <v>254</v>
      </c>
      <c r="AA136" s="122"/>
      <c r="AB136" s="122"/>
      <c r="AC136" s="122"/>
      <c r="AD136" s="124"/>
      <c r="AE136" s="11"/>
      <c r="AF136" s="122"/>
      <c r="AG136" s="11"/>
      <c r="AH136" s="11"/>
      <c r="AI136" s="11"/>
    </row>
    <row r="137" ht="15.75" customHeight="1">
      <c r="A137" s="151" t="s">
        <v>1421</v>
      </c>
      <c r="B137" s="11">
        <v>63145.0</v>
      </c>
      <c r="C137" s="120" t="s">
        <v>783</v>
      </c>
      <c r="D137" s="21" t="s">
        <v>1147</v>
      </c>
      <c r="E137" s="165" t="s">
        <v>991</v>
      </c>
      <c r="F137" s="21" t="s">
        <v>951</v>
      </c>
      <c r="G137" s="121">
        <v>46283.0</v>
      </c>
      <c r="H137" s="21" t="s">
        <v>859</v>
      </c>
      <c r="I137" s="11">
        <v>5314.0</v>
      </c>
      <c r="J137" s="122"/>
      <c r="K137" s="122"/>
      <c r="L137" s="11">
        <f t="shared" si="32"/>
        <v>5314</v>
      </c>
      <c r="M137" s="21"/>
      <c r="N137" s="169" t="s">
        <v>1422</v>
      </c>
      <c r="O137" s="153"/>
      <c r="P137" s="120"/>
      <c r="Q137" s="20" t="s">
        <v>1401</v>
      </c>
      <c r="R137" s="21"/>
      <c r="S137" s="169" t="s">
        <v>1423</v>
      </c>
      <c r="T137" s="122">
        <v>5471.0</v>
      </c>
      <c r="U137" s="123">
        <f t="shared" si="33"/>
        <v>0.9713032352</v>
      </c>
      <c r="V137" s="122"/>
      <c r="W137" s="122"/>
      <c r="X137" s="122">
        <v>27.0</v>
      </c>
      <c r="Y137" s="123"/>
      <c r="Z137" s="123">
        <f t="shared" si="35"/>
        <v>196.8148148</v>
      </c>
      <c r="AA137" s="122"/>
      <c r="AB137" s="122"/>
      <c r="AC137" s="122"/>
      <c r="AD137" s="124"/>
      <c r="AE137" s="11"/>
      <c r="AF137" s="122"/>
      <c r="AG137" s="11"/>
      <c r="AH137" s="11"/>
      <c r="AI137" s="11"/>
    </row>
    <row r="138" ht="15.75" customHeight="1">
      <c r="A138" s="151" t="s">
        <v>1424</v>
      </c>
      <c r="B138" s="11">
        <v>15543.0</v>
      </c>
      <c r="C138" s="120" t="s">
        <v>783</v>
      </c>
      <c r="D138" s="21" t="s">
        <v>1147</v>
      </c>
      <c r="E138" s="165" t="s">
        <v>991</v>
      </c>
      <c r="F138" s="21" t="s">
        <v>951</v>
      </c>
      <c r="G138" s="121">
        <v>46283.0</v>
      </c>
      <c r="H138" s="21" t="s">
        <v>859</v>
      </c>
      <c r="I138" s="11">
        <v>909.0</v>
      </c>
      <c r="J138" s="122"/>
      <c r="K138" s="122"/>
      <c r="L138" s="11">
        <f t="shared" si="32"/>
        <v>909</v>
      </c>
      <c r="M138" s="21"/>
      <c r="N138" s="169" t="s">
        <v>1425</v>
      </c>
      <c r="O138" s="153"/>
      <c r="P138" s="120"/>
      <c r="Q138" s="20" t="s">
        <v>1401</v>
      </c>
      <c r="R138" s="21"/>
      <c r="S138" s="169" t="s">
        <v>1426</v>
      </c>
      <c r="T138" s="122">
        <v>1100.0</v>
      </c>
      <c r="U138" s="123">
        <f t="shared" si="33"/>
        <v>0.8263636364</v>
      </c>
      <c r="V138" s="122"/>
      <c r="W138" s="122"/>
      <c r="X138" s="122">
        <v>11.0</v>
      </c>
      <c r="Y138" s="123"/>
      <c r="Z138" s="123">
        <f t="shared" si="35"/>
        <v>82.63636364</v>
      </c>
      <c r="AA138" s="122"/>
      <c r="AB138" s="122"/>
      <c r="AC138" s="122"/>
      <c r="AD138" s="124"/>
      <c r="AE138" s="11"/>
      <c r="AF138" s="122"/>
      <c r="AG138" s="11"/>
      <c r="AH138" s="11"/>
      <c r="AI138" s="11"/>
    </row>
    <row r="139" ht="15.75" customHeight="1">
      <c r="A139" s="151" t="s">
        <v>1427</v>
      </c>
      <c r="B139" s="11">
        <v>13655.0</v>
      </c>
      <c r="C139" s="120" t="s">
        <v>783</v>
      </c>
      <c r="D139" s="21" t="s">
        <v>1147</v>
      </c>
      <c r="E139" s="165" t="s">
        <v>991</v>
      </c>
      <c r="F139" s="21" t="s">
        <v>951</v>
      </c>
      <c r="G139" s="121">
        <v>46283.0</v>
      </c>
      <c r="H139" s="21" t="s">
        <v>859</v>
      </c>
      <c r="I139" s="11">
        <v>657.0</v>
      </c>
      <c r="J139" s="122"/>
      <c r="K139" s="122"/>
      <c r="L139" s="11">
        <f t="shared" si="32"/>
        <v>657</v>
      </c>
      <c r="M139" s="21"/>
      <c r="N139" s="169" t="s">
        <v>1428</v>
      </c>
      <c r="O139" s="153"/>
      <c r="P139" s="120"/>
      <c r="Q139" s="20" t="s">
        <v>1401</v>
      </c>
      <c r="R139" s="21"/>
      <c r="S139" s="169" t="s">
        <v>1429</v>
      </c>
      <c r="T139" s="122">
        <v>979.0</v>
      </c>
      <c r="U139" s="123">
        <f t="shared" si="33"/>
        <v>0.671092952</v>
      </c>
      <c r="V139" s="122"/>
      <c r="W139" s="122"/>
      <c r="X139" s="122">
        <v>8.0</v>
      </c>
      <c r="Y139" s="123"/>
      <c r="Z139" s="123">
        <f t="shared" si="35"/>
        <v>82.125</v>
      </c>
      <c r="AA139" s="122"/>
      <c r="AB139" s="122"/>
      <c r="AC139" s="122"/>
      <c r="AD139" s="124"/>
      <c r="AE139" s="11"/>
      <c r="AF139" s="122"/>
      <c r="AG139" s="11"/>
      <c r="AH139" s="11"/>
      <c r="AI139" s="11"/>
    </row>
    <row r="140" ht="15.75" customHeight="1">
      <c r="A140" s="125" t="s">
        <v>294</v>
      </c>
      <c r="B140" s="11">
        <f>IFERROR(VLOOKUP($A140,'Мои блогеры'!$A:$N,5,0),"")</f>
        <v>5200000</v>
      </c>
      <c r="C140" s="120" t="str">
        <f>IFERROR(VLOOKUP($A140,'Мои блогеры'!$A:$N,2,0),"")</f>
        <v>Tiktok</v>
      </c>
      <c r="D140" s="21" t="s">
        <v>861</v>
      </c>
      <c r="E140" s="165" t="s">
        <v>950</v>
      </c>
      <c r="F140" s="21" t="s">
        <v>1430</v>
      </c>
      <c r="G140" s="121">
        <v>46284.0</v>
      </c>
      <c r="H140" s="21" t="s">
        <v>859</v>
      </c>
      <c r="I140" s="11">
        <f>IFERROR(VLOOKUP($A140,'Мои блогеры'!$A$2:$N$673,8,0),"")</f>
        <v>60000</v>
      </c>
      <c r="J140" s="122">
        <v>3600.0</v>
      </c>
      <c r="K140" s="122"/>
      <c r="L140" s="11">
        <f t="shared" si="32"/>
        <v>63600</v>
      </c>
      <c r="M140" s="21" t="s">
        <v>1431</v>
      </c>
      <c r="N140" s="153" t="s">
        <v>1432</v>
      </c>
      <c r="O140" s="153"/>
      <c r="P140" s="120" t="str">
        <f>IFERROR(VLOOKUP($A140,'Мои блогеры'!$A$2:$N$673,10,0)&amp;"-TRG","")</f>
        <v>-TRG</v>
      </c>
      <c r="Q140" s="20" t="s">
        <v>1025</v>
      </c>
      <c r="R140" s="21"/>
      <c r="S140" s="169" t="s">
        <v>797</v>
      </c>
      <c r="T140" s="122">
        <v>1400000.0</v>
      </c>
      <c r="U140" s="123">
        <f t="shared" si="33"/>
        <v>0.04542857143</v>
      </c>
      <c r="V140" s="122">
        <v>1869.0</v>
      </c>
      <c r="W140" s="122">
        <v>1869.0</v>
      </c>
      <c r="X140" s="122"/>
      <c r="Y140" s="123">
        <f t="shared" ref="Y140:Y141" si="52">IF(N($V140)=0,"",$L140/$V140)</f>
        <v>34.02889246</v>
      </c>
      <c r="Z140" s="123" t="str">
        <f t="shared" si="35"/>
        <v/>
      </c>
      <c r="AA140" s="122">
        <v>334.0</v>
      </c>
      <c r="AB140" s="122">
        <v>41.0</v>
      </c>
      <c r="AC140" s="122">
        <v>32267.0</v>
      </c>
      <c r="AD140" s="124">
        <v>0.95</v>
      </c>
      <c r="AE140" s="11">
        <f>IF(OR(N($AB140)=0,$AD140=""),"",ROUND($AB140*$AD140,0))</f>
        <v>39</v>
      </c>
      <c r="AF140" s="122">
        <v>787.0</v>
      </c>
      <c r="AG140" s="11">
        <f t="shared" ref="AG140:AG141" si="53">IF(OR(N($AE140)=0,$AF140=""),"",ROUND($AE140*$AF140,0))</f>
        <v>30693</v>
      </c>
      <c r="AH140" s="11">
        <f t="shared" ref="AH140:AH141" si="54">IF(N($AE140)=0,"",ROUND($L140/$AE140,0))</f>
        <v>1631</v>
      </c>
      <c r="AI140" s="180">
        <f t="shared" ref="AI140:AI141" si="55">IF(N($AB140)=0,"",ROUND($L140/$AB140,0))</f>
        <v>1551</v>
      </c>
    </row>
    <row r="141" ht="15.75" customHeight="1">
      <c r="A141" s="151" t="s">
        <v>70</v>
      </c>
      <c r="B141" s="166">
        <f>IFERROR(VLOOKUP($A141,'Мои блогеры'!$A:$N,5,0),"")</f>
        <v>425300</v>
      </c>
      <c r="C141" s="120" t="s">
        <v>244</v>
      </c>
      <c r="D141" s="21" t="s">
        <v>861</v>
      </c>
      <c r="E141" s="165">
        <v>3.0</v>
      </c>
      <c r="F141" s="21" t="s">
        <v>973</v>
      </c>
      <c r="G141" s="167">
        <v>46286.0</v>
      </c>
      <c r="H141" s="21" t="s">
        <v>859</v>
      </c>
      <c r="I141" s="11">
        <v>50000.0</v>
      </c>
      <c r="J141" s="122">
        <v>3000.0</v>
      </c>
      <c r="K141" s="122"/>
      <c r="L141" s="11">
        <f t="shared" si="32"/>
        <v>53000</v>
      </c>
      <c r="M141" s="21" t="s">
        <v>1433</v>
      </c>
      <c r="N141" s="162" t="s">
        <v>1434</v>
      </c>
      <c r="O141" s="162" t="s">
        <v>1435</v>
      </c>
      <c r="P141" s="120" t="str">
        <f>IFERROR(VLOOKUP($A141,'Мои блогеры'!$A$2:$N$673,10,0)&amp;"-TRG","")</f>
        <v>-TRG</v>
      </c>
      <c r="Q141" s="20" t="s">
        <v>1025</v>
      </c>
      <c r="R141" s="21"/>
      <c r="S141" s="162" t="s">
        <v>1436</v>
      </c>
      <c r="T141" s="122">
        <v>8100.0</v>
      </c>
      <c r="U141" s="123">
        <f t="shared" si="33"/>
        <v>6.543209877</v>
      </c>
      <c r="V141" s="122">
        <v>30.0</v>
      </c>
      <c r="W141" s="122">
        <v>21.0</v>
      </c>
      <c r="X141" s="122"/>
      <c r="Y141" s="123">
        <f t="shared" si="52"/>
        <v>1766.666667</v>
      </c>
      <c r="Z141" s="123" t="str">
        <f t="shared" si="35"/>
        <v/>
      </c>
      <c r="AA141" s="122">
        <v>12.0</v>
      </c>
      <c r="AB141" s="122">
        <v>0.0</v>
      </c>
      <c r="AC141" s="122">
        <v>0.0</v>
      </c>
      <c r="AD141" s="124">
        <v>0.0</v>
      </c>
      <c r="AE141" s="11">
        <v>0.0</v>
      </c>
      <c r="AF141" s="122">
        <v>0.0</v>
      </c>
      <c r="AG141" s="11" t="str">
        <f t="shared" si="53"/>
        <v/>
      </c>
      <c r="AH141" s="11" t="str">
        <f t="shared" si="54"/>
        <v/>
      </c>
      <c r="AI141" s="11" t="str">
        <f t="shared" si="55"/>
        <v/>
      </c>
    </row>
    <row r="142" ht="15.0" customHeight="1">
      <c r="A142" s="126" t="s">
        <v>1437</v>
      </c>
      <c r="B142" s="127"/>
      <c r="C142" s="126"/>
      <c r="D142" s="126"/>
      <c r="E142" s="184"/>
      <c r="F142" s="126"/>
      <c r="G142" s="126"/>
      <c r="H142" s="126" t="str">
        <f>COUNTIF(H92:H141,"Вышло")&amp;" / "&amp;COUNTA(A92:A141)</f>
        <v>50 / 50</v>
      </c>
      <c r="I142" s="127">
        <f t="shared" ref="I142:L142" si="56">SUM(I92:I141)</f>
        <v>264760</v>
      </c>
      <c r="J142" s="127">
        <f t="shared" si="56"/>
        <v>6600</v>
      </c>
      <c r="K142" s="127">
        <f t="shared" si="56"/>
        <v>0</v>
      </c>
      <c r="L142" s="127">
        <f t="shared" si="56"/>
        <v>271360</v>
      </c>
      <c r="M142" s="126"/>
      <c r="N142" s="163"/>
      <c r="O142" s="163"/>
      <c r="P142" s="126"/>
      <c r="Q142" s="185"/>
      <c r="R142" s="126"/>
      <c r="S142" s="163"/>
      <c r="T142" s="127">
        <f>SUM(T92:T141)</f>
        <v>1604631</v>
      </c>
      <c r="U142" s="128">
        <f t="shared" si="33"/>
        <v>0.1691105307</v>
      </c>
      <c r="V142" s="127">
        <f>SUM(V92:V127)</f>
        <v>840</v>
      </c>
      <c r="W142" s="127">
        <f>SUM(W92:W141)</f>
        <v>2559</v>
      </c>
      <c r="X142" s="127"/>
      <c r="Y142" s="128">
        <f>IF(N(V142)=0,"",L142/V142)</f>
        <v>323.047619</v>
      </c>
      <c r="Z142" s="128" t="str">
        <f>IF(N(X142)=0,"",L142/X142)</f>
        <v/>
      </c>
      <c r="AA142" s="127">
        <f t="shared" ref="AA142:AC142" si="57">SUM(AA92:AA141)</f>
        <v>536</v>
      </c>
      <c r="AB142" s="127">
        <f t="shared" si="57"/>
        <v>88</v>
      </c>
      <c r="AC142" s="127">
        <f t="shared" si="57"/>
        <v>94865</v>
      </c>
      <c r="AD142" s="129"/>
      <c r="AE142" s="127">
        <f>SUM(AE92:AE141)</f>
        <v>82</v>
      </c>
      <c r="AF142" s="127"/>
      <c r="AG142" s="127">
        <f>SUM(AG92:AG141)</f>
        <v>87932</v>
      </c>
      <c r="AH142" s="127">
        <f>IF(N(AE142)=0,"—",ROUND(L142/AE142,0))</f>
        <v>3309</v>
      </c>
      <c r="AI142" s="127">
        <f>IF(N(AB142)=0,"—",ROUND(L142/AB142,0))</f>
        <v>3084</v>
      </c>
    </row>
    <row r="143" ht="15.0" customHeight="1">
      <c r="A143" s="117" t="s">
        <v>1438</v>
      </c>
      <c r="B143" s="130"/>
      <c r="C143" s="117"/>
      <c r="D143" s="117"/>
      <c r="E143" s="176"/>
      <c r="F143" s="117"/>
      <c r="G143" s="117"/>
      <c r="H143" s="117"/>
      <c r="I143" s="130"/>
      <c r="J143" s="130"/>
      <c r="K143" s="130"/>
      <c r="L143" s="130"/>
      <c r="M143" s="117"/>
      <c r="N143" s="157"/>
      <c r="O143" s="157"/>
      <c r="P143" s="117"/>
      <c r="Q143" s="177"/>
      <c r="R143" s="117"/>
      <c r="S143" s="157"/>
      <c r="T143" s="130"/>
      <c r="U143" s="131"/>
      <c r="V143" s="130"/>
      <c r="W143" s="130"/>
      <c r="X143" s="130"/>
      <c r="Y143" s="131"/>
      <c r="Z143" s="131"/>
      <c r="AA143" s="130"/>
      <c r="AB143" s="130"/>
      <c r="AC143" s="130"/>
      <c r="AD143" s="132"/>
      <c r="AE143" s="130"/>
      <c r="AF143" s="130"/>
      <c r="AG143" s="130"/>
      <c r="AH143" s="130"/>
      <c r="AI143" s="130"/>
    </row>
    <row r="144" ht="15.75" customHeight="1">
      <c r="A144" s="190" t="s">
        <v>1439</v>
      </c>
      <c r="B144" s="191">
        <v>604146.0</v>
      </c>
      <c r="C144" s="120" t="s">
        <v>786</v>
      </c>
      <c r="D144" s="21" t="s">
        <v>861</v>
      </c>
      <c r="E144" s="165" t="s">
        <v>991</v>
      </c>
      <c r="F144" s="21" t="s">
        <v>1266</v>
      </c>
      <c r="G144" s="192">
        <v>46288.0</v>
      </c>
      <c r="H144" s="21" t="s">
        <v>859</v>
      </c>
      <c r="I144" s="11">
        <v>23774.0</v>
      </c>
      <c r="J144" s="193"/>
      <c r="K144" s="122"/>
      <c r="L144" s="11">
        <f t="shared" ref="L144:L146" si="58">IF(N($I144)+N($J144)+N($K144)=0,"",N($I144)+N($J144)+N($K144))</f>
        <v>23774</v>
      </c>
      <c r="M144" s="194"/>
      <c r="N144" s="195" t="s">
        <v>1440</v>
      </c>
      <c r="O144" s="169" t="s">
        <v>1441</v>
      </c>
      <c r="P144" s="120" t="str">
        <f>IFERROR(VLOOKUP($A144,'Мои блогеры'!$A$2:$N$673,10,0)&amp;"-TRG","")</f>
        <v/>
      </c>
      <c r="Q144" s="20" t="s">
        <v>1025</v>
      </c>
      <c r="R144" s="194"/>
      <c r="S144" s="196" t="s">
        <v>1442</v>
      </c>
      <c r="T144" s="122">
        <v>37101.0</v>
      </c>
      <c r="U144" s="123">
        <f t="shared" ref="U144:U179" si="59">IF(N($T144)=0,"",$L144/$T144)</f>
        <v>0.6407913533</v>
      </c>
      <c r="V144" s="193">
        <v>150.0</v>
      </c>
      <c r="W144" s="122">
        <v>145.0</v>
      </c>
      <c r="X144" s="122"/>
      <c r="Y144" s="123">
        <f t="shared" ref="Y144:Y179" si="60">IF(N($V144)=0,"",$L144/$V144)</f>
        <v>158.4933333</v>
      </c>
      <c r="Z144" s="123" t="str">
        <f t="shared" ref="Z144:Z179" si="61">IFERROR(L144/X144,"")</f>
        <v/>
      </c>
      <c r="AA144" s="193">
        <v>45.0</v>
      </c>
      <c r="AB144" s="193">
        <v>2.0</v>
      </c>
      <c r="AC144" s="193">
        <v>3058.0</v>
      </c>
      <c r="AD144" s="124">
        <v>1.0</v>
      </c>
      <c r="AE144" s="11">
        <f>IF(OR(N($AB144)=0,$AD144=""),"",ROUND($AB144*$AD144,0))</f>
        <v>2</v>
      </c>
      <c r="AF144" s="122">
        <v>1529.0</v>
      </c>
      <c r="AG144" s="11">
        <f t="shared" ref="AG144:AG158" si="62">IF(OR(N($AE144)=0,$AF144=""),"",ROUND($AE144*$AF144,0))</f>
        <v>3058</v>
      </c>
      <c r="AH144" s="11">
        <f t="shared" ref="AH144:AH158" si="63">IF(N($AE144)=0,"",ROUND($L144/$AE144,0))</f>
        <v>11887</v>
      </c>
      <c r="AI144" s="11">
        <f t="shared" ref="AI144:AI158" si="64">IF(N($AB144)=0,"",ROUND($L144/$AB144,0))</f>
        <v>11887</v>
      </c>
    </row>
    <row r="145" ht="15.75" customHeight="1">
      <c r="A145" s="190" t="s">
        <v>1443</v>
      </c>
      <c r="B145" s="191">
        <v>1820.0</v>
      </c>
      <c r="C145" s="120" t="s">
        <v>786</v>
      </c>
      <c r="D145" s="21" t="s">
        <v>861</v>
      </c>
      <c r="E145" s="165" t="s">
        <v>991</v>
      </c>
      <c r="F145" s="21" t="s">
        <v>1266</v>
      </c>
      <c r="G145" s="192">
        <v>46287.0</v>
      </c>
      <c r="H145" s="21" t="s">
        <v>859</v>
      </c>
      <c r="I145" s="11">
        <v>559.0</v>
      </c>
      <c r="J145" s="193"/>
      <c r="K145" s="122"/>
      <c r="L145" s="11">
        <f t="shared" si="58"/>
        <v>559</v>
      </c>
      <c r="M145" s="194"/>
      <c r="N145" s="195" t="s">
        <v>1444</v>
      </c>
      <c r="O145" s="169" t="s">
        <v>1445</v>
      </c>
      <c r="P145" s="120" t="str">
        <f>IFERROR(VLOOKUP($A145,'Мои блогеры'!$A$2:$N$673,10,0)&amp;"-TRG","")</f>
        <v/>
      </c>
      <c r="Q145" s="20" t="s">
        <v>1025</v>
      </c>
      <c r="R145" s="194"/>
      <c r="S145" s="196" t="s">
        <v>1446</v>
      </c>
      <c r="T145" s="122">
        <v>1009.0</v>
      </c>
      <c r="U145" s="123">
        <f t="shared" si="59"/>
        <v>0.5540138751</v>
      </c>
      <c r="V145" s="193">
        <v>6.0</v>
      </c>
      <c r="W145" s="122">
        <v>6.0</v>
      </c>
      <c r="X145" s="122"/>
      <c r="Y145" s="123">
        <f t="shared" si="60"/>
        <v>93.16666667</v>
      </c>
      <c r="Z145" s="123" t="str">
        <f t="shared" si="61"/>
        <v/>
      </c>
      <c r="AA145" s="193">
        <v>4.0</v>
      </c>
      <c r="AB145" s="193">
        <v>0.0</v>
      </c>
      <c r="AC145" s="193">
        <v>0.0</v>
      </c>
      <c r="AD145" s="124">
        <v>0.0</v>
      </c>
      <c r="AE145" s="11">
        <v>0.0</v>
      </c>
      <c r="AF145" s="122">
        <v>0.0</v>
      </c>
      <c r="AG145" s="11" t="str">
        <f t="shared" si="62"/>
        <v/>
      </c>
      <c r="AH145" s="11" t="str">
        <f t="shared" si="63"/>
        <v/>
      </c>
      <c r="AI145" s="11" t="str">
        <f t="shared" si="64"/>
        <v/>
      </c>
    </row>
    <row r="146" ht="15.75" customHeight="1">
      <c r="A146" s="190" t="s">
        <v>1447</v>
      </c>
      <c r="B146" s="191">
        <v>4688.0</v>
      </c>
      <c r="C146" s="120" t="s">
        <v>786</v>
      </c>
      <c r="D146" s="21" t="s">
        <v>861</v>
      </c>
      <c r="E146" s="165" t="s">
        <v>991</v>
      </c>
      <c r="F146" s="21" t="s">
        <v>1266</v>
      </c>
      <c r="G146" s="192">
        <v>46287.0</v>
      </c>
      <c r="H146" s="21" t="s">
        <v>859</v>
      </c>
      <c r="I146" s="11">
        <v>2335.0</v>
      </c>
      <c r="J146" s="193"/>
      <c r="K146" s="122"/>
      <c r="L146" s="11">
        <f t="shared" si="58"/>
        <v>2335</v>
      </c>
      <c r="M146" s="194"/>
      <c r="N146" s="195" t="s">
        <v>1448</v>
      </c>
      <c r="O146" s="169" t="s">
        <v>1449</v>
      </c>
      <c r="P146" s="120" t="str">
        <f>IFERROR(VLOOKUP($A146,'Мои блогеры'!$A$2:$N$673,10,0)&amp;"-TRG","")</f>
        <v/>
      </c>
      <c r="Q146" s="20" t="s">
        <v>1025</v>
      </c>
      <c r="R146" s="194"/>
      <c r="S146" s="196" t="s">
        <v>1450</v>
      </c>
      <c r="T146" s="122">
        <v>1277.0</v>
      </c>
      <c r="U146" s="123">
        <f t="shared" si="59"/>
        <v>1.828504307</v>
      </c>
      <c r="V146" s="193">
        <v>16.0</v>
      </c>
      <c r="W146" s="122">
        <v>14.0</v>
      </c>
      <c r="X146" s="122"/>
      <c r="Y146" s="123">
        <f t="shared" si="60"/>
        <v>145.9375</v>
      </c>
      <c r="Z146" s="123" t="str">
        <f t="shared" si="61"/>
        <v/>
      </c>
      <c r="AA146" s="193">
        <v>6.0</v>
      </c>
      <c r="AB146" s="193">
        <v>0.0</v>
      </c>
      <c r="AC146" s="193">
        <v>0.0</v>
      </c>
      <c r="AD146" s="124">
        <v>0.0</v>
      </c>
      <c r="AE146" s="11">
        <v>0.0</v>
      </c>
      <c r="AF146" s="122">
        <v>0.0</v>
      </c>
      <c r="AG146" s="11" t="str">
        <f t="shared" si="62"/>
        <v/>
      </c>
      <c r="AH146" s="11" t="str">
        <f t="shared" si="63"/>
        <v/>
      </c>
      <c r="AI146" s="11" t="str">
        <f t="shared" si="64"/>
        <v/>
      </c>
    </row>
    <row r="147" ht="15.75" customHeight="1">
      <c r="A147" s="190" t="s">
        <v>1451</v>
      </c>
      <c r="B147" s="191">
        <v>45500.0</v>
      </c>
      <c r="C147" s="120" t="s">
        <v>786</v>
      </c>
      <c r="D147" s="21" t="s">
        <v>861</v>
      </c>
      <c r="E147" s="165" t="s">
        <v>991</v>
      </c>
      <c r="F147" s="21" t="s">
        <v>1266</v>
      </c>
      <c r="G147" s="192">
        <v>46287.0</v>
      </c>
      <c r="H147" s="21" t="s">
        <v>859</v>
      </c>
      <c r="I147" s="11">
        <v>13986.0</v>
      </c>
      <c r="J147" s="193"/>
      <c r="K147" s="122"/>
      <c r="L147" s="11">
        <v>13986.0</v>
      </c>
      <c r="M147" s="194"/>
      <c r="N147" s="195" t="s">
        <v>1452</v>
      </c>
      <c r="O147" s="169" t="s">
        <v>1453</v>
      </c>
      <c r="P147" s="120" t="str">
        <f>IFERROR(VLOOKUP($A147,'Мои блогеры'!$A$2:$N$673,10,0)&amp;"-TRG","")</f>
        <v/>
      </c>
      <c r="Q147" s="20" t="s">
        <v>1025</v>
      </c>
      <c r="R147" s="194"/>
      <c r="S147" s="196" t="s">
        <v>1450</v>
      </c>
      <c r="T147" s="122">
        <v>22100.0</v>
      </c>
      <c r="U147" s="123">
        <f t="shared" si="59"/>
        <v>0.6328506787</v>
      </c>
      <c r="V147" s="193">
        <v>115.0</v>
      </c>
      <c r="W147" s="122">
        <v>120.0</v>
      </c>
      <c r="X147" s="122"/>
      <c r="Y147" s="123">
        <f t="shared" si="60"/>
        <v>121.6173913</v>
      </c>
      <c r="Z147" s="123" t="str">
        <f t="shared" si="61"/>
        <v/>
      </c>
      <c r="AA147" s="193">
        <v>22.0</v>
      </c>
      <c r="AB147" s="193">
        <v>3.0</v>
      </c>
      <c r="AC147" s="193">
        <f>3058+1800</f>
        <v>4858</v>
      </c>
      <c r="AD147" s="124">
        <v>1.0</v>
      </c>
      <c r="AE147" s="11">
        <f t="shared" ref="AE147:AE148" si="65">IF(OR(N($AB147)=0,$AD147=""),"",ROUND($AB147*$AD147,0))</f>
        <v>3</v>
      </c>
      <c r="AF147" s="122">
        <v>1529.0</v>
      </c>
      <c r="AG147" s="11">
        <f t="shared" si="62"/>
        <v>4587</v>
      </c>
      <c r="AH147" s="11">
        <f t="shared" si="63"/>
        <v>4662</v>
      </c>
      <c r="AI147" s="11">
        <f t="shared" si="64"/>
        <v>4662</v>
      </c>
    </row>
    <row r="148" ht="15.75" customHeight="1">
      <c r="A148" s="125" t="s">
        <v>472</v>
      </c>
      <c r="B148" s="191">
        <v>257000.0</v>
      </c>
      <c r="C148" s="120" t="s">
        <v>244</v>
      </c>
      <c r="D148" s="21" t="s">
        <v>861</v>
      </c>
      <c r="E148" s="165" t="s">
        <v>950</v>
      </c>
      <c r="F148" s="21" t="s">
        <v>1454</v>
      </c>
      <c r="G148" s="192">
        <v>46289.0</v>
      </c>
      <c r="H148" s="21" t="s">
        <v>859</v>
      </c>
      <c r="I148" s="11">
        <v>30000.0</v>
      </c>
      <c r="J148" s="122">
        <v>1800.0</v>
      </c>
      <c r="K148" s="122"/>
      <c r="L148" s="11">
        <v>31800.0</v>
      </c>
      <c r="M148" s="21" t="s">
        <v>1455</v>
      </c>
      <c r="N148" s="162" t="s">
        <v>1456</v>
      </c>
      <c r="O148" s="160" t="s">
        <v>1457</v>
      </c>
      <c r="P148" s="120"/>
      <c r="Q148" s="20" t="s">
        <v>1258</v>
      </c>
      <c r="R148" s="21"/>
      <c r="S148" s="162" t="s">
        <v>795</v>
      </c>
      <c r="T148" s="122">
        <v>88000.0</v>
      </c>
      <c r="U148" s="123">
        <f t="shared" si="59"/>
        <v>0.3613636364</v>
      </c>
      <c r="V148" s="122">
        <f>239+51</f>
        <v>290</v>
      </c>
      <c r="W148" s="122">
        <f>229+51</f>
        <v>280</v>
      </c>
      <c r="X148" s="122"/>
      <c r="Y148" s="123">
        <f t="shared" si="60"/>
        <v>109.6551724</v>
      </c>
      <c r="Z148" s="123" t="str">
        <f t="shared" si="61"/>
        <v/>
      </c>
      <c r="AA148" s="122">
        <f>104+22</f>
        <v>126</v>
      </c>
      <c r="AB148" s="122">
        <f>9+4</f>
        <v>13</v>
      </c>
      <c r="AC148" s="122">
        <f>15000+7021</f>
        <v>22021</v>
      </c>
      <c r="AD148" s="124">
        <v>1.0</v>
      </c>
      <c r="AE148" s="11">
        <f t="shared" si="65"/>
        <v>13</v>
      </c>
      <c r="AF148" s="122">
        <v>1667.0</v>
      </c>
      <c r="AG148" s="11">
        <f t="shared" si="62"/>
        <v>21671</v>
      </c>
      <c r="AH148" s="11">
        <f t="shared" si="63"/>
        <v>2446</v>
      </c>
      <c r="AI148" s="11">
        <f t="shared" si="64"/>
        <v>2446</v>
      </c>
    </row>
    <row r="149" ht="15.75" customHeight="1">
      <c r="A149" s="125" t="s">
        <v>351</v>
      </c>
      <c r="B149" s="197">
        <v>7100.0</v>
      </c>
      <c r="C149" s="198" t="s">
        <v>1458</v>
      </c>
      <c r="D149" s="21" t="s">
        <v>861</v>
      </c>
      <c r="E149" s="165" t="s">
        <v>950</v>
      </c>
      <c r="F149" s="21" t="s">
        <v>1266</v>
      </c>
      <c r="G149" s="192">
        <v>46289.0</v>
      </c>
      <c r="H149" s="21" t="s">
        <v>859</v>
      </c>
      <c r="I149" s="197">
        <v>0.0</v>
      </c>
      <c r="J149" s="122">
        <v>0.0</v>
      </c>
      <c r="K149" s="122"/>
      <c r="L149" s="11">
        <v>0.0</v>
      </c>
      <c r="M149" s="21" t="s">
        <v>1459</v>
      </c>
      <c r="N149" s="162" t="s">
        <v>1460</v>
      </c>
      <c r="O149" s="162" t="s">
        <v>1461</v>
      </c>
      <c r="P149" s="120" t="str">
        <f>IFERROR(VLOOKUP($A149,'Мои блогеры'!$A$2:$N$673,10,0)&amp;"-TRG","")</f>
        <v>-TRG</v>
      </c>
      <c r="Q149" s="20" t="s">
        <v>1258</v>
      </c>
      <c r="R149" s="21"/>
      <c r="S149" s="162" t="s">
        <v>1462</v>
      </c>
      <c r="T149" s="122">
        <v>302.0</v>
      </c>
      <c r="U149" s="123">
        <f t="shared" si="59"/>
        <v>0</v>
      </c>
      <c r="V149" s="122">
        <v>2.0</v>
      </c>
      <c r="W149" s="122">
        <v>1.0</v>
      </c>
      <c r="X149" s="122"/>
      <c r="Y149" s="123">
        <f t="shared" si="60"/>
        <v>0</v>
      </c>
      <c r="Z149" s="123" t="str">
        <f t="shared" si="61"/>
        <v/>
      </c>
      <c r="AA149" s="122">
        <v>0.0</v>
      </c>
      <c r="AB149" s="122">
        <v>0.0</v>
      </c>
      <c r="AC149" s="122">
        <v>0.0</v>
      </c>
      <c r="AD149" s="124">
        <v>0.0</v>
      </c>
      <c r="AE149" s="11">
        <v>0.0</v>
      </c>
      <c r="AF149" s="122">
        <v>0.0</v>
      </c>
      <c r="AG149" s="11" t="str">
        <f t="shared" si="62"/>
        <v/>
      </c>
      <c r="AH149" s="11" t="str">
        <f t="shared" si="63"/>
        <v/>
      </c>
      <c r="AI149" s="11" t="str">
        <f t="shared" si="64"/>
        <v/>
      </c>
    </row>
    <row r="150" ht="15.75" customHeight="1">
      <c r="A150" s="125" t="s">
        <v>474</v>
      </c>
      <c r="B150" s="166">
        <v>498.0</v>
      </c>
      <c r="C150" s="120" t="s">
        <v>786</v>
      </c>
      <c r="D150" s="21" t="s">
        <v>861</v>
      </c>
      <c r="E150" s="165" t="s">
        <v>950</v>
      </c>
      <c r="F150" s="21"/>
      <c r="G150" s="192">
        <v>46289.0</v>
      </c>
      <c r="H150" s="21" t="s">
        <v>859</v>
      </c>
      <c r="I150" s="11">
        <v>1.0</v>
      </c>
      <c r="J150" s="122">
        <v>0.0</v>
      </c>
      <c r="K150" s="122"/>
      <c r="L150" s="11">
        <v>1.0</v>
      </c>
      <c r="M150" s="21" t="s">
        <v>1463</v>
      </c>
      <c r="N150" s="162" t="s">
        <v>1464</v>
      </c>
      <c r="O150" s="162" t="s">
        <v>1465</v>
      </c>
      <c r="P150" s="120"/>
      <c r="Q150" s="20" t="s">
        <v>1258</v>
      </c>
      <c r="R150" s="21"/>
      <c r="S150" s="162" t="s">
        <v>1466</v>
      </c>
      <c r="T150" s="122">
        <v>776.0</v>
      </c>
      <c r="U150" s="123">
        <f t="shared" si="59"/>
        <v>0.001288659794</v>
      </c>
      <c r="V150" s="122">
        <f>11+63</f>
        <v>74</v>
      </c>
      <c r="W150" s="122">
        <f>9+59</f>
        <v>68</v>
      </c>
      <c r="X150" s="122"/>
      <c r="Y150" s="123">
        <f t="shared" si="60"/>
        <v>0.01351351351</v>
      </c>
      <c r="Z150" s="123" t="str">
        <f t="shared" si="61"/>
        <v/>
      </c>
      <c r="AA150" s="122">
        <v>23.0</v>
      </c>
      <c r="AB150" s="122">
        <v>15.0</v>
      </c>
      <c r="AC150" s="122">
        <v>27929.0</v>
      </c>
      <c r="AD150" s="124">
        <v>1.0</v>
      </c>
      <c r="AE150" s="11">
        <v>0.0</v>
      </c>
      <c r="AF150" s="122">
        <v>27929.0</v>
      </c>
      <c r="AG150" s="11" t="str">
        <f t="shared" si="62"/>
        <v/>
      </c>
      <c r="AH150" s="11" t="str">
        <f t="shared" si="63"/>
        <v/>
      </c>
      <c r="AI150" s="11">
        <f t="shared" si="64"/>
        <v>0</v>
      </c>
    </row>
    <row r="151" ht="15.75" customHeight="1">
      <c r="A151" s="125" t="s">
        <v>476</v>
      </c>
      <c r="B151" s="166">
        <v>118.0</v>
      </c>
      <c r="C151" s="198" t="s">
        <v>1467</v>
      </c>
      <c r="D151" s="21" t="s">
        <v>861</v>
      </c>
      <c r="E151" s="165" t="s">
        <v>950</v>
      </c>
      <c r="F151" s="21" t="s">
        <v>1266</v>
      </c>
      <c r="G151" s="192">
        <v>46289.0</v>
      </c>
      <c r="H151" s="21" t="s">
        <v>859</v>
      </c>
      <c r="I151" s="11">
        <v>0.0</v>
      </c>
      <c r="J151" s="122">
        <v>0.0</v>
      </c>
      <c r="K151" s="122"/>
      <c r="L151" s="11">
        <v>0.0</v>
      </c>
      <c r="M151" s="21" t="s">
        <v>1468</v>
      </c>
      <c r="N151" s="162" t="s">
        <v>1469</v>
      </c>
      <c r="O151" s="162" t="s">
        <v>1470</v>
      </c>
      <c r="P151" s="120"/>
      <c r="Q151" s="20" t="s">
        <v>1258</v>
      </c>
      <c r="R151" s="21"/>
      <c r="S151" s="162" t="s">
        <v>1471</v>
      </c>
      <c r="T151" s="122">
        <v>17.0</v>
      </c>
      <c r="U151" s="123">
        <f t="shared" si="59"/>
        <v>0</v>
      </c>
      <c r="V151" s="122">
        <v>0.0</v>
      </c>
      <c r="W151" s="122">
        <v>0.0</v>
      </c>
      <c r="X151" s="122">
        <v>0.0</v>
      </c>
      <c r="Y151" s="123" t="str">
        <f t="shared" si="60"/>
        <v/>
      </c>
      <c r="Z151" s="123" t="str">
        <f t="shared" si="61"/>
        <v/>
      </c>
      <c r="AA151" s="122">
        <v>0.0</v>
      </c>
      <c r="AB151" s="122">
        <v>0.0</v>
      </c>
      <c r="AC151" s="122">
        <v>0.0</v>
      </c>
      <c r="AD151" s="124">
        <v>0.0</v>
      </c>
      <c r="AE151" s="11"/>
      <c r="AF151" s="122"/>
      <c r="AG151" s="11" t="str">
        <f t="shared" si="62"/>
        <v/>
      </c>
      <c r="AH151" s="11" t="str">
        <f t="shared" si="63"/>
        <v/>
      </c>
      <c r="AI151" s="11" t="str">
        <f t="shared" si="64"/>
        <v/>
      </c>
    </row>
    <row r="152" ht="15.0" customHeight="1">
      <c r="A152" s="125" t="s">
        <v>351</v>
      </c>
      <c r="B152" s="197">
        <v>11400.0</v>
      </c>
      <c r="C152" s="120" t="str">
        <f>IFERROR(VLOOKUP($A152,'Мои блогеры'!$A:$N,2,0),"")</f>
        <v>YouTube</v>
      </c>
      <c r="D152" s="21" t="s">
        <v>861</v>
      </c>
      <c r="E152" s="165" t="s">
        <v>950</v>
      </c>
      <c r="F152" s="21" t="s">
        <v>1454</v>
      </c>
      <c r="G152" s="192">
        <v>46292.0</v>
      </c>
      <c r="H152" s="21" t="s">
        <v>859</v>
      </c>
      <c r="I152" s="197">
        <v>15700.0</v>
      </c>
      <c r="J152" s="122">
        <v>900.0</v>
      </c>
      <c r="K152" s="122"/>
      <c r="L152" s="11">
        <f t="shared" ref="L152:L154" si="66">IF(N($I152)+N($J152)+N($K152)=0,"",N($I152)+N($J152)+N($K152))</f>
        <v>16600</v>
      </c>
      <c r="M152" s="199" t="s">
        <v>1472</v>
      </c>
      <c r="N152" s="169" t="s">
        <v>1473</v>
      </c>
      <c r="O152" s="169" t="s">
        <v>1474</v>
      </c>
      <c r="P152" s="120" t="str">
        <f>IFERROR(VLOOKUP($A152,'Мои блогеры'!$A$2:$N$673,10,0)&amp;"-TRG","")</f>
        <v>-TRG</v>
      </c>
      <c r="Q152" s="20" t="s">
        <v>1258</v>
      </c>
      <c r="R152" s="21"/>
      <c r="S152" s="169" t="s">
        <v>1475</v>
      </c>
      <c r="T152" s="122">
        <v>7000.0</v>
      </c>
      <c r="U152" s="123">
        <f t="shared" si="59"/>
        <v>2.371428571</v>
      </c>
      <c r="V152" s="122"/>
      <c r="W152" s="122"/>
      <c r="X152" s="122"/>
      <c r="Y152" s="123" t="str">
        <f t="shared" si="60"/>
        <v/>
      </c>
      <c r="Z152" s="123" t="str">
        <f t="shared" si="61"/>
        <v/>
      </c>
      <c r="AA152" s="122"/>
      <c r="AB152" s="122"/>
      <c r="AC152" s="122"/>
      <c r="AD152" s="124"/>
      <c r="AE152" s="11" t="str">
        <f t="shared" ref="AE152:AE154" si="67">IF(OR(N($AB152)=0,$AD152=""),"",ROUND($AB152*$AD152,0))</f>
        <v/>
      </c>
      <c r="AF152" s="122"/>
      <c r="AG152" s="11" t="str">
        <f t="shared" si="62"/>
        <v/>
      </c>
      <c r="AH152" s="11" t="str">
        <f t="shared" si="63"/>
        <v/>
      </c>
      <c r="AI152" s="11" t="str">
        <f t="shared" si="64"/>
        <v/>
      </c>
    </row>
    <row r="153" ht="15.75" customHeight="1">
      <c r="A153" s="125" t="s">
        <v>351</v>
      </c>
      <c r="B153" s="197">
        <v>7100.0</v>
      </c>
      <c r="C153" s="198" t="s">
        <v>793</v>
      </c>
      <c r="D153" s="21" t="s">
        <v>861</v>
      </c>
      <c r="E153" s="165" t="s">
        <v>950</v>
      </c>
      <c r="F153" s="21" t="s">
        <v>1454</v>
      </c>
      <c r="G153" s="192">
        <v>46292.0</v>
      </c>
      <c r="H153" s="21" t="s">
        <v>859</v>
      </c>
      <c r="I153" s="197">
        <v>5000.0</v>
      </c>
      <c r="J153" s="122">
        <v>300.0</v>
      </c>
      <c r="K153" s="122"/>
      <c r="L153" s="11">
        <f t="shared" si="66"/>
        <v>5300</v>
      </c>
      <c r="M153" s="200" t="s">
        <v>1476</v>
      </c>
      <c r="N153" s="169" t="s">
        <v>1477</v>
      </c>
      <c r="O153" s="169" t="s">
        <v>1478</v>
      </c>
      <c r="P153" s="120" t="str">
        <f>IFERROR(VLOOKUP($A153,'Мои блогеры'!$A$2:$N$673,10,0)&amp;"-TRG","")</f>
        <v>-TRG</v>
      </c>
      <c r="Q153" s="20" t="s">
        <v>1258</v>
      </c>
      <c r="R153" s="21"/>
      <c r="S153" s="169" t="s">
        <v>794</v>
      </c>
      <c r="T153" s="122">
        <v>12000.0</v>
      </c>
      <c r="U153" s="123">
        <f t="shared" si="59"/>
        <v>0.4416666667</v>
      </c>
      <c r="V153" s="122">
        <v>67.0</v>
      </c>
      <c r="W153" s="122">
        <v>59.0</v>
      </c>
      <c r="X153" s="122"/>
      <c r="Y153" s="123">
        <f t="shared" si="60"/>
        <v>79.10447761</v>
      </c>
      <c r="Z153" s="123" t="str">
        <f t="shared" si="61"/>
        <v/>
      </c>
      <c r="AA153" s="122">
        <f>21+8</f>
        <v>29</v>
      </c>
      <c r="AB153" s="122">
        <v>20.0</v>
      </c>
      <c r="AC153" s="122">
        <v>38787.0</v>
      </c>
      <c r="AD153" s="124">
        <v>1.0</v>
      </c>
      <c r="AE153" s="11">
        <f t="shared" si="67"/>
        <v>20</v>
      </c>
      <c r="AF153" s="122">
        <v>1939.0</v>
      </c>
      <c r="AG153" s="11">
        <f t="shared" si="62"/>
        <v>38780</v>
      </c>
      <c r="AH153" s="11">
        <f t="shared" si="63"/>
        <v>265</v>
      </c>
      <c r="AI153" s="179">
        <f t="shared" si="64"/>
        <v>265</v>
      </c>
    </row>
    <row r="154" ht="15.75" customHeight="1">
      <c r="A154" s="125" t="s">
        <v>351</v>
      </c>
      <c r="B154" s="197">
        <v>2389.0</v>
      </c>
      <c r="C154" s="198" t="s">
        <v>297</v>
      </c>
      <c r="D154" s="21" t="s">
        <v>861</v>
      </c>
      <c r="E154" s="165" t="s">
        <v>950</v>
      </c>
      <c r="F154" s="21" t="s">
        <v>1454</v>
      </c>
      <c r="G154" s="192">
        <v>46292.0</v>
      </c>
      <c r="H154" s="21" t="s">
        <v>859</v>
      </c>
      <c r="I154" s="197">
        <v>5000.0</v>
      </c>
      <c r="J154" s="122">
        <v>300.0</v>
      </c>
      <c r="K154" s="122"/>
      <c r="L154" s="11">
        <f t="shared" si="66"/>
        <v>5300</v>
      </c>
      <c r="M154" s="200" t="s">
        <v>1479</v>
      </c>
      <c r="N154" s="169" t="s">
        <v>1480</v>
      </c>
      <c r="O154" s="169" t="s">
        <v>1481</v>
      </c>
      <c r="P154" s="120" t="str">
        <f>IFERROR(VLOOKUP($A154,'Мои блогеры'!$A$2:$N$673,10,0)&amp;"-TRG","")</f>
        <v>-TRG</v>
      </c>
      <c r="Q154" s="20" t="s">
        <v>1258</v>
      </c>
      <c r="R154" s="21"/>
      <c r="S154" s="169" t="s">
        <v>798</v>
      </c>
      <c r="T154" s="122">
        <v>765.0</v>
      </c>
      <c r="U154" s="123">
        <f t="shared" si="59"/>
        <v>6.928104575</v>
      </c>
      <c r="V154" s="122">
        <v>60.0</v>
      </c>
      <c r="W154" s="122">
        <f>25+34</f>
        <v>59</v>
      </c>
      <c r="X154" s="122"/>
      <c r="Y154" s="123">
        <f t="shared" si="60"/>
        <v>88.33333333</v>
      </c>
      <c r="Z154" s="123" t="str">
        <f t="shared" si="61"/>
        <v/>
      </c>
      <c r="AA154" s="122">
        <f>4+10</f>
        <v>14</v>
      </c>
      <c r="AB154" s="122">
        <f>4+9</f>
        <v>13</v>
      </c>
      <c r="AC154" s="122">
        <f>7200+17041</f>
        <v>24241</v>
      </c>
      <c r="AD154" s="124">
        <v>1.0</v>
      </c>
      <c r="AE154" s="11">
        <f t="shared" si="67"/>
        <v>13</v>
      </c>
      <c r="AF154" s="122">
        <v>1800.0</v>
      </c>
      <c r="AG154" s="11">
        <f t="shared" si="62"/>
        <v>23400</v>
      </c>
      <c r="AH154" s="11">
        <f t="shared" si="63"/>
        <v>408</v>
      </c>
      <c r="AI154" s="179">
        <f t="shared" si="64"/>
        <v>408</v>
      </c>
    </row>
    <row r="155" ht="15.75" customHeight="1">
      <c r="A155" s="125" t="s">
        <v>476</v>
      </c>
      <c r="B155" s="166">
        <v>118.0</v>
      </c>
      <c r="C155" s="198" t="s">
        <v>1482</v>
      </c>
      <c r="D155" s="21" t="s">
        <v>861</v>
      </c>
      <c r="E155" s="165" t="s">
        <v>950</v>
      </c>
      <c r="F155" s="21" t="s">
        <v>1454</v>
      </c>
      <c r="G155" s="192">
        <v>46292.0</v>
      </c>
      <c r="H155" s="21" t="s">
        <v>859</v>
      </c>
      <c r="I155" s="11">
        <v>0.0</v>
      </c>
      <c r="J155" s="122">
        <v>0.0</v>
      </c>
      <c r="K155" s="122"/>
      <c r="L155" s="11">
        <v>0.0</v>
      </c>
      <c r="M155" s="200" t="s">
        <v>1483</v>
      </c>
      <c r="N155" s="169" t="s">
        <v>1484</v>
      </c>
      <c r="O155" s="169" t="s">
        <v>1485</v>
      </c>
      <c r="P155" s="120"/>
      <c r="Q155" s="20" t="s">
        <v>1258</v>
      </c>
      <c r="R155" s="21"/>
      <c r="S155" s="169" t="s">
        <v>1486</v>
      </c>
      <c r="T155" s="122">
        <v>23.0</v>
      </c>
      <c r="U155" s="123">
        <f t="shared" si="59"/>
        <v>0</v>
      </c>
      <c r="V155" s="122">
        <v>0.0</v>
      </c>
      <c r="W155" s="122">
        <v>0.0</v>
      </c>
      <c r="X155" s="122">
        <v>0.0</v>
      </c>
      <c r="Y155" s="123" t="str">
        <f t="shared" si="60"/>
        <v/>
      </c>
      <c r="Z155" s="123" t="str">
        <f t="shared" si="61"/>
        <v/>
      </c>
      <c r="AA155" s="122">
        <v>0.0</v>
      </c>
      <c r="AB155" s="122">
        <v>0.0</v>
      </c>
      <c r="AC155" s="122">
        <v>0.0</v>
      </c>
      <c r="AD155" s="124">
        <v>0.0</v>
      </c>
      <c r="AE155" s="11">
        <v>0.0</v>
      </c>
      <c r="AF155" s="122">
        <v>0.0</v>
      </c>
      <c r="AG155" s="11" t="str">
        <f t="shared" si="62"/>
        <v/>
      </c>
      <c r="AH155" s="11" t="str">
        <f t="shared" si="63"/>
        <v/>
      </c>
      <c r="AI155" s="11" t="str">
        <f t="shared" si="64"/>
        <v/>
      </c>
    </row>
    <row r="156" ht="15.75" customHeight="1">
      <c r="A156" s="125" t="s">
        <v>318</v>
      </c>
      <c r="B156" s="166">
        <f>IFERROR(VLOOKUP($A156,'Мои блогеры'!$A:$N,5,0),"")</f>
        <v>207000</v>
      </c>
      <c r="C156" s="120" t="str">
        <f>IFERROR(VLOOKUP($A156,'Мои блогеры'!$A:$N,2,0),"")</f>
        <v>YouTube</v>
      </c>
      <c r="D156" s="21" t="s">
        <v>861</v>
      </c>
      <c r="E156" s="165" t="s">
        <v>950</v>
      </c>
      <c r="F156" s="21" t="s">
        <v>1487</v>
      </c>
      <c r="G156" s="121">
        <v>46292.0</v>
      </c>
      <c r="H156" s="21" t="s">
        <v>859</v>
      </c>
      <c r="I156" s="11">
        <v>10700.0</v>
      </c>
      <c r="J156" s="122">
        <v>600.0</v>
      </c>
      <c r="K156" s="122"/>
      <c r="L156" s="11">
        <f t="shared" ref="L156:L179" si="68">IF(N($I156)+N($J156)+N($K156)=0,"",N($I156)+N($J156)+N($K156))</f>
        <v>11300</v>
      </c>
      <c r="M156" s="200" t="s">
        <v>1488</v>
      </c>
      <c r="N156" s="169" t="s">
        <v>1489</v>
      </c>
      <c r="O156" s="169" t="s">
        <v>1490</v>
      </c>
      <c r="P156" s="120" t="str">
        <f>IFERROR(VLOOKUP($A156,'Мои блогеры'!$A$2:$N$673,10,0)&amp;"-TRG","")</f>
        <v>-TRG</v>
      </c>
      <c r="Q156" s="20" t="s">
        <v>1025</v>
      </c>
      <c r="R156" s="21" t="s">
        <v>986</v>
      </c>
      <c r="S156" s="169" t="s">
        <v>1491</v>
      </c>
      <c r="T156" s="122">
        <v>14000.0</v>
      </c>
      <c r="U156" s="123">
        <f t="shared" si="59"/>
        <v>0.8071428571</v>
      </c>
      <c r="V156" s="122">
        <v>3.0</v>
      </c>
      <c r="W156" s="122">
        <v>1.0</v>
      </c>
      <c r="X156" s="122"/>
      <c r="Y156" s="123">
        <f t="shared" si="60"/>
        <v>3766.666667</v>
      </c>
      <c r="Z156" s="123" t="str">
        <f t="shared" si="61"/>
        <v/>
      </c>
      <c r="AA156" s="122">
        <v>1.0</v>
      </c>
      <c r="AB156" s="122">
        <v>0.0</v>
      </c>
      <c r="AC156" s="122">
        <v>0.0</v>
      </c>
      <c r="AD156" s="124">
        <v>0.0</v>
      </c>
      <c r="AE156" s="11">
        <v>0.0</v>
      </c>
      <c r="AF156" s="122">
        <v>0.0</v>
      </c>
      <c r="AG156" s="11" t="str">
        <f t="shared" si="62"/>
        <v/>
      </c>
      <c r="AH156" s="11" t="str">
        <f t="shared" si="63"/>
        <v/>
      </c>
      <c r="AI156" s="11" t="str">
        <f t="shared" si="64"/>
        <v/>
      </c>
    </row>
    <row r="157" ht="15.75" customHeight="1">
      <c r="A157" s="118" t="s">
        <v>318</v>
      </c>
      <c r="B157" s="166">
        <f>IFERROR(VLOOKUP($A157,'Мои блогеры'!$A:$N,5,0),"")</f>
        <v>207000</v>
      </c>
      <c r="C157" s="120" t="s">
        <v>244</v>
      </c>
      <c r="D157" s="21" t="s">
        <v>861</v>
      </c>
      <c r="E157" s="165" t="s">
        <v>950</v>
      </c>
      <c r="F157" s="21" t="s">
        <v>1487</v>
      </c>
      <c r="G157" s="121">
        <v>46292.0</v>
      </c>
      <c r="H157" s="21" t="s">
        <v>859</v>
      </c>
      <c r="I157" s="11">
        <v>5000.0</v>
      </c>
      <c r="J157" s="122">
        <v>300.0</v>
      </c>
      <c r="K157" s="122"/>
      <c r="L157" s="11">
        <f t="shared" si="68"/>
        <v>5300</v>
      </c>
      <c r="M157" s="200" t="s">
        <v>1492</v>
      </c>
      <c r="N157" s="169" t="s">
        <v>1493</v>
      </c>
      <c r="O157" s="169" t="s">
        <v>1494</v>
      </c>
      <c r="P157" s="120" t="str">
        <f>IFERROR(VLOOKUP($A157,'Мои блогеры'!$A$2:$N$673,10,0)&amp;"-TRG","")</f>
        <v>-TRG</v>
      </c>
      <c r="Q157" s="20" t="s">
        <v>1025</v>
      </c>
      <c r="R157" s="21"/>
      <c r="S157" s="169" t="s">
        <v>1495</v>
      </c>
      <c r="T157" s="122">
        <v>10100.0</v>
      </c>
      <c r="U157" s="123">
        <f t="shared" si="59"/>
        <v>0.5247524752</v>
      </c>
      <c r="V157" s="122">
        <f t="shared" ref="V157:W157" si="69">21+15</f>
        <v>36</v>
      </c>
      <c r="W157" s="122">
        <f t="shared" si="69"/>
        <v>36</v>
      </c>
      <c r="X157" s="122"/>
      <c r="Y157" s="123">
        <f t="shared" si="60"/>
        <v>147.2222222</v>
      </c>
      <c r="Z157" s="123" t="str">
        <f t="shared" si="61"/>
        <v/>
      </c>
      <c r="AA157" s="122">
        <f>12+4</f>
        <v>16</v>
      </c>
      <c r="AB157" s="122">
        <v>1.0</v>
      </c>
      <c r="AC157" s="122">
        <v>2729.0</v>
      </c>
      <c r="AD157" s="124">
        <v>1.0</v>
      </c>
      <c r="AE157" s="11">
        <f t="shared" ref="AE157:AE158" si="70">IF(OR(N($AB157)=0,$AD157=""),"",ROUND($AB157*$AD157,0))</f>
        <v>1</v>
      </c>
      <c r="AF157" s="122">
        <v>2729.0</v>
      </c>
      <c r="AG157" s="11">
        <f t="shared" si="62"/>
        <v>2729</v>
      </c>
      <c r="AH157" s="11">
        <f t="shared" si="63"/>
        <v>5300</v>
      </c>
      <c r="AI157" s="11">
        <f t="shared" si="64"/>
        <v>5300</v>
      </c>
    </row>
    <row r="158" ht="15.75" customHeight="1">
      <c r="A158" s="125" t="s">
        <v>325</v>
      </c>
      <c r="B158" s="166">
        <f>IFERROR(VLOOKUP($A158,'Мои блогеры'!$A:$N,5,0),"")</f>
        <v>844000</v>
      </c>
      <c r="C158" s="120" t="str">
        <f>IFERROR(VLOOKUP($A158,'Мои блогеры'!$A:$N,2,0),"")</f>
        <v>Tiktok</v>
      </c>
      <c r="D158" s="21" t="s">
        <v>861</v>
      </c>
      <c r="E158" s="165" t="s">
        <v>950</v>
      </c>
      <c r="F158" s="21" t="s">
        <v>1487</v>
      </c>
      <c r="G158" s="121">
        <v>46292.0</v>
      </c>
      <c r="H158" s="21" t="s">
        <v>859</v>
      </c>
      <c r="I158" s="11">
        <f>IFERROR(VLOOKUP($A158,'Мои блогеры'!$A$2:$N$673,8,0),"")</f>
        <v>5000</v>
      </c>
      <c r="J158" s="122">
        <v>300.0</v>
      </c>
      <c r="K158" s="122"/>
      <c r="L158" s="11">
        <f t="shared" si="68"/>
        <v>5300</v>
      </c>
      <c r="M158" s="200" t="s">
        <v>1496</v>
      </c>
      <c r="N158" s="153" t="s">
        <v>1497</v>
      </c>
      <c r="O158" s="153"/>
      <c r="P158" s="120" t="str">
        <f>IFERROR(VLOOKUP($A158,'Мои блогеры'!$A$2:$N$673,10,0)&amp;"-TRG","")</f>
        <v>-TRG</v>
      </c>
      <c r="Q158" s="20" t="s">
        <v>1025</v>
      </c>
      <c r="R158" s="21"/>
      <c r="S158" s="169" t="s">
        <v>1498</v>
      </c>
      <c r="T158" s="122">
        <v>12000.0</v>
      </c>
      <c r="U158" s="123">
        <f t="shared" si="59"/>
        <v>0.4416666667</v>
      </c>
      <c r="V158" s="122">
        <v>9.0</v>
      </c>
      <c r="W158" s="122">
        <v>9.0</v>
      </c>
      <c r="X158" s="122"/>
      <c r="Y158" s="123">
        <f t="shared" si="60"/>
        <v>588.8888889</v>
      </c>
      <c r="Z158" s="123" t="str">
        <f t="shared" si="61"/>
        <v/>
      </c>
      <c r="AA158" s="122">
        <v>6.0</v>
      </c>
      <c r="AB158" s="122">
        <v>1.0</v>
      </c>
      <c r="AC158" s="122">
        <v>1222.0</v>
      </c>
      <c r="AD158" s="124">
        <v>1.0</v>
      </c>
      <c r="AE158" s="11">
        <f t="shared" si="70"/>
        <v>1</v>
      </c>
      <c r="AF158" s="122">
        <v>1222.0</v>
      </c>
      <c r="AG158" s="11">
        <f t="shared" si="62"/>
        <v>1222</v>
      </c>
      <c r="AH158" s="11">
        <f t="shared" si="63"/>
        <v>5300</v>
      </c>
      <c r="AI158" s="11">
        <f t="shared" si="64"/>
        <v>5300</v>
      </c>
    </row>
    <row r="159" ht="15.75" customHeight="1">
      <c r="A159" s="151" t="s">
        <v>1499</v>
      </c>
      <c r="B159" s="166">
        <v>2843.0</v>
      </c>
      <c r="C159" s="120" t="s">
        <v>783</v>
      </c>
      <c r="D159" s="21" t="s">
        <v>1147</v>
      </c>
      <c r="E159" s="165" t="s">
        <v>991</v>
      </c>
      <c r="F159" s="21" t="s">
        <v>956</v>
      </c>
      <c r="G159" s="121">
        <v>46289.0</v>
      </c>
      <c r="H159" s="21" t="s">
        <v>859</v>
      </c>
      <c r="I159" s="11">
        <v>419.0</v>
      </c>
      <c r="J159" s="122"/>
      <c r="K159" s="122"/>
      <c r="L159" s="11">
        <f t="shared" si="68"/>
        <v>419</v>
      </c>
      <c r="M159" s="21"/>
      <c r="N159" s="169" t="s">
        <v>1500</v>
      </c>
      <c r="O159" s="153"/>
      <c r="P159" s="120"/>
      <c r="Q159" s="21" t="s">
        <v>1148</v>
      </c>
      <c r="R159" s="21"/>
      <c r="S159" s="169" t="s">
        <v>1501</v>
      </c>
      <c r="T159" s="122">
        <v>111.0</v>
      </c>
      <c r="U159" s="123">
        <f t="shared" si="59"/>
        <v>3.774774775</v>
      </c>
      <c r="V159" s="122"/>
      <c r="W159" s="122"/>
      <c r="X159" s="122">
        <v>5.0</v>
      </c>
      <c r="Y159" s="123" t="str">
        <f t="shared" si="60"/>
        <v/>
      </c>
      <c r="Z159" s="123">
        <f t="shared" si="61"/>
        <v>83.8</v>
      </c>
      <c r="AA159" s="122"/>
      <c r="AB159" s="122"/>
      <c r="AC159" s="122"/>
      <c r="AD159" s="124"/>
      <c r="AE159" s="11"/>
      <c r="AF159" s="122"/>
      <c r="AG159" s="11"/>
      <c r="AH159" s="11"/>
      <c r="AI159" s="11"/>
    </row>
    <row r="160" ht="15.75" customHeight="1">
      <c r="A160" s="169" t="s">
        <v>1502</v>
      </c>
      <c r="B160" s="166">
        <v>1606.0</v>
      </c>
      <c r="C160" s="120" t="s">
        <v>783</v>
      </c>
      <c r="D160" s="21" t="s">
        <v>1147</v>
      </c>
      <c r="E160" s="165" t="s">
        <v>991</v>
      </c>
      <c r="F160" s="21" t="s">
        <v>956</v>
      </c>
      <c r="G160" s="121">
        <v>46289.0</v>
      </c>
      <c r="H160" s="21" t="s">
        <v>859</v>
      </c>
      <c r="I160" s="11">
        <v>419.0</v>
      </c>
      <c r="J160" s="122"/>
      <c r="K160" s="122"/>
      <c r="L160" s="11">
        <f t="shared" si="68"/>
        <v>419</v>
      </c>
      <c r="M160" s="21"/>
      <c r="N160" s="169" t="s">
        <v>1503</v>
      </c>
      <c r="O160" s="153"/>
      <c r="P160" s="120"/>
      <c r="Q160" s="21" t="s">
        <v>1148</v>
      </c>
      <c r="R160" s="21"/>
      <c r="S160" s="162" t="s">
        <v>1504</v>
      </c>
      <c r="T160" s="122">
        <v>799.0</v>
      </c>
      <c r="U160" s="123">
        <f t="shared" si="59"/>
        <v>0.5244055069</v>
      </c>
      <c r="V160" s="122"/>
      <c r="W160" s="122"/>
      <c r="X160" s="122">
        <v>3.0</v>
      </c>
      <c r="Y160" s="123" t="str">
        <f t="shared" si="60"/>
        <v/>
      </c>
      <c r="Z160" s="123">
        <f t="shared" si="61"/>
        <v>139.6666667</v>
      </c>
      <c r="AA160" s="122"/>
      <c r="AB160" s="122"/>
      <c r="AC160" s="122"/>
      <c r="AD160" s="124"/>
      <c r="AE160" s="11"/>
      <c r="AF160" s="122"/>
      <c r="AG160" s="11"/>
      <c r="AH160" s="11"/>
      <c r="AI160" s="11"/>
    </row>
    <row r="161" ht="15.75" customHeight="1">
      <c r="A161" s="151" t="s">
        <v>177</v>
      </c>
      <c r="B161" s="166">
        <v>43731.0</v>
      </c>
      <c r="C161" s="120" t="s">
        <v>783</v>
      </c>
      <c r="D161" s="21" t="s">
        <v>1147</v>
      </c>
      <c r="E161" s="165" t="s">
        <v>991</v>
      </c>
      <c r="F161" s="21" t="s">
        <v>956</v>
      </c>
      <c r="G161" s="121">
        <v>46289.0</v>
      </c>
      <c r="H161" s="21" t="s">
        <v>859</v>
      </c>
      <c r="I161" s="11">
        <v>1129.0</v>
      </c>
      <c r="J161" s="122"/>
      <c r="K161" s="122"/>
      <c r="L161" s="11">
        <f t="shared" si="68"/>
        <v>1129</v>
      </c>
      <c r="M161" s="21"/>
      <c r="N161" s="169" t="s">
        <v>1505</v>
      </c>
      <c r="O161" s="153"/>
      <c r="P161" s="120"/>
      <c r="Q161" s="21" t="s">
        <v>1148</v>
      </c>
      <c r="R161" s="21"/>
      <c r="S161" s="169" t="s">
        <v>1506</v>
      </c>
      <c r="T161" s="122">
        <v>1274.0</v>
      </c>
      <c r="U161" s="123">
        <f t="shared" si="59"/>
        <v>0.8861852433</v>
      </c>
      <c r="V161" s="122"/>
      <c r="W161" s="122"/>
      <c r="X161" s="122">
        <v>4.0</v>
      </c>
      <c r="Y161" s="123" t="str">
        <f t="shared" si="60"/>
        <v/>
      </c>
      <c r="Z161" s="123">
        <f t="shared" si="61"/>
        <v>282.25</v>
      </c>
      <c r="AA161" s="122"/>
      <c r="AB161" s="122"/>
      <c r="AC161" s="122"/>
      <c r="AD161" s="124"/>
      <c r="AE161" s="11"/>
      <c r="AF161" s="122"/>
      <c r="AG161" s="11"/>
      <c r="AH161" s="11"/>
      <c r="AI161" s="11"/>
    </row>
    <row r="162" ht="15.75" customHeight="1">
      <c r="A162" s="151" t="s">
        <v>1507</v>
      </c>
      <c r="B162" s="166">
        <v>2886.0</v>
      </c>
      <c r="C162" s="120" t="s">
        <v>783</v>
      </c>
      <c r="D162" s="21" t="s">
        <v>1147</v>
      </c>
      <c r="E162" s="165" t="s">
        <v>991</v>
      </c>
      <c r="F162" s="21" t="s">
        <v>956</v>
      </c>
      <c r="G162" s="121">
        <v>46289.0</v>
      </c>
      <c r="H162" s="21" t="s">
        <v>859</v>
      </c>
      <c r="I162" s="11">
        <v>1818.0</v>
      </c>
      <c r="J162" s="122"/>
      <c r="K162" s="122"/>
      <c r="L162" s="11">
        <f t="shared" si="68"/>
        <v>1818</v>
      </c>
      <c r="M162" s="21"/>
      <c r="N162" s="169" t="s">
        <v>1508</v>
      </c>
      <c r="O162" s="153"/>
      <c r="P162" s="120"/>
      <c r="Q162" s="21" t="s">
        <v>1148</v>
      </c>
      <c r="R162" s="21"/>
      <c r="S162" s="162" t="s">
        <v>1509</v>
      </c>
      <c r="T162" s="122">
        <v>323.0</v>
      </c>
      <c r="U162" s="123">
        <f t="shared" si="59"/>
        <v>5.628482972</v>
      </c>
      <c r="V162" s="122"/>
      <c r="W162" s="122"/>
      <c r="X162" s="122">
        <v>11.0</v>
      </c>
      <c r="Y162" s="123" t="str">
        <f t="shared" si="60"/>
        <v/>
      </c>
      <c r="Z162" s="123">
        <f t="shared" si="61"/>
        <v>165.2727273</v>
      </c>
      <c r="AA162" s="122"/>
      <c r="AB162" s="122"/>
      <c r="AC162" s="122"/>
      <c r="AD162" s="124"/>
      <c r="AE162" s="11"/>
      <c r="AF162" s="122"/>
      <c r="AG162" s="11"/>
      <c r="AH162" s="11"/>
      <c r="AI162" s="11"/>
    </row>
    <row r="163" ht="15.75" customHeight="1">
      <c r="A163" s="151" t="s">
        <v>1510</v>
      </c>
      <c r="B163" s="166">
        <v>37237.0</v>
      </c>
      <c r="C163" s="120" t="s">
        <v>783</v>
      </c>
      <c r="D163" s="21" t="s">
        <v>1147</v>
      </c>
      <c r="E163" s="165" t="s">
        <v>991</v>
      </c>
      <c r="F163" s="21" t="s">
        <v>956</v>
      </c>
      <c r="G163" s="121">
        <v>46289.0</v>
      </c>
      <c r="H163" s="21" t="s">
        <v>859</v>
      </c>
      <c r="I163" s="11">
        <v>5594.0</v>
      </c>
      <c r="J163" s="122"/>
      <c r="K163" s="122"/>
      <c r="L163" s="11">
        <f t="shared" si="68"/>
        <v>5594</v>
      </c>
      <c r="M163" s="21"/>
      <c r="N163" s="169" t="s">
        <v>1511</v>
      </c>
      <c r="O163" s="153"/>
      <c r="P163" s="120"/>
      <c r="Q163" s="20" t="s">
        <v>1148</v>
      </c>
      <c r="R163" s="21"/>
      <c r="S163" s="169" t="s">
        <v>1512</v>
      </c>
      <c r="T163" s="122">
        <v>2695.0</v>
      </c>
      <c r="U163" s="123">
        <f t="shared" si="59"/>
        <v>2.075695733</v>
      </c>
      <c r="V163" s="122"/>
      <c r="W163" s="122"/>
      <c r="X163" s="122">
        <v>18.0</v>
      </c>
      <c r="Y163" s="123" t="str">
        <f t="shared" si="60"/>
        <v/>
      </c>
      <c r="Z163" s="123">
        <f t="shared" si="61"/>
        <v>310.7777778</v>
      </c>
      <c r="AA163" s="122"/>
      <c r="AB163" s="122"/>
      <c r="AC163" s="122"/>
      <c r="AD163" s="124"/>
      <c r="AE163" s="11"/>
      <c r="AF163" s="122"/>
      <c r="AG163" s="11"/>
      <c r="AH163" s="11"/>
      <c r="AI163" s="11"/>
    </row>
    <row r="164" ht="15.75" customHeight="1">
      <c r="A164" s="151" t="s">
        <v>823</v>
      </c>
      <c r="B164" s="166">
        <v>74724.0</v>
      </c>
      <c r="C164" s="120" t="s">
        <v>783</v>
      </c>
      <c r="D164" s="21" t="s">
        <v>1147</v>
      </c>
      <c r="E164" s="165" t="s">
        <v>991</v>
      </c>
      <c r="F164" s="21" t="s">
        <v>956</v>
      </c>
      <c r="G164" s="121">
        <v>46289.0</v>
      </c>
      <c r="H164" s="21" t="s">
        <v>859</v>
      </c>
      <c r="I164" s="11">
        <v>6153.0</v>
      </c>
      <c r="J164" s="122"/>
      <c r="K164" s="122"/>
      <c r="L164" s="11">
        <f t="shared" si="68"/>
        <v>6153</v>
      </c>
      <c r="M164" s="21"/>
      <c r="N164" s="162" t="s">
        <v>1513</v>
      </c>
      <c r="O164" s="153"/>
      <c r="P164" s="120"/>
      <c r="Q164" s="20" t="s">
        <v>1148</v>
      </c>
      <c r="R164" s="21"/>
      <c r="S164" s="169" t="s">
        <v>824</v>
      </c>
      <c r="T164" s="122">
        <v>6010.0</v>
      </c>
      <c r="U164" s="123">
        <f t="shared" si="59"/>
        <v>1.023793677</v>
      </c>
      <c r="V164" s="122"/>
      <c r="W164" s="122"/>
      <c r="X164" s="122">
        <v>122.0</v>
      </c>
      <c r="Y164" s="123" t="str">
        <f t="shared" si="60"/>
        <v/>
      </c>
      <c r="Z164" s="123">
        <f t="shared" si="61"/>
        <v>50.43442623</v>
      </c>
      <c r="AA164" s="122"/>
      <c r="AB164" s="122"/>
      <c r="AC164" s="122"/>
      <c r="AD164" s="124"/>
      <c r="AE164" s="11"/>
      <c r="AF164" s="122"/>
      <c r="AG164" s="11"/>
      <c r="AH164" s="11"/>
      <c r="AI164" s="11"/>
    </row>
    <row r="165" ht="15.75" customHeight="1">
      <c r="A165" s="151" t="s">
        <v>825</v>
      </c>
      <c r="B165" s="166">
        <v>4288.0</v>
      </c>
      <c r="C165" s="120" t="s">
        <v>783</v>
      </c>
      <c r="D165" s="21" t="s">
        <v>1147</v>
      </c>
      <c r="E165" s="165" t="s">
        <v>991</v>
      </c>
      <c r="F165" s="21" t="s">
        <v>956</v>
      </c>
      <c r="G165" s="121">
        <v>46289.0</v>
      </c>
      <c r="H165" s="21" t="s">
        <v>859</v>
      </c>
      <c r="I165" s="11">
        <v>839.0</v>
      </c>
      <c r="J165" s="122"/>
      <c r="K165" s="122"/>
      <c r="L165" s="11">
        <f t="shared" si="68"/>
        <v>839</v>
      </c>
      <c r="M165" s="21"/>
      <c r="N165" s="169" t="s">
        <v>1514</v>
      </c>
      <c r="O165" s="153"/>
      <c r="P165" s="120"/>
      <c r="Q165" s="20" t="s">
        <v>1148</v>
      </c>
      <c r="R165" s="21"/>
      <c r="S165" s="169" t="s">
        <v>826</v>
      </c>
      <c r="T165" s="122">
        <v>454.0</v>
      </c>
      <c r="U165" s="123">
        <f t="shared" si="59"/>
        <v>1.848017621</v>
      </c>
      <c r="V165" s="122"/>
      <c r="W165" s="122"/>
      <c r="X165" s="122">
        <v>19.0</v>
      </c>
      <c r="Y165" s="123" t="str">
        <f t="shared" si="60"/>
        <v/>
      </c>
      <c r="Z165" s="123">
        <f t="shared" si="61"/>
        <v>44.15789474</v>
      </c>
      <c r="AA165" s="122"/>
      <c r="AB165" s="122"/>
      <c r="AC165" s="122"/>
      <c r="AD165" s="124"/>
      <c r="AE165" s="11"/>
      <c r="AF165" s="122"/>
      <c r="AG165" s="11"/>
      <c r="AH165" s="11"/>
      <c r="AI165" s="11"/>
    </row>
    <row r="166" ht="15.75" customHeight="1">
      <c r="A166" s="151" t="s">
        <v>1515</v>
      </c>
      <c r="B166" s="166">
        <v>53232.0</v>
      </c>
      <c r="C166" s="120" t="s">
        <v>783</v>
      </c>
      <c r="D166" s="21" t="s">
        <v>1147</v>
      </c>
      <c r="E166" s="165" t="s">
        <v>991</v>
      </c>
      <c r="F166" s="21" t="s">
        <v>956</v>
      </c>
      <c r="G166" s="121">
        <v>46289.0</v>
      </c>
      <c r="H166" s="21" t="s">
        <v>859</v>
      </c>
      <c r="I166" s="11">
        <v>3356.0</v>
      </c>
      <c r="J166" s="122"/>
      <c r="K166" s="122"/>
      <c r="L166" s="11">
        <f t="shared" si="68"/>
        <v>3356</v>
      </c>
      <c r="M166" s="21"/>
      <c r="N166" s="169" t="s">
        <v>1516</v>
      </c>
      <c r="O166" s="153"/>
      <c r="P166" s="120"/>
      <c r="Q166" s="20" t="s">
        <v>1148</v>
      </c>
      <c r="R166" s="21"/>
      <c r="S166" s="169" t="s">
        <v>1517</v>
      </c>
      <c r="T166" s="122">
        <v>3520.0</v>
      </c>
      <c r="U166" s="123">
        <f t="shared" si="59"/>
        <v>0.9534090909</v>
      </c>
      <c r="V166" s="122"/>
      <c r="W166" s="122"/>
      <c r="X166" s="122">
        <v>3.0</v>
      </c>
      <c r="Y166" s="123" t="str">
        <f t="shared" si="60"/>
        <v/>
      </c>
      <c r="Z166" s="123">
        <f t="shared" si="61"/>
        <v>1118.666667</v>
      </c>
      <c r="AA166" s="122"/>
      <c r="AB166" s="122"/>
      <c r="AC166" s="122"/>
      <c r="AD166" s="124"/>
      <c r="AE166" s="11"/>
      <c r="AF166" s="122"/>
      <c r="AG166" s="11"/>
      <c r="AH166" s="11"/>
      <c r="AI166" s="11"/>
    </row>
    <row r="167" ht="15.75" customHeight="1">
      <c r="A167" s="151" t="s">
        <v>1518</v>
      </c>
      <c r="B167" s="166">
        <v>93658.0</v>
      </c>
      <c r="C167" s="120" t="s">
        <v>783</v>
      </c>
      <c r="D167" s="21" t="s">
        <v>1147</v>
      </c>
      <c r="E167" s="165" t="s">
        <v>991</v>
      </c>
      <c r="F167" s="21" t="s">
        <v>956</v>
      </c>
      <c r="G167" s="121">
        <v>46289.0</v>
      </c>
      <c r="H167" s="21" t="s">
        <v>859</v>
      </c>
      <c r="I167" s="11">
        <v>3615.0</v>
      </c>
      <c r="J167" s="122"/>
      <c r="K167" s="122"/>
      <c r="L167" s="11">
        <f t="shared" si="68"/>
        <v>3615</v>
      </c>
      <c r="M167" s="21"/>
      <c r="N167" s="169" t="s">
        <v>1519</v>
      </c>
      <c r="O167" s="153"/>
      <c r="P167" s="120"/>
      <c r="Q167" s="20" t="s">
        <v>1148</v>
      </c>
      <c r="R167" s="21"/>
      <c r="S167" s="169" t="s">
        <v>1520</v>
      </c>
      <c r="T167" s="122">
        <v>4914.0</v>
      </c>
      <c r="U167" s="123">
        <f t="shared" si="59"/>
        <v>0.7356532357</v>
      </c>
      <c r="V167" s="122"/>
      <c r="W167" s="122"/>
      <c r="X167" s="122">
        <v>23.0</v>
      </c>
      <c r="Y167" s="123" t="str">
        <f t="shared" si="60"/>
        <v/>
      </c>
      <c r="Z167" s="123">
        <f t="shared" si="61"/>
        <v>157.173913</v>
      </c>
      <c r="AA167" s="122"/>
      <c r="AB167" s="122"/>
      <c r="AC167" s="122"/>
      <c r="AD167" s="124"/>
      <c r="AE167" s="11"/>
      <c r="AF167" s="122"/>
      <c r="AG167" s="11"/>
      <c r="AH167" s="11"/>
      <c r="AI167" s="11"/>
    </row>
    <row r="168" ht="15.75" customHeight="1">
      <c r="A168" s="169" t="s">
        <v>1521</v>
      </c>
      <c r="B168" s="166">
        <v>3853.0</v>
      </c>
      <c r="C168" s="120" t="s">
        <v>783</v>
      </c>
      <c r="D168" s="21" t="s">
        <v>1147</v>
      </c>
      <c r="E168" s="165" t="s">
        <v>991</v>
      </c>
      <c r="F168" s="21" t="s">
        <v>956</v>
      </c>
      <c r="G168" s="121">
        <v>46289.0</v>
      </c>
      <c r="H168" s="21" t="s">
        <v>859</v>
      </c>
      <c r="I168" s="11">
        <v>979.0</v>
      </c>
      <c r="J168" s="122"/>
      <c r="K168" s="122"/>
      <c r="L168" s="11">
        <f t="shared" si="68"/>
        <v>979</v>
      </c>
      <c r="M168" s="21"/>
      <c r="N168" s="169" t="s">
        <v>1522</v>
      </c>
      <c r="O168" s="153"/>
      <c r="P168" s="120"/>
      <c r="Q168" s="20" t="s">
        <v>1148</v>
      </c>
      <c r="R168" s="21"/>
      <c r="S168" s="169" t="s">
        <v>1523</v>
      </c>
      <c r="T168" s="122">
        <v>738.0</v>
      </c>
      <c r="U168" s="123">
        <f t="shared" si="59"/>
        <v>1.326558266</v>
      </c>
      <c r="V168" s="122"/>
      <c r="W168" s="122"/>
      <c r="X168" s="122">
        <v>11.0</v>
      </c>
      <c r="Y168" s="123" t="str">
        <f t="shared" si="60"/>
        <v/>
      </c>
      <c r="Z168" s="123">
        <f t="shared" si="61"/>
        <v>89</v>
      </c>
      <c r="AA168" s="122"/>
      <c r="AB168" s="122"/>
      <c r="AC168" s="122"/>
      <c r="AD168" s="124"/>
      <c r="AE168" s="11"/>
      <c r="AF168" s="122"/>
      <c r="AG168" s="11"/>
      <c r="AH168" s="11"/>
      <c r="AI168" s="11"/>
    </row>
    <row r="169" ht="15.75" customHeight="1">
      <c r="A169" s="169" t="s">
        <v>1524</v>
      </c>
      <c r="B169" s="166">
        <v>11305.0</v>
      </c>
      <c r="C169" s="120" t="s">
        <v>783</v>
      </c>
      <c r="D169" s="21" t="s">
        <v>1147</v>
      </c>
      <c r="E169" s="165" t="s">
        <v>991</v>
      </c>
      <c r="F169" s="21" t="s">
        <v>956</v>
      </c>
      <c r="G169" s="121">
        <v>46290.0</v>
      </c>
      <c r="H169" s="21" t="s">
        <v>859</v>
      </c>
      <c r="I169" s="11">
        <v>4055.0</v>
      </c>
      <c r="J169" s="122"/>
      <c r="K169" s="122"/>
      <c r="L169" s="11">
        <f t="shared" si="68"/>
        <v>4055</v>
      </c>
      <c r="M169" s="21"/>
      <c r="N169" s="169" t="s">
        <v>1525</v>
      </c>
      <c r="O169" s="153"/>
      <c r="P169" s="120"/>
      <c r="Q169" s="20" t="s">
        <v>1148</v>
      </c>
      <c r="R169" s="21"/>
      <c r="S169" s="169" t="s">
        <v>1526</v>
      </c>
      <c r="T169" s="122">
        <v>2700.0</v>
      </c>
      <c r="U169" s="123">
        <f t="shared" si="59"/>
        <v>1.501851852</v>
      </c>
      <c r="V169" s="122"/>
      <c r="W169" s="122"/>
      <c r="X169" s="122">
        <v>14.0</v>
      </c>
      <c r="Y169" s="123" t="str">
        <f t="shared" si="60"/>
        <v/>
      </c>
      <c r="Z169" s="123">
        <f t="shared" si="61"/>
        <v>289.6428571</v>
      </c>
      <c r="AA169" s="122"/>
      <c r="AB169" s="122"/>
      <c r="AC169" s="122"/>
      <c r="AD169" s="124"/>
      <c r="AE169" s="11"/>
      <c r="AF169" s="122"/>
      <c r="AG169" s="11"/>
      <c r="AH169" s="11"/>
      <c r="AI169" s="11"/>
    </row>
    <row r="170" ht="15.75" customHeight="1">
      <c r="A170" s="169" t="s">
        <v>1527</v>
      </c>
      <c r="B170" s="166">
        <v>8944.0</v>
      </c>
      <c r="C170" s="120" t="s">
        <v>783</v>
      </c>
      <c r="D170" s="21" t="s">
        <v>1147</v>
      </c>
      <c r="E170" s="165" t="s">
        <v>991</v>
      </c>
      <c r="F170" s="21" t="s">
        <v>956</v>
      </c>
      <c r="G170" s="121">
        <v>46290.0</v>
      </c>
      <c r="H170" s="21" t="s">
        <v>859</v>
      </c>
      <c r="I170" s="11">
        <v>2797.0</v>
      </c>
      <c r="J170" s="122"/>
      <c r="K170" s="122"/>
      <c r="L170" s="11">
        <f t="shared" si="68"/>
        <v>2797</v>
      </c>
      <c r="M170" s="21"/>
      <c r="N170" s="169" t="s">
        <v>1528</v>
      </c>
      <c r="O170" s="153"/>
      <c r="P170" s="120"/>
      <c r="Q170" s="20" t="s">
        <v>1148</v>
      </c>
      <c r="R170" s="21"/>
      <c r="S170" s="169" t="s">
        <v>1529</v>
      </c>
      <c r="T170" s="122">
        <v>2944.0</v>
      </c>
      <c r="U170" s="123">
        <f t="shared" si="59"/>
        <v>0.9500679348</v>
      </c>
      <c r="V170" s="122"/>
      <c r="W170" s="122"/>
      <c r="X170" s="122">
        <v>22.0</v>
      </c>
      <c r="Y170" s="123" t="str">
        <f t="shared" si="60"/>
        <v/>
      </c>
      <c r="Z170" s="123">
        <f t="shared" si="61"/>
        <v>127.1363636</v>
      </c>
      <c r="AA170" s="122"/>
      <c r="AB170" s="122"/>
      <c r="AC170" s="122"/>
      <c r="AD170" s="124"/>
      <c r="AE170" s="11"/>
      <c r="AF170" s="122"/>
      <c r="AG170" s="11"/>
      <c r="AH170" s="11"/>
      <c r="AI170" s="11"/>
    </row>
    <row r="171" ht="15.75" customHeight="1">
      <c r="A171" s="169" t="s">
        <v>1530</v>
      </c>
      <c r="B171" s="166">
        <v>34116.0</v>
      </c>
      <c r="C171" s="120" t="s">
        <v>783</v>
      </c>
      <c r="D171" s="21" t="s">
        <v>1147</v>
      </c>
      <c r="E171" s="165" t="s">
        <v>991</v>
      </c>
      <c r="F171" s="21" t="s">
        <v>956</v>
      </c>
      <c r="G171" s="121">
        <v>46290.0</v>
      </c>
      <c r="H171" s="21" t="s">
        <v>859</v>
      </c>
      <c r="I171" s="11">
        <v>1678.0</v>
      </c>
      <c r="J171" s="122"/>
      <c r="K171" s="122"/>
      <c r="L171" s="11">
        <f t="shared" si="68"/>
        <v>1678</v>
      </c>
      <c r="M171" s="21"/>
      <c r="N171" s="169" t="s">
        <v>1531</v>
      </c>
      <c r="O171" s="153"/>
      <c r="P171" s="120"/>
      <c r="Q171" s="20" t="s">
        <v>1148</v>
      </c>
      <c r="R171" s="21"/>
      <c r="S171" s="169" t="s">
        <v>1532</v>
      </c>
      <c r="T171" s="122">
        <v>3990.0</v>
      </c>
      <c r="U171" s="123">
        <f t="shared" si="59"/>
        <v>0.4205513784</v>
      </c>
      <c r="V171" s="122"/>
      <c r="W171" s="122"/>
      <c r="X171" s="122">
        <v>6.0</v>
      </c>
      <c r="Y171" s="123" t="str">
        <f t="shared" si="60"/>
        <v/>
      </c>
      <c r="Z171" s="123">
        <f t="shared" si="61"/>
        <v>279.6666667</v>
      </c>
      <c r="AA171" s="122"/>
      <c r="AB171" s="122"/>
      <c r="AC171" s="122"/>
      <c r="AD171" s="124"/>
      <c r="AE171" s="11"/>
      <c r="AF171" s="122"/>
      <c r="AG171" s="11"/>
      <c r="AH171" s="11"/>
      <c r="AI171" s="11"/>
    </row>
    <row r="172" ht="15.75" customHeight="1">
      <c r="A172" s="169" t="s">
        <v>827</v>
      </c>
      <c r="B172" s="166">
        <v>60517.0</v>
      </c>
      <c r="C172" s="120" t="s">
        <v>783</v>
      </c>
      <c r="D172" s="21" t="s">
        <v>1147</v>
      </c>
      <c r="E172" s="165" t="s">
        <v>991</v>
      </c>
      <c r="F172" s="21" t="s">
        <v>956</v>
      </c>
      <c r="G172" s="121">
        <v>46290.0</v>
      </c>
      <c r="H172" s="21" t="s">
        <v>859</v>
      </c>
      <c r="I172" s="11">
        <v>1258.0</v>
      </c>
      <c r="J172" s="122"/>
      <c r="K172" s="122"/>
      <c r="L172" s="11">
        <f t="shared" si="68"/>
        <v>1258</v>
      </c>
      <c r="M172" s="21"/>
      <c r="N172" s="169" t="s">
        <v>1533</v>
      </c>
      <c r="O172" s="153"/>
      <c r="P172" s="120"/>
      <c r="Q172" s="20" t="s">
        <v>1148</v>
      </c>
      <c r="R172" s="21"/>
      <c r="S172" s="169" t="s">
        <v>828</v>
      </c>
      <c r="T172" s="122">
        <v>1433.0</v>
      </c>
      <c r="U172" s="123">
        <f t="shared" si="59"/>
        <v>0.8778785764</v>
      </c>
      <c r="V172" s="122"/>
      <c r="W172" s="122"/>
      <c r="X172" s="122">
        <v>36.0</v>
      </c>
      <c r="Y172" s="123" t="str">
        <f t="shared" si="60"/>
        <v/>
      </c>
      <c r="Z172" s="123">
        <f t="shared" si="61"/>
        <v>34.94444444</v>
      </c>
      <c r="AA172" s="122"/>
      <c r="AB172" s="122"/>
      <c r="AC172" s="122"/>
      <c r="AD172" s="124"/>
      <c r="AE172" s="11"/>
      <c r="AF172" s="122"/>
      <c r="AG172" s="11"/>
      <c r="AH172" s="11"/>
      <c r="AI172" s="11"/>
    </row>
    <row r="173" ht="15.75" customHeight="1">
      <c r="A173" s="169" t="s">
        <v>1534</v>
      </c>
      <c r="B173" s="166">
        <v>70539.0</v>
      </c>
      <c r="C173" s="120" t="s">
        <v>783</v>
      </c>
      <c r="D173" s="21" t="s">
        <v>1147</v>
      </c>
      <c r="E173" s="165" t="s">
        <v>991</v>
      </c>
      <c r="F173" s="21" t="s">
        <v>956</v>
      </c>
      <c r="G173" s="121">
        <v>46290.0</v>
      </c>
      <c r="H173" s="21" t="s">
        <v>859</v>
      </c>
      <c r="I173" s="11">
        <v>2377.0</v>
      </c>
      <c r="J173" s="122"/>
      <c r="K173" s="122"/>
      <c r="L173" s="11">
        <f t="shared" si="68"/>
        <v>2377</v>
      </c>
      <c r="M173" s="21"/>
      <c r="N173" s="169" t="s">
        <v>1535</v>
      </c>
      <c r="O173" s="153"/>
      <c r="P173" s="120"/>
      <c r="Q173" s="20" t="s">
        <v>1148</v>
      </c>
      <c r="R173" s="21"/>
      <c r="S173" s="169" t="s">
        <v>1536</v>
      </c>
      <c r="T173" s="122">
        <v>4400.0</v>
      </c>
      <c r="U173" s="123">
        <f t="shared" si="59"/>
        <v>0.5402272727</v>
      </c>
      <c r="V173" s="122"/>
      <c r="W173" s="122"/>
      <c r="X173" s="122">
        <v>11.0</v>
      </c>
      <c r="Y173" s="123" t="str">
        <f t="shared" si="60"/>
        <v/>
      </c>
      <c r="Z173" s="123">
        <f t="shared" si="61"/>
        <v>216.0909091</v>
      </c>
      <c r="AA173" s="122"/>
      <c r="AB173" s="122"/>
      <c r="AC173" s="122"/>
      <c r="AD173" s="124"/>
      <c r="AE173" s="11"/>
      <c r="AF173" s="122"/>
      <c r="AG173" s="11"/>
      <c r="AH173" s="11"/>
      <c r="AI173" s="11"/>
    </row>
    <row r="174" ht="15.75" customHeight="1">
      <c r="A174" s="169" t="s">
        <v>1537</v>
      </c>
      <c r="B174" s="166">
        <v>80011.0</v>
      </c>
      <c r="C174" s="120" t="s">
        <v>783</v>
      </c>
      <c r="D174" s="21" t="s">
        <v>1147</v>
      </c>
      <c r="E174" s="165" t="s">
        <v>991</v>
      </c>
      <c r="F174" s="21" t="s">
        <v>956</v>
      </c>
      <c r="G174" s="121">
        <v>46290.0</v>
      </c>
      <c r="H174" s="21" t="s">
        <v>859</v>
      </c>
      <c r="I174" s="11">
        <v>3913.0</v>
      </c>
      <c r="J174" s="122"/>
      <c r="K174" s="122"/>
      <c r="L174" s="11">
        <f t="shared" si="68"/>
        <v>3913</v>
      </c>
      <c r="M174" s="21"/>
      <c r="N174" s="153" t="s">
        <v>1538</v>
      </c>
      <c r="O174" s="153"/>
      <c r="P174" s="120"/>
      <c r="Q174" s="20" t="s">
        <v>1148</v>
      </c>
      <c r="R174" s="21"/>
      <c r="S174" s="169" t="s">
        <v>1539</v>
      </c>
      <c r="T174" s="122">
        <v>4960.0</v>
      </c>
      <c r="U174" s="123">
        <f t="shared" si="59"/>
        <v>0.7889112903</v>
      </c>
      <c r="V174" s="122"/>
      <c r="W174" s="122"/>
      <c r="X174" s="122">
        <v>36.0</v>
      </c>
      <c r="Y174" s="123" t="str">
        <f t="shared" si="60"/>
        <v/>
      </c>
      <c r="Z174" s="123">
        <f t="shared" si="61"/>
        <v>108.6944444</v>
      </c>
      <c r="AA174" s="122"/>
      <c r="AB174" s="122"/>
      <c r="AC174" s="122"/>
      <c r="AD174" s="124"/>
      <c r="AE174" s="11"/>
      <c r="AF174" s="122"/>
      <c r="AG174" s="11"/>
      <c r="AH174" s="11"/>
      <c r="AI174" s="11"/>
    </row>
    <row r="175" ht="15.75" customHeight="1">
      <c r="A175" s="169" t="s">
        <v>1540</v>
      </c>
      <c r="B175" s="166">
        <v>77413.0</v>
      </c>
      <c r="C175" s="120" t="s">
        <v>783</v>
      </c>
      <c r="D175" s="21" t="s">
        <v>1147</v>
      </c>
      <c r="E175" s="165" t="s">
        <v>991</v>
      </c>
      <c r="F175" s="21" t="s">
        <v>956</v>
      </c>
      <c r="G175" s="121">
        <v>46290.0</v>
      </c>
      <c r="H175" s="21" t="s">
        <v>859</v>
      </c>
      <c r="I175" s="11">
        <v>6993.0</v>
      </c>
      <c r="J175" s="122"/>
      <c r="K175" s="122"/>
      <c r="L175" s="11">
        <f t="shared" si="68"/>
        <v>6993</v>
      </c>
      <c r="M175" s="21"/>
      <c r="N175" s="160" t="s">
        <v>1541</v>
      </c>
      <c r="O175" s="153"/>
      <c r="P175" s="120"/>
      <c r="Q175" s="20" t="s">
        <v>1148</v>
      </c>
      <c r="R175" s="21"/>
      <c r="S175" s="169" t="s">
        <v>1542</v>
      </c>
      <c r="T175" s="122">
        <v>6800.0</v>
      </c>
      <c r="U175" s="123">
        <f t="shared" si="59"/>
        <v>1.028382353</v>
      </c>
      <c r="V175" s="122"/>
      <c r="W175" s="122"/>
      <c r="X175" s="122">
        <v>54.0</v>
      </c>
      <c r="Y175" s="123" t="str">
        <f t="shared" si="60"/>
        <v/>
      </c>
      <c r="Z175" s="123">
        <f t="shared" si="61"/>
        <v>129.5</v>
      </c>
      <c r="AA175" s="122"/>
      <c r="AB175" s="122"/>
      <c r="AC175" s="122"/>
      <c r="AD175" s="124"/>
      <c r="AE175" s="11"/>
      <c r="AF175" s="122"/>
      <c r="AG175" s="11"/>
      <c r="AH175" s="11"/>
      <c r="AI175" s="11"/>
    </row>
    <row r="176" ht="15.75" customHeight="1">
      <c r="A176" s="169" t="s">
        <v>1543</v>
      </c>
      <c r="B176" s="166">
        <v>1508.0</v>
      </c>
      <c r="C176" s="120" t="s">
        <v>783</v>
      </c>
      <c r="D176" s="21" t="s">
        <v>1147</v>
      </c>
      <c r="E176" s="165" t="s">
        <v>991</v>
      </c>
      <c r="F176" s="21" t="s">
        <v>956</v>
      </c>
      <c r="G176" s="121">
        <v>46290.0</v>
      </c>
      <c r="H176" s="21" t="s">
        <v>859</v>
      </c>
      <c r="I176" s="11">
        <v>979.0</v>
      </c>
      <c r="J176" s="122"/>
      <c r="K176" s="122"/>
      <c r="L176" s="11">
        <f t="shared" si="68"/>
        <v>979</v>
      </c>
      <c r="M176" s="21"/>
      <c r="N176" s="169" t="s">
        <v>1544</v>
      </c>
      <c r="O176" s="153"/>
      <c r="P176" s="120"/>
      <c r="Q176" s="20" t="s">
        <v>1148</v>
      </c>
      <c r="R176" s="21"/>
      <c r="S176" s="169" t="s">
        <v>1545</v>
      </c>
      <c r="T176" s="122">
        <v>733.0</v>
      </c>
      <c r="U176" s="123">
        <f t="shared" si="59"/>
        <v>1.335607094</v>
      </c>
      <c r="V176" s="122"/>
      <c r="W176" s="122"/>
      <c r="X176" s="122">
        <v>1.0</v>
      </c>
      <c r="Y176" s="123" t="str">
        <f t="shared" si="60"/>
        <v/>
      </c>
      <c r="Z176" s="123">
        <f t="shared" si="61"/>
        <v>979</v>
      </c>
      <c r="AA176" s="122"/>
      <c r="AB176" s="122"/>
      <c r="AC176" s="122"/>
      <c r="AD176" s="124"/>
      <c r="AE176" s="11"/>
      <c r="AF176" s="122"/>
      <c r="AG176" s="11"/>
      <c r="AH176" s="11"/>
      <c r="AI176" s="11"/>
    </row>
    <row r="177" ht="15.75" customHeight="1">
      <c r="A177" s="169" t="s">
        <v>829</v>
      </c>
      <c r="B177" s="166">
        <v>7007.0</v>
      </c>
      <c r="C177" s="120" t="s">
        <v>783</v>
      </c>
      <c r="D177" s="21" t="s">
        <v>1147</v>
      </c>
      <c r="E177" s="165" t="s">
        <v>991</v>
      </c>
      <c r="F177" s="21" t="s">
        <v>956</v>
      </c>
      <c r="G177" s="121">
        <v>46290.0</v>
      </c>
      <c r="H177" s="21" t="s">
        <v>859</v>
      </c>
      <c r="I177" s="11">
        <v>1118.0</v>
      </c>
      <c r="J177" s="122"/>
      <c r="K177" s="122"/>
      <c r="L177" s="11">
        <f t="shared" si="68"/>
        <v>1118</v>
      </c>
      <c r="M177" s="21"/>
      <c r="N177" s="169" t="s">
        <v>1546</v>
      </c>
      <c r="O177" s="153"/>
      <c r="P177" s="120"/>
      <c r="Q177" s="20" t="s">
        <v>1148</v>
      </c>
      <c r="R177" s="21"/>
      <c r="S177" s="169" t="s">
        <v>830</v>
      </c>
      <c r="T177" s="122">
        <v>500.0</v>
      </c>
      <c r="U177" s="123">
        <f t="shared" si="59"/>
        <v>2.236</v>
      </c>
      <c r="V177" s="122"/>
      <c r="W177" s="122"/>
      <c r="X177" s="122">
        <v>54.0</v>
      </c>
      <c r="Y177" s="123" t="str">
        <f t="shared" si="60"/>
        <v/>
      </c>
      <c r="Z177" s="123">
        <f t="shared" si="61"/>
        <v>20.7037037</v>
      </c>
      <c r="AA177" s="122"/>
      <c r="AB177" s="122"/>
      <c r="AC177" s="122"/>
      <c r="AD177" s="124"/>
      <c r="AE177" s="11"/>
      <c r="AF177" s="122"/>
      <c r="AG177" s="11"/>
      <c r="AH177" s="11"/>
      <c r="AI177" s="11"/>
    </row>
    <row r="178" ht="15.75" customHeight="1">
      <c r="A178" s="169" t="s">
        <v>1547</v>
      </c>
      <c r="B178" s="166">
        <v>101832.0</v>
      </c>
      <c r="C178" s="120" t="s">
        <v>783</v>
      </c>
      <c r="D178" s="21" t="s">
        <v>1147</v>
      </c>
      <c r="E178" s="165" t="s">
        <v>991</v>
      </c>
      <c r="F178" s="21" t="s">
        <v>956</v>
      </c>
      <c r="G178" s="121">
        <v>46290.0</v>
      </c>
      <c r="H178" s="21" t="s">
        <v>859</v>
      </c>
      <c r="I178" s="11">
        <v>3496.0</v>
      </c>
      <c r="J178" s="122"/>
      <c r="K178" s="122"/>
      <c r="L178" s="11">
        <f t="shared" si="68"/>
        <v>3496</v>
      </c>
      <c r="M178" s="21"/>
      <c r="N178" s="169" t="s">
        <v>1548</v>
      </c>
      <c r="O178" s="153"/>
      <c r="P178" s="120"/>
      <c r="Q178" s="20" t="s">
        <v>1148</v>
      </c>
      <c r="R178" s="21"/>
      <c r="S178" s="169" t="s">
        <v>1542</v>
      </c>
      <c r="T178" s="122">
        <v>7490.0</v>
      </c>
      <c r="U178" s="123">
        <f t="shared" si="59"/>
        <v>0.4667556742</v>
      </c>
      <c r="V178" s="122"/>
      <c r="W178" s="122"/>
      <c r="X178" s="122">
        <v>29.0</v>
      </c>
      <c r="Y178" s="123" t="str">
        <f t="shared" si="60"/>
        <v/>
      </c>
      <c r="Z178" s="123">
        <f t="shared" si="61"/>
        <v>120.5517241</v>
      </c>
      <c r="AA178" s="122"/>
      <c r="AB178" s="122"/>
      <c r="AC178" s="122"/>
      <c r="AD178" s="124"/>
      <c r="AE178" s="11"/>
      <c r="AF178" s="122"/>
      <c r="AG178" s="11"/>
      <c r="AH178" s="11"/>
      <c r="AI178" s="11"/>
    </row>
    <row r="179" ht="15.75" customHeight="1">
      <c r="A179" s="169" t="s">
        <v>1549</v>
      </c>
      <c r="B179" s="166">
        <v>10608.0</v>
      </c>
      <c r="C179" s="120" t="s">
        <v>783</v>
      </c>
      <c r="D179" s="21" t="s">
        <v>1147</v>
      </c>
      <c r="E179" s="165" t="s">
        <v>991</v>
      </c>
      <c r="F179" s="21" t="s">
        <v>956</v>
      </c>
      <c r="G179" s="121">
        <v>46293.0</v>
      </c>
      <c r="H179" s="21" t="s">
        <v>859</v>
      </c>
      <c r="I179" s="11">
        <v>1671.0</v>
      </c>
      <c r="J179" s="122"/>
      <c r="K179" s="122"/>
      <c r="L179" s="11">
        <f t="shared" si="68"/>
        <v>1671</v>
      </c>
      <c r="M179" s="21"/>
      <c r="N179" s="169" t="s">
        <v>1550</v>
      </c>
      <c r="O179" s="153"/>
      <c r="P179" s="120"/>
      <c r="Q179" s="20" t="s">
        <v>1148</v>
      </c>
      <c r="R179" s="21"/>
      <c r="S179" s="169" t="s">
        <v>1551</v>
      </c>
      <c r="T179" s="122">
        <v>1883.0</v>
      </c>
      <c r="U179" s="123">
        <f t="shared" si="59"/>
        <v>0.8874137015</v>
      </c>
      <c r="V179" s="122"/>
      <c r="W179" s="122"/>
      <c r="X179" s="122">
        <v>26.0</v>
      </c>
      <c r="Y179" s="123" t="str">
        <f t="shared" si="60"/>
        <v/>
      </c>
      <c r="Z179" s="123">
        <f t="shared" si="61"/>
        <v>64.26923077</v>
      </c>
      <c r="AA179" s="122"/>
      <c r="AB179" s="122"/>
      <c r="AC179" s="122"/>
      <c r="AD179" s="124"/>
      <c r="AE179" s="11"/>
      <c r="AF179" s="122"/>
      <c r="AG179" s="11"/>
      <c r="AH179" s="11"/>
      <c r="AI179" s="11"/>
    </row>
    <row r="180" ht="15.75" customHeight="1">
      <c r="A180" s="126" t="s">
        <v>1552</v>
      </c>
      <c r="B180" s="127"/>
      <c r="C180" s="126"/>
      <c r="D180" s="126"/>
      <c r="E180" s="184"/>
      <c r="F180" s="126"/>
      <c r="G180" s="126"/>
      <c r="H180" s="126" t="str">
        <f>COUNTIF(H144:H179,"Вышло")&amp;" / "&amp;COUNTA(A144:A179)</f>
        <v>36 / 36</v>
      </c>
      <c r="I180" s="127">
        <f>SUM(I144:I179)</f>
        <v>171711</v>
      </c>
      <c r="J180" s="127">
        <f>SUM(J156:J174)</f>
        <v>1200</v>
      </c>
      <c r="K180" s="127">
        <f>SUM(K156:K179)</f>
        <v>0</v>
      </c>
      <c r="L180" s="127">
        <f>SUM(L144:L179)</f>
        <v>176211</v>
      </c>
      <c r="M180" s="126"/>
      <c r="N180" s="163"/>
      <c r="O180" s="163"/>
      <c r="P180" s="126"/>
      <c r="Q180" s="185"/>
      <c r="R180" s="126"/>
      <c r="S180" s="163"/>
      <c r="T180" s="127">
        <f>SUM(T156:T179)</f>
        <v>94771</v>
      </c>
      <c r="U180" s="128">
        <f>IF(N(T180)=0,"",L180/T180)</f>
        <v>1.859334607</v>
      </c>
      <c r="V180" s="127">
        <f t="shared" ref="V180:W180" si="71">SUM(V144:V179)</f>
        <v>828</v>
      </c>
      <c r="W180" s="127">
        <f t="shared" si="71"/>
        <v>798</v>
      </c>
      <c r="X180" s="127">
        <f>SUM(X156:X179)</f>
        <v>508</v>
      </c>
      <c r="Y180" s="128">
        <f>IF(N(V180)=0,"",L180/V180)</f>
        <v>212.8152174</v>
      </c>
      <c r="Z180" s="128">
        <f>IF(N(X180)=0,"",L180/X180)</f>
        <v>346.8720472</v>
      </c>
      <c r="AA180" s="127">
        <f t="shared" ref="AA180:AC180" si="72">SUM(AA144:AA179)</f>
        <v>292</v>
      </c>
      <c r="AB180" s="127">
        <f t="shared" si="72"/>
        <v>68</v>
      </c>
      <c r="AC180" s="127">
        <f t="shared" si="72"/>
        <v>124845</v>
      </c>
      <c r="AD180" s="129"/>
      <c r="AE180" s="127">
        <f>SUM(AE144:AE179)</f>
        <v>53</v>
      </c>
      <c r="AF180" s="127"/>
      <c r="AG180" s="127">
        <f>SUM(AG144:AG179)</f>
        <v>95447</v>
      </c>
      <c r="AH180" s="127">
        <f>IF(N(AE180)=0,"—",ROUND(L180/AE180,0))</f>
        <v>3325</v>
      </c>
      <c r="AI180" s="127">
        <f>IF(N(AB180)=0,"—",ROUND(L180/AB180,0))</f>
        <v>2591</v>
      </c>
    </row>
    <row r="181" ht="15.75" customHeight="1">
      <c r="A181" s="117" t="s">
        <v>1553</v>
      </c>
      <c r="B181" s="130"/>
      <c r="C181" s="117"/>
      <c r="D181" s="117"/>
      <c r="E181" s="176"/>
      <c r="F181" s="117"/>
      <c r="G181" s="117"/>
      <c r="H181" s="117"/>
      <c r="I181" s="130"/>
      <c r="J181" s="130"/>
      <c r="K181" s="130"/>
      <c r="L181" s="130"/>
      <c r="M181" s="117"/>
      <c r="N181" s="157"/>
      <c r="O181" s="157"/>
      <c r="P181" s="117"/>
      <c r="Q181" s="177"/>
      <c r="R181" s="117"/>
      <c r="S181" s="157"/>
      <c r="T181" s="130"/>
      <c r="U181" s="131"/>
      <c r="V181" s="130"/>
      <c r="W181" s="130"/>
      <c r="X181" s="130"/>
      <c r="Y181" s="131"/>
      <c r="Z181" s="131"/>
      <c r="AA181" s="130"/>
      <c r="AB181" s="130"/>
      <c r="AC181" s="130"/>
      <c r="AD181" s="132"/>
      <c r="AE181" s="130"/>
      <c r="AF181" s="130"/>
      <c r="AG181" s="130"/>
      <c r="AH181" s="130"/>
      <c r="AI181" s="130"/>
    </row>
    <row r="182" ht="15.75" customHeight="1">
      <c r="A182" s="125" t="s">
        <v>317</v>
      </c>
      <c r="B182" s="11">
        <f>IFERROR(VLOOKUP($A182,'Мои блогеры'!$A:$N,5,0),"")</f>
        <v>1600000</v>
      </c>
      <c r="C182" s="120" t="str">
        <f>IFERROR(VLOOKUP($A182,'Мои блогеры'!$A:$N,2,0),"")</f>
        <v>Tiktok</v>
      </c>
      <c r="D182" s="21" t="s">
        <v>861</v>
      </c>
      <c r="E182" s="165" t="s">
        <v>950</v>
      </c>
      <c r="F182" s="21" t="s">
        <v>1554</v>
      </c>
      <c r="G182" s="192">
        <v>46295.0</v>
      </c>
      <c r="H182" s="21" t="s">
        <v>859</v>
      </c>
      <c r="I182" s="11">
        <v>35000.0</v>
      </c>
      <c r="J182" s="122">
        <v>2100.0</v>
      </c>
      <c r="K182" s="122"/>
      <c r="L182" s="11">
        <f t="shared" ref="L182:L196" si="73">IF(N($I182)+N($J182)+N($K182)=0,"",N($I182)+N($J182)+N($K182))</f>
        <v>37100</v>
      </c>
      <c r="M182" s="21" t="s">
        <v>1555</v>
      </c>
      <c r="N182" s="169" t="s">
        <v>1556</v>
      </c>
      <c r="O182" s="169" t="s">
        <v>1557</v>
      </c>
      <c r="P182" s="120" t="str">
        <f>IFERROR(VLOOKUP($A182,'Мои блогеры'!$A$2:$N$673,10,0)&amp;"-TRG","")</f>
        <v>-TRG</v>
      </c>
      <c r="Q182" s="20" t="s">
        <v>1025</v>
      </c>
      <c r="R182" s="21"/>
      <c r="S182" s="169" t="s">
        <v>1558</v>
      </c>
      <c r="T182" s="122">
        <v>44100.0</v>
      </c>
      <c r="U182" s="123">
        <f t="shared" ref="U182:U195" si="74">IF(N($T182)=0,"",$L182/$T182)</f>
        <v>0.8412698413</v>
      </c>
      <c r="V182" s="122">
        <v>7.0</v>
      </c>
      <c r="W182" s="122">
        <v>6.0</v>
      </c>
      <c r="X182" s="122"/>
      <c r="Y182" s="123">
        <f t="shared" ref="Y182:Y196" si="75">IF(N($V182)=0,"",$L182/$V182)</f>
        <v>5300</v>
      </c>
      <c r="Z182" s="123" t="str">
        <f>IFERROR(L182/X182,"")</f>
        <v/>
      </c>
      <c r="AA182" s="122">
        <v>1.0</v>
      </c>
      <c r="AB182" s="122">
        <v>0.0</v>
      </c>
      <c r="AC182" s="122">
        <v>0.0</v>
      </c>
      <c r="AD182" s="124">
        <v>0.0</v>
      </c>
      <c r="AE182" s="11">
        <v>0.0</v>
      </c>
      <c r="AF182" s="122">
        <v>0.0</v>
      </c>
      <c r="AG182" s="11" t="str">
        <f t="shared" ref="AG182:AG189" si="76">IF(OR(N($AE182)=0,$AF182=""),"",ROUND($AE182*$AF182,0))</f>
        <v/>
      </c>
      <c r="AH182" s="11" t="str">
        <f t="shared" ref="AH182:AH196" si="77">IF(N($AE182)=0,"",ROUND($L182/$AE182,0))</f>
        <v/>
      </c>
      <c r="AI182" s="11" t="str">
        <f t="shared" ref="AI182:AI196" si="78">IF(N($AB182)=0,"",ROUND($L182/$AB182,0))</f>
        <v/>
      </c>
    </row>
    <row r="183" ht="15.75" customHeight="1">
      <c r="A183" s="190" t="s">
        <v>468</v>
      </c>
      <c r="B183" s="191">
        <v>19540.0</v>
      </c>
      <c r="C183" s="120" t="s">
        <v>783</v>
      </c>
      <c r="D183" s="194" t="s">
        <v>861</v>
      </c>
      <c r="E183" s="201" t="s">
        <v>991</v>
      </c>
      <c r="F183" s="194" t="s">
        <v>1266</v>
      </c>
      <c r="G183" s="192">
        <v>46295.0</v>
      </c>
      <c r="H183" s="21" t="s">
        <v>859</v>
      </c>
      <c r="I183" s="11">
        <v>5244.0</v>
      </c>
      <c r="J183" s="193"/>
      <c r="K183" s="122"/>
      <c r="L183" s="11">
        <f t="shared" si="73"/>
        <v>5244</v>
      </c>
      <c r="M183" s="194"/>
      <c r="N183" s="195" t="s">
        <v>1559</v>
      </c>
      <c r="O183" s="169" t="s">
        <v>1560</v>
      </c>
      <c r="P183" s="120" t="str">
        <f>IFERROR(VLOOKUP($A183,'Мои блогеры'!$A$2:$N$673,10,0)&amp;"-TRG","")</f>
        <v>-TRG</v>
      </c>
      <c r="Q183" s="20" t="s">
        <v>1025</v>
      </c>
      <c r="R183" s="194"/>
      <c r="S183" s="196" t="s">
        <v>1561</v>
      </c>
      <c r="T183" s="122">
        <v>3792.0</v>
      </c>
      <c r="U183" s="123">
        <f t="shared" si="74"/>
        <v>1.382911392</v>
      </c>
      <c r="V183" s="193">
        <v>6.0</v>
      </c>
      <c r="W183" s="122">
        <v>2.0</v>
      </c>
      <c r="X183" s="122"/>
      <c r="Y183" s="123">
        <f t="shared" si="75"/>
        <v>874</v>
      </c>
      <c r="Z183" s="202"/>
      <c r="AA183" s="193">
        <v>0.0</v>
      </c>
      <c r="AB183" s="193">
        <v>0.0</v>
      </c>
      <c r="AC183" s="193">
        <v>0.0</v>
      </c>
      <c r="AD183" s="124">
        <v>0.0</v>
      </c>
      <c r="AE183" s="11" t="str">
        <f t="shared" ref="AE183:AE186" si="79">IF(OR(N($AB183)=0,$AD183=""),"",ROUND($AB183*$AD183,0))</f>
        <v/>
      </c>
      <c r="AF183" s="122"/>
      <c r="AG183" s="11" t="str">
        <f t="shared" si="76"/>
        <v/>
      </c>
      <c r="AH183" s="11" t="str">
        <f t="shared" si="77"/>
        <v/>
      </c>
      <c r="AI183" s="11" t="str">
        <f t="shared" si="78"/>
        <v/>
      </c>
    </row>
    <row r="184" ht="15.75" customHeight="1">
      <c r="A184" s="190" t="s">
        <v>1562</v>
      </c>
      <c r="B184" s="191">
        <v>50351.0</v>
      </c>
      <c r="C184" s="120" t="s">
        <v>783</v>
      </c>
      <c r="D184" s="203" t="s">
        <v>861</v>
      </c>
      <c r="E184" s="204" t="s">
        <v>991</v>
      </c>
      <c r="F184" s="203" t="s">
        <v>1266</v>
      </c>
      <c r="G184" s="205">
        <v>46294.0</v>
      </c>
      <c r="H184" s="21" t="s">
        <v>859</v>
      </c>
      <c r="I184" s="11">
        <v>23776.0</v>
      </c>
      <c r="J184" s="193"/>
      <c r="K184" s="122"/>
      <c r="L184" s="11">
        <f t="shared" si="73"/>
        <v>23776</v>
      </c>
      <c r="M184" s="194"/>
      <c r="N184" s="195" t="s">
        <v>1563</v>
      </c>
      <c r="O184" s="169" t="s">
        <v>1564</v>
      </c>
      <c r="P184" s="120" t="str">
        <f>IFERROR(VLOOKUP($A184,'Мои блогеры'!$A$2:$N$673,10,0)&amp;"-TRG","")</f>
        <v/>
      </c>
      <c r="Q184" s="20" t="s">
        <v>1025</v>
      </c>
      <c r="R184" s="194"/>
      <c r="S184" s="196" t="s">
        <v>1565</v>
      </c>
      <c r="T184" s="122">
        <v>9600.0</v>
      </c>
      <c r="U184" s="123">
        <f t="shared" si="74"/>
        <v>2.476666667</v>
      </c>
      <c r="V184" s="193">
        <v>55.0</v>
      </c>
      <c r="W184" s="122">
        <v>47.0</v>
      </c>
      <c r="X184" s="122"/>
      <c r="Y184" s="123">
        <f t="shared" si="75"/>
        <v>432.2909091</v>
      </c>
      <c r="Z184" s="202"/>
      <c r="AA184" s="193">
        <v>12.0</v>
      </c>
      <c r="AB184" s="193">
        <v>1.0</v>
      </c>
      <c r="AC184" s="193">
        <v>1800.0</v>
      </c>
      <c r="AD184" s="124">
        <v>1.0</v>
      </c>
      <c r="AE184" s="11">
        <f t="shared" si="79"/>
        <v>1</v>
      </c>
      <c r="AF184" s="122">
        <v>1800.0</v>
      </c>
      <c r="AG184" s="11">
        <f t="shared" si="76"/>
        <v>1800</v>
      </c>
      <c r="AH184" s="11">
        <f t="shared" si="77"/>
        <v>23776</v>
      </c>
      <c r="AI184" s="11">
        <f t="shared" si="78"/>
        <v>23776</v>
      </c>
    </row>
    <row r="185" ht="15.75" customHeight="1">
      <c r="A185" s="190" t="s">
        <v>1566</v>
      </c>
      <c r="B185" s="191">
        <v>9464.0</v>
      </c>
      <c r="C185" s="120" t="s">
        <v>783</v>
      </c>
      <c r="D185" s="203" t="s">
        <v>861</v>
      </c>
      <c r="E185" s="204" t="s">
        <v>991</v>
      </c>
      <c r="F185" s="203" t="s">
        <v>1266</v>
      </c>
      <c r="G185" s="205">
        <v>46294.0</v>
      </c>
      <c r="H185" s="21" t="s">
        <v>859</v>
      </c>
      <c r="I185" s="11">
        <v>2797.0</v>
      </c>
      <c r="J185" s="193"/>
      <c r="K185" s="122"/>
      <c r="L185" s="11">
        <f t="shared" si="73"/>
        <v>2797</v>
      </c>
      <c r="M185" s="194"/>
      <c r="N185" s="195" t="s">
        <v>1567</v>
      </c>
      <c r="O185" s="169" t="s">
        <v>1568</v>
      </c>
      <c r="P185" s="120" t="str">
        <f>IFERROR(VLOOKUP($A185,'Мои блогеры'!$A$2:$N$673,10,0)&amp;"-TRG","")</f>
        <v/>
      </c>
      <c r="Q185" s="20" t="s">
        <v>1025</v>
      </c>
      <c r="R185" s="194"/>
      <c r="S185" s="196" t="s">
        <v>1569</v>
      </c>
      <c r="T185" s="122">
        <v>3137.0</v>
      </c>
      <c r="U185" s="123">
        <f t="shared" si="74"/>
        <v>0.8916161938</v>
      </c>
      <c r="V185" s="193">
        <v>13.0</v>
      </c>
      <c r="W185" s="122">
        <v>12.0</v>
      </c>
      <c r="X185" s="122"/>
      <c r="Y185" s="123">
        <f t="shared" si="75"/>
        <v>215.1538462</v>
      </c>
      <c r="Z185" s="202"/>
      <c r="AA185" s="193">
        <v>8.0</v>
      </c>
      <c r="AB185" s="193">
        <v>1.0</v>
      </c>
      <c r="AC185" s="193">
        <v>1800.0</v>
      </c>
      <c r="AD185" s="124">
        <v>1.0</v>
      </c>
      <c r="AE185" s="11">
        <f t="shared" si="79"/>
        <v>1</v>
      </c>
      <c r="AF185" s="122">
        <v>1800.0</v>
      </c>
      <c r="AG185" s="11">
        <f t="shared" si="76"/>
        <v>1800</v>
      </c>
      <c r="AH185" s="11">
        <f t="shared" si="77"/>
        <v>2797</v>
      </c>
      <c r="AI185" s="11">
        <f t="shared" si="78"/>
        <v>2797</v>
      </c>
    </row>
    <row r="186" ht="15.75" customHeight="1">
      <c r="A186" s="206" t="s">
        <v>1570</v>
      </c>
      <c r="B186" s="207">
        <v>6858.0</v>
      </c>
      <c r="C186" s="120" t="s">
        <v>786</v>
      </c>
      <c r="D186" s="203" t="s">
        <v>861</v>
      </c>
      <c r="E186" s="204" t="s">
        <v>991</v>
      </c>
      <c r="F186" s="203" t="s">
        <v>1266</v>
      </c>
      <c r="G186" s="205">
        <v>46294.0</v>
      </c>
      <c r="H186" s="21" t="s">
        <v>859</v>
      </c>
      <c r="I186" s="11">
        <v>1958.0</v>
      </c>
      <c r="J186" s="208"/>
      <c r="K186" s="122"/>
      <c r="L186" s="11">
        <f t="shared" si="73"/>
        <v>1958</v>
      </c>
      <c r="M186" s="203"/>
      <c r="N186" s="209" t="s">
        <v>1571</v>
      </c>
      <c r="O186" s="160" t="s">
        <v>1572</v>
      </c>
      <c r="P186" s="120" t="str">
        <f>IFERROR(VLOOKUP($A186,'Мои блогеры'!$A$2:$N$673,10,0)&amp;"-TRG","")</f>
        <v/>
      </c>
      <c r="Q186" s="20" t="s">
        <v>1025</v>
      </c>
      <c r="R186" s="203"/>
      <c r="S186" s="210" t="s">
        <v>1573</v>
      </c>
      <c r="T186" s="122">
        <v>2790.0</v>
      </c>
      <c r="U186" s="123">
        <f t="shared" si="74"/>
        <v>0.7017921147</v>
      </c>
      <c r="V186" s="208">
        <v>22.0</v>
      </c>
      <c r="W186" s="122">
        <v>17.0</v>
      </c>
      <c r="X186" s="122"/>
      <c r="Y186" s="123">
        <f t="shared" si="75"/>
        <v>89</v>
      </c>
      <c r="Z186" s="211"/>
      <c r="AA186" s="208">
        <v>5.0</v>
      </c>
      <c r="AB186" s="208">
        <v>2.0</v>
      </c>
      <c r="AC186" s="208">
        <v>3600.0</v>
      </c>
      <c r="AD186" s="124">
        <v>1.0</v>
      </c>
      <c r="AE186" s="11">
        <f t="shared" si="79"/>
        <v>2</v>
      </c>
      <c r="AF186" s="122">
        <v>3600.0</v>
      </c>
      <c r="AG186" s="11">
        <f t="shared" si="76"/>
        <v>7200</v>
      </c>
      <c r="AH186" s="11">
        <f t="shared" si="77"/>
        <v>979</v>
      </c>
      <c r="AI186" s="180">
        <f t="shared" si="78"/>
        <v>979</v>
      </c>
    </row>
    <row r="187" ht="15.75" customHeight="1">
      <c r="A187" s="206" t="s">
        <v>1574</v>
      </c>
      <c r="B187" s="207">
        <v>20368.0</v>
      </c>
      <c r="C187" s="120" t="s">
        <v>786</v>
      </c>
      <c r="D187" s="203" t="s">
        <v>861</v>
      </c>
      <c r="E187" s="204" t="s">
        <v>991</v>
      </c>
      <c r="F187" s="203" t="s">
        <v>1266</v>
      </c>
      <c r="G187" s="205">
        <v>46294.0</v>
      </c>
      <c r="H187" s="21" t="s">
        <v>859</v>
      </c>
      <c r="I187" s="11">
        <v>4662.0</v>
      </c>
      <c r="J187" s="208"/>
      <c r="K187" s="122"/>
      <c r="L187" s="11">
        <f t="shared" si="73"/>
        <v>4662</v>
      </c>
      <c r="M187" s="203"/>
      <c r="N187" s="209" t="s">
        <v>1575</v>
      </c>
      <c r="O187" s="169" t="s">
        <v>1576</v>
      </c>
      <c r="P187" s="120" t="str">
        <f>IFERROR(VLOOKUP($A187,'Мои блогеры'!$A$2:$N$673,10,0)&amp;"-TRG","")</f>
        <v/>
      </c>
      <c r="Q187" s="20" t="s">
        <v>1025</v>
      </c>
      <c r="R187" s="203"/>
      <c r="S187" s="210" t="s">
        <v>1577</v>
      </c>
      <c r="T187" s="122">
        <v>3167.0</v>
      </c>
      <c r="U187" s="123">
        <f t="shared" si="74"/>
        <v>1.472055573</v>
      </c>
      <c r="V187" s="208">
        <v>31.0</v>
      </c>
      <c r="W187" s="122">
        <v>28.0</v>
      </c>
      <c r="X187" s="122"/>
      <c r="Y187" s="123">
        <f t="shared" si="75"/>
        <v>150.3870968</v>
      </c>
      <c r="Z187" s="211"/>
      <c r="AA187" s="208">
        <v>4.0</v>
      </c>
      <c r="AB187" s="208">
        <v>0.0</v>
      </c>
      <c r="AC187" s="208">
        <v>0.0</v>
      </c>
      <c r="AD187" s="124">
        <v>0.0</v>
      </c>
      <c r="AE187" s="11">
        <v>0.0</v>
      </c>
      <c r="AF187" s="122">
        <v>0.0</v>
      </c>
      <c r="AG187" s="11" t="str">
        <f t="shared" si="76"/>
        <v/>
      </c>
      <c r="AH187" s="11" t="str">
        <f t="shared" si="77"/>
        <v/>
      </c>
      <c r="AI187" s="11" t="str">
        <f t="shared" si="78"/>
        <v/>
      </c>
    </row>
    <row r="188" ht="15.75" customHeight="1">
      <c r="A188" s="206" t="s">
        <v>1578</v>
      </c>
      <c r="B188" s="207">
        <v>5888.0</v>
      </c>
      <c r="C188" s="120" t="s">
        <v>786</v>
      </c>
      <c r="D188" s="203" t="s">
        <v>861</v>
      </c>
      <c r="E188" s="204" t="s">
        <v>991</v>
      </c>
      <c r="F188" s="203" t="s">
        <v>1266</v>
      </c>
      <c r="G188" s="205">
        <v>46295.0</v>
      </c>
      <c r="H188" s="21" t="s">
        <v>859</v>
      </c>
      <c r="I188" s="11">
        <v>2661.0</v>
      </c>
      <c r="J188" s="208"/>
      <c r="K188" s="122"/>
      <c r="L188" s="11">
        <f t="shared" si="73"/>
        <v>2661</v>
      </c>
      <c r="M188" s="203"/>
      <c r="N188" s="195" t="s">
        <v>1579</v>
      </c>
      <c r="O188" s="169" t="s">
        <v>1580</v>
      </c>
      <c r="P188" s="120" t="str">
        <f>IFERROR(VLOOKUP($A188,'Мои блогеры'!$A$2:$N$673,10,0)&amp;"-TRG","")</f>
        <v/>
      </c>
      <c r="Q188" s="20" t="s">
        <v>1025</v>
      </c>
      <c r="R188" s="203"/>
      <c r="S188" s="212" t="s">
        <v>1581</v>
      </c>
      <c r="T188" s="122">
        <v>1125.0</v>
      </c>
      <c r="U188" s="123">
        <f t="shared" si="74"/>
        <v>2.365333333</v>
      </c>
      <c r="V188" s="208">
        <v>12.0</v>
      </c>
      <c r="W188" s="122">
        <v>8.0</v>
      </c>
      <c r="X188" s="122"/>
      <c r="Y188" s="123">
        <f t="shared" si="75"/>
        <v>221.75</v>
      </c>
      <c r="Z188" s="211"/>
      <c r="AA188" s="208">
        <v>1.0</v>
      </c>
      <c r="AB188" s="208">
        <v>0.0</v>
      </c>
      <c r="AC188" s="208">
        <v>0.0</v>
      </c>
      <c r="AD188" s="124">
        <v>0.0</v>
      </c>
      <c r="AE188" s="11">
        <v>0.0</v>
      </c>
      <c r="AF188" s="122">
        <v>0.0</v>
      </c>
      <c r="AG188" s="11" t="str">
        <f t="shared" si="76"/>
        <v/>
      </c>
      <c r="AH188" s="11" t="str">
        <f t="shared" si="77"/>
        <v/>
      </c>
      <c r="AI188" s="11" t="str">
        <f t="shared" si="78"/>
        <v/>
      </c>
    </row>
    <row r="189" ht="15.75" customHeight="1">
      <c r="A189" s="206" t="s">
        <v>1582</v>
      </c>
      <c r="B189" s="207">
        <v>5106.0</v>
      </c>
      <c r="C189" s="120" t="s">
        <v>786</v>
      </c>
      <c r="D189" s="203" t="s">
        <v>861</v>
      </c>
      <c r="E189" s="204" t="s">
        <v>991</v>
      </c>
      <c r="F189" s="203" t="s">
        <v>1266</v>
      </c>
      <c r="G189" s="205">
        <v>46294.0</v>
      </c>
      <c r="H189" s="21" t="s">
        <v>859</v>
      </c>
      <c r="I189" s="11">
        <v>3076.0</v>
      </c>
      <c r="J189" s="208"/>
      <c r="K189" s="122"/>
      <c r="L189" s="11">
        <f t="shared" si="73"/>
        <v>3076</v>
      </c>
      <c r="M189" s="203"/>
      <c r="N189" s="209" t="s">
        <v>1583</v>
      </c>
      <c r="O189" s="169" t="s">
        <v>1584</v>
      </c>
      <c r="P189" s="120" t="str">
        <f>IFERROR(VLOOKUP($A189,'Мои блогеры'!$A$2:$N$673,10,0)&amp;"-TRG","")</f>
        <v/>
      </c>
      <c r="Q189" s="20" t="s">
        <v>1025</v>
      </c>
      <c r="R189" s="203"/>
      <c r="S189" s="210" t="s">
        <v>1585</v>
      </c>
      <c r="T189" s="122">
        <v>1856.0</v>
      </c>
      <c r="U189" s="123">
        <f t="shared" si="74"/>
        <v>1.657327586</v>
      </c>
      <c r="V189" s="208">
        <v>19.0</v>
      </c>
      <c r="W189" s="122">
        <v>15.0</v>
      </c>
      <c r="X189" s="122"/>
      <c r="Y189" s="123">
        <f t="shared" si="75"/>
        <v>161.8947368</v>
      </c>
      <c r="Z189" s="211"/>
      <c r="AA189" s="208">
        <v>6.0</v>
      </c>
      <c r="AB189" s="208">
        <v>0.0</v>
      </c>
      <c r="AC189" s="208">
        <v>0.0</v>
      </c>
      <c r="AD189" s="124">
        <v>0.0</v>
      </c>
      <c r="AE189" s="11">
        <v>0.0</v>
      </c>
      <c r="AF189" s="122">
        <v>0.0</v>
      </c>
      <c r="AG189" s="11" t="str">
        <f t="shared" si="76"/>
        <v/>
      </c>
      <c r="AH189" s="11" t="str">
        <f t="shared" si="77"/>
        <v/>
      </c>
      <c r="AI189" s="11" t="str">
        <f t="shared" si="78"/>
        <v/>
      </c>
    </row>
    <row r="190" ht="15.75" customHeight="1">
      <c r="A190" s="206" t="s">
        <v>1586</v>
      </c>
      <c r="B190" s="207">
        <v>10124.0</v>
      </c>
      <c r="C190" s="120" t="s">
        <v>786</v>
      </c>
      <c r="D190" s="203" t="s">
        <v>861</v>
      </c>
      <c r="E190" s="204" t="s">
        <v>991</v>
      </c>
      <c r="F190" s="203" t="s">
        <v>1266</v>
      </c>
      <c r="G190" s="205">
        <v>46294.0</v>
      </c>
      <c r="H190" s="21" t="s">
        <v>859</v>
      </c>
      <c r="I190" s="11">
        <v>3076.0</v>
      </c>
      <c r="J190" s="208"/>
      <c r="K190" s="122"/>
      <c r="L190" s="11">
        <f t="shared" si="73"/>
        <v>3076</v>
      </c>
      <c r="M190" s="203"/>
      <c r="N190" s="209" t="s">
        <v>1587</v>
      </c>
      <c r="O190" s="169" t="s">
        <v>1588</v>
      </c>
      <c r="P190" s="120" t="str">
        <f>IFERROR(VLOOKUP($A190,'Мои блогеры'!$A$2:$N$673,10,0)&amp;"-TRG","")</f>
        <v/>
      </c>
      <c r="Q190" s="20" t="s">
        <v>1025</v>
      </c>
      <c r="R190" s="203"/>
      <c r="S190" s="210" t="s">
        <v>1589</v>
      </c>
      <c r="T190" s="122">
        <v>1879.0</v>
      </c>
      <c r="U190" s="123">
        <f t="shared" si="74"/>
        <v>1.637040979</v>
      </c>
      <c r="V190" s="208">
        <v>26.0</v>
      </c>
      <c r="W190" s="122">
        <v>20.0</v>
      </c>
      <c r="X190" s="122"/>
      <c r="Y190" s="123">
        <f t="shared" si="75"/>
        <v>118.3076923</v>
      </c>
      <c r="Z190" s="211"/>
      <c r="AA190" s="208">
        <v>5.0</v>
      </c>
      <c r="AB190" s="208">
        <v>0.0</v>
      </c>
      <c r="AC190" s="208">
        <v>0.0</v>
      </c>
      <c r="AD190" s="124">
        <v>0.0</v>
      </c>
      <c r="AE190" s="11">
        <v>0.0</v>
      </c>
      <c r="AF190" s="122">
        <v>0.0</v>
      </c>
      <c r="AG190" s="11">
        <v>0.0</v>
      </c>
      <c r="AH190" s="11" t="str">
        <f t="shared" si="77"/>
        <v/>
      </c>
      <c r="AI190" s="11" t="str">
        <f t="shared" si="78"/>
        <v/>
      </c>
    </row>
    <row r="191" ht="15.75" customHeight="1">
      <c r="A191" s="206" t="s">
        <v>1590</v>
      </c>
      <c r="B191" s="207">
        <v>4061.0</v>
      </c>
      <c r="C191" s="120" t="s">
        <v>786</v>
      </c>
      <c r="D191" s="203" t="s">
        <v>861</v>
      </c>
      <c r="E191" s="204" t="s">
        <v>991</v>
      </c>
      <c r="F191" s="203" t="s">
        <v>1266</v>
      </c>
      <c r="G191" s="205">
        <v>46294.0</v>
      </c>
      <c r="H191" s="21" t="s">
        <v>859</v>
      </c>
      <c r="I191" s="11">
        <v>1538.0</v>
      </c>
      <c r="J191" s="208"/>
      <c r="K191" s="122"/>
      <c r="L191" s="11">
        <f t="shared" si="73"/>
        <v>1538</v>
      </c>
      <c r="M191" s="203"/>
      <c r="N191" s="209" t="s">
        <v>1591</v>
      </c>
      <c r="O191" s="169" t="s">
        <v>1592</v>
      </c>
      <c r="P191" s="120" t="str">
        <f>IFERROR(VLOOKUP($A191,'Мои блогеры'!$A$2:$N$673,10,0)&amp;"-TRG","")</f>
        <v/>
      </c>
      <c r="Q191" s="20" t="s">
        <v>1025</v>
      </c>
      <c r="R191" s="203"/>
      <c r="S191" s="210" t="s">
        <v>1593</v>
      </c>
      <c r="T191" s="122">
        <v>879.0</v>
      </c>
      <c r="U191" s="123">
        <f t="shared" si="74"/>
        <v>1.749715586</v>
      </c>
      <c r="V191" s="208">
        <v>7.0</v>
      </c>
      <c r="W191" s="122">
        <v>5.0</v>
      </c>
      <c r="X191" s="122"/>
      <c r="Y191" s="123">
        <f t="shared" si="75"/>
        <v>219.7142857</v>
      </c>
      <c r="Z191" s="211"/>
      <c r="AA191" s="208">
        <v>2.0</v>
      </c>
      <c r="AB191" s="208">
        <v>1.0</v>
      </c>
      <c r="AC191" s="208">
        <v>1800.0</v>
      </c>
      <c r="AD191" s="124">
        <v>1.0</v>
      </c>
      <c r="AE191" s="11">
        <f t="shared" ref="AE191:AE192" si="80">IF(OR(N($AB191)=0,$AD191=""),"",ROUND($AB191*$AD191,0))</f>
        <v>1</v>
      </c>
      <c r="AF191" s="122">
        <v>1800.0</v>
      </c>
      <c r="AG191" s="11">
        <f t="shared" ref="AG191:AG196" si="81">IF(OR(N($AE191)=0,$AF191=""),"",ROUND($AE191*$AF191,0))</f>
        <v>1800</v>
      </c>
      <c r="AH191" s="11">
        <f t="shared" si="77"/>
        <v>1538</v>
      </c>
      <c r="AI191" s="11">
        <f t="shared" si="78"/>
        <v>1538</v>
      </c>
    </row>
    <row r="192" ht="15.75" customHeight="1">
      <c r="A192" s="206" t="s">
        <v>1594</v>
      </c>
      <c r="B192" s="207">
        <v>30956.0</v>
      </c>
      <c r="C192" s="120" t="s">
        <v>786</v>
      </c>
      <c r="D192" s="203" t="s">
        <v>861</v>
      </c>
      <c r="E192" s="204" t="s">
        <v>991</v>
      </c>
      <c r="F192" s="203" t="s">
        <v>1266</v>
      </c>
      <c r="G192" s="205">
        <v>46294.0</v>
      </c>
      <c r="H192" s="21" t="s">
        <v>859</v>
      </c>
      <c r="I192" s="11">
        <v>4475.0</v>
      </c>
      <c r="J192" s="208"/>
      <c r="K192" s="122"/>
      <c r="L192" s="11">
        <f t="shared" si="73"/>
        <v>4475</v>
      </c>
      <c r="M192" s="203"/>
      <c r="N192" s="209" t="s">
        <v>1595</v>
      </c>
      <c r="O192" s="169" t="s">
        <v>1596</v>
      </c>
      <c r="P192" s="120" t="str">
        <f>IFERROR(VLOOKUP($A192,'Мои блогеры'!$A$2:$N$673,10,0)&amp;"-TRG","")</f>
        <v/>
      </c>
      <c r="Q192" s="20" t="s">
        <v>1025</v>
      </c>
      <c r="R192" s="203"/>
      <c r="S192" s="210" t="s">
        <v>1597</v>
      </c>
      <c r="T192" s="122">
        <v>5415.0</v>
      </c>
      <c r="U192" s="123">
        <f t="shared" si="74"/>
        <v>0.8264081256</v>
      </c>
      <c r="V192" s="208">
        <v>67.0</v>
      </c>
      <c r="W192" s="122">
        <v>63.0</v>
      </c>
      <c r="X192" s="122"/>
      <c r="Y192" s="123">
        <f t="shared" si="75"/>
        <v>66.79104478</v>
      </c>
      <c r="Z192" s="211"/>
      <c r="AA192" s="208">
        <v>18.0</v>
      </c>
      <c r="AB192" s="208">
        <v>2.0</v>
      </c>
      <c r="AC192" s="208">
        <v>3600.0</v>
      </c>
      <c r="AD192" s="124">
        <v>1.0</v>
      </c>
      <c r="AE192" s="11">
        <f t="shared" si="80"/>
        <v>2</v>
      </c>
      <c r="AF192" s="122">
        <v>3600.0</v>
      </c>
      <c r="AG192" s="11">
        <f t="shared" si="81"/>
        <v>7200</v>
      </c>
      <c r="AH192" s="11">
        <f t="shared" si="77"/>
        <v>2238</v>
      </c>
      <c r="AI192" s="11">
        <f t="shared" si="78"/>
        <v>2238</v>
      </c>
    </row>
    <row r="193" ht="15.75" customHeight="1">
      <c r="A193" s="206" t="s">
        <v>1598</v>
      </c>
      <c r="B193" s="207">
        <v>2552.0</v>
      </c>
      <c r="C193" s="120" t="s">
        <v>786</v>
      </c>
      <c r="D193" s="203" t="s">
        <v>861</v>
      </c>
      <c r="E193" s="204" t="s">
        <v>991</v>
      </c>
      <c r="F193" s="203" t="s">
        <v>1266</v>
      </c>
      <c r="G193" s="205">
        <v>46295.0</v>
      </c>
      <c r="H193" s="21" t="s">
        <v>859</v>
      </c>
      <c r="I193" s="11">
        <v>995.0</v>
      </c>
      <c r="J193" s="208"/>
      <c r="K193" s="122"/>
      <c r="L193" s="11">
        <f t="shared" si="73"/>
        <v>995</v>
      </c>
      <c r="M193" s="203"/>
      <c r="N193" s="209" t="s">
        <v>1599</v>
      </c>
      <c r="O193" s="169" t="s">
        <v>1600</v>
      </c>
      <c r="P193" s="120" t="str">
        <f>IFERROR(VLOOKUP($A193,'Мои блогеры'!$A$2:$N$673,10,0)&amp;"-TRG","")</f>
        <v/>
      </c>
      <c r="Q193" s="20" t="s">
        <v>1025</v>
      </c>
      <c r="R193" s="203"/>
      <c r="S193" s="210" t="s">
        <v>1593</v>
      </c>
      <c r="T193" s="122">
        <v>497.0</v>
      </c>
      <c r="U193" s="123">
        <f t="shared" si="74"/>
        <v>2.002012072</v>
      </c>
      <c r="V193" s="208">
        <v>9.0</v>
      </c>
      <c r="W193" s="122">
        <v>7.0</v>
      </c>
      <c r="X193" s="122"/>
      <c r="Y193" s="123">
        <f t="shared" si="75"/>
        <v>110.5555556</v>
      </c>
      <c r="Z193" s="211"/>
      <c r="AA193" s="208">
        <v>1.0</v>
      </c>
      <c r="AB193" s="208">
        <v>0.0</v>
      </c>
      <c r="AC193" s="208">
        <v>0.0</v>
      </c>
      <c r="AD193" s="124">
        <v>0.0</v>
      </c>
      <c r="AE193" s="11">
        <v>0.0</v>
      </c>
      <c r="AF193" s="122">
        <v>0.0</v>
      </c>
      <c r="AG193" s="11" t="str">
        <f t="shared" si="81"/>
        <v/>
      </c>
      <c r="AH193" s="11" t="str">
        <f t="shared" si="77"/>
        <v/>
      </c>
      <c r="AI193" s="11" t="str">
        <f t="shared" si="78"/>
        <v/>
      </c>
    </row>
    <row r="194" ht="15.75" customHeight="1">
      <c r="A194" s="206" t="s">
        <v>1601</v>
      </c>
      <c r="B194" s="207">
        <v>1103.0</v>
      </c>
      <c r="C194" s="120" t="s">
        <v>786</v>
      </c>
      <c r="D194" s="203" t="s">
        <v>861</v>
      </c>
      <c r="E194" s="204" t="s">
        <v>991</v>
      </c>
      <c r="F194" s="203" t="s">
        <v>1266</v>
      </c>
      <c r="G194" s="205">
        <v>46294.0</v>
      </c>
      <c r="H194" s="21" t="s">
        <v>859</v>
      </c>
      <c r="I194" s="11">
        <v>620.0</v>
      </c>
      <c r="J194" s="208"/>
      <c r="K194" s="122"/>
      <c r="L194" s="11">
        <f t="shared" si="73"/>
        <v>620</v>
      </c>
      <c r="M194" s="203"/>
      <c r="N194" s="209" t="s">
        <v>1602</v>
      </c>
      <c r="O194" s="169" t="s">
        <v>1603</v>
      </c>
      <c r="P194" s="120" t="str">
        <f>IFERROR(VLOOKUP($A194,'Мои блогеры'!$A$2:$N$673,10,0)&amp;"-TRG","")</f>
        <v/>
      </c>
      <c r="Q194" s="20" t="s">
        <v>1025</v>
      </c>
      <c r="R194" s="203"/>
      <c r="S194" s="210" t="s">
        <v>1604</v>
      </c>
      <c r="T194" s="122">
        <v>413.0</v>
      </c>
      <c r="U194" s="123">
        <f t="shared" si="74"/>
        <v>1.501210654</v>
      </c>
      <c r="V194" s="208">
        <v>24.0</v>
      </c>
      <c r="W194" s="122">
        <v>20.0</v>
      </c>
      <c r="X194" s="122"/>
      <c r="Y194" s="123">
        <f t="shared" si="75"/>
        <v>25.83333333</v>
      </c>
      <c r="Z194" s="211"/>
      <c r="AA194" s="208">
        <v>8.0</v>
      </c>
      <c r="AB194" s="208">
        <v>2.0</v>
      </c>
      <c r="AC194" s="208">
        <v>3600.0</v>
      </c>
      <c r="AD194" s="124">
        <v>1.0</v>
      </c>
      <c r="AE194" s="11">
        <f t="shared" ref="AE194:AE196" si="82">IF(OR(N($AB194)=0,$AD194=""),"",ROUND($AB194*$AD194,0))</f>
        <v>2</v>
      </c>
      <c r="AF194" s="122">
        <v>3600.0</v>
      </c>
      <c r="AG194" s="11">
        <f t="shared" si="81"/>
        <v>7200</v>
      </c>
      <c r="AH194" s="11">
        <f t="shared" si="77"/>
        <v>310</v>
      </c>
      <c r="AI194" s="179">
        <f t="shared" si="78"/>
        <v>310</v>
      </c>
    </row>
    <row r="195" ht="15.75" customHeight="1">
      <c r="A195" s="213"/>
      <c r="B195" s="207"/>
      <c r="C195" s="120"/>
      <c r="D195" s="203"/>
      <c r="E195" s="204"/>
      <c r="F195" s="205"/>
      <c r="G195" s="205"/>
      <c r="H195" s="21"/>
      <c r="I195" s="11"/>
      <c r="J195" s="208"/>
      <c r="K195" s="122"/>
      <c r="L195" s="11" t="str">
        <f t="shared" si="73"/>
        <v/>
      </c>
      <c r="M195" s="203"/>
      <c r="N195" s="214"/>
      <c r="O195" s="153"/>
      <c r="P195" s="120"/>
      <c r="Q195" s="215"/>
      <c r="R195" s="203"/>
      <c r="S195" s="216"/>
      <c r="T195" s="122"/>
      <c r="U195" s="123" t="str">
        <f t="shared" si="74"/>
        <v/>
      </c>
      <c r="V195" s="208"/>
      <c r="W195" s="122"/>
      <c r="X195" s="122"/>
      <c r="Y195" s="123" t="str">
        <f t="shared" si="75"/>
        <v/>
      </c>
      <c r="Z195" s="211"/>
      <c r="AA195" s="208"/>
      <c r="AB195" s="208"/>
      <c r="AC195" s="208"/>
      <c r="AD195" s="124"/>
      <c r="AE195" s="11" t="str">
        <f t="shared" si="82"/>
        <v/>
      </c>
      <c r="AF195" s="122"/>
      <c r="AG195" s="11" t="str">
        <f t="shared" si="81"/>
        <v/>
      </c>
      <c r="AH195" s="11" t="str">
        <f t="shared" si="77"/>
        <v/>
      </c>
      <c r="AI195" s="11" t="str">
        <f t="shared" si="78"/>
        <v/>
      </c>
    </row>
    <row r="196" ht="15.75" customHeight="1">
      <c r="A196" s="213"/>
      <c r="B196" s="207"/>
      <c r="C196" s="120"/>
      <c r="D196" s="203"/>
      <c r="E196" s="204"/>
      <c r="F196" s="205"/>
      <c r="G196" s="205"/>
      <c r="H196" s="21"/>
      <c r="I196" s="11"/>
      <c r="J196" s="208"/>
      <c r="K196" s="122"/>
      <c r="L196" s="11" t="str">
        <f t="shared" si="73"/>
        <v/>
      </c>
      <c r="M196" s="203"/>
      <c r="N196" s="214"/>
      <c r="O196" s="153"/>
      <c r="P196" s="120"/>
      <c r="Q196" s="215"/>
      <c r="R196" s="203"/>
      <c r="S196" s="216"/>
      <c r="T196" s="122"/>
      <c r="U196" s="123"/>
      <c r="V196" s="208"/>
      <c r="W196" s="122"/>
      <c r="X196" s="122"/>
      <c r="Y196" s="123" t="str">
        <f t="shared" si="75"/>
        <v/>
      </c>
      <c r="Z196" s="211"/>
      <c r="AA196" s="208"/>
      <c r="AB196" s="208"/>
      <c r="AC196" s="208"/>
      <c r="AD196" s="124"/>
      <c r="AE196" s="11" t="str">
        <f t="shared" si="82"/>
        <v/>
      </c>
      <c r="AF196" s="122"/>
      <c r="AG196" s="11" t="str">
        <f t="shared" si="81"/>
        <v/>
      </c>
      <c r="AH196" s="11" t="str">
        <f t="shared" si="77"/>
        <v/>
      </c>
      <c r="AI196" s="11" t="str">
        <f t="shared" si="78"/>
        <v/>
      </c>
    </row>
    <row r="197" ht="15.75" customHeight="1">
      <c r="A197" s="126" t="s">
        <v>1605</v>
      </c>
      <c r="B197" s="127"/>
      <c r="C197" s="126"/>
      <c r="D197" s="126"/>
      <c r="E197" s="184"/>
      <c r="F197" s="126"/>
      <c r="G197" s="126"/>
      <c r="H197" s="126" t="str">
        <f>COUNTIF(H182:H196,"Вышло")&amp;" / "&amp;COUNTA(A182:A196)</f>
        <v>13 / 13</v>
      </c>
      <c r="I197" s="127">
        <f t="shared" ref="I197:L197" si="83">SUM(I182:I196)</f>
        <v>89878</v>
      </c>
      <c r="J197" s="127">
        <f t="shared" si="83"/>
        <v>2100</v>
      </c>
      <c r="K197" s="127">
        <f t="shared" si="83"/>
        <v>0</v>
      </c>
      <c r="L197" s="127">
        <f t="shared" si="83"/>
        <v>91978</v>
      </c>
      <c r="M197" s="126"/>
      <c r="N197" s="163"/>
      <c r="O197" s="163"/>
      <c r="P197" s="126"/>
      <c r="Q197" s="185"/>
      <c r="R197" s="126"/>
      <c r="S197" s="163"/>
      <c r="T197" s="127">
        <f>SUM(T182:T196)</f>
        <v>78650</v>
      </c>
      <c r="U197" s="128">
        <f t="shared" ref="U197:U198" si="87">IF(N(T197)=0,"",L197/T197)</f>
        <v>1.169459631</v>
      </c>
      <c r="V197" s="127">
        <f t="shared" ref="V197:X197" si="84">SUM(V182:V196)</f>
        <v>298</v>
      </c>
      <c r="W197" s="127">
        <f t="shared" si="84"/>
        <v>250</v>
      </c>
      <c r="X197" s="127">
        <f t="shared" si="84"/>
        <v>0</v>
      </c>
      <c r="Y197" s="128">
        <f t="shared" ref="Y197:Y198" si="89">IF(N(V197)=0,"",L197/V197)</f>
        <v>308.6510067</v>
      </c>
      <c r="Z197" s="128" t="str">
        <f t="shared" ref="Z197:Z198" si="90">IF(N(X197)=0,"",L197/X197)</f>
        <v/>
      </c>
      <c r="AA197" s="127">
        <f t="shared" ref="AA197:AC197" si="85">SUM(AA182:AA196)</f>
        <v>71</v>
      </c>
      <c r="AB197" s="127">
        <f t="shared" si="85"/>
        <v>9</v>
      </c>
      <c r="AC197" s="127">
        <f t="shared" si="85"/>
        <v>16200</v>
      </c>
      <c r="AD197" s="129"/>
      <c r="AE197" s="127">
        <f>SUM(AE182:AE196)</f>
        <v>9</v>
      </c>
      <c r="AF197" s="127"/>
      <c r="AG197" s="127">
        <f>SUM(AG182:AG196)</f>
        <v>27000</v>
      </c>
      <c r="AH197" s="127">
        <f t="shared" ref="AH197:AH198" si="92">IF(N(AE197)=0,"—",ROUND(L197/AE197,0))</f>
        <v>10220</v>
      </c>
      <c r="AI197" s="127">
        <f t="shared" ref="AI197:AI198" si="93">IF(N(AB197)=0,"—",ROUND(L197/AB197,0))</f>
        <v>10220</v>
      </c>
    </row>
    <row r="198" ht="15.75" customHeight="1">
      <c r="A198" s="217" t="s">
        <v>683</v>
      </c>
      <c r="B198" s="218"/>
      <c r="C198" s="217"/>
      <c r="D198" s="217"/>
      <c r="E198" s="219"/>
      <c r="F198" s="217"/>
      <c r="G198" s="217"/>
      <c r="H198" s="217" t="str">
        <f>SUM(COUNTIF(H7:H27,"Вышло"),COUNTIF(H30:H89,"Вышло"),COUNTIF(H92:H141,"Вышло"),COUNTIF(H156:H158,"Вышло"),COUNTIF(H144:H185,"Вышло"))&amp;" / "&amp;SUM(COUNTA(A7:A27),COUNTA(A30:A89),COUNTA(A92:A141),COUNTA(A156:A158),COUNTA(A144:A185))</f>
        <v>174 / 176</v>
      </c>
      <c r="I198" s="218">
        <f t="shared" ref="I198:L198" si="86">SUM(I28,I90,I142,I180,I197)</f>
        <v>845206</v>
      </c>
      <c r="J198" s="218">
        <f t="shared" si="86"/>
        <v>21050</v>
      </c>
      <c r="K198" s="218">
        <f t="shared" si="86"/>
        <v>0</v>
      </c>
      <c r="L198" s="218">
        <f t="shared" si="86"/>
        <v>871656</v>
      </c>
      <c r="M198" s="217"/>
      <c r="N198" s="220"/>
      <c r="O198" s="220"/>
      <c r="P198" s="217"/>
      <c r="Q198" s="221"/>
      <c r="R198" s="217"/>
      <c r="S198" s="220"/>
      <c r="T198" s="218">
        <f>SUM(T28,T90,T142,T180,T197)</f>
        <v>2285291</v>
      </c>
      <c r="U198" s="222">
        <f t="shared" si="87"/>
        <v>0.3814201342</v>
      </c>
      <c r="V198" s="218">
        <f t="shared" ref="V198:X198" si="88">SUM(V28,V90,V142,V180,V197)</f>
        <v>3912</v>
      </c>
      <c r="W198" s="218">
        <f t="shared" si="88"/>
        <v>4598</v>
      </c>
      <c r="X198" s="218">
        <f t="shared" si="88"/>
        <v>1506</v>
      </c>
      <c r="Y198" s="222">
        <f t="shared" si="89"/>
        <v>222.8159509</v>
      </c>
      <c r="Z198" s="222">
        <f t="shared" si="90"/>
        <v>578.7888446</v>
      </c>
      <c r="AA198" s="218">
        <f t="shared" ref="AA198:AG198" si="91">SUM(AA28,AA90,AA142,AA180,AA197)</f>
        <v>1240</v>
      </c>
      <c r="AB198" s="218">
        <f t="shared" si="91"/>
        <v>229</v>
      </c>
      <c r="AC198" s="218">
        <f t="shared" si="91"/>
        <v>316364</v>
      </c>
      <c r="AD198" s="223">
        <f t="shared" si="91"/>
        <v>0</v>
      </c>
      <c r="AE198" s="218">
        <f t="shared" si="91"/>
        <v>204</v>
      </c>
      <c r="AF198" s="218">
        <f t="shared" si="91"/>
        <v>0</v>
      </c>
      <c r="AG198" s="218">
        <f t="shared" si="91"/>
        <v>277970</v>
      </c>
      <c r="AH198" s="218">
        <f t="shared" si="92"/>
        <v>4273</v>
      </c>
      <c r="AI198" s="218">
        <f t="shared" si="93"/>
        <v>3806</v>
      </c>
    </row>
    <row r="199" ht="15.75" hidden="1" customHeight="1">
      <c r="A199" s="224" t="s">
        <v>1606</v>
      </c>
      <c r="B199" s="81"/>
      <c r="C199" s="81"/>
      <c r="D199" s="81"/>
      <c r="E199" s="81"/>
      <c r="F199" s="81"/>
      <c r="G199" s="81"/>
      <c r="H199" s="81"/>
      <c r="I199" s="81"/>
      <c r="J199" s="81"/>
      <c r="K199" s="3"/>
      <c r="L199" s="3"/>
      <c r="M199" s="3"/>
      <c r="N199" s="3"/>
      <c r="O199" s="3"/>
      <c r="P199" s="3"/>
      <c r="Q199" s="19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</row>
    <row r="200" ht="36.0" hidden="1" customHeight="1">
      <c r="A200" s="225" t="s">
        <v>1607</v>
      </c>
      <c r="K200" s="3"/>
      <c r="L200" s="3"/>
      <c r="M200" s="3"/>
      <c r="N200" s="3"/>
      <c r="O200" s="3"/>
      <c r="P200" s="3"/>
      <c r="Q200" s="19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</row>
    <row r="201" ht="31.5" hidden="1" customHeight="1">
      <c r="A201" s="145"/>
      <c r="B201" s="145"/>
      <c r="C201" s="145"/>
      <c r="D201" s="145"/>
      <c r="E201" s="145"/>
      <c r="F201" s="145"/>
      <c r="G201" s="145"/>
      <c r="H201" s="145"/>
      <c r="I201" s="145"/>
      <c r="J201" s="145"/>
      <c r="K201" s="3"/>
      <c r="L201" s="3"/>
      <c r="M201" s="3"/>
      <c r="N201" s="3"/>
      <c r="O201" s="3"/>
      <c r="P201" s="3"/>
      <c r="Q201" s="19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</row>
    <row r="202" ht="33.75" hidden="1" customHeight="1">
      <c r="A202" s="138" t="s">
        <v>1</v>
      </c>
      <c r="B202" s="138" t="s">
        <v>1608</v>
      </c>
      <c r="C202" s="138" t="s">
        <v>872</v>
      </c>
      <c r="D202" s="138" t="s">
        <v>873</v>
      </c>
      <c r="E202" s="138" t="s">
        <v>1609</v>
      </c>
      <c r="F202" s="138" t="s">
        <v>859</v>
      </c>
      <c r="G202" s="138" t="s">
        <v>1610</v>
      </c>
      <c r="H202" s="138" t="s">
        <v>1611</v>
      </c>
      <c r="I202" s="138" t="s">
        <v>1612</v>
      </c>
      <c r="J202" s="145"/>
      <c r="K202" s="3"/>
      <c r="L202" s="3"/>
      <c r="M202" s="3"/>
      <c r="N202" s="3"/>
      <c r="O202" s="3"/>
      <c r="P202" s="3"/>
      <c r="Q202" s="19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</row>
    <row r="203" ht="21.75" hidden="1" customHeight="1">
      <c r="A203" s="139" t="s">
        <v>29</v>
      </c>
      <c r="B203" s="140">
        <f>'Медиаплан'!B56+'Медиаплан'!B65+'Медиаплан'!B74+'Медиаплан'!B75</f>
        <v>396000</v>
      </c>
      <c r="C203" s="140">
        <f>SUMIFS($I$6:$I$197,$C$6:$C$197,"Telegram")+SUMIFS($I$6:$I$197,$C$6:$C$197,"Telegram ")+SUMIFS($I$6:$I$197,$C$6:$C$197,"Телеграм")+SUMIFS($I$6:$I$197,$C$6:$C$197,"ТГ")</f>
        <v>199966</v>
      </c>
      <c r="D203" s="140">
        <f>SUMIFS($L$6:$L$197,$H$6:$H$197,"Вышло",$C$6:$C$197,"Telegram")+SUMIFS($L$6:$L$197,$H$6:$H$197,"Вышло",$C$6:$C$197,"Telegram ")+SUMIFS($L$6:$L$197,$H$6:$H$197,"Вышло",$C$6:$C$197,"Телеграм")+SUMIFS($L$6:$L$197,$H$6:$H$197,"Вышло",$C$6:$C$197,"ТГ")</f>
        <v>199966</v>
      </c>
      <c r="E203" s="226">
        <f>IF(('Медиаплан'!B56+'Медиаплан'!B65+'Медиаплан'!B74+'Медиаплан'!B75)=0,"—",(SUMIFS($L$6:$L$197,$H$6:$H$197,"Вышло",$C$6:$C$197,"Telegram")+SUMIFS($L$6:$L$197,$H$6:$H$197,"Вышло",$C$6:$C$197,"Telegram ")+SUMIFS($L$6:$L$197,$H$6:$H$197,"Вышло",$C$6:$C$197,"Телеграм")+SUMIFS($L$6:$L$197,$H$6:$H$197,"Вышло",$C$6:$C$197,"ТГ"))/('Медиаплан'!B56+'Медиаплан'!B65+'Медиаплан'!B74+'Медиаплан'!B75))</f>
        <v>0.5049646465</v>
      </c>
      <c r="F203" s="141">
        <f>COUNTIFS($H$6:$H$197,"Вышло",$C$6:$C$197,"Telegram")+COUNTIFS($H$6:$H$197,"Вышло",$C$6:$C$197,"Telegram ")+COUNTIFS($H$6:$H$197,"Вышло",$C$6:$C$197,"Телеграм")+COUNTIFS($H$6:$H$197,"Вышло",$C$6:$C$197,"ТГ")</f>
        <v>87</v>
      </c>
      <c r="G203" s="141">
        <f>'Медиаплан'!C56+'Медиаплан'!C65+'Медиаплан'!C74+'Медиаплан'!C75</f>
        <v>694737</v>
      </c>
      <c r="H203" s="141">
        <f>SUMIFS($T$6:$T$197,$H$6:$H$197,"Вышло",$C$6:$C$197,"Telegram")+SUMIFS($T$6:$T$197,$H$6:$H$197,"Вышло",$C$6:$C$197,"Telegram ")+SUMIFS($T$6:$T$197,$H$6:$H$197,"Вышло",$C$6:$C$197,"Телеграм")+SUMIFS($T$6:$T$197,$H$6:$H$197,"Вышло",$C$6:$C$197,"ТГ")</f>
        <v>205044</v>
      </c>
      <c r="I203" s="226">
        <f>IF(('Медиаплан'!C56+'Медиаплан'!C65+'Медиаплан'!C74+'Медиаплан'!C75)=0,"—",(SUMIFS($T$6:$T$197,$H$6:$H$197,"Вышло",$C$6:$C$197,"Telegram")+SUMIFS($T$6:$T$197,$H$6:$H$197,"Вышло",$C$6:$C$197,"Telegram ")+SUMIFS($T$6:$T$197,$H$6:$H$197,"Вышло",$C$6:$C$197,"Телеграм")+SUMIFS($T$6:$T$197,$H$6:$H$197,"Вышло",$C$6:$C$197,"ТГ"))/('Медиаплан'!C56+'Медиаплан'!C65+'Медиаплан'!C74+'Медиаплан'!C75))</f>
        <v>0.2951390238</v>
      </c>
      <c r="J203" s="145"/>
      <c r="K203" s="3"/>
      <c r="L203" s="3"/>
      <c r="M203" s="3"/>
      <c r="N203" s="3"/>
      <c r="O203" s="3"/>
      <c r="P203" s="3"/>
      <c r="Q203" s="19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</row>
    <row r="204" ht="21.75" hidden="1" customHeight="1">
      <c r="A204" s="139" t="s">
        <v>37</v>
      </c>
      <c r="B204" s="140">
        <f>'Медиаплан'!B57+'Медиаплан'!B66</f>
        <v>40000</v>
      </c>
      <c r="C204" s="140">
        <f>SUMIFS($I$6:$I$197,$C$6:$C$197,"MAX")+SUMIFS($I$6:$I$197,$C$6:$C$197,"Макс")</f>
        <v>213547</v>
      </c>
      <c r="D204" s="140">
        <f>SUMIFS($L$6:$L$197,$H$6:$H$197,"Вышло",$C$6:$C$197,"MAX")+SUMIFS($L$6:$L$197,$H$6:$H$197,"Вышло",$C$6:$C$197,"Макс")</f>
        <v>213747</v>
      </c>
      <c r="E204" s="226">
        <f>IF(('Медиаплан'!B57+'Медиаплан'!B66)=0,"—",(SUMIFS($L$6:$L$197,$H$6:$H$197,"Вышло",$C$6:$C$197,"MAX")+SUMIFS($L$6:$L$197,$H$6:$H$197,"Вышло",$C$6:$C$197,"Макс"))/('Медиаплан'!B57+'Медиаплан'!B66))</f>
        <v>5.343675</v>
      </c>
      <c r="F204" s="141">
        <f>COUNTIFS($H$6:$H$197,"Вышло",$C$6:$C$197,"MAX")+COUNTIFS($H$6:$H$197,"Вышло",$C$6:$C$197,"Макс")</f>
        <v>57</v>
      </c>
      <c r="G204" s="141">
        <f>'Медиаплан'!C57+'Медиаплан'!C66</f>
        <v>56338</v>
      </c>
      <c r="H204" s="141">
        <f>SUMIFS($T$6:$T$197,$H$6:$H$197,"Вышло",$C$6:$C$197,"MAX")+SUMIFS($T$6:$T$197,$H$6:$H$197,"Вышло",$C$6:$C$197,"Макс")</f>
        <v>255372</v>
      </c>
      <c r="I204" s="226">
        <f>IF(('Медиаплан'!C57+'Медиаплан'!C66)=0,"—",(SUMIFS($T$6:$T$197,$H$6:$H$197,"Вышло",$C$6:$C$197,"MAX")+SUMIFS($T$6:$T$197,$H$6:$H$197,"Вышло",$C$6:$C$197,"Макс"))/('Медиаплан'!C57+'Медиаплан'!C66))</f>
        <v>4.532855266</v>
      </c>
      <c r="J204" s="145"/>
      <c r="K204" s="3"/>
      <c r="L204" s="3"/>
      <c r="M204" s="3"/>
      <c r="N204" s="3"/>
      <c r="O204" s="3"/>
      <c r="P204" s="3"/>
      <c r="Q204" s="19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</row>
    <row r="205" ht="21.75" hidden="1" customHeight="1">
      <c r="A205" s="139" t="s">
        <v>244</v>
      </c>
      <c r="B205" s="140">
        <f>'Медиаплан'!B58+'Медиаплан'!B67</f>
        <v>124000</v>
      </c>
      <c r="C205" s="140">
        <f>SUMIFS($I$6:$I$197,$C$6:$C$197,"VK")+SUMIFS($I$6:$I$197,$C$6:$C$197,"ВК")</f>
        <v>261793</v>
      </c>
      <c r="D205" s="140">
        <f>SUMIFS($L$6:$L$197,$H$6:$H$197,"Вышло",$C$6:$C$197,"VK")+SUMIFS($L$6:$L$197,$H$6:$H$197,"Вышло",$C$6:$C$197,"ВК")</f>
        <v>277193</v>
      </c>
      <c r="E205" s="226">
        <f>IF(('Медиаплан'!B58+'Медиаплан'!B67)=0,"—",(SUMIFS($L$6:$L$197,$H$6:$H$197,"Вышло",$C$6:$C$197,"VK")+SUMIFS($L$6:$L$197,$H$6:$H$197,"Вышло",$C$6:$C$197,"ВК"))/('Медиаплан'!B58+'Медиаплан'!B67))</f>
        <v>2.235427419</v>
      </c>
      <c r="F205" s="141">
        <f>COUNTIFS($H$6:$H$197,"Вышло",$C$6:$C$197,"VK")+COUNTIFS($H$6:$H$197,"Вышло",$C$6:$C$197,"ВК")</f>
        <v>24</v>
      </c>
      <c r="G205" s="141">
        <f>'Медиаплан'!C58+'Медиаплан'!C67</f>
        <v>172222</v>
      </c>
      <c r="H205" s="141">
        <f>SUMIFS($T$6:$T$197,$H$6:$H$197,"Вышло",$C$6:$C$197,"VK")+SUMIFS($T$6:$T$197,$H$6:$H$197,"Вышло",$C$6:$C$197,"ВК")</f>
        <v>477137</v>
      </c>
      <c r="I205" s="226">
        <f>IF(('Медиаплан'!C58+'Медиаплан'!C67)=0,"—",(SUMIFS($T$6:$T$197,$H$6:$H$197,"Вышло",$C$6:$C$197,"VK")+SUMIFS($T$6:$T$197,$H$6:$H$197,"Вышло",$C$6:$C$197,"ВК"))/('Медиаплан'!C58+'Медиаплан'!C67))</f>
        <v>2.770476478</v>
      </c>
      <c r="J205" s="145"/>
      <c r="K205" s="3"/>
      <c r="L205" s="3"/>
      <c r="M205" s="3"/>
      <c r="N205" s="3"/>
      <c r="O205" s="3"/>
      <c r="P205" s="3"/>
      <c r="Q205" s="19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</row>
    <row r="206" ht="21.75" hidden="1" customHeight="1">
      <c r="A206" s="139" t="s">
        <v>24</v>
      </c>
      <c r="B206" s="140">
        <f>'Медиаплан'!B59+'Медиаплан'!B68</f>
        <v>200000</v>
      </c>
      <c r="C206" s="140">
        <f>SUMIFS($I$6:$I$197,$C$6:$C$197,"YouTube")</f>
        <v>59900</v>
      </c>
      <c r="D206" s="140">
        <f>SUMIFS($L$6:$L$197,$H$6:$H$197,"Вышло",$C$6:$C$197,"YouTube")</f>
        <v>64150</v>
      </c>
      <c r="E206" s="226">
        <f>IF(('Медиаплан'!B59+'Медиаплан'!B68)=0,"—",(SUMIFS($L$6:$L$197,$H$6:$H$197,"Вышло",$C$6:$C$197,"YouTube"))/('Медиаплан'!B59+'Медиаплан'!B68))</f>
        <v>0.32075</v>
      </c>
      <c r="F206" s="141">
        <f>COUNTIFS($H$6:$H$197,"Вышло",$C$6:$C$197,"YouTube")</f>
        <v>4</v>
      </c>
      <c r="G206" s="141">
        <f>'Медиаплан'!C59+'Медиаплан'!C68</f>
        <v>571429</v>
      </c>
      <c r="H206" s="141">
        <f>SUMIFS($T$6:$T$197,$H$6:$H$197,"Вышло",$C$6:$C$197,"YouTube")</f>
        <v>48901</v>
      </c>
      <c r="I206" s="226">
        <f>IF(('Медиаплан'!C59+'Медиаплан'!C68)=0,"—",(SUMIFS($T$6:$T$197,$H$6:$H$197,"Вышло",$C$6:$C$197,"YouTube"))/('Медиаплан'!C59+'Медиаплан'!C68))</f>
        <v>0.08557668582</v>
      </c>
      <c r="J206" s="145"/>
      <c r="K206" s="3"/>
      <c r="L206" s="3"/>
      <c r="M206" s="3"/>
      <c r="N206" s="3"/>
      <c r="O206" s="3"/>
      <c r="P206" s="3"/>
      <c r="Q206" s="19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</row>
    <row r="207" ht="21.75" hidden="1" customHeight="1">
      <c r="A207" s="139" t="s">
        <v>120</v>
      </c>
      <c r="B207" s="140">
        <f>'Медиаплан'!B60+'Медиаплан'!B69</f>
        <v>200000</v>
      </c>
      <c r="C207" s="140">
        <f>SUMIFS($I$6:$I$197,$C$6:$C$197,"TikTok")</f>
        <v>100000</v>
      </c>
      <c r="D207" s="140">
        <f>SUMIFS($L$6:$L$197,$H$6:$H$197,"Вышло",$C$6:$C$197,"TikTok")</f>
        <v>106000</v>
      </c>
      <c r="E207" s="226">
        <f>IF(('Медиаплан'!B60+'Медиаплан'!B69)=0,"—",(SUMIFS($L$6:$L$197,$H$6:$H$197,"Вышло",$C$6:$C$197,"TikTok"))/('Медиаплан'!B60+'Медиаплан'!B69))</f>
        <v>0.53</v>
      </c>
      <c r="F207" s="141">
        <f>COUNTIFS($H$6:$H$197,"Вышло",$C$6:$C$197,"TikTok")</f>
        <v>3</v>
      </c>
      <c r="G207" s="141">
        <f>'Медиаплан'!C60+'Медиаплан'!C69</f>
        <v>0</v>
      </c>
      <c r="H207" s="141">
        <f>SUMIFS($T$6:$T$197,$H$6:$H$197,"Вышло",$C$6:$C$197,"TikTok")</f>
        <v>1456100</v>
      </c>
      <c r="I207" s="226" t="str">
        <f>IF(('Медиаплан'!C60+'Медиаплан'!C69)=0,"—",(SUMIFS($T$6:$T$197,$H$6:$H$197,"Вышло",$C$6:$C$197,"TikTok"))/('Медиаплан'!C60+'Медиаплан'!C69))</f>
        <v>—</v>
      </c>
      <c r="J207" s="145"/>
      <c r="K207" s="3"/>
      <c r="L207" s="3"/>
      <c r="M207" s="3"/>
      <c r="N207" s="3"/>
      <c r="O207" s="3"/>
      <c r="P207" s="3"/>
      <c r="Q207" s="19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</row>
    <row r="208" ht="21.75" hidden="1" customHeight="1">
      <c r="A208" s="139" t="s">
        <v>297</v>
      </c>
      <c r="B208" s="140">
        <f>'Медиаплан'!B61+'Медиаплан'!B70</f>
        <v>0</v>
      </c>
      <c r="C208" s="140">
        <f>SUMIFS($I$6:$I$197,$C$6:$C$197,"Rutube")</f>
        <v>5000</v>
      </c>
      <c r="D208" s="140">
        <f>SUMIFS($L$6:$L$197,$H$6:$H$197,"Вышло",$C$6:$C$197,"Rutube")</f>
        <v>5300</v>
      </c>
      <c r="E208" s="226" t="str">
        <f>IF(('Медиаплан'!B61+'Медиаплан'!B70)=0,"—",(SUMIFS($L$6:$L$197,$H$6:$H$197,"Вышло",$C$6:$C$197,"Rutube"))/('Медиаплан'!B61+'Медиаплан'!B70))</f>
        <v>—</v>
      </c>
      <c r="F208" s="141">
        <f>COUNTIFS($H$6:$H$197,"Вышло",$C$6:$C$197,"Rutube")</f>
        <v>1</v>
      </c>
      <c r="G208" s="141">
        <f>'Медиаплан'!C61+'Медиаплан'!C70</f>
        <v>0</v>
      </c>
      <c r="H208" s="141">
        <f>SUMIFS($T$6:$T$197,$H$6:$H$197,"Вышло",$C$6:$C$197,"Rutube")</f>
        <v>765</v>
      </c>
      <c r="I208" s="226" t="str">
        <f>IF(('Медиаплан'!C61+'Медиаплан'!C70)=0,"—",(SUMIFS($T$6:$T$197,$H$6:$H$197,"Вышло",$C$6:$C$197,"Rutube"))/('Медиаплан'!C61+'Медиаплан'!C70))</f>
        <v>—</v>
      </c>
      <c r="J208" s="145"/>
      <c r="K208" s="3"/>
      <c r="L208" s="3"/>
      <c r="M208" s="3"/>
      <c r="N208" s="3"/>
      <c r="O208" s="3"/>
      <c r="P208" s="3"/>
      <c r="Q208" s="19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</row>
    <row r="209" ht="15.0" hidden="1" customHeight="1">
      <c r="A209" s="139" t="s">
        <v>665</v>
      </c>
      <c r="B209" s="140">
        <f>'Медиаплан'!B62+'Медиаплан'!B71</f>
        <v>0</v>
      </c>
      <c r="C209" s="140">
        <f>SUMIFS($I$6:$I$197,$C$6:$C$197,"Instagram")</f>
        <v>0</v>
      </c>
      <c r="D209" s="140">
        <f>SUMIFS($L$6:$L$197,$H$6:$H$197,"Вышло",$C$6:$C$197,"Instagram")</f>
        <v>0</v>
      </c>
      <c r="E209" s="226" t="str">
        <f>IF(('Медиаплан'!B62+'Медиаплан'!B71)=0,"—",(SUMIFS($L$6:$L$197,$H$6:$H$197,"Вышло",$C$6:$C$197,"Instagram"))/('Медиаплан'!B62+'Медиаплан'!B71))</f>
        <v>—</v>
      </c>
      <c r="F209" s="141">
        <f>COUNTIFS($H$6:$H$197,"Вышло",$C$6:$C$197,"Instagram")</f>
        <v>0</v>
      </c>
      <c r="G209" s="141">
        <f>'Медиаплан'!C62+'Медиаплан'!C71</f>
        <v>0</v>
      </c>
      <c r="H209" s="141">
        <f>SUMIFS($T$6:$T$197,$H$6:$H$197,"Вышло",$C$6:$C$197,"Instagram")</f>
        <v>0</v>
      </c>
      <c r="I209" s="226" t="str">
        <f>IF(('Медиаплан'!C62+'Медиаплан'!C71)=0,"—",(SUMIFS($T$6:$T$197,$H$6:$H$197,"Вышло",$C$6:$C$197,"Instagram"))/('Медиаплан'!C62+'Медиаплан'!C71))</f>
        <v>—</v>
      </c>
      <c r="J209" s="145"/>
      <c r="K209" s="3"/>
      <c r="L209" s="3"/>
      <c r="M209" s="3"/>
      <c r="N209" s="3"/>
      <c r="O209" s="3"/>
      <c r="P209" s="3"/>
      <c r="Q209" s="19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</row>
    <row r="210" ht="27.0" hidden="1" customHeight="1">
      <c r="A210" s="139" t="s">
        <v>860</v>
      </c>
      <c r="B210" s="140">
        <f>0</f>
        <v>0</v>
      </c>
      <c r="C210" s="140">
        <f>SUMIFS($I$6:$I$197,$C$6:$C$197,"WB")</f>
        <v>0</v>
      </c>
      <c r="D210" s="140">
        <f>SUMIFS($L$6:$L$197,$H$6:$H$197,"Вышло",$C$6:$C$197,"WB")</f>
        <v>0</v>
      </c>
      <c r="E210" s="226" t="str">
        <f>IF((0)=0,"—",(SUMIFS($L$6:$L$197,$H$6:$H$197,"Вышло",$C$6:$C$197,"WB"))/(0))</f>
        <v>—</v>
      </c>
      <c r="F210" s="141">
        <f>COUNTIFS($H$6:$H$197,"Вышло",$C$6:$C$197,"WB")</f>
        <v>0</v>
      </c>
      <c r="G210" s="141">
        <f>0</f>
        <v>0</v>
      </c>
      <c r="H210" s="141">
        <f>SUMIFS($T$6:$T$197,$H$6:$H$197,"Вышло",$C$6:$C$197,"WB")</f>
        <v>0</v>
      </c>
      <c r="I210" s="226" t="str">
        <f>IF((0)=0,"—",(SUMIFS($T$6:$T$197,$H$6:$H$197,"Вышло",$C$6:$C$197,"WB"))/(0))</f>
        <v>—</v>
      </c>
      <c r="J210" s="145"/>
      <c r="K210" s="3"/>
      <c r="L210" s="3"/>
      <c r="M210" s="3"/>
      <c r="N210" s="3"/>
      <c r="O210" s="3"/>
      <c r="P210" s="3"/>
      <c r="Q210" s="19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</row>
    <row r="211" ht="31.5" hidden="1" customHeight="1">
      <c r="A211" s="142" t="s">
        <v>877</v>
      </c>
      <c r="B211" s="143">
        <f>'Медиаплан'!B53</f>
        <v>960000</v>
      </c>
      <c r="C211" s="143">
        <f t="shared" ref="C211:D211" si="94">SUM(C203:C210)</f>
        <v>840206</v>
      </c>
      <c r="D211" s="143">
        <f t="shared" si="94"/>
        <v>866356</v>
      </c>
      <c r="E211" s="227">
        <f>IF((B211)=0,"—",(D211)/(B211))</f>
        <v>0.9024541667</v>
      </c>
      <c r="F211" s="144">
        <f>SUM(F203:F210)</f>
        <v>176</v>
      </c>
      <c r="G211" s="144">
        <f>'Медиаплан'!C82</f>
        <v>1494726</v>
      </c>
      <c r="H211" s="144">
        <f>SUM(H203:H210)</f>
        <v>2443319</v>
      </c>
      <c r="I211" s="227">
        <f>IF((G211)=0,"—",(H211)/(G211))</f>
        <v>1.634626681</v>
      </c>
      <c r="J211" s="145"/>
      <c r="K211" s="3"/>
      <c r="L211" s="3"/>
      <c r="M211" s="3"/>
      <c r="N211" s="3"/>
      <c r="O211" s="3"/>
      <c r="P211" s="3"/>
      <c r="Q211" s="19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</row>
    <row r="212" ht="36.0" hidden="1" customHeight="1">
      <c r="A212" s="145"/>
      <c r="B212" s="145"/>
      <c r="C212" s="145"/>
      <c r="D212" s="145"/>
      <c r="E212" s="145"/>
      <c r="F212" s="145"/>
      <c r="G212" s="145"/>
      <c r="H212" s="145"/>
      <c r="I212" s="145"/>
      <c r="J212" s="145"/>
      <c r="K212" s="3"/>
      <c r="L212" s="3"/>
      <c r="M212" s="3"/>
      <c r="N212" s="3"/>
      <c r="O212" s="3"/>
      <c r="P212" s="3"/>
      <c r="Q212" s="19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</row>
    <row r="213" ht="21.75" hidden="1" customHeight="1">
      <c r="A213" s="145"/>
      <c r="B213" s="145"/>
      <c r="C213" s="145"/>
      <c r="D213" s="145"/>
      <c r="E213" s="145"/>
      <c r="F213" s="145"/>
      <c r="G213" s="145"/>
      <c r="H213" s="145"/>
      <c r="I213" s="145"/>
      <c r="J213" s="145"/>
      <c r="K213" s="3"/>
      <c r="L213" s="3"/>
      <c r="M213" s="3"/>
      <c r="N213" s="3"/>
      <c r="O213" s="3"/>
      <c r="P213" s="3"/>
      <c r="Q213" s="19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</row>
    <row r="214" ht="21.75" hidden="1" customHeight="1">
      <c r="A214" s="224" t="s">
        <v>1613</v>
      </c>
      <c r="B214" s="81"/>
      <c r="C214" s="81"/>
      <c r="D214" s="81"/>
      <c r="E214" s="81"/>
      <c r="F214" s="81"/>
      <c r="G214" s="81"/>
      <c r="H214" s="81"/>
      <c r="I214" s="81"/>
      <c r="J214" s="81"/>
      <c r="K214" s="3"/>
      <c r="L214" s="3"/>
      <c r="M214" s="3"/>
      <c r="N214" s="3"/>
      <c r="O214" s="3"/>
      <c r="P214" s="3"/>
      <c r="Q214" s="19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</row>
    <row r="215" ht="21.75" hidden="1" customHeight="1">
      <c r="A215" s="225" t="s">
        <v>1614</v>
      </c>
      <c r="K215" s="3"/>
      <c r="L215" s="3"/>
      <c r="M215" s="3"/>
      <c r="N215" s="3"/>
      <c r="O215" s="3"/>
      <c r="P215" s="3"/>
      <c r="Q215" s="19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</row>
    <row r="216" ht="37.5" hidden="1" customHeight="1">
      <c r="A216" s="138" t="s">
        <v>1615</v>
      </c>
      <c r="B216" s="138" t="s">
        <v>726</v>
      </c>
      <c r="C216" s="138" t="s">
        <v>1616</v>
      </c>
      <c r="D216" s="138" t="s">
        <v>872</v>
      </c>
      <c r="E216" s="138" t="s">
        <v>1617</v>
      </c>
      <c r="F216" s="138" t="s">
        <v>1618</v>
      </c>
      <c r="G216" s="138" t="s">
        <v>1619</v>
      </c>
      <c r="H216" s="138" t="s">
        <v>1620</v>
      </c>
      <c r="I216" s="138" t="s">
        <v>1621</v>
      </c>
      <c r="J216" s="138" t="s">
        <v>1622</v>
      </c>
      <c r="K216" s="3"/>
      <c r="L216" s="3"/>
      <c r="M216" s="3"/>
      <c r="N216" s="3"/>
      <c r="O216" s="3"/>
      <c r="P216" s="3"/>
      <c r="Q216" s="19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</row>
    <row r="217" ht="15.75" hidden="1" customHeight="1">
      <c r="A217" s="139" t="s">
        <v>1623</v>
      </c>
      <c r="B217" s="139" t="s">
        <v>735</v>
      </c>
      <c r="C217" s="140">
        <f>'Медиаплан'!B72</f>
        <v>108000</v>
      </c>
      <c r="D217" s="140">
        <f>SUMIFS($I$6:$I$197,$D$6:$D$197,"Сайт",$Q$6:$Q$197,"Тригггер")+SUMIFS($I$6:$I$197,$D$6:$D$197,"Сайт",$Q$6:$Q$197,"Триггер")+SUMIFS($I$6:$I$197,$D$6:$D$197,"Сайт",$Q$6:$Q$197,"AminoTrigger-Fish")</f>
        <v>16993</v>
      </c>
      <c r="E217" s="140">
        <f>SUMIFS($L$6:$L$197,$H$6:$H$197,"Вышло",$D$6:$D$197,"Сайт",$Q$6:$Q$197,"Тригггер")+SUMIFS($L$6:$L$197,$H$6:$H$197,"Вышло",$D$6:$D$197,"Сайт",$Q$6:$Q$197,"Триггер")+SUMIFS($L$6:$L$197,$H$6:$H$197,"Вышло",$D$6:$D$197,"Сайт",$Q$6:$Q$197,"AminoTrigger-Fish")</f>
        <v>16993</v>
      </c>
      <c r="F217" s="141">
        <f>'Медиаплан'!E72</f>
        <v>1677</v>
      </c>
      <c r="G217" s="141">
        <f>SUMIFS($V$6:$V$197,$H$6:$H$197,"Вышло",$D$6:$D$197,"Сайт",$Q$6:$Q$197,"Тригггер")+SUMIFS($V$6:$V$197,$H$6:$H$197,"Вышло",$D$6:$D$197,"Сайт",$Q$6:$Q$197,"Триггер")+SUMIFS($V$6:$V$197,$H$6:$H$197,"Вышло",$D$6:$D$197,"Сайт",$Q$6:$Q$197,"AminoTrigger-Fish")</f>
        <v>231</v>
      </c>
      <c r="H217" s="140">
        <f>IF(('Медиаплан'!E72)=0,"—",ROUND(('Медиаплан'!B72)/('Медиаплан'!E72),0))</f>
        <v>64</v>
      </c>
      <c r="I217" s="140">
        <f>IF((SUMIFS($V$6:$V$197,$H$6:$H$197,"Вышло",$D$6:$D$197,"Сайт",$Q$6:$Q$197,"Тригггер")+SUMIFS($V$6:$V$197,$H$6:$H$197,"Вышло",$D$6:$D$197,"Сайт",$Q$6:$Q$197,"Триггер")+SUMIFS($V$6:$V$197,$H$6:$H$197,"Вышло",$D$6:$D$197,"Сайт",$Q$6:$Q$197,"AminoTrigger-Fish"))=0,"—",ROUND((SUMIFS($L$6:$L$197,$H$6:$H$197,"Вышло",$D$6:$D$197,"Сайт",$Q$6:$Q$197,"Тригггер")+SUMIFS($L$6:$L$197,$H$6:$H$197,"Вышло",$D$6:$D$197,"Сайт",$Q$6:$Q$197,"Триггер")+SUMIFS($L$6:$L$197,$H$6:$H$197,"Вышло",$D$6:$D$197,"Сайт",$Q$6:$Q$197,"AminoTrigger-Fish"))/(SUMIFS($V$6:$V$197,$H$6:$H$197,"Вышло",$D$6:$D$197,"Сайт",$Q$6:$Q$197,"Тригггер")+SUMIFS($V$6:$V$197,$H$6:$H$197,"Вышло",$D$6:$D$197,"Сайт",$Q$6:$Q$197,"Триггер")+SUMIFS($V$6:$V$197,$H$6:$H$197,"Вышло",$D$6:$D$197,"Сайт",$Q$6:$Q$197,"AminoTrigger-Fish")),0))</f>
        <v>74</v>
      </c>
      <c r="J217" s="226">
        <f>IF(('Медиаплан'!E72)=0,"—",(SUMIFS($V$6:$V$197,$H$6:$H$197,"Вышло",$D$6:$D$197,"Сайт",$Q$6:$Q$197,"Тригггер")+SUMIFS($V$6:$V$197,$H$6:$H$197,"Вышло",$D$6:$D$197,"Сайт",$Q$6:$Q$197,"Триггер")+SUMIFS($V$6:$V$197,$H$6:$H$197,"Вышло",$D$6:$D$197,"Сайт",$Q$6:$Q$197,"AminoTrigger-Fish"))/('Медиаплан'!E72))</f>
        <v>0.137745975</v>
      </c>
      <c r="K217" s="3"/>
      <c r="L217" s="3"/>
      <c r="M217" s="3"/>
      <c r="N217" s="3"/>
      <c r="O217" s="3"/>
      <c r="P217" s="3"/>
      <c r="Q217" s="19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</row>
    <row r="218" ht="15.75" hidden="1" customHeight="1">
      <c r="A218" s="139" t="s">
        <v>1624</v>
      </c>
      <c r="B218" s="139" t="s">
        <v>735</v>
      </c>
      <c r="C218" s="140">
        <f>'Медиаплан'!B63</f>
        <v>647000</v>
      </c>
      <c r="D218" s="140">
        <f>SUMIFS($I$6:$I$197,$D$6:$D$197,"Ozon",$Q$6:$Q$197,"Тригггер")+SUMIFS($I$6:$I$197,$D$6:$D$197,"Ozon",$Q$6:$Q$197,"Триггер")+SUMIFS($I$6:$I$197,$D$6:$D$197,"Ozon",$Q$6:$Q$197,"AminoTrigger-Fish")+SUMIFS($I$6:$I$197,$D$6:$D$197,"Озон",$Q$6:$Q$197,"Тригггер")+SUMIFS($I$6:$I$197,$D$6:$D$197,"Озон",$Q$6:$Q$197,"Триггер")+SUMIFS($I$6:$I$197,$D$6:$D$197,"Озон",$Q$6:$Q$197,"AminoTrigger-Fish")</f>
        <v>681111</v>
      </c>
      <c r="E218" s="140">
        <f>SUMIFS($L$6:$L$197,$H$6:$H$197,"Вышло",$D$6:$D$197,"Ozon",$Q$6:$Q$197,"Тригггер")+SUMIFS($L$6:$L$197,$H$6:$H$197,"Вышло",$D$6:$D$197,"Ozon",$Q$6:$Q$197,"Триггер")+SUMIFS($L$6:$L$197,$H$6:$H$197,"Вышло",$D$6:$D$197,"Ozon",$Q$6:$Q$197,"AminoTrigger-Fish")+SUMIFS($L$6:$L$197,$H$6:$H$197,"Вышло",$D$6:$D$197,"Озон",$Q$6:$Q$197,"Тригггер")+SUMIFS($L$6:$L$197,$H$6:$H$197,"Вышло",$D$6:$D$197,"Озон",$Q$6:$Q$197,"Триггер")+SUMIFS($L$6:$L$197,$H$6:$H$197,"Вышло",$D$6:$D$197,"Озон",$Q$6:$Q$197,"AminoTrigger-Fish")</f>
        <v>707561</v>
      </c>
      <c r="F218" s="141">
        <f>'Медиаплан'!E63</f>
        <v>7750</v>
      </c>
      <c r="G218" s="141">
        <f>SUMIFS($V$6:$V$197,$H$6:$H$197,"Вышло",$D$6:$D$197,"Ozon",$Q$6:$Q$197,"Тригггер")+SUMIFS($V$6:$V$197,$H$6:$H$197,"Вышло",$D$6:$D$197,"Ozon",$Q$6:$Q$197,"Триггер")+SUMIFS($V$6:$V$197,$H$6:$H$197,"Вышло",$D$6:$D$197,"Ozon",$Q$6:$Q$197,"AminoTrigger-Fish")+SUMIFS($V$6:$V$197,$H$6:$H$197,"Вышло",$D$6:$D$197,"Озон",$Q$6:$Q$197,"Тригггер")+SUMIFS($V$6:$V$197,$H$6:$H$197,"Вышло",$D$6:$D$197,"Озон",$Q$6:$Q$197,"Триггер")+SUMIFS($V$6:$V$197,$H$6:$H$197,"Вышло",$D$6:$D$197,"Озон",$Q$6:$Q$197,"AminoTrigger-Fish")</f>
        <v>5580</v>
      </c>
      <c r="H218" s="140">
        <f>IF(('Медиаплан'!E63)=0,"—",ROUND(('Медиаплан'!B63)/('Медиаплан'!E63),0))</f>
        <v>83</v>
      </c>
      <c r="I218" s="140">
        <f>IF((SUMIFS($V$6:$V$197,$H$6:$H$197,"Вышло",$D$6:$D$197,"Ozon",$Q$6:$Q$197,"Тригггер")+SUMIFS($V$6:$V$197,$H$6:$H$197,"Вышло",$D$6:$D$197,"Ozon",$Q$6:$Q$197,"Триггер")+SUMIFS($V$6:$V$197,$H$6:$H$197,"Вышло",$D$6:$D$197,"Ozon",$Q$6:$Q$197,"AminoTrigger-Fish")+SUMIFS($V$6:$V$197,$H$6:$H$197,"Вышло",$D$6:$D$197,"Озон",$Q$6:$Q$197,"Тригггер")+SUMIFS($V$6:$V$197,$H$6:$H$197,"Вышло",$D$6:$D$197,"Озон",$Q$6:$Q$197,"Триггер")+SUMIFS($V$6:$V$197,$H$6:$H$197,"Вышло",$D$6:$D$197,"Озон",$Q$6:$Q$197,"AminoTrigger-Fish"))=0,"—",ROUND((SUMIFS($L$6:$L$197,$H$6:$H$197,"Вышло",$D$6:$D$197,"Ozon",$Q$6:$Q$197,"Тригггер")+SUMIFS($L$6:$L$197,$H$6:$H$197,"Вышло",$D$6:$D$197,"Ozon",$Q$6:$Q$197,"Триггер")+SUMIFS($L$6:$L$197,$H$6:$H$197,"Вышло",$D$6:$D$197,"Ozon",$Q$6:$Q$197,"AminoTrigger-Fish")+SUMIFS($L$6:$L$197,$H$6:$H$197,"Вышло",$D$6:$D$197,"Озон",$Q$6:$Q$197,"Тригггер")+SUMIFS($L$6:$L$197,$H$6:$H$197,"Вышло",$D$6:$D$197,"Озон",$Q$6:$Q$197,"Триггер")+SUMIFS($L$6:$L$197,$H$6:$H$197,"Вышло",$D$6:$D$197,"Озон",$Q$6:$Q$197,"AminoTrigger-Fish"))/(SUMIFS($V$6:$V$197,$H$6:$H$197,"Вышло",$D$6:$D$197,"Ozon",$Q$6:$Q$197,"Тригггер")+SUMIFS($V$6:$V$197,$H$6:$H$197,"Вышло",$D$6:$D$197,"Ozon",$Q$6:$Q$197,"Триггер")+SUMIFS($V$6:$V$197,$H$6:$H$197,"Вышло",$D$6:$D$197,"Ozon",$Q$6:$Q$197,"AminoTrigger-Fish")+SUMIFS($V$6:$V$197,$H$6:$H$197,"Вышло",$D$6:$D$197,"Озон",$Q$6:$Q$197,"Тригггер")+SUMIFS($V$6:$V$197,$H$6:$H$197,"Вышло",$D$6:$D$197,"Озон",$Q$6:$Q$197,"Триггер")+SUMIFS($V$6:$V$197,$H$6:$H$197,"Вышло",$D$6:$D$197,"Озон",$Q$6:$Q$197,"AminoTrigger-Fish")),0))</f>
        <v>127</v>
      </c>
      <c r="J218" s="226">
        <f>IF(('Медиаплан'!E63)=0,"—",(SUMIFS($V$6:$V$197,$H$6:$H$197,"Вышло",$D$6:$D$197,"Ozon",$Q$6:$Q$197,"Тригггер")+SUMIFS($V$6:$V$197,$H$6:$H$197,"Вышло",$D$6:$D$197,"Ozon",$Q$6:$Q$197,"Триггер")+SUMIFS($V$6:$V$197,$H$6:$H$197,"Вышло",$D$6:$D$197,"Ozon",$Q$6:$Q$197,"AminoTrigger-Fish")+SUMIFS($V$6:$V$197,$H$6:$H$197,"Вышло",$D$6:$D$197,"Озон",$Q$6:$Q$197,"Тригггер")+SUMIFS($V$6:$V$197,$H$6:$H$197,"Вышло",$D$6:$D$197,"Озон",$Q$6:$Q$197,"Триггер")+SUMIFS($V$6:$V$197,$H$6:$H$197,"Вышло",$D$6:$D$197,"Озон",$Q$6:$Q$197,"AminoTrigger-Fish"))/('Медиаплан'!E63))</f>
        <v>0.72</v>
      </c>
      <c r="K218" s="3"/>
      <c r="L218" s="3"/>
      <c r="M218" s="3"/>
      <c r="N218" s="3"/>
      <c r="O218" s="3"/>
      <c r="P218" s="3"/>
      <c r="Q218" s="19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</row>
    <row r="219" ht="33.75" hidden="1" customHeight="1">
      <c r="A219" s="139" t="s">
        <v>892</v>
      </c>
      <c r="B219" s="139" t="s">
        <v>735</v>
      </c>
      <c r="C219" s="140">
        <f>0</f>
        <v>0</v>
      </c>
      <c r="D219" s="140">
        <f>SUMIFS($I$6:$I$197,$D$6:$D$197,"WB",$Q$6:$Q$197,"Тригггер")+SUMIFS($I$6:$I$197,$D$6:$D$197,"WB",$Q$6:$Q$197,"Триггер")+SUMIFS($I$6:$I$197,$D$6:$D$197,"WB",$Q$6:$Q$197,"AminoTrigger-Fish")+SUMIFS($I$6:$I$197,$D$6:$D$197,"ВБ",$Q$6:$Q$197,"Тригггер")+SUMIFS($I$6:$I$197,$D$6:$D$197,"ВБ",$Q$6:$Q$197,"Триггер")+SUMIFS($I$6:$I$197,$D$6:$D$197,"ВБ",$Q$6:$Q$197,"AminoTrigger-Fish")</f>
        <v>0</v>
      </c>
      <c r="E219" s="140">
        <f>SUMIFS($L$6:$L$197,$H$6:$H$197,"Вышло",$D$6:$D$197,"WB",$Q$6:$Q$197,"Тригггер")+SUMIFS($L$6:$L$197,$H$6:$H$197,"Вышло",$D$6:$D$197,"WB",$Q$6:$Q$197,"Триггер")+SUMIFS($L$6:$L$197,$H$6:$H$197,"Вышло",$D$6:$D$197,"WB",$Q$6:$Q$197,"AminoTrigger-Fish")+SUMIFS($L$6:$L$197,$H$6:$H$197,"Вышло",$D$6:$D$197,"ВБ",$Q$6:$Q$197,"Тригггер")+SUMIFS($L$6:$L$197,$H$6:$H$197,"Вышло",$D$6:$D$197,"ВБ",$Q$6:$Q$197,"Триггер")+SUMIFS($L$6:$L$197,$H$6:$H$197,"Вышло",$D$6:$D$197,"ВБ",$Q$6:$Q$197,"AminoTrigger-Fish")</f>
        <v>0</v>
      </c>
      <c r="F219" s="141">
        <f>0</f>
        <v>0</v>
      </c>
      <c r="G219" s="141">
        <f>SUMIFS($W$6:$W$197,$H$6:$H$197,"Вышло",$D$6:$D$197,"WB",$Q$6:$Q$197,"Тригггер")+SUMIFS($W$6:$W$197,$H$6:$H$197,"Вышло",$D$6:$D$197,"WB",$Q$6:$Q$197,"Триггер")+SUMIFS($W$6:$W$197,$H$6:$H$197,"Вышло",$D$6:$D$197,"WB",$Q$6:$Q$197,"AminoTrigger-Fish")+SUMIFS($W$6:$W$197,$H$6:$H$197,"Вышло",$D$6:$D$197,"ВБ",$Q$6:$Q$197,"Тригггер")+SUMIFS($W$6:$W$197,$H$6:$H$197,"Вышло",$D$6:$D$197,"ВБ",$Q$6:$Q$197,"Триггер")+SUMIFS($W$6:$W$197,$H$6:$H$197,"Вышло",$D$6:$D$197,"ВБ",$Q$6:$Q$197,"AminoTrigger-Fish")</f>
        <v>0</v>
      </c>
      <c r="H219" s="140" t="str">
        <f>"—"</f>
        <v>—</v>
      </c>
      <c r="I219" s="140" t="str">
        <f>IF((SUMIFS($W$6:$W$197,$H$6:$H$197,"Вышло",$D$6:$D$197,"WB",$Q$6:$Q$197,"Тригггер")+SUMIFS($W$6:$W$197,$H$6:$H$197,"Вышло",$D$6:$D$197,"WB",$Q$6:$Q$197,"Триггер")+SUMIFS($W$6:$W$197,$H$6:$H$197,"Вышло",$D$6:$D$197,"WB",$Q$6:$Q$197,"AminoTrigger-Fish")+SUMIFS($W$6:$W$197,$H$6:$H$197,"Вышло",$D$6:$D$197,"ВБ",$Q$6:$Q$197,"Тригггер")+SUMIFS($W$6:$W$197,$H$6:$H$197,"Вышло",$D$6:$D$197,"ВБ",$Q$6:$Q$197,"Триггер")+SUMIFS($W$6:$W$197,$H$6:$H$197,"Вышло",$D$6:$D$197,"ВБ",$Q$6:$Q$197,"AminoTrigger-Fish"))=0,"—",ROUND((SUMIFS($L$6:$L$197,$H$6:$H$197,"Вышло",$D$6:$D$197,"WB",$Q$6:$Q$197,"Тригггер")+SUMIFS($L$6:$L$197,$H$6:$H$197,"Вышло",$D$6:$D$197,"WB",$Q$6:$Q$197,"Триггер")+SUMIFS($L$6:$L$197,$H$6:$H$197,"Вышло",$D$6:$D$197,"WB",$Q$6:$Q$197,"AminoTrigger-Fish")+SUMIFS($L$6:$L$197,$H$6:$H$197,"Вышло",$D$6:$D$197,"ВБ",$Q$6:$Q$197,"Тригггер")+SUMIFS($L$6:$L$197,$H$6:$H$197,"Вышло",$D$6:$D$197,"ВБ",$Q$6:$Q$197,"Триггер")+SUMIFS($L$6:$L$197,$H$6:$H$197,"Вышло",$D$6:$D$197,"ВБ",$Q$6:$Q$197,"AminoTrigger-Fish"))/(SUMIFS($W$6:$W$197,$H$6:$H$197,"Вышло",$D$6:$D$197,"WB",$Q$6:$Q$197,"Тригггер")+SUMIFS($W$6:$W$197,$H$6:$H$197,"Вышло",$D$6:$D$197,"WB",$Q$6:$Q$197,"Триггер")+SUMIFS($W$6:$W$197,$H$6:$H$197,"Вышло",$D$6:$D$197,"WB",$Q$6:$Q$197,"AminoTrigger-Fish")+SUMIFS($W$6:$W$197,$H$6:$H$197,"Вышло",$D$6:$D$197,"ВБ",$Q$6:$Q$197,"Тригггер")+SUMIFS($W$6:$W$197,$H$6:$H$197,"Вышло",$D$6:$D$197,"ВБ",$Q$6:$Q$197,"Триггер")+SUMIFS($W$6:$W$197,$H$6:$H$197,"Вышло",$D$6:$D$197,"ВБ",$Q$6:$Q$197,"AminoTrigger-Fish")),0))</f>
        <v>—</v>
      </c>
      <c r="J219" s="226" t="str">
        <f>"—"</f>
        <v>—</v>
      </c>
      <c r="K219" s="3"/>
      <c r="L219" s="3"/>
      <c r="M219" s="3"/>
      <c r="N219" s="3"/>
      <c r="O219" s="3"/>
      <c r="P219" s="3"/>
      <c r="Q219" s="19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</row>
    <row r="220" ht="27.75" hidden="1" customHeight="1">
      <c r="A220" s="139" t="s">
        <v>886</v>
      </c>
      <c r="B220" s="139" t="s">
        <v>736</v>
      </c>
      <c r="C220" s="140">
        <f>'Медиаплан'!B75</f>
        <v>150000</v>
      </c>
      <c r="D220" s="140">
        <f>SUMIFS($I$6:$I$197,$D$6:$D$197,"БОТ",$Q$6:$Q$197,"Клевая карта")+SUMIFS($I$6:$I$197,$D$6:$D$197,"БОТ",$Q$6:$Q$197,"Клёвая карта")</f>
        <v>116860</v>
      </c>
      <c r="E220" s="140">
        <f>SUMIFS($L$6:$L$197,$H$6:$H$197,"Вышло",$D$6:$D$197,"БОТ",$Q$6:$Q$197,"Клевая карта")+SUMIFS($L$6:$L$197,$H$6:$H$197,"Вышло",$D$6:$D$197,"БОТ",$Q$6:$Q$197,"Клёвая карта")</f>
        <v>116860</v>
      </c>
      <c r="F220" s="141">
        <f>'Медиаплан'!G75</f>
        <v>1000</v>
      </c>
      <c r="G220" s="141">
        <f>SUMIFS($X$6:$X$197,$H$6:$H$197,"Вышло",$D$6:$D$197,"БОТ",$Q$6:$Q$197,"Клевая карта")+SUMIFS($X$6:$X$197,$H$6:$H$197,"Вышло",$D$6:$D$197,"БОТ",$Q$6:$Q$197,"Клёвая карта")</f>
        <v>1626</v>
      </c>
      <c r="H220" s="140">
        <f>IF(('Медиаплан'!G75)=0,"—",ROUND(('Медиаплан'!B75)/('Медиаплан'!G75),0))</f>
        <v>150</v>
      </c>
      <c r="I220" s="140">
        <f>IF((SUMIFS($X$6:$X$197,$H$6:$H$197,"Вышло",$D$6:$D$197,"БОТ",$Q$6:$Q$197,"Клевая карта")+SUMIFS($X$6:$X$197,$H$6:$H$197,"Вышло",$D$6:$D$197,"БОТ",$Q$6:$Q$197,"Клёвая карта"))=0,"—",ROUND((SUMIFS($L$6:$L$197,$H$6:$H$197,"Вышло",$D$6:$D$197,"БОТ",$Q$6:$Q$197,"Клевая карта")+SUMIFS($L$6:$L$197,$H$6:$H$197,"Вышло",$D$6:$D$197,"БОТ",$Q$6:$Q$197,"Клёвая карта"))/(SUMIFS($X$6:$X$197,$H$6:$H$197,"Вышло",$D$6:$D$197,"БОТ",$Q$6:$Q$197,"Клевая карта")+SUMIFS($X$6:$X$197,$H$6:$H$197,"Вышло",$D$6:$D$197,"БОТ",$Q$6:$Q$197,"Клёвая карта")),0))</f>
        <v>72</v>
      </c>
      <c r="J220" s="226">
        <f>IF(('Медиаплан'!G75)=0,"—",(SUMIFS($X$6:$X$197,$H$6:$H$197,"Вышло",$D$6:$D$197,"БОТ",$Q$6:$Q$197,"Клевая карта")+SUMIFS($X$6:$X$197,$H$6:$H$197,"Вышло",$D$6:$D$197,"БОТ",$Q$6:$Q$197,"Клёвая карта"))/('Медиаплан'!G75))</f>
        <v>1.626</v>
      </c>
      <c r="K220" s="3"/>
      <c r="L220" s="3"/>
      <c r="M220" s="3"/>
      <c r="N220" s="3"/>
      <c r="O220" s="3"/>
      <c r="P220" s="3"/>
      <c r="Q220" s="19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</row>
    <row r="221" ht="27.75" hidden="1" customHeight="1">
      <c r="A221" s="139" t="s">
        <v>886</v>
      </c>
      <c r="B221" s="139" t="s">
        <v>737</v>
      </c>
      <c r="C221" s="140">
        <f>'Медиаплан'!B74</f>
        <v>55000</v>
      </c>
      <c r="D221" s="140">
        <f>SUMIFS($I$6:$I$197,$D$6:$D$197,"БОТ",$Q$6:$Q$197,"Зеленый доктор")+SUMIFS($I$6:$I$197,$D$6:$D$197,"БОТ",$Q$6:$Q$197,"Зелёный доктор")</f>
        <v>30242</v>
      </c>
      <c r="E221" s="140">
        <f>SUMIFS($L$6:$L$197,$H$6:$H$197,"Вышло",$D$6:$D$197,"БОТ",$Q$6:$Q$197,"Зеленый доктор")+SUMIFS($L$6:$L$197,$H$6:$H$197,"Вышло",$D$6:$D$197,"БОТ",$Q$6:$Q$197,"Зелёный доктор")</f>
        <v>30242</v>
      </c>
      <c r="F221" s="141">
        <f>'Медиаплан'!G74</f>
        <v>423</v>
      </c>
      <c r="G221" s="141">
        <f>SUMIFS($X$6:$X$197,$H$6:$H$197,"Вышло",$D$6:$D$197,"БОТ",$Q$6:$Q$197,"Зеленый доктор")+SUMIFS($X$6:$X$197,$H$6:$H$197,"Вышло",$D$6:$D$197,"БОТ",$Q$6:$Q$197,"Зелёный доктор")</f>
        <v>268</v>
      </c>
      <c r="H221" s="140">
        <f>IF(('Медиаплан'!G74)=0,"—",ROUND(('Медиаплан'!B74)/('Медиаплан'!G74),0))</f>
        <v>130</v>
      </c>
      <c r="I221" s="140">
        <f>IF((SUMIFS($X$6:$X$197,$H$6:$H$197,"Вышло",$D$6:$D$197,"БОТ",$Q$6:$Q$197,"Зеленый доктор")+SUMIFS($X$6:$X$197,$H$6:$H$197,"Вышло",$D$6:$D$197,"БОТ",$Q$6:$Q$197,"Зелёный доктор"))=0,"—",ROUND((SUMIFS($L$6:$L$197,$H$6:$H$197,"Вышло",$D$6:$D$197,"БОТ",$Q$6:$Q$197,"Зеленый доктор")+SUMIFS($L$6:$L$197,$H$6:$H$197,"Вышло",$D$6:$D$197,"БОТ",$Q$6:$Q$197,"Зелёный доктор"))/(SUMIFS($X$6:$X$197,$H$6:$H$197,"Вышло",$D$6:$D$197,"БОТ",$Q$6:$Q$197,"Зеленый доктор")+SUMIFS($X$6:$X$197,$H$6:$H$197,"Вышло",$D$6:$D$197,"БОТ",$Q$6:$Q$197,"Зелёный доктор")),0))</f>
        <v>113</v>
      </c>
      <c r="J221" s="226">
        <f>IF(('Медиаплан'!G74)=0,"—",(SUMIFS($X$6:$X$197,$H$6:$H$197,"Вышло",$D$6:$D$197,"БОТ",$Q$6:$Q$197,"Зеленый доктор")+SUMIFS($X$6:$X$197,$H$6:$H$197,"Вышло",$D$6:$D$197,"БОТ",$Q$6:$Q$197,"Зелёный доктор"))/('Медиаплан'!G74))</f>
        <v>0.63356974</v>
      </c>
      <c r="K221" s="3"/>
      <c r="L221" s="3"/>
      <c r="M221" s="3"/>
      <c r="N221" s="3"/>
      <c r="O221" s="3"/>
      <c r="P221" s="3"/>
      <c r="Q221" s="19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</row>
    <row r="222" ht="27.75" hidden="1" customHeight="1">
      <c r="A222" s="142" t="s">
        <v>877</v>
      </c>
      <c r="B222" s="142" t="s">
        <v>1625</v>
      </c>
      <c r="C222" s="143">
        <f t="shared" ref="C222:E222" si="95">SUM(C217:C221)</f>
        <v>960000</v>
      </c>
      <c r="D222" s="143">
        <f t="shared" si="95"/>
        <v>845206</v>
      </c>
      <c r="E222" s="143">
        <f t="shared" si="95"/>
        <v>871656</v>
      </c>
      <c r="F222" s="144" t="s">
        <v>879</v>
      </c>
      <c r="G222" s="144" t="s">
        <v>879</v>
      </c>
      <c r="H222" s="143" t="s">
        <v>879</v>
      </c>
      <c r="I222" s="143" t="s">
        <v>879</v>
      </c>
      <c r="J222" s="227" t="s">
        <v>879</v>
      </c>
      <c r="K222" s="3"/>
      <c r="L222" s="3"/>
      <c r="M222" s="3"/>
      <c r="N222" s="3"/>
      <c r="O222" s="3"/>
      <c r="P222" s="3"/>
      <c r="Q222" s="19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</row>
    <row r="223" ht="27.75" hidden="1" customHeight="1">
      <c r="A223" s="145"/>
      <c r="B223" s="145"/>
      <c r="C223" s="145"/>
      <c r="D223" s="145"/>
      <c r="E223" s="145"/>
      <c r="F223" s="145"/>
      <c r="G223" s="145"/>
      <c r="H223" s="145"/>
      <c r="I223" s="145"/>
      <c r="J223" s="145"/>
      <c r="K223" s="3"/>
      <c r="L223" s="3"/>
      <c r="M223" s="3"/>
      <c r="N223" s="3"/>
      <c r="O223" s="3"/>
      <c r="P223" s="3"/>
      <c r="Q223" s="19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</row>
    <row r="224" ht="27.75" hidden="1" customHeight="1">
      <c r="A224" s="145"/>
      <c r="B224" s="145"/>
      <c r="C224" s="145"/>
      <c r="D224" s="145"/>
      <c r="E224" s="145"/>
      <c r="F224" s="145"/>
      <c r="G224" s="145"/>
      <c r="H224" s="145"/>
      <c r="I224" s="145"/>
      <c r="J224" s="145"/>
      <c r="K224" s="3"/>
      <c r="L224" s="3"/>
      <c r="M224" s="3"/>
      <c r="N224" s="3"/>
      <c r="O224" s="3"/>
      <c r="P224" s="3"/>
      <c r="Q224" s="19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</row>
    <row r="225" ht="27.75" hidden="1" customHeight="1">
      <c r="A225" s="224" t="s">
        <v>1626</v>
      </c>
      <c r="B225" s="81"/>
      <c r="C225" s="81"/>
      <c r="D225" s="81"/>
      <c r="E225" s="81"/>
      <c r="F225" s="81"/>
      <c r="G225" s="81"/>
      <c r="H225" s="81"/>
      <c r="I225" s="81"/>
      <c r="J225" s="81"/>
      <c r="K225" s="3"/>
      <c r="L225" s="3"/>
      <c r="M225" s="3"/>
      <c r="N225" s="3"/>
      <c r="O225" s="3"/>
      <c r="P225" s="3"/>
      <c r="Q225" s="19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</row>
    <row r="226" ht="15.75" hidden="1" customHeight="1">
      <c r="A226" s="138" t="s">
        <v>899</v>
      </c>
      <c r="B226" s="138" t="s">
        <v>780</v>
      </c>
      <c r="C226" s="138" t="s">
        <v>1627</v>
      </c>
      <c r="D226" s="145"/>
      <c r="E226" s="145"/>
      <c r="F226" s="145"/>
      <c r="G226" s="145"/>
      <c r="H226" s="145"/>
      <c r="I226" s="145"/>
      <c r="J226" s="145"/>
      <c r="K226" s="3"/>
      <c r="L226" s="3"/>
      <c r="M226" s="3"/>
      <c r="N226" s="3"/>
      <c r="O226" s="3"/>
      <c r="P226" s="3"/>
      <c r="Q226" s="19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</row>
    <row r="227" ht="15.75" hidden="1" customHeight="1">
      <c r="A227" s="139" t="s">
        <v>1628</v>
      </c>
      <c r="B227" s="139" t="str">
        <f>IF(ABS(D211-E222)&lt;0.01,"OK","ПРОВЕРИТЬ")</f>
        <v>ПРОВЕРИТЬ</v>
      </c>
      <c r="C227" s="140">
        <f>D211-E222</f>
        <v>-5300</v>
      </c>
      <c r="D227" s="145"/>
      <c r="E227" s="145"/>
      <c r="F227" s="145"/>
      <c r="G227" s="145"/>
      <c r="H227" s="145"/>
      <c r="I227" s="145"/>
      <c r="J227" s="145"/>
      <c r="K227" s="3"/>
      <c r="L227" s="3"/>
      <c r="M227" s="3"/>
      <c r="N227" s="3"/>
      <c r="O227" s="3"/>
      <c r="P227" s="3"/>
      <c r="Q227" s="19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</row>
    <row r="228" ht="15.75" hidden="1" customHeight="1">
      <c r="A228" s="139" t="s">
        <v>1629</v>
      </c>
      <c r="B228" s="139" t="str">
        <f>IF(ABS(E222-(SUMIFS($L$6:$L$197,$H$6:$H$197,"Вышло")))&lt;0.01,"OK","ПРОВЕРИТЬ")</f>
        <v>OK</v>
      </c>
      <c r="C228" s="140">
        <f>E222-(SUMIFS($L$6:$L$197,$H$6:$H$197,"Вышло"))</f>
        <v>0</v>
      </c>
      <c r="D228" s="145"/>
      <c r="E228" s="145"/>
      <c r="F228" s="145"/>
      <c r="G228" s="145"/>
      <c r="H228" s="145"/>
      <c r="I228" s="145"/>
      <c r="J228" s="145"/>
      <c r="K228" s="3"/>
      <c r="L228" s="3"/>
      <c r="M228" s="3"/>
      <c r="N228" s="3"/>
      <c r="O228" s="3"/>
      <c r="P228" s="3"/>
      <c r="Q228" s="19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</row>
    <row r="229" ht="15.75" hidden="1" customHeight="1">
      <c r="A229" s="139" t="s">
        <v>1630</v>
      </c>
      <c r="B229" s="139" t="s">
        <v>1631</v>
      </c>
      <c r="C229" s="140">
        <v>0.0</v>
      </c>
      <c r="D229" s="145"/>
      <c r="E229" s="145"/>
      <c r="F229" s="145"/>
      <c r="G229" s="145"/>
      <c r="H229" s="145"/>
      <c r="I229" s="145"/>
      <c r="J229" s="145"/>
      <c r="K229" s="3"/>
      <c r="L229" s="3"/>
      <c r="M229" s="3"/>
      <c r="N229" s="3"/>
      <c r="O229" s="3"/>
      <c r="P229" s="3"/>
      <c r="Q229" s="19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</row>
    <row r="230" ht="15.75" hidden="1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19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</row>
    <row r="231" ht="15.75" hidden="1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19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</row>
    <row r="232" ht="27.75" customHeight="1">
      <c r="A232" s="228" t="s">
        <v>1632</v>
      </c>
      <c r="K232" s="3"/>
      <c r="L232" s="3"/>
      <c r="M232" s="3"/>
      <c r="N232" s="3"/>
      <c r="O232" s="3"/>
      <c r="P232" s="3"/>
      <c r="Q232" s="19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</row>
    <row r="233" ht="24.75" customHeight="1">
      <c r="A233" s="229" t="s">
        <v>1633</v>
      </c>
      <c r="K233" s="3"/>
      <c r="L233" s="3"/>
      <c r="M233" s="3"/>
      <c r="N233" s="3"/>
      <c r="O233" s="3"/>
      <c r="P233" s="3"/>
      <c r="Q233" s="19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</row>
    <row r="234" ht="31.5" customHeight="1">
      <c r="A234" s="230" t="s">
        <v>1634</v>
      </c>
      <c r="C234" s="231">
        <f>SUMIFS($L$7:$L$194,$Q$7:$Q$194,"Тригггер",$H$7:$H$194,"Вышло",$G$7:$G$194,"&gt;="&amp;DATE(2026,9,1),$G$7:$G$194,"&lt;"&amp;DATE(2026,10,1))+SUMIFS($L$7:$L$194,$Q$7:$Q$194,"триггер",$H$7:$H$194,"Вышло",$G$7:$G$194,"&gt;="&amp;DATE(2026,9,1),$G$7:$G$194,"&lt;"&amp;DATE(2026,10,1))</f>
        <v>724554</v>
      </c>
      <c r="E234" s="232" t="s">
        <v>1635</v>
      </c>
      <c r="K234" s="3"/>
      <c r="L234" s="3"/>
      <c r="M234" s="3"/>
      <c r="N234" s="3"/>
      <c r="O234" s="3"/>
      <c r="P234" s="3"/>
      <c r="Q234" s="19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</row>
    <row r="235" ht="31.5" customHeight="1">
      <c r="A235" s="230" t="s">
        <v>1636</v>
      </c>
      <c r="C235" s="231">
        <f>COUNTIFS($Q$7:$Q$194,"Тригггер",$H$7:$H$194,"Вышло",$G$7:$G$194,"&gt;="&amp;DATE(2026,9,1),$G$7:$G$194,"&lt;"&amp;DATE(2026,10,1))+COUNTIFS($Q$7:$Q$194,"триггер",$H$7:$H$194,"Вышло",$G$7:$G$194,"&gt;="&amp;DATE(2026,9,1),$G$7:$G$194,"&lt;"&amp;DATE(2026,10,1))</f>
        <v>102</v>
      </c>
      <c r="E235" s="232" t="s">
        <v>1637</v>
      </c>
      <c r="K235" s="3"/>
      <c r="L235" s="3"/>
      <c r="M235" s="3"/>
      <c r="N235" s="3"/>
      <c r="O235" s="3"/>
      <c r="P235" s="3"/>
      <c r="Q235" s="19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</row>
    <row r="236" ht="31.5" customHeight="1">
      <c r="A236" s="230" t="s">
        <v>1638</v>
      </c>
      <c r="C236" s="231">
        <f>SUMIFS($AB$7:$AB$194,$Q$7:$Q$194,"Тригггер",$H$7:$H$194,"Вышло",$G$7:$G$194,"&gt;="&amp;DATE(2026,9,1),$G$7:$G$194,"&lt;"&amp;DATE(2026,10,1))+SUMIFS($AB$7:$AB$194,$Q$7:$Q$194,"триггер",$H$7:$H$194,"Вышло",$G$7:$G$194,"&gt;="&amp;DATE(2026,9,1),$G$7:$G$194,"&lt;"&amp;DATE(2026,10,1))</f>
        <v>229</v>
      </c>
      <c r="E236" s="232" t="s">
        <v>1639</v>
      </c>
      <c r="K236" s="3"/>
      <c r="L236" s="3"/>
      <c r="M236" s="3"/>
      <c r="N236" s="3"/>
      <c r="O236" s="3"/>
      <c r="P236" s="3"/>
      <c r="Q236" s="19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</row>
    <row r="237" ht="31.5" customHeight="1">
      <c r="A237" s="233" t="s">
        <v>657</v>
      </c>
      <c r="C237" s="234">
        <f>IF(C236&gt;0,C234/C236,"Нет заказов")</f>
        <v>3163.991266</v>
      </c>
      <c r="E237" s="232" t="s">
        <v>1640</v>
      </c>
      <c r="K237" s="3"/>
      <c r="L237" s="3"/>
      <c r="M237" s="3"/>
      <c r="N237" s="3"/>
      <c r="O237" s="3"/>
      <c r="P237" s="3"/>
      <c r="Q237" s="19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</row>
    <row r="238" ht="31.5" customHeight="1">
      <c r="A238" s="230" t="s">
        <v>1641</v>
      </c>
      <c r="C238" s="231">
        <f>SUMIFS($V$7:$V$194,$Q$7:$Q$194,"Тригггер",$H$7:$H$194,"Вышло",$G$7:$G$194,"&gt;="&amp;DATE(2026,9,1),$G$7:$G$194,"&lt;"&amp;DATE(2026,10,1))+SUMIFS($V$7:$V$194,$Q$7:$Q$194,"триггер",$H$7:$H$194,"Вышло",$G$7:$G$194,"&gt;="&amp;DATE(2026,9,1),$G$7:$G$194,"&lt;"&amp;DATE(2026,10,1))</f>
        <v>5811</v>
      </c>
      <c r="E238" s="232" t="s">
        <v>1642</v>
      </c>
      <c r="K238" s="3"/>
      <c r="L238" s="3"/>
      <c r="M238" s="3"/>
      <c r="N238" s="3"/>
      <c r="O238" s="3"/>
      <c r="P238" s="3"/>
      <c r="Q238" s="19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</row>
    <row r="239" ht="31.5" customHeight="1">
      <c r="A239" s="233" t="s">
        <v>1643</v>
      </c>
      <c r="C239" s="234">
        <f>IF(C238&gt;0,C234/C238,"Нет кликов")</f>
        <v>124.6866288</v>
      </c>
      <c r="E239" s="232" t="s">
        <v>1644</v>
      </c>
      <c r="K239" s="3"/>
      <c r="L239" s="3"/>
      <c r="M239" s="3"/>
      <c r="N239" s="3"/>
      <c r="O239" s="3"/>
      <c r="P239" s="3"/>
      <c r="Q239" s="19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</row>
    <row r="240" ht="31.5" customHeight="1">
      <c r="A240" s="230" t="s">
        <v>1645</v>
      </c>
      <c r="C240" s="231">
        <f>SUMIFS($T$7:$T$194,$Q$7:$Q$194,"Тригггер",$H$7:$H$194,"Вышло",$G$7:$G$194,"&gt;="&amp;DATE(2026,9,1),$G$7:$G$194,"&lt;"&amp;DATE(2026,10,1))+SUMIFS($T$7:$T$194,$Q$7:$Q$194,"триггер",$H$7:$H$194,"Вышло",$G$7:$G$194,"&gt;="&amp;DATE(2026,9,1),$G$7:$G$194,"&lt;"&amp;DATE(2026,10,1))</f>
        <v>2299926</v>
      </c>
      <c r="E240" s="232" t="s">
        <v>1646</v>
      </c>
      <c r="K240" s="3"/>
      <c r="L240" s="3"/>
      <c r="M240" s="3"/>
      <c r="N240" s="3"/>
      <c r="O240" s="3"/>
      <c r="P240" s="3"/>
      <c r="Q240" s="19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</row>
    <row r="241" ht="31.5" customHeight="1">
      <c r="A241" s="233" t="s">
        <v>1647</v>
      </c>
      <c r="C241" s="235">
        <f>IF(C240&gt;0,C234/C240,"Нет охвата")</f>
        <v>0.3150336141</v>
      </c>
      <c r="E241" s="232" t="s">
        <v>1648</v>
      </c>
      <c r="K241" s="3"/>
      <c r="L241" s="3"/>
      <c r="M241" s="3"/>
      <c r="N241" s="3"/>
      <c r="O241" s="3"/>
      <c r="P241" s="3"/>
      <c r="Q241" s="19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</row>
    <row r="242" ht="31.5" customHeight="1">
      <c r="A242" s="230" t="s">
        <v>1649</v>
      </c>
      <c r="C242" s="231">
        <f>SUMIFS($L$7:$L$194,$Q$7:$Q$194,"Тригггер",$H$7:$H$194,"Вышло",$G$7:$G$194,"&gt;="&amp;DATE(2026,9,1),$G$7:$G$194,"&lt;"&amp;DATE(2026,10,1),$T$7:$T$194,"&gt;0")+SUMIFS($L$7:$L$194,$Q$7:$Q$194,"триггер",$H$7:$H$194,"Вышло",$G$7:$G$194,"&gt;="&amp;DATE(2026,9,1),$G$7:$G$194,"&lt;"&amp;DATE(2026,10,1),$T$7:$T$194,"&gt;0")</f>
        <v>720640</v>
      </c>
      <c r="E242" s="232" t="s">
        <v>1650</v>
      </c>
      <c r="K242" s="3"/>
      <c r="L242" s="3"/>
      <c r="M242" s="3"/>
      <c r="N242" s="3"/>
      <c r="O242" s="3"/>
      <c r="P242" s="3"/>
      <c r="Q242" s="19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</row>
    <row r="243" ht="31.5" customHeight="1">
      <c r="A243" s="233" t="s">
        <v>1651</v>
      </c>
      <c r="C243" s="235">
        <f>IF(C240&gt;0,C242/C240,"Нет охвата")</f>
        <v>0.3133318202</v>
      </c>
      <c r="E243" s="232" t="s">
        <v>1652</v>
      </c>
      <c r="K243" s="3"/>
      <c r="L243" s="3"/>
      <c r="M243" s="3"/>
      <c r="N243" s="3"/>
      <c r="O243" s="3"/>
      <c r="P243" s="3"/>
      <c r="Q243" s="19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</row>
    <row r="244" ht="31.5" customHeight="1">
      <c r="A244" s="230" t="s">
        <v>1653</v>
      </c>
      <c r="C244" s="231">
        <f>C234-C242</f>
        <v>3914</v>
      </c>
      <c r="E244" s="232" t="s">
        <v>1654</v>
      </c>
      <c r="K244" s="3"/>
      <c r="L244" s="3"/>
      <c r="M244" s="3"/>
      <c r="N244" s="3"/>
      <c r="O244" s="3"/>
      <c r="P244" s="3"/>
      <c r="Q244" s="19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</row>
    <row r="245" ht="24.75" customHeight="1">
      <c r="A245" s="230"/>
      <c r="B245" s="230"/>
      <c r="C245" s="230"/>
      <c r="D245" s="230"/>
      <c r="E245" s="230"/>
      <c r="F245" s="230"/>
      <c r="G245" s="230"/>
      <c r="H245" s="230"/>
      <c r="I245" s="230"/>
      <c r="J245" s="230"/>
      <c r="K245" s="3"/>
      <c r="L245" s="3"/>
      <c r="M245" s="3"/>
      <c r="N245" s="3"/>
      <c r="O245" s="3"/>
      <c r="P245" s="3"/>
      <c r="Q245" s="19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</row>
    <row r="246" ht="24.75" customHeight="1">
      <c r="A246" s="229" t="s">
        <v>1655</v>
      </c>
      <c r="K246" s="3"/>
      <c r="L246" s="3"/>
      <c r="M246" s="3"/>
      <c r="N246" s="3"/>
      <c r="O246" s="3"/>
      <c r="P246" s="3"/>
      <c r="Q246" s="19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</row>
    <row r="247" ht="33.75" customHeight="1">
      <c r="A247" s="236" t="s">
        <v>726</v>
      </c>
      <c r="C247" s="236" t="s">
        <v>1634</v>
      </c>
      <c r="E247" s="236" t="s">
        <v>1656</v>
      </c>
      <c r="G247" s="236" t="s">
        <v>1657</v>
      </c>
      <c r="I247" s="236" t="s">
        <v>1636</v>
      </c>
      <c r="K247" s="3"/>
      <c r="L247" s="3"/>
      <c r="M247" s="3"/>
      <c r="N247" s="3"/>
      <c r="O247" s="3"/>
      <c r="P247" s="3"/>
      <c r="Q247" s="19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</row>
    <row r="248" ht="24.75" customHeight="1">
      <c r="A248" s="230" t="s">
        <v>736</v>
      </c>
      <c r="C248" s="231">
        <f>SUMIFS($L$7:$L$194,$Q$7:$Q$194,"Клевая карта",$H$7:$H$194,"Вышло",$G$7:$G$194,"&gt;="&amp;DATE(2026,9,1),$G$7:$G$194,"&lt;"&amp;DATE(2026,10,1))</f>
        <v>116860</v>
      </c>
      <c r="E248" s="231">
        <f>SUMIFS($X$7:$X$194,$Q$7:$Q$194,"Клевая карта",$H$7:$H$194,"Вышло",$G$7:$G$194,"&gt;="&amp;DATE(2026,9,1),$G$7:$G$194,"&lt;"&amp;DATE(2026,10,1))</f>
        <v>1626</v>
      </c>
      <c r="G248" s="237">
        <f t="shared" ref="G248:G249" si="96">IF(E248&gt;0,C248/E248,"Нет регистраций")</f>
        <v>71.8696187</v>
      </c>
      <c r="I248" s="231">
        <f>COUNTIFS($Q$7:$Q$194,"Клевая карта",$H$7:$H$194,"Вышло",$G$7:$G$194,"&gt;="&amp;DATE(2026,9,1),$G$7:$G$194,"&lt;"&amp;DATE(2026,10,1))</f>
        <v>58</v>
      </c>
      <c r="K248" s="3"/>
      <c r="L248" s="3"/>
      <c r="M248" s="3"/>
      <c r="N248" s="3"/>
      <c r="O248" s="3"/>
      <c r="P248" s="3"/>
      <c r="Q248" s="19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</row>
    <row r="249" ht="24.75" customHeight="1">
      <c r="A249" s="230" t="s">
        <v>737</v>
      </c>
      <c r="C249" s="231">
        <f>SUMIFS($L$7:$L$194,$Q$7:$Q$194,"Зеленый доктор",$H$7:$H$194,"Вышло",$G$7:$G$194,"&gt;="&amp;DATE(2026,9,1),$G$7:$G$194,"&lt;"&amp;DATE(2026,10,1))</f>
        <v>30242</v>
      </c>
      <c r="E249" s="231">
        <f>SUMIFS($X$7:$X$194,$Q$7:$Q$194,"Зеленый доктор",$H$7:$H$194,"Вышло",$G$7:$G$194,"&gt;="&amp;DATE(2026,9,1),$G$7:$G$194,"&lt;"&amp;DATE(2026,10,1))</f>
        <v>268</v>
      </c>
      <c r="G249" s="237">
        <f t="shared" si="96"/>
        <v>112.8432836</v>
      </c>
      <c r="I249" s="231">
        <f>COUNTIFS($Q$7:$Q$194,"Зеленый доктор",$H$7:$H$194,"Вышло",$G$7:$G$194,"&gt;="&amp;DATE(2026,9,1),$G$7:$G$194,"&lt;"&amp;DATE(2026,10,1))</f>
        <v>20</v>
      </c>
      <c r="K249" s="3"/>
      <c r="L249" s="3"/>
      <c r="M249" s="3"/>
      <c r="N249" s="3"/>
      <c r="O249" s="3"/>
      <c r="P249" s="3"/>
      <c r="Q249" s="19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</row>
    <row r="250" ht="24.75" customHeight="1">
      <c r="A250" s="230"/>
      <c r="B250" s="230"/>
      <c r="C250" s="230"/>
      <c r="D250" s="230"/>
      <c r="E250" s="230"/>
      <c r="F250" s="230"/>
      <c r="G250" s="230"/>
      <c r="H250" s="230"/>
      <c r="I250" s="230"/>
      <c r="J250" s="230"/>
      <c r="K250" s="3"/>
      <c r="L250" s="3"/>
      <c r="M250" s="3"/>
      <c r="N250" s="3"/>
      <c r="O250" s="3"/>
      <c r="P250" s="3"/>
      <c r="Q250" s="19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</row>
    <row r="251" ht="31.5" customHeight="1">
      <c r="A251" s="232" t="s">
        <v>1658</v>
      </c>
      <c r="K251" s="3"/>
      <c r="L251" s="3"/>
      <c r="M251" s="3"/>
      <c r="N251" s="3"/>
      <c r="O251" s="3"/>
      <c r="P251" s="3"/>
      <c r="Q251" s="19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</row>
    <row r="252" ht="24.75" customHeight="1">
      <c r="A252" s="230"/>
      <c r="B252" s="230"/>
      <c r="C252" s="230"/>
      <c r="D252" s="230"/>
      <c r="E252" s="230"/>
      <c r="F252" s="230"/>
      <c r="G252" s="230"/>
      <c r="H252" s="230"/>
      <c r="I252" s="230"/>
      <c r="J252" s="230"/>
      <c r="K252" s="3"/>
      <c r="L252" s="3"/>
      <c r="M252" s="3"/>
      <c r="N252" s="3"/>
      <c r="O252" s="3"/>
      <c r="P252" s="3"/>
      <c r="Q252" s="19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</row>
    <row r="253" ht="24.75" customHeight="1">
      <c r="A253" s="229" t="s">
        <v>1659</v>
      </c>
      <c r="K253" s="3"/>
      <c r="L253" s="3"/>
      <c r="M253" s="3"/>
      <c r="N253" s="3"/>
      <c r="O253" s="3"/>
      <c r="P253" s="3"/>
      <c r="Q253" s="19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</row>
    <row r="254" ht="31.5" customHeight="1">
      <c r="A254" s="236" t="s">
        <v>1660</v>
      </c>
      <c r="C254" s="236" t="s">
        <v>1</v>
      </c>
      <c r="D254" s="236" t="s">
        <v>1634</v>
      </c>
      <c r="E254" s="236" t="s">
        <v>1661</v>
      </c>
      <c r="F254" s="236" t="s">
        <v>657</v>
      </c>
      <c r="G254" s="236" t="s">
        <v>1662</v>
      </c>
      <c r="I254" s="236" t="s">
        <v>1663</v>
      </c>
      <c r="K254" s="3"/>
      <c r="L254" s="3"/>
      <c r="M254" s="3"/>
      <c r="N254" s="3"/>
      <c r="O254" s="3"/>
      <c r="P254" s="3"/>
      <c r="Q254" s="19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</row>
    <row r="255" ht="37.5" customHeight="1">
      <c r="A255" s="238" t="str">
        <f>A95</f>
        <v>РЫБАКИ СТАВРОПОЛЬЯ</v>
      </c>
      <c r="C255" s="232" t="s">
        <v>786</v>
      </c>
      <c r="D255" s="231">
        <f>L95</f>
        <v>629</v>
      </c>
      <c r="E255" s="231">
        <f>AB95</f>
        <v>5</v>
      </c>
      <c r="F255" s="237">
        <f t="shared" ref="F255:F261" si="97">IF(E255&gt;0,D255/E255,"Нет заказов")</f>
        <v>125.8</v>
      </c>
      <c r="G255" s="237">
        <f>IF(SUM(V95)&gt;0,D255/SUM(V95),"Нет кликов")</f>
        <v>13.38297872</v>
      </c>
      <c r="I255" s="230" t="s">
        <v>1664</v>
      </c>
      <c r="K255" s="3"/>
      <c r="L255" s="3"/>
      <c r="M255" s="3"/>
      <c r="N255" s="3"/>
      <c r="O255" s="3"/>
      <c r="P255" s="3"/>
      <c r="Q255" s="19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</row>
    <row r="256" ht="37.5" customHeight="1">
      <c r="A256" s="238" t="str">
        <f>A10</f>
        <v>Рыбалка в Ростове и Ростовской области</v>
      </c>
      <c r="C256" s="232" t="s">
        <v>244</v>
      </c>
      <c r="D256" s="231">
        <f>L10</f>
        <v>3571</v>
      </c>
      <c r="E256" s="231">
        <f>AB10</f>
        <v>7</v>
      </c>
      <c r="F256" s="237">
        <f t="shared" si="97"/>
        <v>510.1428571</v>
      </c>
      <c r="G256" s="237">
        <f>IF(SUM(V10)&gt;0,D256/SUM(V10),"Нет кликов")</f>
        <v>43.02409639</v>
      </c>
      <c r="I256" s="230" t="s">
        <v>1665</v>
      </c>
      <c r="K256" s="3"/>
      <c r="L256" s="3"/>
      <c r="M256" s="3"/>
      <c r="N256" s="3"/>
      <c r="O256" s="3"/>
      <c r="P256" s="3"/>
      <c r="Q256" s="19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</row>
    <row r="257" ht="37.5" customHeight="1">
      <c r="A257" s="238" t="str">
        <f>A39</f>
        <v>Рыбалка в МАКС</v>
      </c>
      <c r="C257" s="232" t="s">
        <v>786</v>
      </c>
      <c r="D257" s="231">
        <f>L39</f>
        <v>3200</v>
      </c>
      <c r="E257" s="231">
        <f>AB39</f>
        <v>6</v>
      </c>
      <c r="F257" s="237">
        <f t="shared" si="97"/>
        <v>533.3333333</v>
      </c>
      <c r="G257" s="237">
        <f>IF(SUM(V39)&gt;0,D257/SUM(V39),"Нет кликов")</f>
        <v>37.64705882</v>
      </c>
      <c r="I257" s="230" t="s">
        <v>1666</v>
      </c>
      <c r="K257" s="3"/>
      <c r="L257" s="3"/>
      <c r="M257" s="3"/>
      <c r="N257" s="3"/>
      <c r="O257" s="3"/>
      <c r="P257" s="3"/>
      <c r="Q257" s="19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</row>
    <row r="258" ht="37.5" customHeight="1">
      <c r="A258" s="232" t="str">
        <f>"Солнце на крючке (пакет)"</f>
        <v>Солнце на крючке (пакет)</v>
      </c>
      <c r="C258" s="232" t="s">
        <v>1667</v>
      </c>
      <c r="D258" s="231">
        <f>L149+L150+L151+L152+L153+L154+L155</f>
        <v>27201</v>
      </c>
      <c r="E258" s="231">
        <f>AB149+AB150+AB151+AB152+AB153+AB154+AB155</f>
        <v>48</v>
      </c>
      <c r="F258" s="237">
        <f t="shared" si="97"/>
        <v>566.6875</v>
      </c>
      <c r="G258" s="237">
        <f>IF(SUM(V149,V150,V151,V152,V153,V154,V155)&gt;0,D258/SUM(V149,V150,V151,V152,V153,V154,V155),"Нет кликов")</f>
        <v>133.9950739</v>
      </c>
      <c r="I258" s="230" t="s">
        <v>1668</v>
      </c>
      <c r="K258" s="3"/>
      <c r="L258" s="3"/>
      <c r="M258" s="3"/>
      <c r="N258" s="3"/>
      <c r="O258" s="3"/>
      <c r="P258" s="3"/>
      <c r="Q258" s="19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</row>
    <row r="259" ht="37.5" customHeight="1">
      <c r="A259" s="238" t="str">
        <f>A34</f>
        <v>Рыбалка | Рыбанутые | Охота | Туризм</v>
      </c>
      <c r="C259" s="232" t="s">
        <v>37</v>
      </c>
      <c r="D259" s="231">
        <f>L34</f>
        <v>15000</v>
      </c>
      <c r="E259" s="231">
        <f>AB34</f>
        <v>21</v>
      </c>
      <c r="F259" s="237">
        <f t="shared" si="97"/>
        <v>714.2857143</v>
      </c>
      <c r="G259" s="237">
        <f>IF(SUM(V34)&gt;0,D259/SUM(V34),"Нет кликов")</f>
        <v>56.81818182</v>
      </c>
      <c r="I259" s="230" t="s">
        <v>1669</v>
      </c>
      <c r="K259" s="3"/>
      <c r="L259" s="3"/>
      <c r="M259" s="3"/>
      <c r="N259" s="3"/>
      <c r="O259" s="3"/>
      <c r="P259" s="3"/>
      <c r="Q259" s="19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</row>
    <row r="260" ht="37.5" customHeight="1">
      <c r="A260" s="238" t="str">
        <f>A113</f>
        <v>Механик со Стажем</v>
      </c>
      <c r="C260" s="232" t="s">
        <v>786</v>
      </c>
      <c r="D260" s="231">
        <f>L113</f>
        <v>10489</v>
      </c>
      <c r="E260" s="231">
        <f>AB113</f>
        <v>9</v>
      </c>
      <c r="F260" s="237">
        <f t="shared" si="97"/>
        <v>1165.444444</v>
      </c>
      <c r="G260" s="237">
        <f>IF(SUM(V113)&gt;0,D260/SUM(V113),"Нет кликов")</f>
        <v>161.3692308</v>
      </c>
      <c r="I260" s="230" t="s">
        <v>1670</v>
      </c>
      <c r="K260" s="3"/>
      <c r="L260" s="3"/>
      <c r="M260" s="3"/>
      <c r="N260" s="3"/>
      <c r="O260" s="3"/>
      <c r="P260" s="3"/>
      <c r="Q260" s="19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</row>
    <row r="261" ht="37.5" customHeight="1">
      <c r="A261" s="238" t="str">
        <f>A140</f>
        <v>derevenski_parenek</v>
      </c>
      <c r="C261" s="232" t="s">
        <v>292</v>
      </c>
      <c r="D261" s="231">
        <f>L140</f>
        <v>63600</v>
      </c>
      <c r="E261" s="231">
        <f>AB140</f>
        <v>41</v>
      </c>
      <c r="F261" s="237">
        <f t="shared" si="97"/>
        <v>1551.219512</v>
      </c>
      <c r="G261" s="237">
        <f>IF(SUM(V140)&gt;0,D261/SUM(V140),"Нет кликов")</f>
        <v>34.02889246</v>
      </c>
      <c r="I261" s="230" t="s">
        <v>1671</v>
      </c>
      <c r="K261" s="3"/>
      <c r="L261" s="3"/>
      <c r="M261" s="3"/>
      <c r="N261" s="3"/>
      <c r="O261" s="3"/>
      <c r="P261" s="3"/>
      <c r="Q261" s="19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</row>
    <row r="262" ht="24.75" customHeight="1">
      <c r="A262" s="230"/>
      <c r="B262" s="230"/>
      <c r="C262" s="230"/>
      <c r="D262" s="230"/>
      <c r="E262" s="230"/>
      <c r="F262" s="230"/>
      <c r="G262" s="230"/>
      <c r="H262" s="230"/>
      <c r="I262" s="230"/>
      <c r="J262" s="230"/>
      <c r="K262" s="3"/>
      <c r="L262" s="3"/>
      <c r="M262" s="3"/>
      <c r="N262" s="3"/>
      <c r="O262" s="3"/>
      <c r="P262" s="3"/>
      <c r="Q262" s="19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</row>
    <row r="263" ht="31.5" customHeight="1">
      <c r="A263" s="232" t="s">
        <v>1672</v>
      </c>
      <c r="K263" s="3"/>
      <c r="L263" s="3"/>
      <c r="M263" s="3"/>
      <c r="N263" s="3"/>
      <c r="O263" s="3"/>
      <c r="P263" s="3"/>
      <c r="Q263" s="19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</row>
    <row r="264" ht="31.5" customHeight="1">
      <c r="A264" s="232" t="s">
        <v>1673</v>
      </c>
      <c r="K264" s="3"/>
      <c r="L264" s="3"/>
      <c r="M264" s="3"/>
      <c r="N264" s="3"/>
      <c r="O264" s="3"/>
      <c r="P264" s="3"/>
      <c r="Q264" s="19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</row>
    <row r="265" ht="24.75" customHeight="1">
      <c r="A265" s="230"/>
      <c r="B265" s="230"/>
      <c r="C265" s="230"/>
      <c r="D265" s="230"/>
      <c r="E265" s="230"/>
      <c r="F265" s="230"/>
      <c r="G265" s="230"/>
      <c r="H265" s="230"/>
      <c r="I265" s="230"/>
      <c r="J265" s="230"/>
      <c r="K265" s="3"/>
      <c r="L265" s="3"/>
      <c r="M265" s="3"/>
      <c r="N265" s="3"/>
      <c r="O265" s="3"/>
      <c r="P265" s="3"/>
      <c r="Q265" s="19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</row>
    <row r="266" ht="24.75" customHeight="1">
      <c r="A266" s="229" t="s">
        <v>1674</v>
      </c>
      <c r="K266" s="3"/>
      <c r="L266" s="3"/>
      <c r="M266" s="3"/>
      <c r="N266" s="3"/>
      <c r="O266" s="3"/>
      <c r="P266" s="3"/>
      <c r="Q266" s="19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</row>
    <row r="267" ht="24.75" customHeight="1">
      <c r="A267" s="239" t="str">
        <f>A11</f>
        <v>Рыболовный клуб "БерФишинг"</v>
      </c>
      <c r="C267" s="230" t="s">
        <v>244</v>
      </c>
      <c r="D267" s="231">
        <f>L11</f>
        <v>141</v>
      </c>
      <c r="E267" s="231">
        <f>AB11</f>
        <v>4</v>
      </c>
      <c r="F267" s="237">
        <f>IF(E267&gt;0,D267/E267,"Нет заказов")</f>
        <v>35.25</v>
      </c>
      <c r="G267" s="230" t="s">
        <v>1675</v>
      </c>
      <c r="K267" s="3"/>
      <c r="L267" s="3"/>
      <c r="M267" s="3"/>
      <c r="N267" s="3"/>
      <c r="O267" s="3"/>
      <c r="P267" s="3"/>
      <c r="Q267" s="19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</row>
    <row r="268" ht="24.75" customHeight="1">
      <c r="A268" s="230"/>
      <c r="B268" s="230"/>
      <c r="C268" s="230"/>
      <c r="D268" s="230"/>
      <c r="E268" s="230"/>
      <c r="F268" s="230"/>
      <c r="G268" s="230"/>
      <c r="H268" s="230"/>
      <c r="I268" s="230"/>
      <c r="J268" s="230"/>
      <c r="K268" s="3"/>
      <c r="L268" s="3"/>
      <c r="M268" s="3"/>
      <c r="N268" s="3"/>
      <c r="O268" s="3"/>
      <c r="P268" s="3"/>
      <c r="Q268" s="19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</row>
    <row r="269" ht="24.75" customHeight="1">
      <c r="A269" s="229" t="s">
        <v>1676</v>
      </c>
      <c r="K269" s="3"/>
      <c r="L269" s="3"/>
      <c r="M269" s="3"/>
      <c r="N269" s="3"/>
      <c r="O269" s="3"/>
      <c r="P269" s="3"/>
      <c r="Q269" s="19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</row>
    <row r="270" ht="31.5" customHeight="1">
      <c r="A270" s="236" t="s">
        <v>1660</v>
      </c>
      <c r="C270" s="236" t="s">
        <v>726</v>
      </c>
      <c r="D270" s="236" t="s">
        <v>1634</v>
      </c>
      <c r="E270" s="236" t="s">
        <v>731</v>
      </c>
      <c r="F270" s="236" t="s">
        <v>1677</v>
      </c>
      <c r="G270" s="236" t="s">
        <v>1678</v>
      </c>
      <c r="K270" s="3"/>
      <c r="L270" s="3"/>
      <c r="M270" s="3"/>
      <c r="N270" s="3"/>
      <c r="O270" s="3"/>
      <c r="P270" s="3"/>
      <c r="Q270" s="19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</row>
    <row r="271" ht="42.0" customHeight="1">
      <c r="A271" s="238" t="str">
        <f>A59</f>
        <v>РЫБАЛКА В МОСКВЕ И ПОДМОСКОВЬЕ</v>
      </c>
      <c r="C271" s="232" t="s">
        <v>736</v>
      </c>
      <c r="D271" s="231">
        <f>L59</f>
        <v>692</v>
      </c>
      <c r="E271" s="231">
        <f>X59</f>
        <v>85</v>
      </c>
      <c r="F271" s="237">
        <f t="shared" ref="F271:F276" si="98">IF(E271&gt;0,D271/E271,"Нет регистраций")</f>
        <v>8.141176471</v>
      </c>
      <c r="G271" s="230" t="s">
        <v>1679</v>
      </c>
      <c r="K271" s="3"/>
      <c r="L271" s="3"/>
      <c r="M271" s="3"/>
      <c r="N271" s="3"/>
      <c r="O271" s="3"/>
      <c r="P271" s="3"/>
      <c r="Q271" s="19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</row>
    <row r="272" ht="42.0" customHeight="1">
      <c r="A272" s="238" t="str">
        <f>A84</f>
        <v>Рыбалка на фидер в СПб</v>
      </c>
      <c r="C272" s="232" t="s">
        <v>736</v>
      </c>
      <c r="D272" s="231">
        <f>L84</f>
        <v>377</v>
      </c>
      <c r="E272" s="231">
        <f>X84</f>
        <v>24</v>
      </c>
      <c r="F272" s="237">
        <f t="shared" si="98"/>
        <v>15.70833333</v>
      </c>
      <c r="G272" s="230" t="s">
        <v>1680</v>
      </c>
      <c r="K272" s="3"/>
      <c r="L272" s="3"/>
      <c r="M272" s="3"/>
      <c r="N272" s="3"/>
      <c r="O272" s="3"/>
      <c r="P272" s="3"/>
      <c r="Q272" s="19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</row>
    <row r="273" ht="42.0" customHeight="1">
      <c r="A273" s="238" t="str">
        <f>A87</f>
        <v>Рыбалка Донецк ДНР</v>
      </c>
      <c r="C273" s="232" t="s">
        <v>736</v>
      </c>
      <c r="D273" s="231">
        <f>L87</f>
        <v>2097</v>
      </c>
      <c r="E273" s="231">
        <f>X87</f>
        <v>122</v>
      </c>
      <c r="F273" s="237">
        <f t="shared" si="98"/>
        <v>17.18852459</v>
      </c>
      <c r="G273" s="230" t="s">
        <v>1681</v>
      </c>
      <c r="K273" s="3"/>
      <c r="L273" s="3"/>
      <c r="M273" s="3"/>
      <c r="N273" s="3"/>
      <c r="O273" s="3"/>
      <c r="P273" s="3"/>
      <c r="Q273" s="19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</row>
    <row r="274" ht="42.0" customHeight="1">
      <c r="A274" s="238" t="str">
        <f>A74</f>
        <v>Цветы Мира</v>
      </c>
      <c r="C274" s="232" t="s">
        <v>737</v>
      </c>
      <c r="D274" s="231">
        <f>L74</f>
        <v>699</v>
      </c>
      <c r="E274" s="231">
        <f>X74</f>
        <v>22</v>
      </c>
      <c r="F274" s="237">
        <f t="shared" si="98"/>
        <v>31.77272727</v>
      </c>
      <c r="G274" s="230" t="s">
        <v>1682</v>
      </c>
      <c r="K274" s="3"/>
      <c r="L274" s="3"/>
      <c r="M274" s="3"/>
      <c r="N274" s="3"/>
      <c r="O274" s="3"/>
      <c r="P274" s="3"/>
      <c r="Q274" s="19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</row>
    <row r="275" ht="42.0" customHeight="1">
      <c r="A275" s="238" t="str">
        <f>A67</f>
        <v>Our Flow 🌷 Цветы для всех</v>
      </c>
      <c r="C275" s="232" t="s">
        <v>737</v>
      </c>
      <c r="D275" s="231">
        <f>L67</f>
        <v>447</v>
      </c>
      <c r="E275" s="231">
        <f>X67</f>
        <v>14</v>
      </c>
      <c r="F275" s="237">
        <f t="shared" si="98"/>
        <v>31.92857143</v>
      </c>
      <c r="G275" s="230" t="s">
        <v>1683</v>
      </c>
      <c r="K275" s="3"/>
      <c r="L275" s="3"/>
      <c r="M275" s="3"/>
      <c r="N275" s="3"/>
      <c r="O275" s="3"/>
      <c r="P275" s="3"/>
      <c r="Q275" s="19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</row>
    <row r="276" ht="42.0" customHeight="1">
      <c r="A276" s="238" t="str">
        <f>A130</f>
        <v>Будни Натальи и Александра</v>
      </c>
      <c r="C276" s="232" t="s">
        <v>737</v>
      </c>
      <c r="D276" s="231">
        <f>L130</f>
        <v>769</v>
      </c>
      <c r="E276" s="231">
        <f>X130</f>
        <v>20</v>
      </c>
      <c r="F276" s="237">
        <f t="shared" si="98"/>
        <v>38.45</v>
      </c>
      <c r="G276" s="230" t="s">
        <v>1684</v>
      </c>
      <c r="K276" s="3"/>
      <c r="L276" s="3"/>
      <c r="M276" s="3"/>
      <c r="N276" s="3"/>
      <c r="O276" s="3"/>
      <c r="P276" s="3"/>
      <c r="Q276" s="19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</row>
    <row r="277" ht="24.75" customHeight="1">
      <c r="A277" s="230"/>
      <c r="B277" s="230"/>
      <c r="C277" s="230"/>
      <c r="D277" s="230"/>
      <c r="E277" s="230"/>
      <c r="F277" s="230"/>
      <c r="G277" s="230"/>
      <c r="H277" s="230"/>
      <c r="I277" s="230"/>
      <c r="J277" s="230"/>
      <c r="K277" s="3"/>
      <c r="L277" s="3"/>
      <c r="M277" s="3"/>
      <c r="N277" s="3"/>
      <c r="O277" s="3"/>
      <c r="P277" s="3"/>
      <c r="Q277" s="19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</row>
    <row r="278" ht="31.5" customHeight="1">
      <c r="A278" s="232" t="s">
        <v>1685</v>
      </c>
      <c r="K278" s="3"/>
      <c r="L278" s="3"/>
      <c r="M278" s="3"/>
      <c r="N278" s="55"/>
      <c r="O278" s="55"/>
      <c r="P278" s="3"/>
      <c r="Q278" s="19"/>
      <c r="R278" s="3"/>
      <c r="S278" s="55"/>
      <c r="T278" s="3"/>
      <c r="U278" s="155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</row>
    <row r="279" ht="31.5" customHeight="1">
      <c r="A279" s="232" t="s">
        <v>1686</v>
      </c>
      <c r="K279" s="3"/>
      <c r="L279" s="3"/>
      <c r="M279" s="3"/>
      <c r="N279" s="55"/>
      <c r="O279" s="55"/>
      <c r="P279" s="3"/>
      <c r="Q279" s="19"/>
      <c r="R279" s="3"/>
      <c r="S279" s="55"/>
      <c r="T279" s="3"/>
      <c r="U279" s="155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</row>
    <row r="280" ht="15.75" customHeight="1">
      <c r="A280" s="3"/>
      <c r="B280" s="3"/>
      <c r="C280" s="3"/>
      <c r="D280" s="3"/>
      <c r="E280" s="172"/>
      <c r="F280" s="3"/>
      <c r="G280" s="3"/>
      <c r="H280" s="3"/>
      <c r="I280" s="3"/>
      <c r="J280" s="3"/>
      <c r="K280" s="3"/>
      <c r="L280" s="3"/>
      <c r="M280" s="3"/>
      <c r="N280" s="55"/>
      <c r="O280" s="55"/>
      <c r="P280" s="3"/>
      <c r="Q280" s="19"/>
      <c r="R280" s="3"/>
      <c r="S280" s="55"/>
      <c r="T280" s="3"/>
      <c r="U280" s="155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</row>
    <row r="281" ht="15.75" customHeight="1">
      <c r="A281" s="3"/>
      <c r="B281" s="3"/>
      <c r="C281" s="3"/>
      <c r="D281" s="3"/>
      <c r="E281" s="172"/>
      <c r="F281" s="3"/>
      <c r="G281" s="3"/>
      <c r="H281" s="3"/>
      <c r="I281" s="3"/>
      <c r="J281" s="3"/>
      <c r="K281" s="3"/>
      <c r="L281" s="3"/>
      <c r="M281" s="3"/>
      <c r="N281" s="55"/>
      <c r="O281" s="55"/>
      <c r="P281" s="3"/>
      <c r="Q281" s="19"/>
      <c r="R281" s="3"/>
      <c r="S281" s="55"/>
      <c r="T281" s="3"/>
      <c r="U281" s="155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</row>
    <row r="282" ht="15.75" customHeight="1">
      <c r="A282" s="3"/>
      <c r="B282" s="3"/>
      <c r="C282" s="3"/>
      <c r="D282" s="3"/>
      <c r="E282" s="172"/>
      <c r="F282" s="3"/>
      <c r="G282" s="3"/>
      <c r="H282" s="3"/>
      <c r="I282" s="3"/>
      <c r="J282" s="3"/>
      <c r="K282" s="3"/>
      <c r="L282" s="3"/>
      <c r="M282" s="3"/>
      <c r="N282" s="55"/>
      <c r="O282" s="55"/>
      <c r="P282" s="3"/>
      <c r="Q282" s="19"/>
      <c r="R282" s="3"/>
      <c r="S282" s="55"/>
      <c r="T282" s="3"/>
      <c r="U282" s="155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</row>
    <row r="283" ht="15.75" customHeight="1">
      <c r="A283" s="3"/>
      <c r="B283" s="3"/>
      <c r="C283" s="3"/>
      <c r="D283" s="3"/>
      <c r="E283" s="172"/>
      <c r="F283" s="3"/>
      <c r="G283" s="3"/>
      <c r="H283" s="3"/>
      <c r="I283" s="3"/>
      <c r="J283" s="3"/>
      <c r="K283" s="3"/>
      <c r="L283" s="3"/>
      <c r="M283" s="3"/>
      <c r="N283" s="55"/>
      <c r="O283" s="55"/>
      <c r="P283" s="3"/>
      <c r="Q283" s="19"/>
      <c r="R283" s="3"/>
      <c r="S283" s="55"/>
      <c r="T283" s="3"/>
      <c r="U283" s="155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</row>
    <row r="284" ht="15.75" customHeight="1">
      <c r="A284" s="3"/>
      <c r="B284" s="3"/>
      <c r="C284" s="3"/>
      <c r="D284" s="3"/>
      <c r="E284" s="172"/>
      <c r="F284" s="3"/>
      <c r="G284" s="3"/>
      <c r="H284" s="3"/>
      <c r="I284" s="3"/>
      <c r="J284" s="3"/>
      <c r="K284" s="3"/>
      <c r="L284" s="3"/>
      <c r="M284" s="3"/>
      <c r="N284" s="55"/>
      <c r="O284" s="55"/>
      <c r="P284" s="3"/>
      <c r="Q284" s="19"/>
      <c r="R284" s="3"/>
      <c r="S284" s="55"/>
      <c r="T284" s="3"/>
      <c r="U284" s="155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</row>
    <row r="285" ht="15.75" customHeight="1">
      <c r="A285" s="3"/>
      <c r="B285" s="3"/>
      <c r="C285" s="3"/>
      <c r="D285" s="3"/>
      <c r="E285" s="172"/>
      <c r="F285" s="3"/>
      <c r="G285" s="3"/>
      <c r="H285" s="3"/>
      <c r="I285" s="3"/>
      <c r="J285" s="3"/>
      <c r="K285" s="3"/>
      <c r="L285" s="3"/>
      <c r="M285" s="3"/>
      <c r="N285" s="55"/>
      <c r="O285" s="55"/>
      <c r="P285" s="3"/>
      <c r="Q285" s="19"/>
      <c r="R285" s="3"/>
      <c r="S285" s="55"/>
      <c r="T285" s="3"/>
      <c r="U285" s="155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</row>
    <row r="286" ht="15.75" customHeight="1">
      <c r="A286" s="3"/>
      <c r="B286" s="3"/>
      <c r="C286" s="3"/>
      <c r="D286" s="3"/>
      <c r="E286" s="172"/>
      <c r="F286" s="3"/>
      <c r="G286" s="3"/>
      <c r="H286" s="3"/>
      <c r="I286" s="3"/>
      <c r="J286" s="3"/>
      <c r="K286" s="3"/>
      <c r="L286" s="3"/>
      <c r="M286" s="3"/>
      <c r="N286" s="55"/>
      <c r="O286" s="55"/>
      <c r="P286" s="3"/>
      <c r="Q286" s="19"/>
      <c r="R286" s="3"/>
      <c r="S286" s="55"/>
      <c r="T286" s="3"/>
      <c r="U286" s="155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</row>
    <row r="287" ht="15.75" customHeight="1">
      <c r="A287" s="3"/>
      <c r="B287" s="3"/>
      <c r="C287" s="3"/>
      <c r="D287" s="3"/>
      <c r="E287" s="172"/>
      <c r="F287" s="3"/>
      <c r="G287" s="3"/>
      <c r="H287" s="3"/>
      <c r="I287" s="3"/>
      <c r="J287" s="3"/>
      <c r="K287" s="3"/>
      <c r="L287" s="3"/>
      <c r="M287" s="3"/>
      <c r="N287" s="55"/>
      <c r="O287" s="55"/>
      <c r="P287" s="3"/>
      <c r="Q287" s="19"/>
      <c r="R287" s="3"/>
      <c r="S287" s="55"/>
      <c r="T287" s="3"/>
      <c r="U287" s="155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</row>
    <row r="288" ht="15.75" customHeight="1">
      <c r="A288" s="3"/>
      <c r="B288" s="3"/>
      <c r="C288" s="3"/>
      <c r="D288" s="3"/>
      <c r="E288" s="172"/>
      <c r="F288" s="3"/>
      <c r="G288" s="3"/>
      <c r="H288" s="3"/>
      <c r="I288" s="3"/>
      <c r="J288" s="3"/>
      <c r="K288" s="3"/>
      <c r="L288" s="3"/>
      <c r="M288" s="3"/>
      <c r="N288" s="55"/>
      <c r="O288" s="55"/>
      <c r="P288" s="3"/>
      <c r="Q288" s="19"/>
      <c r="R288" s="3"/>
      <c r="S288" s="55"/>
      <c r="T288" s="3"/>
      <c r="U288" s="155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</row>
    <row r="289" ht="15.75" customHeight="1">
      <c r="A289" s="3"/>
      <c r="B289" s="3"/>
      <c r="C289" s="3"/>
      <c r="D289" s="3"/>
      <c r="E289" s="172"/>
      <c r="F289" s="3"/>
      <c r="G289" s="3"/>
      <c r="H289" s="3"/>
      <c r="I289" s="3"/>
      <c r="J289" s="3"/>
      <c r="K289" s="3"/>
      <c r="L289" s="3"/>
      <c r="M289" s="3"/>
      <c r="N289" s="55"/>
      <c r="O289" s="55"/>
      <c r="P289" s="3"/>
      <c r="Q289" s="19"/>
      <c r="R289" s="3"/>
      <c r="S289" s="55"/>
      <c r="T289" s="3"/>
      <c r="U289" s="155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</row>
    <row r="290" ht="15.75" customHeight="1">
      <c r="A290" s="3"/>
      <c r="B290" s="3"/>
      <c r="C290" s="3"/>
      <c r="D290" s="3"/>
      <c r="E290" s="172"/>
      <c r="F290" s="3"/>
      <c r="G290" s="3"/>
      <c r="H290" s="3"/>
      <c r="I290" s="3"/>
      <c r="J290" s="3"/>
      <c r="K290" s="3"/>
      <c r="L290" s="3"/>
      <c r="M290" s="3"/>
      <c r="N290" s="55"/>
      <c r="O290" s="55"/>
      <c r="P290" s="3"/>
      <c r="Q290" s="19"/>
      <c r="R290" s="3"/>
      <c r="S290" s="55"/>
      <c r="T290" s="3"/>
      <c r="U290" s="155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</row>
    <row r="291" ht="15.75" customHeight="1">
      <c r="A291" s="3"/>
      <c r="B291" s="3"/>
      <c r="C291" s="3"/>
      <c r="D291" s="3"/>
      <c r="E291" s="172"/>
      <c r="F291" s="3"/>
      <c r="G291" s="3"/>
      <c r="H291" s="3"/>
      <c r="I291" s="3"/>
      <c r="J291" s="3"/>
      <c r="K291" s="3"/>
      <c r="L291" s="3"/>
      <c r="M291" s="3"/>
      <c r="N291" s="55"/>
      <c r="O291" s="55"/>
      <c r="P291" s="3"/>
      <c r="Q291" s="19"/>
      <c r="R291" s="3"/>
      <c r="S291" s="55"/>
      <c r="T291" s="3"/>
      <c r="U291" s="155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</row>
    <row r="292" ht="15.75" customHeight="1">
      <c r="A292" s="3"/>
      <c r="B292" s="3"/>
      <c r="C292" s="3"/>
      <c r="D292" s="3"/>
      <c r="E292" s="172"/>
      <c r="F292" s="3"/>
      <c r="G292" s="3"/>
      <c r="H292" s="3"/>
      <c r="I292" s="3"/>
      <c r="J292" s="3"/>
      <c r="K292" s="3"/>
      <c r="L292" s="3"/>
      <c r="M292" s="3"/>
      <c r="N292" s="55"/>
      <c r="O292" s="55"/>
      <c r="P292" s="3"/>
      <c r="Q292" s="19"/>
      <c r="R292" s="3"/>
      <c r="S292" s="55"/>
      <c r="T292" s="3"/>
      <c r="U292" s="155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</row>
    <row r="293" ht="15.75" customHeight="1">
      <c r="A293" s="3"/>
      <c r="B293" s="3"/>
      <c r="C293" s="3"/>
      <c r="D293" s="3"/>
      <c r="E293" s="172"/>
      <c r="F293" s="3"/>
      <c r="G293" s="3"/>
      <c r="H293" s="3"/>
      <c r="I293" s="3"/>
      <c r="J293" s="3"/>
      <c r="K293" s="3"/>
      <c r="L293" s="3"/>
      <c r="M293" s="3"/>
      <c r="N293" s="55"/>
      <c r="O293" s="55"/>
      <c r="P293" s="3"/>
      <c r="Q293" s="19"/>
      <c r="R293" s="3"/>
      <c r="S293" s="55"/>
      <c r="T293" s="3"/>
      <c r="U293" s="155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</row>
    <row r="294" ht="15.75" customHeight="1">
      <c r="A294" s="3"/>
      <c r="B294" s="3"/>
      <c r="C294" s="3"/>
      <c r="D294" s="3"/>
      <c r="E294" s="172"/>
      <c r="F294" s="3"/>
      <c r="G294" s="3"/>
      <c r="H294" s="3"/>
      <c r="I294" s="3"/>
      <c r="J294" s="3"/>
      <c r="K294" s="3"/>
      <c r="L294" s="3"/>
      <c r="M294" s="3"/>
      <c r="N294" s="55"/>
      <c r="O294" s="55"/>
      <c r="P294" s="3"/>
      <c r="Q294" s="19"/>
      <c r="R294" s="3"/>
      <c r="S294" s="55"/>
      <c r="T294" s="3"/>
      <c r="U294" s="155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</row>
    <row r="295" ht="15.75" customHeight="1">
      <c r="A295" s="3"/>
      <c r="B295" s="3"/>
      <c r="C295" s="3"/>
      <c r="D295" s="3"/>
      <c r="E295" s="172"/>
      <c r="F295" s="3"/>
      <c r="G295" s="3"/>
      <c r="H295" s="3"/>
      <c r="I295" s="3"/>
      <c r="J295" s="3"/>
      <c r="K295" s="3"/>
      <c r="L295" s="3"/>
      <c r="M295" s="3"/>
      <c r="N295" s="55"/>
      <c r="O295" s="55"/>
      <c r="P295" s="3"/>
      <c r="Q295" s="19"/>
      <c r="R295" s="3"/>
      <c r="S295" s="55"/>
      <c r="T295" s="3"/>
      <c r="U295" s="155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</row>
    <row r="296" ht="15.75" customHeight="1">
      <c r="A296" s="3"/>
      <c r="B296" s="3"/>
      <c r="C296" s="3"/>
      <c r="D296" s="3"/>
      <c r="E296" s="172"/>
      <c r="F296" s="3"/>
      <c r="G296" s="3"/>
      <c r="H296" s="3"/>
      <c r="I296" s="3"/>
      <c r="J296" s="3"/>
      <c r="K296" s="3"/>
      <c r="L296" s="3"/>
      <c r="M296" s="3"/>
      <c r="N296" s="55"/>
      <c r="O296" s="55"/>
      <c r="P296" s="3"/>
      <c r="Q296" s="19"/>
      <c r="R296" s="3"/>
      <c r="S296" s="55"/>
      <c r="T296" s="3"/>
      <c r="U296" s="155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</row>
    <row r="297" ht="15.75" customHeight="1">
      <c r="A297" s="3"/>
      <c r="B297" s="3"/>
      <c r="C297" s="3"/>
      <c r="D297" s="3"/>
      <c r="E297" s="172"/>
      <c r="F297" s="3"/>
      <c r="G297" s="3"/>
      <c r="H297" s="3"/>
      <c r="I297" s="3"/>
      <c r="J297" s="3"/>
      <c r="K297" s="3"/>
      <c r="L297" s="3"/>
      <c r="M297" s="3"/>
      <c r="N297" s="55"/>
      <c r="O297" s="55"/>
      <c r="P297" s="3"/>
      <c r="Q297" s="19"/>
      <c r="R297" s="3"/>
      <c r="S297" s="55"/>
      <c r="T297" s="3"/>
      <c r="U297" s="155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</row>
    <row r="298" ht="15.75" customHeight="1">
      <c r="A298" s="3"/>
      <c r="B298" s="3"/>
      <c r="C298" s="3"/>
      <c r="D298" s="3"/>
      <c r="E298" s="172"/>
      <c r="F298" s="3"/>
      <c r="G298" s="3"/>
      <c r="H298" s="3"/>
      <c r="I298" s="3"/>
      <c r="J298" s="3"/>
      <c r="K298" s="3"/>
      <c r="L298" s="3"/>
      <c r="M298" s="3"/>
      <c r="N298" s="55"/>
      <c r="O298" s="55"/>
      <c r="P298" s="3"/>
      <c r="Q298" s="19"/>
      <c r="R298" s="3"/>
      <c r="S298" s="55"/>
      <c r="T298" s="3"/>
      <c r="U298" s="155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</row>
    <row r="299" ht="15.75" customHeight="1">
      <c r="A299" s="3"/>
      <c r="B299" s="3"/>
      <c r="C299" s="3"/>
      <c r="D299" s="3"/>
      <c r="E299" s="172"/>
      <c r="F299" s="3"/>
      <c r="G299" s="3"/>
      <c r="H299" s="3"/>
      <c r="I299" s="3"/>
      <c r="J299" s="3"/>
      <c r="K299" s="3"/>
      <c r="L299" s="3"/>
      <c r="M299" s="3"/>
      <c r="N299" s="55"/>
      <c r="O299" s="55"/>
      <c r="P299" s="3"/>
      <c r="Q299" s="19"/>
      <c r="R299" s="3"/>
      <c r="S299" s="55"/>
      <c r="T299" s="3"/>
      <c r="U299" s="155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</row>
    <row r="300" ht="15.75" customHeight="1">
      <c r="A300" s="3"/>
      <c r="B300" s="3"/>
      <c r="C300" s="3"/>
      <c r="D300" s="3"/>
      <c r="E300" s="172"/>
      <c r="F300" s="3"/>
      <c r="G300" s="3"/>
      <c r="H300" s="3"/>
      <c r="I300" s="3"/>
      <c r="J300" s="3"/>
      <c r="K300" s="3"/>
      <c r="L300" s="3"/>
      <c r="M300" s="3"/>
      <c r="N300" s="55"/>
      <c r="O300" s="55"/>
      <c r="P300" s="3"/>
      <c r="Q300" s="19"/>
      <c r="R300" s="3"/>
      <c r="S300" s="55"/>
      <c r="T300" s="3"/>
      <c r="U300" s="155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</row>
    <row r="301" ht="15.75" customHeight="1">
      <c r="A301" s="3"/>
      <c r="B301" s="3"/>
      <c r="C301" s="3"/>
      <c r="D301" s="3"/>
      <c r="E301" s="172"/>
      <c r="F301" s="3"/>
      <c r="G301" s="3"/>
      <c r="H301" s="3"/>
      <c r="I301" s="3"/>
      <c r="J301" s="3"/>
      <c r="K301" s="3"/>
      <c r="L301" s="3"/>
      <c r="M301" s="3"/>
      <c r="N301" s="55"/>
      <c r="O301" s="55"/>
      <c r="P301" s="3"/>
      <c r="Q301" s="19"/>
      <c r="R301" s="3"/>
      <c r="S301" s="55"/>
      <c r="T301" s="3"/>
      <c r="U301" s="155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</row>
    <row r="302" ht="15.75" customHeight="1">
      <c r="A302" s="3"/>
      <c r="B302" s="3"/>
      <c r="C302" s="3"/>
      <c r="D302" s="3"/>
      <c r="E302" s="172"/>
      <c r="F302" s="3"/>
      <c r="G302" s="3"/>
      <c r="H302" s="3"/>
      <c r="I302" s="3"/>
      <c r="J302" s="3"/>
      <c r="K302" s="3"/>
      <c r="L302" s="3"/>
      <c r="M302" s="3"/>
      <c r="N302" s="55"/>
      <c r="O302" s="55"/>
      <c r="P302" s="3"/>
      <c r="Q302" s="19"/>
      <c r="R302" s="3"/>
      <c r="S302" s="55"/>
      <c r="T302" s="3"/>
      <c r="U302" s="155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</row>
    <row r="303" ht="15.75" customHeight="1">
      <c r="A303" s="3"/>
      <c r="B303" s="3"/>
      <c r="C303" s="3"/>
      <c r="D303" s="3"/>
      <c r="E303" s="172"/>
      <c r="F303" s="3"/>
      <c r="G303" s="3"/>
      <c r="H303" s="3"/>
      <c r="I303" s="3"/>
      <c r="J303" s="3"/>
      <c r="K303" s="3"/>
      <c r="L303" s="3"/>
      <c r="M303" s="3"/>
      <c r="N303" s="55"/>
      <c r="O303" s="55"/>
      <c r="P303" s="3"/>
      <c r="Q303" s="19"/>
      <c r="R303" s="3"/>
      <c r="S303" s="55"/>
      <c r="T303" s="3"/>
      <c r="U303" s="155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</row>
    <row r="304" ht="15.75" customHeight="1">
      <c r="A304" s="3"/>
      <c r="B304" s="3"/>
      <c r="C304" s="3"/>
      <c r="D304" s="3"/>
      <c r="E304" s="172"/>
      <c r="F304" s="3"/>
      <c r="G304" s="3"/>
      <c r="H304" s="3"/>
      <c r="I304" s="3"/>
      <c r="J304" s="3"/>
      <c r="K304" s="3"/>
      <c r="L304" s="3"/>
      <c r="M304" s="3"/>
      <c r="N304" s="55"/>
      <c r="O304" s="55"/>
      <c r="P304" s="3"/>
      <c r="Q304" s="19"/>
      <c r="R304" s="3"/>
      <c r="S304" s="55"/>
      <c r="T304" s="3"/>
      <c r="U304" s="155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</row>
    <row r="305" ht="15.75" customHeight="1">
      <c r="A305" s="3"/>
      <c r="B305" s="3"/>
      <c r="C305" s="3"/>
      <c r="D305" s="3"/>
      <c r="E305" s="172"/>
      <c r="F305" s="3"/>
      <c r="G305" s="3"/>
      <c r="H305" s="3"/>
      <c r="I305" s="3"/>
      <c r="J305" s="3"/>
      <c r="K305" s="3"/>
      <c r="L305" s="3"/>
      <c r="M305" s="3"/>
      <c r="N305" s="55"/>
      <c r="O305" s="55"/>
      <c r="P305" s="3"/>
      <c r="Q305" s="19"/>
      <c r="R305" s="3"/>
      <c r="S305" s="55"/>
      <c r="T305" s="3"/>
      <c r="U305" s="155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</row>
    <row r="306" ht="15.75" customHeight="1">
      <c r="A306" s="3"/>
      <c r="B306" s="3"/>
      <c r="C306" s="3"/>
      <c r="D306" s="3"/>
      <c r="E306" s="172"/>
      <c r="F306" s="3"/>
      <c r="G306" s="3"/>
      <c r="H306" s="3"/>
      <c r="I306" s="3"/>
      <c r="J306" s="3"/>
      <c r="K306" s="3"/>
      <c r="L306" s="3"/>
      <c r="M306" s="3"/>
      <c r="N306" s="55"/>
      <c r="O306" s="55"/>
      <c r="P306" s="3"/>
      <c r="Q306" s="19"/>
      <c r="R306" s="3"/>
      <c r="S306" s="55"/>
      <c r="T306" s="3"/>
      <c r="U306" s="155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</row>
    <row r="307" ht="15.75" customHeight="1">
      <c r="A307" s="3"/>
      <c r="B307" s="3"/>
      <c r="C307" s="3"/>
      <c r="D307" s="3"/>
      <c r="E307" s="172"/>
      <c r="F307" s="3"/>
      <c r="G307" s="3"/>
      <c r="H307" s="3"/>
      <c r="I307" s="3"/>
      <c r="J307" s="3"/>
      <c r="K307" s="3"/>
      <c r="L307" s="3"/>
      <c r="M307" s="3"/>
      <c r="N307" s="55"/>
      <c r="O307" s="55"/>
      <c r="P307" s="3"/>
      <c r="Q307" s="19"/>
      <c r="R307" s="3"/>
      <c r="S307" s="55"/>
      <c r="T307" s="3"/>
      <c r="U307" s="155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</row>
    <row r="308" ht="15.75" customHeight="1">
      <c r="A308" s="3"/>
      <c r="B308" s="3"/>
      <c r="C308" s="3"/>
      <c r="D308" s="3"/>
      <c r="E308" s="172"/>
      <c r="F308" s="3"/>
      <c r="G308" s="3"/>
      <c r="H308" s="3"/>
      <c r="I308" s="3"/>
      <c r="J308" s="3"/>
      <c r="K308" s="3"/>
      <c r="L308" s="3"/>
      <c r="M308" s="3"/>
      <c r="N308" s="55"/>
      <c r="O308" s="55"/>
      <c r="P308" s="3"/>
      <c r="Q308" s="19"/>
      <c r="R308" s="3"/>
      <c r="S308" s="55"/>
      <c r="T308" s="3"/>
      <c r="U308" s="155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</row>
    <row r="309" ht="15.75" customHeight="1">
      <c r="A309" s="3"/>
      <c r="B309" s="3"/>
      <c r="C309" s="3"/>
      <c r="D309" s="3"/>
      <c r="E309" s="172"/>
      <c r="F309" s="3"/>
      <c r="G309" s="3"/>
      <c r="H309" s="3"/>
      <c r="I309" s="3"/>
      <c r="J309" s="3"/>
      <c r="K309" s="3"/>
      <c r="L309" s="3"/>
      <c r="M309" s="3"/>
      <c r="N309" s="55"/>
      <c r="O309" s="55"/>
      <c r="P309" s="3"/>
      <c r="Q309" s="19"/>
      <c r="R309" s="3"/>
      <c r="S309" s="55"/>
      <c r="T309" s="3"/>
      <c r="U309" s="155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</row>
    <row r="310" ht="15.75" customHeight="1">
      <c r="A310" s="3"/>
      <c r="B310" s="3"/>
      <c r="C310" s="3"/>
      <c r="D310" s="3"/>
      <c r="E310" s="172"/>
      <c r="F310" s="3"/>
      <c r="G310" s="3"/>
      <c r="H310" s="3"/>
      <c r="I310" s="3"/>
      <c r="J310" s="3"/>
      <c r="K310" s="3"/>
      <c r="L310" s="3"/>
      <c r="M310" s="3"/>
      <c r="N310" s="55"/>
      <c r="O310" s="55"/>
      <c r="P310" s="3"/>
      <c r="Q310" s="19"/>
      <c r="R310" s="3"/>
      <c r="S310" s="55"/>
      <c r="T310" s="3"/>
      <c r="U310" s="155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</row>
    <row r="311" ht="15.75" customHeight="1">
      <c r="A311" s="3"/>
      <c r="B311" s="3"/>
      <c r="C311" s="3"/>
      <c r="D311" s="3"/>
      <c r="E311" s="172"/>
      <c r="F311" s="3"/>
      <c r="G311" s="3"/>
      <c r="H311" s="3"/>
      <c r="I311" s="3"/>
      <c r="J311" s="3"/>
      <c r="K311" s="3"/>
      <c r="L311" s="3"/>
      <c r="M311" s="3"/>
      <c r="N311" s="55"/>
      <c r="O311" s="55"/>
      <c r="P311" s="3"/>
      <c r="Q311" s="19"/>
      <c r="R311" s="3"/>
      <c r="S311" s="55"/>
      <c r="T311" s="3"/>
      <c r="U311" s="155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</row>
    <row r="312" ht="15.75" customHeight="1">
      <c r="A312" s="3"/>
      <c r="B312" s="3"/>
      <c r="C312" s="3"/>
      <c r="D312" s="3"/>
      <c r="E312" s="172"/>
      <c r="F312" s="3"/>
      <c r="G312" s="3"/>
      <c r="H312" s="3"/>
      <c r="I312" s="3"/>
      <c r="J312" s="3"/>
      <c r="K312" s="3"/>
      <c r="L312" s="3"/>
      <c r="M312" s="3"/>
      <c r="N312" s="55"/>
      <c r="O312" s="55"/>
      <c r="P312" s="3"/>
      <c r="Q312" s="19"/>
      <c r="R312" s="3"/>
      <c r="S312" s="55"/>
      <c r="T312" s="3"/>
      <c r="U312" s="155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</row>
    <row r="313" ht="15.75" customHeight="1">
      <c r="A313" s="3"/>
      <c r="B313" s="3"/>
      <c r="C313" s="3"/>
      <c r="D313" s="3"/>
      <c r="E313" s="172"/>
      <c r="F313" s="3"/>
      <c r="G313" s="3"/>
      <c r="H313" s="3"/>
      <c r="I313" s="3"/>
      <c r="J313" s="3"/>
      <c r="K313" s="3"/>
      <c r="L313" s="3"/>
      <c r="M313" s="3"/>
      <c r="N313" s="55"/>
      <c r="O313" s="55"/>
      <c r="P313" s="3"/>
      <c r="Q313" s="19"/>
      <c r="R313" s="3"/>
      <c r="S313" s="55"/>
      <c r="T313" s="3"/>
      <c r="U313" s="155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</row>
    <row r="314" ht="15.75" customHeight="1">
      <c r="A314" s="3"/>
      <c r="B314" s="3"/>
      <c r="C314" s="3"/>
      <c r="D314" s="3"/>
      <c r="E314" s="172"/>
      <c r="F314" s="3"/>
      <c r="G314" s="3"/>
      <c r="H314" s="3"/>
      <c r="I314" s="3"/>
      <c r="J314" s="3"/>
      <c r="K314" s="3"/>
      <c r="L314" s="3"/>
      <c r="M314" s="3"/>
      <c r="N314" s="55"/>
      <c r="O314" s="55"/>
      <c r="P314" s="3"/>
      <c r="Q314" s="19"/>
      <c r="R314" s="3"/>
      <c r="S314" s="55"/>
      <c r="T314" s="3"/>
      <c r="U314" s="155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</row>
    <row r="315" ht="15.75" customHeight="1">
      <c r="A315" s="3"/>
      <c r="B315" s="3"/>
      <c r="C315" s="3"/>
      <c r="D315" s="3"/>
      <c r="E315" s="172"/>
      <c r="F315" s="3"/>
      <c r="G315" s="3"/>
      <c r="H315" s="3"/>
      <c r="I315" s="3"/>
      <c r="J315" s="3"/>
      <c r="K315" s="3"/>
      <c r="L315" s="3"/>
      <c r="M315" s="3"/>
      <c r="N315" s="55"/>
      <c r="O315" s="55"/>
      <c r="P315" s="3"/>
      <c r="Q315" s="19"/>
      <c r="R315" s="3"/>
      <c r="S315" s="55"/>
      <c r="T315" s="3"/>
      <c r="U315" s="155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</row>
    <row r="316" ht="15.75" customHeight="1">
      <c r="A316" s="3"/>
      <c r="B316" s="3"/>
      <c r="C316" s="3"/>
      <c r="D316" s="3"/>
      <c r="E316" s="172"/>
      <c r="F316" s="3"/>
      <c r="G316" s="3"/>
      <c r="H316" s="3"/>
      <c r="I316" s="3"/>
      <c r="J316" s="3"/>
      <c r="K316" s="3"/>
      <c r="L316" s="3"/>
      <c r="M316" s="3"/>
      <c r="N316" s="55"/>
      <c r="O316" s="55"/>
      <c r="P316" s="3"/>
      <c r="Q316" s="19"/>
      <c r="R316" s="3"/>
      <c r="S316" s="55"/>
      <c r="T316" s="3"/>
      <c r="U316" s="155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</row>
    <row r="317" ht="15.75" customHeight="1">
      <c r="A317" s="3"/>
      <c r="B317" s="3"/>
      <c r="C317" s="3"/>
      <c r="D317" s="3"/>
      <c r="E317" s="172"/>
      <c r="F317" s="3"/>
      <c r="G317" s="3"/>
      <c r="H317" s="3"/>
      <c r="I317" s="3"/>
      <c r="J317" s="3"/>
      <c r="K317" s="3"/>
      <c r="L317" s="3"/>
      <c r="M317" s="3"/>
      <c r="N317" s="55"/>
      <c r="O317" s="55"/>
      <c r="P317" s="3"/>
      <c r="Q317" s="19"/>
      <c r="R317" s="3"/>
      <c r="S317" s="55"/>
      <c r="T317" s="3"/>
      <c r="U317" s="155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</row>
    <row r="318" ht="15.75" customHeight="1">
      <c r="A318" s="3"/>
      <c r="B318" s="3"/>
      <c r="C318" s="3"/>
      <c r="D318" s="3"/>
      <c r="E318" s="172"/>
      <c r="F318" s="3"/>
      <c r="G318" s="3"/>
      <c r="H318" s="3"/>
      <c r="I318" s="3"/>
      <c r="J318" s="3"/>
      <c r="K318" s="3"/>
      <c r="L318" s="3"/>
      <c r="M318" s="3"/>
      <c r="N318" s="55"/>
      <c r="O318" s="55"/>
      <c r="P318" s="3"/>
      <c r="Q318" s="19"/>
      <c r="R318" s="3"/>
      <c r="S318" s="55"/>
      <c r="T318" s="3"/>
      <c r="U318" s="155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</row>
    <row r="319" ht="15.75" customHeight="1">
      <c r="A319" s="3"/>
      <c r="B319" s="3"/>
      <c r="C319" s="3"/>
      <c r="D319" s="3"/>
      <c r="E319" s="172"/>
      <c r="F319" s="3"/>
      <c r="G319" s="3"/>
      <c r="H319" s="3"/>
      <c r="I319" s="3"/>
      <c r="J319" s="3"/>
      <c r="K319" s="3"/>
      <c r="L319" s="3"/>
      <c r="M319" s="3"/>
      <c r="N319" s="55"/>
      <c r="O319" s="55"/>
      <c r="P319" s="3"/>
      <c r="Q319" s="19"/>
      <c r="R319" s="3"/>
      <c r="S319" s="55"/>
      <c r="T319" s="3"/>
      <c r="U319" s="155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</row>
    <row r="320" ht="15.75" customHeight="1">
      <c r="A320" s="3"/>
      <c r="B320" s="3"/>
      <c r="C320" s="3"/>
      <c r="D320" s="3"/>
      <c r="E320" s="172"/>
      <c r="F320" s="3"/>
      <c r="G320" s="3"/>
      <c r="H320" s="3"/>
      <c r="I320" s="3"/>
      <c r="J320" s="3"/>
      <c r="K320" s="3"/>
      <c r="L320" s="3"/>
      <c r="M320" s="3"/>
      <c r="N320" s="55"/>
      <c r="O320" s="55"/>
      <c r="P320" s="3"/>
      <c r="Q320" s="19"/>
      <c r="R320" s="3"/>
      <c r="S320" s="55"/>
      <c r="T320" s="3"/>
      <c r="U320" s="155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</row>
    <row r="321" ht="15.75" customHeight="1">
      <c r="A321" s="3"/>
      <c r="B321" s="3"/>
      <c r="C321" s="3"/>
      <c r="D321" s="3"/>
      <c r="E321" s="172"/>
      <c r="F321" s="3"/>
      <c r="G321" s="3"/>
      <c r="H321" s="3"/>
      <c r="I321" s="3"/>
      <c r="J321" s="3"/>
      <c r="K321" s="3"/>
      <c r="L321" s="3"/>
      <c r="M321" s="3"/>
      <c r="N321" s="55"/>
      <c r="O321" s="55"/>
      <c r="P321" s="3"/>
      <c r="Q321" s="19"/>
      <c r="R321" s="3"/>
      <c r="S321" s="55"/>
      <c r="T321" s="3"/>
      <c r="U321" s="155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</row>
    <row r="322" ht="15.75" customHeight="1">
      <c r="A322" s="3"/>
      <c r="B322" s="3"/>
      <c r="C322" s="3"/>
      <c r="D322" s="3"/>
      <c r="E322" s="172"/>
      <c r="F322" s="3"/>
      <c r="G322" s="3"/>
      <c r="H322" s="3"/>
      <c r="I322" s="3"/>
      <c r="J322" s="3"/>
      <c r="K322" s="3"/>
      <c r="L322" s="3"/>
      <c r="M322" s="3"/>
      <c r="N322" s="55"/>
      <c r="O322" s="55"/>
      <c r="P322" s="3"/>
      <c r="Q322" s="19"/>
      <c r="R322" s="3"/>
      <c r="S322" s="55"/>
      <c r="T322" s="3"/>
      <c r="U322" s="155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</row>
    <row r="323" ht="15.75" customHeight="1">
      <c r="A323" s="3"/>
      <c r="B323" s="3"/>
      <c r="C323" s="3"/>
      <c r="D323" s="3"/>
      <c r="E323" s="172"/>
      <c r="F323" s="3"/>
      <c r="G323" s="3"/>
      <c r="H323" s="3"/>
      <c r="I323" s="3"/>
      <c r="J323" s="3"/>
      <c r="K323" s="3"/>
      <c r="L323" s="3"/>
      <c r="M323" s="3"/>
      <c r="N323" s="55"/>
      <c r="O323" s="55"/>
      <c r="P323" s="3"/>
      <c r="Q323" s="19"/>
      <c r="R323" s="3"/>
      <c r="S323" s="55"/>
      <c r="T323" s="3"/>
      <c r="U323" s="155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</row>
    <row r="324" ht="15.75" customHeight="1">
      <c r="A324" s="3"/>
      <c r="B324" s="3"/>
      <c r="C324" s="3"/>
      <c r="D324" s="3"/>
      <c r="E324" s="172"/>
      <c r="F324" s="3"/>
      <c r="G324" s="3"/>
      <c r="H324" s="3"/>
      <c r="I324" s="3"/>
      <c r="J324" s="3"/>
      <c r="K324" s="3"/>
      <c r="L324" s="3"/>
      <c r="M324" s="3"/>
      <c r="N324" s="55"/>
      <c r="O324" s="55"/>
      <c r="P324" s="3"/>
      <c r="Q324" s="19"/>
      <c r="R324" s="3"/>
      <c r="S324" s="55"/>
      <c r="T324" s="3"/>
      <c r="U324" s="155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</row>
    <row r="325" ht="15.75" customHeight="1">
      <c r="A325" s="3"/>
      <c r="B325" s="3"/>
      <c r="C325" s="3"/>
      <c r="D325" s="3"/>
      <c r="E325" s="172"/>
      <c r="F325" s="3"/>
      <c r="G325" s="3"/>
      <c r="H325" s="3"/>
      <c r="I325" s="3"/>
      <c r="J325" s="3"/>
      <c r="K325" s="3"/>
      <c r="L325" s="3"/>
      <c r="M325" s="3"/>
      <c r="N325" s="55"/>
      <c r="O325" s="55"/>
      <c r="P325" s="3"/>
      <c r="Q325" s="19"/>
      <c r="R325" s="3"/>
      <c r="S325" s="55"/>
      <c r="T325" s="3"/>
      <c r="U325" s="155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</row>
    <row r="326" ht="15.75" customHeight="1">
      <c r="A326" s="3"/>
      <c r="B326" s="3"/>
      <c r="C326" s="3"/>
      <c r="D326" s="3"/>
      <c r="E326" s="172"/>
      <c r="F326" s="3"/>
      <c r="G326" s="3"/>
      <c r="H326" s="3"/>
      <c r="I326" s="3"/>
      <c r="J326" s="3"/>
      <c r="K326" s="3"/>
      <c r="L326" s="3"/>
      <c r="M326" s="3"/>
      <c r="N326" s="55"/>
      <c r="O326" s="55"/>
      <c r="P326" s="3"/>
      <c r="Q326" s="19"/>
      <c r="R326" s="3"/>
      <c r="S326" s="55"/>
      <c r="T326" s="3"/>
      <c r="U326" s="155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</row>
    <row r="327" ht="15.75" customHeight="1">
      <c r="A327" s="3"/>
      <c r="B327" s="3"/>
      <c r="C327" s="3"/>
      <c r="D327" s="3"/>
      <c r="E327" s="172"/>
      <c r="F327" s="3"/>
      <c r="G327" s="3"/>
      <c r="H327" s="3"/>
      <c r="I327" s="3"/>
      <c r="J327" s="3"/>
      <c r="K327" s="3"/>
      <c r="L327" s="3"/>
      <c r="M327" s="3"/>
      <c r="N327" s="55"/>
      <c r="O327" s="55"/>
      <c r="P327" s="3"/>
      <c r="Q327" s="19"/>
      <c r="R327" s="3"/>
      <c r="S327" s="55"/>
      <c r="T327" s="3"/>
      <c r="U327" s="155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</row>
    <row r="328" ht="15.75" customHeight="1">
      <c r="A328" s="3"/>
      <c r="B328" s="3"/>
      <c r="C328" s="3"/>
      <c r="D328" s="3"/>
      <c r="E328" s="172"/>
      <c r="F328" s="3"/>
      <c r="G328" s="3"/>
      <c r="H328" s="3"/>
      <c r="I328" s="3"/>
      <c r="J328" s="3"/>
      <c r="K328" s="3"/>
      <c r="L328" s="3"/>
      <c r="M328" s="3"/>
      <c r="N328" s="55"/>
      <c r="O328" s="55"/>
      <c r="P328" s="3"/>
      <c r="Q328" s="19"/>
      <c r="R328" s="3"/>
      <c r="S328" s="55"/>
      <c r="T328" s="3"/>
      <c r="U328" s="155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</row>
    <row r="329" ht="15.75" customHeight="1">
      <c r="A329" s="3"/>
      <c r="B329" s="3"/>
      <c r="C329" s="3"/>
      <c r="D329" s="3"/>
      <c r="E329" s="172"/>
      <c r="F329" s="3"/>
      <c r="G329" s="3"/>
      <c r="H329" s="3"/>
      <c r="I329" s="3"/>
      <c r="J329" s="3"/>
      <c r="K329" s="3"/>
      <c r="L329" s="3"/>
      <c r="M329" s="3"/>
      <c r="N329" s="55"/>
      <c r="O329" s="55"/>
      <c r="P329" s="3"/>
      <c r="Q329" s="19"/>
      <c r="R329" s="3"/>
      <c r="S329" s="55"/>
      <c r="T329" s="3"/>
      <c r="U329" s="155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</row>
    <row r="330" ht="15.75" customHeight="1">
      <c r="A330" s="3"/>
      <c r="B330" s="3"/>
      <c r="C330" s="3"/>
      <c r="D330" s="3"/>
      <c r="E330" s="172"/>
      <c r="F330" s="3"/>
      <c r="G330" s="3"/>
      <c r="H330" s="3"/>
      <c r="I330" s="3"/>
      <c r="J330" s="3"/>
      <c r="K330" s="3"/>
      <c r="L330" s="3"/>
      <c r="M330" s="3"/>
      <c r="N330" s="55"/>
      <c r="O330" s="55"/>
      <c r="P330" s="3"/>
      <c r="Q330" s="19"/>
      <c r="R330" s="3"/>
      <c r="S330" s="55"/>
      <c r="T330" s="3"/>
      <c r="U330" s="155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</row>
    <row r="331" ht="15.75" customHeight="1">
      <c r="A331" s="3"/>
      <c r="B331" s="3"/>
      <c r="C331" s="3"/>
      <c r="D331" s="3"/>
      <c r="E331" s="172"/>
      <c r="F331" s="3"/>
      <c r="G331" s="3"/>
      <c r="H331" s="3"/>
      <c r="I331" s="3"/>
      <c r="J331" s="3"/>
      <c r="K331" s="3"/>
      <c r="L331" s="3"/>
      <c r="M331" s="3"/>
      <c r="N331" s="55"/>
      <c r="O331" s="55"/>
      <c r="P331" s="3"/>
      <c r="Q331" s="19"/>
      <c r="R331" s="3"/>
      <c r="S331" s="55"/>
      <c r="T331" s="3"/>
      <c r="U331" s="155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</row>
    <row r="332" ht="15.75" customHeight="1">
      <c r="A332" s="3"/>
      <c r="B332" s="3"/>
      <c r="C332" s="3"/>
      <c r="D332" s="3"/>
      <c r="E332" s="172"/>
      <c r="F332" s="3"/>
      <c r="G332" s="3"/>
      <c r="H332" s="3"/>
      <c r="I332" s="3"/>
      <c r="J332" s="3"/>
      <c r="K332" s="3"/>
      <c r="L332" s="3"/>
      <c r="M332" s="3"/>
      <c r="N332" s="55"/>
      <c r="O332" s="55"/>
      <c r="P332" s="3"/>
      <c r="Q332" s="19"/>
      <c r="R332" s="3"/>
      <c r="S332" s="55"/>
      <c r="T332" s="3"/>
      <c r="U332" s="155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</row>
    <row r="333" ht="15.75" customHeight="1">
      <c r="A333" s="3"/>
      <c r="B333" s="3"/>
      <c r="C333" s="3"/>
      <c r="D333" s="3"/>
      <c r="E333" s="172"/>
      <c r="F333" s="3"/>
      <c r="G333" s="3"/>
      <c r="H333" s="3"/>
      <c r="I333" s="3"/>
      <c r="J333" s="3"/>
      <c r="K333" s="3"/>
      <c r="L333" s="3"/>
      <c r="M333" s="3"/>
      <c r="N333" s="55"/>
      <c r="O333" s="55"/>
      <c r="P333" s="3"/>
      <c r="Q333" s="19"/>
      <c r="R333" s="3"/>
      <c r="S333" s="55"/>
      <c r="T333" s="3"/>
      <c r="U333" s="155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</row>
    <row r="334" ht="15.75" customHeight="1">
      <c r="A334" s="3"/>
      <c r="B334" s="3"/>
      <c r="C334" s="3"/>
      <c r="D334" s="3"/>
      <c r="E334" s="172"/>
      <c r="F334" s="3"/>
      <c r="G334" s="3"/>
      <c r="H334" s="3"/>
      <c r="I334" s="3"/>
      <c r="J334" s="3"/>
      <c r="K334" s="3"/>
      <c r="L334" s="3"/>
      <c r="M334" s="3"/>
      <c r="N334" s="55"/>
      <c r="O334" s="55"/>
      <c r="P334" s="3"/>
      <c r="Q334" s="19"/>
      <c r="R334" s="3"/>
      <c r="S334" s="55"/>
      <c r="T334" s="3"/>
      <c r="U334" s="155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</row>
    <row r="335" ht="15.75" customHeight="1">
      <c r="A335" s="3"/>
      <c r="B335" s="3"/>
      <c r="C335" s="3"/>
      <c r="D335" s="3"/>
      <c r="E335" s="172"/>
      <c r="F335" s="3"/>
      <c r="G335" s="3"/>
      <c r="H335" s="3"/>
      <c r="I335" s="3"/>
      <c r="J335" s="3"/>
      <c r="K335" s="3"/>
      <c r="L335" s="3"/>
      <c r="M335" s="3"/>
      <c r="N335" s="55"/>
      <c r="O335" s="55"/>
      <c r="P335" s="3"/>
      <c r="Q335" s="19"/>
      <c r="R335" s="3"/>
      <c r="S335" s="55"/>
      <c r="T335" s="3"/>
      <c r="U335" s="155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</row>
    <row r="336" ht="15.75" customHeight="1">
      <c r="A336" s="3"/>
      <c r="B336" s="3"/>
      <c r="C336" s="3"/>
      <c r="D336" s="3"/>
      <c r="E336" s="172"/>
      <c r="F336" s="3"/>
      <c r="G336" s="3"/>
      <c r="H336" s="3"/>
      <c r="I336" s="3"/>
      <c r="J336" s="3"/>
      <c r="K336" s="3"/>
      <c r="L336" s="3"/>
      <c r="M336" s="3"/>
      <c r="N336" s="55"/>
      <c r="O336" s="55"/>
      <c r="P336" s="3"/>
      <c r="Q336" s="19"/>
      <c r="R336" s="3"/>
      <c r="S336" s="55"/>
      <c r="T336" s="3"/>
      <c r="U336" s="155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</row>
    <row r="337" ht="15.75" customHeight="1">
      <c r="A337" s="3"/>
      <c r="B337" s="3"/>
      <c r="C337" s="3"/>
      <c r="D337" s="3"/>
      <c r="E337" s="172"/>
      <c r="F337" s="3"/>
      <c r="G337" s="3"/>
      <c r="H337" s="3"/>
      <c r="I337" s="3"/>
      <c r="J337" s="3"/>
      <c r="K337" s="3"/>
      <c r="L337" s="3"/>
      <c r="M337" s="3"/>
      <c r="N337" s="55"/>
      <c r="O337" s="55"/>
      <c r="P337" s="3"/>
      <c r="Q337" s="19"/>
      <c r="R337" s="3"/>
      <c r="S337" s="55"/>
      <c r="T337" s="3"/>
      <c r="U337" s="155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</row>
    <row r="338" ht="15.75" customHeight="1">
      <c r="A338" s="3"/>
      <c r="B338" s="3"/>
      <c r="C338" s="3"/>
      <c r="D338" s="3"/>
      <c r="E338" s="172"/>
      <c r="F338" s="3"/>
      <c r="G338" s="3"/>
      <c r="H338" s="3"/>
      <c r="I338" s="3"/>
      <c r="J338" s="3"/>
      <c r="K338" s="3"/>
      <c r="L338" s="3"/>
      <c r="M338" s="3"/>
      <c r="N338" s="55"/>
      <c r="O338" s="55"/>
      <c r="P338" s="3"/>
      <c r="Q338" s="19"/>
      <c r="R338" s="3"/>
      <c r="S338" s="55"/>
      <c r="T338" s="3"/>
      <c r="U338" s="155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</row>
    <row r="339" ht="15.75" customHeight="1">
      <c r="A339" s="3"/>
      <c r="B339" s="3"/>
      <c r="C339" s="3"/>
      <c r="D339" s="3"/>
      <c r="E339" s="172"/>
      <c r="F339" s="3"/>
      <c r="G339" s="3"/>
      <c r="H339" s="3"/>
      <c r="I339" s="3"/>
      <c r="J339" s="3"/>
      <c r="K339" s="3"/>
      <c r="L339" s="3"/>
      <c r="M339" s="3"/>
      <c r="N339" s="55"/>
      <c r="O339" s="55"/>
      <c r="P339" s="3"/>
      <c r="Q339" s="19"/>
      <c r="R339" s="3"/>
      <c r="S339" s="55"/>
      <c r="T339" s="3"/>
      <c r="U339" s="155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</row>
    <row r="340" ht="15.75" customHeight="1">
      <c r="A340" s="3"/>
      <c r="B340" s="3"/>
      <c r="C340" s="3"/>
      <c r="D340" s="3"/>
      <c r="E340" s="172"/>
      <c r="F340" s="3"/>
      <c r="G340" s="3"/>
      <c r="H340" s="3"/>
      <c r="I340" s="3"/>
      <c r="J340" s="3"/>
      <c r="K340" s="3"/>
      <c r="L340" s="3"/>
      <c r="M340" s="3"/>
      <c r="N340" s="55"/>
      <c r="O340" s="55"/>
      <c r="P340" s="3"/>
      <c r="Q340" s="19"/>
      <c r="R340" s="3"/>
      <c r="S340" s="55"/>
      <c r="T340" s="3"/>
      <c r="U340" s="155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</row>
    <row r="341" ht="15.75" customHeight="1">
      <c r="A341" s="3"/>
      <c r="B341" s="3"/>
      <c r="C341" s="3"/>
      <c r="D341" s="3"/>
      <c r="E341" s="172"/>
      <c r="F341" s="3"/>
      <c r="G341" s="3"/>
      <c r="H341" s="3"/>
      <c r="I341" s="3"/>
      <c r="J341" s="3"/>
      <c r="K341" s="3"/>
      <c r="L341" s="3"/>
      <c r="M341" s="3"/>
      <c r="N341" s="55"/>
      <c r="O341" s="55"/>
      <c r="P341" s="3"/>
      <c r="Q341" s="19"/>
      <c r="R341" s="3"/>
      <c r="S341" s="55"/>
      <c r="T341" s="3"/>
      <c r="U341" s="155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</row>
    <row r="342" ht="15.75" customHeight="1">
      <c r="A342" s="3"/>
      <c r="B342" s="3"/>
      <c r="C342" s="3"/>
      <c r="D342" s="3"/>
      <c r="E342" s="172"/>
      <c r="F342" s="3"/>
      <c r="G342" s="3"/>
      <c r="H342" s="3"/>
      <c r="I342" s="3"/>
      <c r="J342" s="3"/>
      <c r="K342" s="3"/>
      <c r="L342" s="3"/>
      <c r="M342" s="3"/>
      <c r="N342" s="55"/>
      <c r="O342" s="55"/>
      <c r="P342" s="3"/>
      <c r="Q342" s="19"/>
      <c r="R342" s="3"/>
      <c r="S342" s="55"/>
      <c r="T342" s="3"/>
      <c r="U342" s="155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</row>
    <row r="343" ht="15.75" customHeight="1">
      <c r="A343" s="3"/>
      <c r="B343" s="3"/>
      <c r="C343" s="3"/>
      <c r="D343" s="3"/>
      <c r="E343" s="172"/>
      <c r="F343" s="3"/>
      <c r="G343" s="3"/>
      <c r="H343" s="3"/>
      <c r="I343" s="3"/>
      <c r="J343" s="3"/>
      <c r="K343" s="3"/>
      <c r="L343" s="3"/>
      <c r="M343" s="3"/>
      <c r="N343" s="55"/>
      <c r="O343" s="55"/>
      <c r="P343" s="3"/>
      <c r="Q343" s="19"/>
      <c r="R343" s="3"/>
      <c r="S343" s="55"/>
      <c r="T343" s="3"/>
      <c r="U343" s="155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</row>
    <row r="344" ht="15.75" customHeight="1">
      <c r="A344" s="3"/>
      <c r="B344" s="3"/>
      <c r="C344" s="3"/>
      <c r="D344" s="3"/>
      <c r="E344" s="172"/>
      <c r="F344" s="3"/>
      <c r="G344" s="3"/>
      <c r="H344" s="3"/>
      <c r="I344" s="3"/>
      <c r="J344" s="3"/>
      <c r="K344" s="3"/>
      <c r="L344" s="3"/>
      <c r="M344" s="3"/>
      <c r="N344" s="55"/>
      <c r="O344" s="55"/>
      <c r="P344" s="3"/>
      <c r="Q344" s="19"/>
      <c r="R344" s="3"/>
      <c r="S344" s="55"/>
      <c r="T344" s="3"/>
      <c r="U344" s="155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</row>
    <row r="345" ht="15.75" customHeight="1">
      <c r="A345" s="3"/>
      <c r="B345" s="3"/>
      <c r="C345" s="3"/>
      <c r="D345" s="3"/>
      <c r="E345" s="172"/>
      <c r="F345" s="3"/>
      <c r="G345" s="3"/>
      <c r="H345" s="3"/>
      <c r="I345" s="3"/>
      <c r="J345" s="3"/>
      <c r="K345" s="3"/>
      <c r="L345" s="3"/>
      <c r="M345" s="3"/>
      <c r="N345" s="55"/>
      <c r="O345" s="55"/>
      <c r="P345" s="3"/>
      <c r="Q345" s="19"/>
      <c r="R345" s="3"/>
      <c r="S345" s="55"/>
      <c r="T345" s="3"/>
      <c r="U345" s="155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</row>
    <row r="346" ht="15.75" customHeight="1">
      <c r="A346" s="3"/>
      <c r="B346" s="3"/>
      <c r="C346" s="3"/>
      <c r="D346" s="3"/>
      <c r="E346" s="172"/>
      <c r="F346" s="3"/>
      <c r="G346" s="3"/>
      <c r="H346" s="3"/>
      <c r="I346" s="3"/>
      <c r="J346" s="3"/>
      <c r="K346" s="3"/>
      <c r="L346" s="3"/>
      <c r="M346" s="3"/>
      <c r="N346" s="55"/>
      <c r="O346" s="55"/>
      <c r="P346" s="3"/>
      <c r="Q346" s="19"/>
      <c r="R346" s="3"/>
      <c r="S346" s="55"/>
      <c r="T346" s="3"/>
      <c r="U346" s="155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</row>
    <row r="347" ht="15.75" customHeight="1">
      <c r="A347" s="3"/>
      <c r="B347" s="3"/>
      <c r="C347" s="3"/>
      <c r="D347" s="3"/>
      <c r="E347" s="172"/>
      <c r="F347" s="3"/>
      <c r="G347" s="3"/>
      <c r="H347" s="3"/>
      <c r="I347" s="3"/>
      <c r="J347" s="3"/>
      <c r="K347" s="3"/>
      <c r="L347" s="3"/>
      <c r="M347" s="3"/>
      <c r="N347" s="55"/>
      <c r="O347" s="55"/>
      <c r="P347" s="3"/>
      <c r="Q347" s="19"/>
      <c r="R347" s="3"/>
      <c r="S347" s="55"/>
      <c r="T347" s="3"/>
      <c r="U347" s="155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</row>
    <row r="348" ht="15.75" customHeight="1">
      <c r="A348" s="3"/>
      <c r="B348" s="3"/>
      <c r="C348" s="3"/>
      <c r="D348" s="3"/>
      <c r="E348" s="172"/>
      <c r="F348" s="3"/>
      <c r="G348" s="3"/>
      <c r="H348" s="3"/>
      <c r="I348" s="3"/>
      <c r="J348" s="3"/>
      <c r="K348" s="3"/>
      <c r="L348" s="3"/>
      <c r="M348" s="3"/>
      <c r="N348" s="55"/>
      <c r="O348" s="55"/>
      <c r="P348" s="3"/>
      <c r="Q348" s="19"/>
      <c r="R348" s="3"/>
      <c r="S348" s="55"/>
      <c r="T348" s="3"/>
      <c r="U348" s="155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</row>
    <row r="349" ht="15.75" customHeight="1">
      <c r="A349" s="3"/>
      <c r="B349" s="3"/>
      <c r="C349" s="3"/>
      <c r="D349" s="3"/>
      <c r="E349" s="172"/>
      <c r="F349" s="3"/>
      <c r="G349" s="3"/>
      <c r="H349" s="3"/>
      <c r="I349" s="3"/>
      <c r="J349" s="3"/>
      <c r="K349" s="3"/>
      <c r="L349" s="3"/>
      <c r="M349" s="3"/>
      <c r="N349" s="55"/>
      <c r="O349" s="55"/>
      <c r="P349" s="3"/>
      <c r="Q349" s="19"/>
      <c r="R349" s="3"/>
      <c r="S349" s="55"/>
      <c r="T349" s="3"/>
      <c r="U349" s="155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</row>
    <row r="350" ht="15.75" customHeight="1">
      <c r="A350" s="3"/>
      <c r="B350" s="3"/>
      <c r="C350" s="3"/>
      <c r="D350" s="3"/>
      <c r="E350" s="172"/>
      <c r="F350" s="3"/>
      <c r="G350" s="3"/>
      <c r="H350" s="3"/>
      <c r="I350" s="3"/>
      <c r="J350" s="3"/>
      <c r="K350" s="3"/>
      <c r="L350" s="3"/>
      <c r="M350" s="3"/>
      <c r="N350" s="55"/>
      <c r="O350" s="55"/>
      <c r="P350" s="3"/>
      <c r="Q350" s="19"/>
      <c r="R350" s="3"/>
      <c r="S350" s="55"/>
      <c r="T350" s="3"/>
      <c r="U350" s="155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</row>
    <row r="351" ht="15.75" customHeight="1">
      <c r="A351" s="3"/>
      <c r="B351" s="3"/>
      <c r="C351" s="3"/>
      <c r="D351" s="3"/>
      <c r="E351" s="172"/>
      <c r="F351" s="3"/>
      <c r="G351" s="3"/>
      <c r="H351" s="3"/>
      <c r="I351" s="3"/>
      <c r="J351" s="3"/>
      <c r="K351" s="3"/>
      <c r="L351" s="3"/>
      <c r="M351" s="3"/>
      <c r="N351" s="55"/>
      <c r="O351" s="55"/>
      <c r="P351" s="3"/>
      <c r="Q351" s="19"/>
      <c r="R351" s="3"/>
      <c r="S351" s="55"/>
      <c r="T351" s="3"/>
      <c r="U351" s="155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</row>
    <row r="352" ht="15.75" customHeight="1">
      <c r="A352" s="3"/>
      <c r="B352" s="3"/>
      <c r="C352" s="3"/>
      <c r="D352" s="3"/>
      <c r="E352" s="172"/>
      <c r="F352" s="3"/>
      <c r="G352" s="3"/>
      <c r="H352" s="3"/>
      <c r="I352" s="3"/>
      <c r="J352" s="3"/>
      <c r="K352" s="3"/>
      <c r="L352" s="3"/>
      <c r="M352" s="3"/>
      <c r="N352" s="55"/>
      <c r="O352" s="55"/>
      <c r="P352" s="3"/>
      <c r="Q352" s="19"/>
      <c r="R352" s="3"/>
      <c r="S352" s="55"/>
      <c r="T352" s="3"/>
      <c r="U352" s="155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</row>
    <row r="353" ht="15.75" customHeight="1">
      <c r="A353" s="3"/>
      <c r="B353" s="3"/>
      <c r="C353" s="3"/>
      <c r="D353" s="3"/>
      <c r="E353" s="172"/>
      <c r="F353" s="3"/>
      <c r="G353" s="3"/>
      <c r="H353" s="3"/>
      <c r="I353" s="3"/>
      <c r="J353" s="3"/>
      <c r="K353" s="3"/>
      <c r="L353" s="3"/>
      <c r="M353" s="3"/>
      <c r="N353" s="55"/>
      <c r="O353" s="55"/>
      <c r="P353" s="3"/>
      <c r="Q353" s="19"/>
      <c r="R353" s="3"/>
      <c r="S353" s="55"/>
      <c r="T353" s="3"/>
      <c r="U353" s="155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</row>
    <row r="354" ht="15.75" customHeight="1">
      <c r="A354" s="3"/>
      <c r="B354" s="3"/>
      <c r="C354" s="3"/>
      <c r="D354" s="3"/>
      <c r="E354" s="172"/>
      <c r="F354" s="3"/>
      <c r="G354" s="3"/>
      <c r="H354" s="3"/>
      <c r="I354" s="3"/>
      <c r="J354" s="3"/>
      <c r="K354" s="3"/>
      <c r="L354" s="3"/>
      <c r="M354" s="3"/>
      <c r="N354" s="55"/>
      <c r="O354" s="55"/>
      <c r="P354" s="3"/>
      <c r="Q354" s="19"/>
      <c r="R354" s="3"/>
      <c r="S354" s="55"/>
      <c r="T354" s="3"/>
      <c r="U354" s="155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</row>
    <row r="355" ht="15.75" customHeight="1">
      <c r="A355" s="3"/>
      <c r="B355" s="3"/>
      <c r="C355" s="3"/>
      <c r="D355" s="3"/>
      <c r="E355" s="172"/>
      <c r="F355" s="3"/>
      <c r="G355" s="3"/>
      <c r="H355" s="3"/>
      <c r="I355" s="3"/>
      <c r="J355" s="3"/>
      <c r="K355" s="3"/>
      <c r="L355" s="3"/>
      <c r="M355" s="3"/>
      <c r="N355" s="55"/>
      <c r="O355" s="55"/>
      <c r="P355" s="3"/>
      <c r="Q355" s="19"/>
      <c r="R355" s="3"/>
      <c r="S355" s="55"/>
      <c r="T355" s="3"/>
      <c r="U355" s="155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</row>
    <row r="356" ht="15.75" customHeight="1">
      <c r="A356" s="3"/>
      <c r="B356" s="3"/>
      <c r="C356" s="3"/>
      <c r="D356" s="3"/>
      <c r="E356" s="172"/>
      <c r="F356" s="3"/>
      <c r="G356" s="3"/>
      <c r="H356" s="3"/>
      <c r="I356" s="3"/>
      <c r="J356" s="3"/>
      <c r="K356" s="3"/>
      <c r="L356" s="3"/>
      <c r="M356" s="3"/>
      <c r="N356" s="55"/>
      <c r="O356" s="55"/>
      <c r="P356" s="3"/>
      <c r="Q356" s="19"/>
      <c r="R356" s="3"/>
      <c r="S356" s="55"/>
      <c r="T356" s="3"/>
      <c r="U356" s="155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</row>
    <row r="357" ht="15.75" customHeight="1">
      <c r="A357" s="3"/>
      <c r="B357" s="3"/>
      <c r="C357" s="3"/>
      <c r="D357" s="3"/>
      <c r="E357" s="172"/>
      <c r="F357" s="3"/>
      <c r="G357" s="3"/>
      <c r="H357" s="3"/>
      <c r="I357" s="3"/>
      <c r="J357" s="3"/>
      <c r="K357" s="3"/>
      <c r="L357" s="3"/>
      <c r="M357" s="3"/>
      <c r="N357" s="55"/>
      <c r="O357" s="55"/>
      <c r="P357" s="3"/>
      <c r="Q357" s="19"/>
      <c r="R357" s="3"/>
      <c r="S357" s="55"/>
      <c r="T357" s="3"/>
      <c r="U357" s="155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</row>
    <row r="358" ht="15.75" customHeight="1">
      <c r="A358" s="3"/>
      <c r="B358" s="3"/>
      <c r="C358" s="3"/>
      <c r="D358" s="3"/>
      <c r="E358" s="172"/>
      <c r="F358" s="3"/>
      <c r="G358" s="3"/>
      <c r="H358" s="3"/>
      <c r="I358" s="3"/>
      <c r="J358" s="3"/>
      <c r="K358" s="3"/>
      <c r="L358" s="3"/>
      <c r="M358" s="3"/>
      <c r="N358" s="55"/>
      <c r="O358" s="55"/>
      <c r="P358" s="3"/>
      <c r="Q358" s="19"/>
      <c r="R358" s="3"/>
      <c r="S358" s="55"/>
      <c r="T358" s="3"/>
      <c r="U358" s="155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</row>
    <row r="359" ht="15.75" customHeight="1">
      <c r="A359" s="3"/>
      <c r="B359" s="3"/>
      <c r="C359" s="3"/>
      <c r="D359" s="3"/>
      <c r="E359" s="172"/>
      <c r="F359" s="3"/>
      <c r="G359" s="3"/>
      <c r="H359" s="3"/>
      <c r="I359" s="3"/>
      <c r="J359" s="3"/>
      <c r="K359" s="3"/>
      <c r="L359" s="3"/>
      <c r="M359" s="3"/>
      <c r="N359" s="55"/>
      <c r="O359" s="55"/>
      <c r="P359" s="3"/>
      <c r="Q359" s="19"/>
      <c r="R359" s="3"/>
      <c r="S359" s="55"/>
      <c r="T359" s="3"/>
      <c r="U359" s="155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</row>
    <row r="360" ht="15.75" customHeight="1">
      <c r="A360" s="3"/>
      <c r="B360" s="3"/>
      <c r="C360" s="3"/>
      <c r="D360" s="3"/>
      <c r="E360" s="172"/>
      <c r="F360" s="3"/>
      <c r="G360" s="3"/>
      <c r="H360" s="3"/>
      <c r="I360" s="3"/>
      <c r="J360" s="3"/>
      <c r="K360" s="3"/>
      <c r="L360" s="3"/>
      <c r="M360" s="3"/>
      <c r="N360" s="55"/>
      <c r="O360" s="55"/>
      <c r="P360" s="3"/>
      <c r="Q360" s="19"/>
      <c r="R360" s="3"/>
      <c r="S360" s="55"/>
      <c r="T360" s="3"/>
      <c r="U360" s="155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</row>
    <row r="361" ht="15.75" customHeight="1">
      <c r="A361" s="3"/>
      <c r="B361" s="3"/>
      <c r="C361" s="3"/>
      <c r="D361" s="3"/>
      <c r="E361" s="172"/>
      <c r="F361" s="3"/>
      <c r="G361" s="3"/>
      <c r="H361" s="3"/>
      <c r="I361" s="3"/>
      <c r="J361" s="3"/>
      <c r="K361" s="3"/>
      <c r="L361" s="3"/>
      <c r="M361" s="3"/>
      <c r="N361" s="55"/>
      <c r="O361" s="55"/>
      <c r="P361" s="3"/>
      <c r="Q361" s="19"/>
      <c r="R361" s="3"/>
      <c r="S361" s="55"/>
      <c r="T361" s="3"/>
      <c r="U361" s="155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</row>
    <row r="362" ht="15.75" customHeight="1">
      <c r="A362" s="3"/>
      <c r="B362" s="3"/>
      <c r="C362" s="3"/>
      <c r="D362" s="3"/>
      <c r="E362" s="172"/>
      <c r="F362" s="3"/>
      <c r="G362" s="3"/>
      <c r="H362" s="3"/>
      <c r="I362" s="3"/>
      <c r="J362" s="3"/>
      <c r="K362" s="3"/>
      <c r="L362" s="3"/>
      <c r="M362" s="3"/>
      <c r="N362" s="55"/>
      <c r="O362" s="55"/>
      <c r="P362" s="3"/>
      <c r="Q362" s="19"/>
      <c r="R362" s="3"/>
      <c r="S362" s="55"/>
      <c r="T362" s="3"/>
      <c r="U362" s="155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</row>
    <row r="363" ht="15.75" customHeight="1">
      <c r="A363" s="3"/>
      <c r="B363" s="3"/>
      <c r="C363" s="3"/>
      <c r="D363" s="3"/>
      <c r="E363" s="172"/>
      <c r="F363" s="3"/>
      <c r="G363" s="3"/>
      <c r="H363" s="3"/>
      <c r="I363" s="3"/>
      <c r="J363" s="3"/>
      <c r="K363" s="3"/>
      <c r="L363" s="3"/>
      <c r="M363" s="3"/>
      <c r="N363" s="55"/>
      <c r="O363" s="55"/>
      <c r="P363" s="3"/>
      <c r="Q363" s="19"/>
      <c r="R363" s="3"/>
      <c r="S363" s="55"/>
      <c r="T363" s="3"/>
      <c r="U363" s="155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</row>
    <row r="364" ht="15.75" customHeight="1">
      <c r="A364" s="3"/>
      <c r="B364" s="3"/>
      <c r="C364" s="3"/>
      <c r="D364" s="3"/>
      <c r="E364" s="172"/>
      <c r="F364" s="3"/>
      <c r="G364" s="3"/>
      <c r="H364" s="3"/>
      <c r="I364" s="3"/>
      <c r="J364" s="3"/>
      <c r="K364" s="3"/>
      <c r="L364" s="3"/>
      <c r="M364" s="3"/>
      <c r="N364" s="55"/>
      <c r="O364" s="55"/>
      <c r="P364" s="3"/>
      <c r="Q364" s="19"/>
      <c r="R364" s="3"/>
      <c r="S364" s="55"/>
      <c r="T364" s="3"/>
      <c r="U364" s="155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</row>
    <row r="365" ht="15.75" customHeight="1">
      <c r="A365" s="3"/>
      <c r="B365" s="3"/>
      <c r="C365" s="3"/>
      <c r="D365" s="3"/>
      <c r="E365" s="172"/>
      <c r="F365" s="3"/>
      <c r="G365" s="3"/>
      <c r="H365" s="3"/>
      <c r="I365" s="3"/>
      <c r="J365" s="3"/>
      <c r="K365" s="3"/>
      <c r="L365" s="3"/>
      <c r="M365" s="3"/>
      <c r="N365" s="55"/>
      <c r="O365" s="55"/>
      <c r="P365" s="3"/>
      <c r="Q365" s="19"/>
      <c r="R365" s="3"/>
      <c r="S365" s="55"/>
      <c r="T365" s="3"/>
      <c r="U365" s="155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</row>
    <row r="366" ht="15.75" customHeight="1">
      <c r="A366" s="3"/>
      <c r="B366" s="3"/>
      <c r="C366" s="3"/>
      <c r="D366" s="3"/>
      <c r="E366" s="172"/>
      <c r="F366" s="3"/>
      <c r="G366" s="3"/>
      <c r="H366" s="3"/>
      <c r="I366" s="3"/>
      <c r="J366" s="3"/>
      <c r="K366" s="3"/>
      <c r="L366" s="3"/>
      <c r="M366" s="3"/>
      <c r="N366" s="55"/>
      <c r="O366" s="55"/>
      <c r="P366" s="3"/>
      <c r="Q366" s="19"/>
      <c r="R366" s="3"/>
      <c r="S366" s="55"/>
      <c r="T366" s="3"/>
      <c r="U366" s="155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</row>
    <row r="367" ht="15.75" customHeight="1">
      <c r="A367" s="3"/>
      <c r="B367" s="3"/>
      <c r="C367" s="3"/>
      <c r="D367" s="3"/>
      <c r="E367" s="172"/>
      <c r="F367" s="3"/>
      <c r="G367" s="3"/>
      <c r="H367" s="3"/>
      <c r="I367" s="3"/>
      <c r="J367" s="3"/>
      <c r="K367" s="3"/>
      <c r="L367" s="3"/>
      <c r="M367" s="3"/>
      <c r="N367" s="55"/>
      <c r="O367" s="55"/>
      <c r="P367" s="3"/>
      <c r="Q367" s="19"/>
      <c r="R367" s="3"/>
      <c r="S367" s="55"/>
      <c r="T367" s="3"/>
      <c r="U367" s="155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</row>
    <row r="368" ht="15.75" customHeight="1">
      <c r="A368" s="3"/>
      <c r="B368" s="3"/>
      <c r="C368" s="3"/>
      <c r="D368" s="3"/>
      <c r="E368" s="172"/>
      <c r="F368" s="3"/>
      <c r="G368" s="3"/>
      <c r="H368" s="3"/>
      <c r="I368" s="3"/>
      <c r="J368" s="3"/>
      <c r="K368" s="3"/>
      <c r="L368" s="3"/>
      <c r="M368" s="3"/>
      <c r="N368" s="55"/>
      <c r="O368" s="55"/>
      <c r="P368" s="3"/>
      <c r="Q368" s="19"/>
      <c r="R368" s="3"/>
      <c r="S368" s="55"/>
      <c r="T368" s="3"/>
      <c r="U368" s="155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</row>
    <row r="369" ht="15.75" customHeight="1">
      <c r="A369" s="3"/>
      <c r="B369" s="3"/>
      <c r="C369" s="3"/>
      <c r="D369" s="3"/>
      <c r="E369" s="172"/>
      <c r="F369" s="3"/>
      <c r="G369" s="3"/>
      <c r="H369" s="3"/>
      <c r="I369" s="3"/>
      <c r="J369" s="3"/>
      <c r="K369" s="3"/>
      <c r="L369" s="3"/>
      <c r="M369" s="3"/>
      <c r="N369" s="55"/>
      <c r="O369" s="55"/>
      <c r="P369" s="3"/>
      <c r="Q369" s="19"/>
      <c r="R369" s="3"/>
      <c r="S369" s="55"/>
      <c r="T369" s="3"/>
      <c r="U369" s="155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</row>
    <row r="370" ht="15.75" customHeight="1">
      <c r="A370" s="3"/>
      <c r="B370" s="3"/>
      <c r="C370" s="3"/>
      <c r="D370" s="3"/>
      <c r="E370" s="172"/>
      <c r="F370" s="3"/>
      <c r="G370" s="3"/>
      <c r="H370" s="3"/>
      <c r="I370" s="3"/>
      <c r="J370" s="3"/>
      <c r="K370" s="3"/>
      <c r="L370" s="3"/>
      <c r="M370" s="3"/>
      <c r="N370" s="55"/>
      <c r="O370" s="55"/>
      <c r="P370" s="3"/>
      <c r="Q370" s="19"/>
      <c r="R370" s="3"/>
      <c r="S370" s="55"/>
      <c r="T370" s="3"/>
      <c r="U370" s="155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</row>
    <row r="371" ht="15.75" customHeight="1">
      <c r="A371" s="3"/>
      <c r="B371" s="3"/>
      <c r="C371" s="3"/>
      <c r="D371" s="3"/>
      <c r="E371" s="172"/>
      <c r="F371" s="3"/>
      <c r="G371" s="3"/>
      <c r="H371" s="3"/>
      <c r="I371" s="3"/>
      <c r="J371" s="3"/>
      <c r="K371" s="3"/>
      <c r="L371" s="3"/>
      <c r="M371" s="3"/>
      <c r="N371" s="55"/>
      <c r="O371" s="55"/>
      <c r="P371" s="3"/>
      <c r="Q371" s="19"/>
      <c r="R371" s="3"/>
      <c r="S371" s="55"/>
      <c r="T371" s="3"/>
      <c r="U371" s="155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</row>
    <row r="372" ht="15.75" customHeight="1">
      <c r="A372" s="3"/>
      <c r="B372" s="3"/>
      <c r="C372" s="3"/>
      <c r="D372" s="3"/>
      <c r="E372" s="172"/>
      <c r="F372" s="3"/>
      <c r="G372" s="3"/>
      <c r="H372" s="3"/>
      <c r="I372" s="3"/>
      <c r="J372" s="3"/>
      <c r="K372" s="3"/>
      <c r="L372" s="3"/>
      <c r="M372" s="3"/>
      <c r="N372" s="55"/>
      <c r="O372" s="55"/>
      <c r="P372" s="3"/>
      <c r="Q372" s="19"/>
      <c r="R372" s="3"/>
      <c r="S372" s="55"/>
      <c r="T372" s="3"/>
      <c r="U372" s="155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</row>
    <row r="373" ht="15.75" customHeight="1">
      <c r="A373" s="3"/>
      <c r="B373" s="3"/>
      <c r="C373" s="3"/>
      <c r="D373" s="3"/>
      <c r="E373" s="172"/>
      <c r="F373" s="3"/>
      <c r="G373" s="3"/>
      <c r="H373" s="3"/>
      <c r="I373" s="3"/>
      <c r="J373" s="3"/>
      <c r="K373" s="3"/>
      <c r="L373" s="3"/>
      <c r="M373" s="3"/>
      <c r="N373" s="55"/>
      <c r="O373" s="55"/>
      <c r="P373" s="3"/>
      <c r="Q373" s="19"/>
      <c r="R373" s="3"/>
      <c r="S373" s="55"/>
      <c r="T373" s="3"/>
      <c r="U373" s="155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</row>
    <row r="374" ht="15.75" customHeight="1">
      <c r="A374" s="3"/>
      <c r="B374" s="3"/>
      <c r="C374" s="3"/>
      <c r="D374" s="3"/>
      <c r="E374" s="172"/>
      <c r="F374" s="3"/>
      <c r="G374" s="3"/>
      <c r="H374" s="3"/>
      <c r="I374" s="3"/>
      <c r="J374" s="3"/>
      <c r="K374" s="3"/>
      <c r="L374" s="3"/>
      <c r="M374" s="3"/>
      <c r="N374" s="55"/>
      <c r="O374" s="55"/>
      <c r="P374" s="3"/>
      <c r="Q374" s="19"/>
      <c r="R374" s="3"/>
      <c r="S374" s="55"/>
      <c r="T374" s="3"/>
      <c r="U374" s="155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</row>
    <row r="375" ht="15.75" customHeight="1">
      <c r="A375" s="3"/>
      <c r="B375" s="3"/>
      <c r="C375" s="3"/>
      <c r="D375" s="3"/>
      <c r="E375" s="172"/>
      <c r="F375" s="3"/>
      <c r="G375" s="3"/>
      <c r="H375" s="3"/>
      <c r="I375" s="3"/>
      <c r="J375" s="3"/>
      <c r="K375" s="3"/>
      <c r="L375" s="3"/>
      <c r="M375" s="3"/>
      <c r="N375" s="55"/>
      <c r="O375" s="55"/>
      <c r="P375" s="3"/>
      <c r="Q375" s="19"/>
      <c r="R375" s="3"/>
      <c r="S375" s="55"/>
      <c r="T375" s="3"/>
      <c r="U375" s="155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</row>
    <row r="376" ht="15.75" customHeight="1">
      <c r="A376" s="3"/>
      <c r="B376" s="3"/>
      <c r="C376" s="3"/>
      <c r="D376" s="3"/>
      <c r="E376" s="172"/>
      <c r="F376" s="3"/>
      <c r="G376" s="3"/>
      <c r="H376" s="3"/>
      <c r="I376" s="3"/>
      <c r="J376" s="3"/>
      <c r="K376" s="3"/>
      <c r="L376" s="3"/>
      <c r="M376" s="3"/>
      <c r="N376" s="55"/>
      <c r="O376" s="55"/>
      <c r="P376" s="3"/>
      <c r="Q376" s="19"/>
      <c r="R376" s="3"/>
      <c r="S376" s="55"/>
      <c r="T376" s="3"/>
      <c r="U376" s="155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</row>
    <row r="377" ht="15.75" customHeight="1">
      <c r="A377" s="3"/>
      <c r="B377" s="3"/>
      <c r="C377" s="3"/>
      <c r="D377" s="3"/>
      <c r="E377" s="172"/>
      <c r="F377" s="3"/>
      <c r="G377" s="3"/>
      <c r="H377" s="3"/>
      <c r="I377" s="3"/>
      <c r="J377" s="3"/>
      <c r="K377" s="3"/>
      <c r="L377" s="3"/>
      <c r="M377" s="3"/>
      <c r="N377" s="55"/>
      <c r="O377" s="55"/>
      <c r="P377" s="3"/>
      <c r="Q377" s="19"/>
      <c r="R377" s="3"/>
      <c r="S377" s="55"/>
      <c r="T377" s="3"/>
      <c r="U377" s="155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</row>
    <row r="378" ht="15.75" customHeight="1">
      <c r="A378" s="3"/>
      <c r="B378" s="3"/>
      <c r="C378" s="3"/>
      <c r="D378" s="3"/>
      <c r="E378" s="172"/>
      <c r="F378" s="3"/>
      <c r="G378" s="3"/>
      <c r="H378" s="3"/>
      <c r="I378" s="3"/>
      <c r="J378" s="3"/>
      <c r="K378" s="3"/>
      <c r="L378" s="3"/>
      <c r="M378" s="3"/>
      <c r="N378" s="55"/>
      <c r="O378" s="55"/>
      <c r="P378" s="3"/>
      <c r="Q378" s="19"/>
      <c r="R378" s="3"/>
      <c r="S378" s="55"/>
      <c r="T378" s="3"/>
      <c r="U378" s="155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</row>
    <row r="379" ht="15.75" customHeight="1">
      <c r="A379" s="3"/>
      <c r="B379" s="3"/>
      <c r="C379" s="3"/>
      <c r="D379" s="3"/>
      <c r="E379" s="172"/>
      <c r="F379" s="3"/>
      <c r="G379" s="3"/>
      <c r="H379" s="3"/>
      <c r="I379" s="3"/>
      <c r="J379" s="3"/>
      <c r="K379" s="3"/>
      <c r="L379" s="3"/>
      <c r="M379" s="3"/>
      <c r="N379" s="55"/>
      <c r="O379" s="55"/>
      <c r="P379" s="3"/>
      <c r="Q379" s="19"/>
      <c r="R379" s="3"/>
      <c r="S379" s="55"/>
      <c r="T379" s="3"/>
      <c r="U379" s="155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</row>
    <row r="380" ht="15.75" customHeight="1">
      <c r="A380" s="3"/>
      <c r="B380" s="3"/>
      <c r="C380" s="3"/>
      <c r="D380" s="3"/>
      <c r="E380" s="172"/>
      <c r="F380" s="3"/>
      <c r="G380" s="3"/>
      <c r="H380" s="3"/>
      <c r="I380" s="3"/>
      <c r="J380" s="3"/>
      <c r="K380" s="3"/>
      <c r="L380" s="3"/>
      <c r="M380" s="3"/>
      <c r="N380" s="55"/>
      <c r="O380" s="55"/>
      <c r="P380" s="3"/>
      <c r="Q380" s="19"/>
      <c r="R380" s="3"/>
      <c r="S380" s="55"/>
      <c r="T380" s="3"/>
      <c r="U380" s="155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</row>
    <row r="381" ht="15.75" customHeight="1">
      <c r="A381" s="3"/>
      <c r="B381" s="3"/>
      <c r="C381" s="3"/>
      <c r="D381" s="3"/>
      <c r="E381" s="172"/>
      <c r="F381" s="3"/>
      <c r="G381" s="3"/>
      <c r="H381" s="3"/>
      <c r="I381" s="3"/>
      <c r="J381" s="3"/>
      <c r="K381" s="3"/>
      <c r="L381" s="3"/>
      <c r="M381" s="3"/>
      <c r="N381" s="55"/>
      <c r="O381" s="55"/>
      <c r="P381" s="3"/>
      <c r="Q381" s="19"/>
      <c r="R381" s="3"/>
      <c r="S381" s="55"/>
      <c r="T381" s="3"/>
      <c r="U381" s="155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</row>
    <row r="382" ht="15.75" customHeight="1">
      <c r="A382" s="3"/>
      <c r="B382" s="3"/>
      <c r="C382" s="3"/>
      <c r="D382" s="3"/>
      <c r="E382" s="172"/>
      <c r="F382" s="3"/>
      <c r="G382" s="3"/>
      <c r="H382" s="3"/>
      <c r="I382" s="3"/>
      <c r="J382" s="3"/>
      <c r="K382" s="3"/>
      <c r="L382" s="3"/>
      <c r="M382" s="3"/>
      <c r="N382" s="55"/>
      <c r="O382" s="55"/>
      <c r="P382" s="3"/>
      <c r="Q382" s="19"/>
      <c r="R382" s="3"/>
      <c r="S382" s="55"/>
      <c r="T382" s="3"/>
      <c r="U382" s="155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</row>
    <row r="383" ht="15.75" customHeight="1">
      <c r="A383" s="3"/>
      <c r="B383" s="3"/>
      <c r="C383" s="3"/>
      <c r="D383" s="3"/>
      <c r="E383" s="172"/>
      <c r="F383" s="3"/>
      <c r="G383" s="3"/>
      <c r="H383" s="3"/>
      <c r="I383" s="3"/>
      <c r="J383" s="3"/>
      <c r="K383" s="3"/>
      <c r="L383" s="3"/>
      <c r="M383" s="3"/>
      <c r="N383" s="55"/>
      <c r="O383" s="55"/>
      <c r="P383" s="3"/>
      <c r="Q383" s="19"/>
      <c r="R383" s="3"/>
      <c r="S383" s="55"/>
      <c r="T383" s="3"/>
      <c r="U383" s="155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</row>
    <row r="384" ht="15.75" customHeight="1">
      <c r="A384" s="3"/>
      <c r="B384" s="3"/>
      <c r="C384" s="3"/>
      <c r="D384" s="3"/>
      <c r="E384" s="172"/>
      <c r="F384" s="3"/>
      <c r="G384" s="3"/>
      <c r="H384" s="3"/>
      <c r="I384" s="3"/>
      <c r="J384" s="3"/>
      <c r="K384" s="3"/>
      <c r="L384" s="3"/>
      <c r="M384" s="3"/>
      <c r="N384" s="55"/>
      <c r="O384" s="55"/>
      <c r="P384" s="3"/>
      <c r="Q384" s="19"/>
      <c r="R384" s="3"/>
      <c r="S384" s="55"/>
      <c r="T384" s="3"/>
      <c r="U384" s="155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</row>
    <row r="385" ht="15.75" customHeight="1">
      <c r="A385" s="3"/>
      <c r="B385" s="3"/>
      <c r="C385" s="3"/>
      <c r="D385" s="3"/>
      <c r="E385" s="172"/>
      <c r="F385" s="3"/>
      <c r="G385" s="3"/>
      <c r="H385" s="3"/>
      <c r="I385" s="3"/>
      <c r="J385" s="3"/>
      <c r="K385" s="3"/>
      <c r="L385" s="3"/>
      <c r="M385" s="3"/>
      <c r="N385" s="55"/>
      <c r="O385" s="55"/>
      <c r="P385" s="3"/>
      <c r="Q385" s="19"/>
      <c r="R385" s="3"/>
      <c r="S385" s="55"/>
      <c r="T385" s="3"/>
      <c r="U385" s="155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</row>
    <row r="386" ht="15.75" customHeight="1">
      <c r="A386" s="3"/>
      <c r="B386" s="3"/>
      <c r="C386" s="3"/>
      <c r="D386" s="3"/>
      <c r="E386" s="172"/>
      <c r="F386" s="3"/>
      <c r="G386" s="3"/>
      <c r="H386" s="3"/>
      <c r="I386" s="3"/>
      <c r="J386" s="3"/>
      <c r="K386" s="3"/>
      <c r="L386" s="3"/>
      <c r="M386" s="3"/>
      <c r="N386" s="55"/>
      <c r="O386" s="55"/>
      <c r="P386" s="3"/>
      <c r="Q386" s="19"/>
      <c r="R386" s="3"/>
      <c r="S386" s="55"/>
      <c r="T386" s="3"/>
      <c r="U386" s="155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</row>
    <row r="387" ht="15.75" customHeight="1">
      <c r="A387" s="3"/>
      <c r="B387" s="3"/>
      <c r="C387" s="3"/>
      <c r="D387" s="3"/>
      <c r="E387" s="172"/>
      <c r="F387" s="3"/>
      <c r="G387" s="3"/>
      <c r="H387" s="3"/>
      <c r="I387" s="3"/>
      <c r="J387" s="3"/>
      <c r="K387" s="3"/>
      <c r="L387" s="3"/>
      <c r="M387" s="3"/>
      <c r="N387" s="55"/>
      <c r="O387" s="55"/>
      <c r="P387" s="3"/>
      <c r="Q387" s="19"/>
      <c r="R387" s="3"/>
      <c r="S387" s="55"/>
      <c r="T387" s="3"/>
      <c r="U387" s="155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</row>
    <row r="388" ht="15.75" customHeight="1">
      <c r="A388" s="3"/>
      <c r="B388" s="3"/>
      <c r="C388" s="3"/>
      <c r="D388" s="3"/>
      <c r="E388" s="172"/>
      <c r="F388" s="3"/>
      <c r="G388" s="3"/>
      <c r="H388" s="3"/>
      <c r="I388" s="3"/>
      <c r="J388" s="3"/>
      <c r="K388" s="3"/>
      <c r="L388" s="3"/>
      <c r="M388" s="3"/>
      <c r="N388" s="55"/>
      <c r="O388" s="55"/>
      <c r="P388" s="3"/>
      <c r="Q388" s="19"/>
      <c r="R388" s="3"/>
      <c r="S388" s="55"/>
      <c r="T388" s="3"/>
      <c r="U388" s="155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</row>
    <row r="389" ht="15.75" customHeight="1">
      <c r="A389" s="3"/>
      <c r="B389" s="3"/>
      <c r="C389" s="3"/>
      <c r="D389" s="3"/>
      <c r="E389" s="172"/>
      <c r="F389" s="3"/>
      <c r="G389" s="3"/>
      <c r="H389" s="3"/>
      <c r="I389" s="3"/>
      <c r="J389" s="3"/>
      <c r="K389" s="3"/>
      <c r="L389" s="3"/>
      <c r="M389" s="3"/>
      <c r="N389" s="55"/>
      <c r="O389" s="55"/>
      <c r="P389" s="3"/>
      <c r="Q389" s="19"/>
      <c r="R389" s="3"/>
      <c r="S389" s="55"/>
      <c r="T389" s="3"/>
      <c r="U389" s="155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</row>
    <row r="390" ht="15.75" customHeight="1">
      <c r="A390" s="3"/>
      <c r="B390" s="3"/>
      <c r="C390" s="3"/>
      <c r="D390" s="3"/>
      <c r="E390" s="172"/>
      <c r="F390" s="3"/>
      <c r="G390" s="3"/>
      <c r="H390" s="3"/>
      <c r="I390" s="3"/>
      <c r="J390" s="3"/>
      <c r="K390" s="3"/>
      <c r="L390" s="3"/>
      <c r="M390" s="3"/>
      <c r="N390" s="55"/>
      <c r="O390" s="55"/>
      <c r="P390" s="3"/>
      <c r="Q390" s="19"/>
      <c r="R390" s="3"/>
      <c r="S390" s="55"/>
      <c r="T390" s="3"/>
      <c r="U390" s="155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</row>
    <row r="391" ht="15.75" customHeight="1">
      <c r="A391" s="3"/>
      <c r="B391" s="3"/>
      <c r="C391" s="3"/>
      <c r="D391" s="3"/>
      <c r="E391" s="172"/>
      <c r="F391" s="3"/>
      <c r="G391" s="3"/>
      <c r="H391" s="3"/>
      <c r="I391" s="3"/>
      <c r="J391" s="3"/>
      <c r="K391" s="3"/>
      <c r="L391" s="3"/>
      <c r="M391" s="3"/>
      <c r="N391" s="55"/>
      <c r="O391" s="55"/>
      <c r="P391" s="3"/>
      <c r="Q391" s="19"/>
      <c r="R391" s="3"/>
      <c r="S391" s="55"/>
      <c r="T391" s="3"/>
      <c r="U391" s="155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</row>
    <row r="392" ht="15.75" customHeight="1">
      <c r="A392" s="3"/>
      <c r="B392" s="3"/>
      <c r="C392" s="3"/>
      <c r="D392" s="3"/>
      <c r="E392" s="172"/>
      <c r="F392" s="3"/>
      <c r="G392" s="3"/>
      <c r="H392" s="3"/>
      <c r="I392" s="3"/>
      <c r="J392" s="3"/>
      <c r="K392" s="3"/>
      <c r="L392" s="3"/>
      <c r="M392" s="3"/>
      <c r="N392" s="55"/>
      <c r="O392" s="55"/>
      <c r="P392" s="3"/>
      <c r="Q392" s="19"/>
      <c r="R392" s="3"/>
      <c r="S392" s="55"/>
      <c r="T392" s="3"/>
      <c r="U392" s="155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</row>
    <row r="393" ht="15.75" customHeight="1">
      <c r="A393" s="3"/>
      <c r="B393" s="3"/>
      <c r="C393" s="3"/>
      <c r="D393" s="3"/>
      <c r="E393" s="172"/>
      <c r="F393" s="3"/>
      <c r="G393" s="3"/>
      <c r="H393" s="3"/>
      <c r="I393" s="3"/>
      <c r="J393" s="3"/>
      <c r="K393" s="3"/>
      <c r="L393" s="3"/>
      <c r="M393" s="3"/>
      <c r="N393" s="55"/>
      <c r="O393" s="55"/>
      <c r="P393" s="3"/>
      <c r="Q393" s="19"/>
      <c r="R393" s="3"/>
      <c r="S393" s="55"/>
      <c r="T393" s="3"/>
      <c r="U393" s="155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</row>
    <row r="394" ht="15.75" customHeight="1">
      <c r="A394" s="3"/>
      <c r="B394" s="3"/>
      <c r="C394" s="3"/>
      <c r="D394" s="3"/>
      <c r="E394" s="172"/>
      <c r="F394" s="3"/>
      <c r="G394" s="3"/>
      <c r="H394" s="3"/>
      <c r="I394" s="3"/>
      <c r="J394" s="3"/>
      <c r="K394" s="3"/>
      <c r="L394" s="3"/>
      <c r="M394" s="3"/>
      <c r="N394" s="55"/>
      <c r="O394" s="55"/>
      <c r="P394" s="3"/>
      <c r="Q394" s="19"/>
      <c r="R394" s="3"/>
      <c r="S394" s="55"/>
      <c r="T394" s="3"/>
      <c r="U394" s="155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</row>
    <row r="395" ht="15.75" customHeight="1">
      <c r="A395" s="3"/>
      <c r="B395" s="3"/>
      <c r="C395" s="3"/>
      <c r="D395" s="3"/>
      <c r="E395" s="172"/>
      <c r="F395" s="3"/>
      <c r="G395" s="3"/>
      <c r="H395" s="3"/>
      <c r="I395" s="3"/>
      <c r="J395" s="3"/>
      <c r="K395" s="3"/>
      <c r="L395" s="3"/>
      <c r="M395" s="3"/>
      <c r="N395" s="55"/>
      <c r="O395" s="55"/>
      <c r="P395" s="3"/>
      <c r="Q395" s="19"/>
      <c r="R395" s="3"/>
      <c r="S395" s="55"/>
      <c r="T395" s="3"/>
      <c r="U395" s="155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</row>
    <row r="396" ht="15.75" customHeight="1">
      <c r="A396" s="3"/>
      <c r="B396" s="3"/>
      <c r="C396" s="3"/>
      <c r="D396" s="3"/>
      <c r="E396" s="172"/>
      <c r="F396" s="3"/>
      <c r="G396" s="3"/>
      <c r="H396" s="3"/>
      <c r="I396" s="3"/>
      <c r="J396" s="3"/>
      <c r="K396" s="3"/>
      <c r="L396" s="3"/>
      <c r="M396" s="3"/>
      <c r="N396" s="55"/>
      <c r="O396" s="55"/>
      <c r="P396" s="3"/>
      <c r="Q396" s="19"/>
      <c r="R396" s="3"/>
      <c r="S396" s="55"/>
      <c r="T396" s="3"/>
      <c r="U396" s="155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55"/>
      <c r="O397" s="55"/>
      <c r="P397" s="3"/>
      <c r="Q397" s="19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55"/>
      <c r="O398" s="55"/>
      <c r="P398" s="3"/>
      <c r="Q398" s="19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55"/>
      <c r="O399" s="55"/>
      <c r="P399" s="3"/>
      <c r="Q399" s="19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55"/>
      <c r="O400" s="55"/>
      <c r="P400" s="3"/>
      <c r="Q400" s="19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55"/>
      <c r="O401" s="55"/>
      <c r="P401" s="3"/>
      <c r="Q401" s="19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55"/>
      <c r="O402" s="55"/>
      <c r="P402" s="3"/>
      <c r="Q402" s="19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55"/>
      <c r="O403" s="55"/>
      <c r="P403" s="3"/>
      <c r="Q403" s="19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55"/>
      <c r="O404" s="55"/>
      <c r="P404" s="3"/>
      <c r="Q404" s="19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55"/>
      <c r="O405" s="55"/>
      <c r="P405" s="3"/>
      <c r="Q405" s="19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55"/>
      <c r="O406" s="55"/>
      <c r="P406" s="3"/>
      <c r="Q406" s="19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55"/>
      <c r="O407" s="55"/>
      <c r="P407" s="3"/>
      <c r="Q407" s="19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55"/>
      <c r="O408" s="55"/>
      <c r="P408" s="3"/>
      <c r="Q408" s="19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55"/>
      <c r="O409" s="55"/>
      <c r="P409" s="3"/>
      <c r="Q409" s="19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55"/>
      <c r="O410" s="55"/>
      <c r="P410" s="3"/>
      <c r="Q410" s="19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55"/>
      <c r="O411" s="55"/>
      <c r="P411" s="3"/>
      <c r="Q411" s="19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55"/>
      <c r="O412" s="55"/>
      <c r="P412" s="3"/>
      <c r="Q412" s="19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55"/>
      <c r="O413" s="55"/>
      <c r="P413" s="3"/>
      <c r="Q413" s="19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19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19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19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19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19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19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19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19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19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19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19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19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19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19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19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19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19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19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19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19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19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19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19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19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19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19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19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19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19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19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19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19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19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19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19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19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19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19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19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19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19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19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19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19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19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19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19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19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19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19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19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19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19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19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19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19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19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19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19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19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19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19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19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19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19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19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19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19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19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19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19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19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19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19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19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19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19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19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19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19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19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19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19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19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19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19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19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19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19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19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19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19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19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19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19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19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19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19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19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19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19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19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19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19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19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19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19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19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19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19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19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19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19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19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19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19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19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19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19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19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19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19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19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19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19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19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19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19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19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19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19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19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19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19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19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19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19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19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19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19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19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19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19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19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19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19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19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19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19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19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19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19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19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19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19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19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19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19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19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19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19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19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19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19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19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19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19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19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19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19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19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19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19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19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19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19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19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19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19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19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19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19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19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19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19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19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19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19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19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19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19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19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19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19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19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19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19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19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19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19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19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19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19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19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19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19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19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19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19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19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19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19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19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19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19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19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19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19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19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19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19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19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19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19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19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19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19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19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19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19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19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19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19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19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19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19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19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19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19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19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19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19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19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19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19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19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19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19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19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19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19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19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19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19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19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19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19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19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19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19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19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19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19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19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19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19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19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19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19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19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19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19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19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19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19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19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19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19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19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19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19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19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19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19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19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19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19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19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19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19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19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19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19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19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19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19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19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19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19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19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19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19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19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19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19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19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19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19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19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19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19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19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19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19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19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19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19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19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19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19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19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19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19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19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19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19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19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19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19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19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19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19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19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19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19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19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19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19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19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19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19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19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19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19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19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19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19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19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19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19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19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19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19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19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19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19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19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19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19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19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19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19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19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19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19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19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19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19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19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19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19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19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19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19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19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19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19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19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19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19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19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19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19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19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19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19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19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19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19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19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19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19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19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19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19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19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19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19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19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19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19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19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19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19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19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19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19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19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19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19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19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19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19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19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19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19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19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19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19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19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19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19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19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19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19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19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19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19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19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19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19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19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19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19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19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19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19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19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19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19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19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19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19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19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19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19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19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19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19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19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19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19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19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19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19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19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19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19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19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19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19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19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19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19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19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19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19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19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19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19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19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19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19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19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19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19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19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19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19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19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19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19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19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19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19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19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19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19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19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19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19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19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19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19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19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19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19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19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19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19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19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19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19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19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19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19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19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19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19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19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19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19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19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19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19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19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19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19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19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19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19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19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19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19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19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19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19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19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19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19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19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19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19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19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19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19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19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19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19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19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19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19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19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19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19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19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19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19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19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19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19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19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19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19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19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19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19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19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19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19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19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19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19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19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19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19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19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19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19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19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19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19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19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19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19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19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19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19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19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19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19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19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19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19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19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19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19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</row>
    <row r="1001" ht="15.75" customHeight="1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19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</row>
    <row r="1002" ht="15.75" customHeight="1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19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</row>
    <row r="1003" ht="15.75" customHeight="1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19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</row>
    <row r="1004" ht="15.75" customHeight="1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19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</row>
    <row r="1005" ht="15.75" customHeight="1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19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</row>
    <row r="1006" ht="15.75" customHeight="1">
      <c r="A1006" s="3"/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19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</row>
    <row r="1007" ht="15.75" customHeight="1">
      <c r="A1007" s="3"/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19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</row>
    <row r="1008" ht="15.75" customHeight="1">
      <c r="A1008" s="3"/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19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</row>
    <row r="1009" ht="15.75" customHeight="1">
      <c r="A1009" s="3"/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19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</row>
    <row r="1010" ht="15.75" customHeight="1">
      <c r="A1010" s="3"/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19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</row>
    <row r="1011" ht="15.75" customHeight="1">
      <c r="A1011" s="3"/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19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</row>
    <row r="1012" ht="15.75" customHeight="1">
      <c r="A1012" s="3"/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19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</row>
    <row r="1013" ht="15.75" customHeight="1">
      <c r="A1013" s="3"/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19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</row>
    <row r="1014" ht="15.75" customHeight="1">
      <c r="A1014" s="3"/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19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</row>
    <row r="1015" ht="15.75" customHeight="1">
      <c r="A1015" s="3"/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19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</row>
    <row r="1016" ht="15.75" customHeight="1">
      <c r="A1016" s="3"/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19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</row>
    <row r="1017" ht="15.75" customHeight="1">
      <c r="A1017" s="3"/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19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</row>
    <row r="1018" ht="15.75" customHeight="1">
      <c r="A1018" s="3"/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19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</row>
    <row r="1019" ht="15.75" customHeight="1">
      <c r="A1019" s="3"/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19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</row>
    <row r="1020" ht="15.75" customHeight="1">
      <c r="A1020" s="3"/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19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</row>
    <row r="1021" ht="15.75" customHeight="1">
      <c r="A1021" s="3"/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19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</row>
    <row r="1022" ht="15.75" customHeight="1">
      <c r="A1022" s="3"/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19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</row>
    <row r="1023" ht="15.75" customHeight="1">
      <c r="A1023" s="3"/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19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</row>
    <row r="1024" ht="15.75" customHeight="1">
      <c r="A1024" s="3"/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19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</row>
    <row r="1025" ht="15.75" customHeight="1">
      <c r="A1025" s="3"/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19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</row>
    <row r="1026" ht="15.75" customHeight="1">
      <c r="A1026" s="3"/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19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</row>
    <row r="1027" ht="15.75" customHeight="1">
      <c r="A1027" s="3"/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19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</row>
    <row r="1028" ht="15.75" customHeight="1">
      <c r="A1028" s="3"/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19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</row>
    <row r="1029" ht="15.75" customHeight="1">
      <c r="A1029" s="3"/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19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</row>
    <row r="1030" ht="15.75" customHeight="1">
      <c r="A1030" s="3"/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19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</row>
    <row r="1031" ht="15.75" customHeight="1">
      <c r="A1031" s="3"/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19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</row>
    <row r="1032" ht="15.75" customHeight="1">
      <c r="A1032" s="3"/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19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</row>
    <row r="1033" ht="15.75" customHeight="1">
      <c r="A1033" s="3"/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19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</row>
    <row r="1034" ht="15.75" customHeight="1">
      <c r="A1034" s="3"/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19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</row>
    <row r="1035" ht="15.75" customHeight="1">
      <c r="A1035" s="3"/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19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</row>
    <row r="1036" ht="15.75" customHeight="1">
      <c r="A1036" s="3"/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19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</row>
    <row r="1037" ht="15.75" customHeight="1">
      <c r="A1037" s="3"/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19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</row>
    <row r="1038" ht="15.75" customHeight="1">
      <c r="A1038" s="3"/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19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</row>
    <row r="1039" ht="15.75" customHeight="1">
      <c r="A1039" s="3"/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19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</row>
    <row r="1040" ht="15.75" customHeight="1">
      <c r="A1040" s="3"/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19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</row>
    <row r="1041" ht="15.75" customHeight="1">
      <c r="A1041" s="3"/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19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</row>
    <row r="1042" ht="15.75" customHeight="1">
      <c r="A1042" s="3"/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19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</row>
    <row r="1043" ht="15.75" customHeight="1">
      <c r="A1043" s="3"/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19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</row>
    <row r="1044" ht="15.75" customHeight="1">
      <c r="A1044" s="3"/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19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</row>
    <row r="1045" ht="15.75" customHeight="1">
      <c r="A1045" s="3"/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19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</row>
    <row r="1046" ht="15.75" customHeight="1">
      <c r="A1046" s="3"/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19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</row>
    <row r="1047" ht="15.75" customHeight="1">
      <c r="A1047" s="3"/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19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</row>
    <row r="1048" ht="15.75" customHeight="1">
      <c r="A1048" s="3"/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19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</row>
    <row r="1049" ht="15.75" customHeight="1">
      <c r="A1049" s="3"/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19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</row>
    <row r="1050" ht="15.75" customHeight="1">
      <c r="A1050" s="3"/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19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</row>
    <row r="1051" ht="15.75" customHeight="1">
      <c r="A1051" s="3"/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19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</row>
    <row r="1052" ht="15.75" customHeight="1">
      <c r="A1052" s="3"/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19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</row>
    <row r="1053" ht="15.75" customHeight="1">
      <c r="A1053" s="3"/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19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</row>
    <row r="1054" ht="15.75" customHeight="1">
      <c r="A1054" s="3"/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19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</row>
    <row r="1055" ht="15.75" customHeight="1">
      <c r="A1055" s="3"/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19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</row>
    <row r="1056" ht="15.75" customHeight="1">
      <c r="A1056" s="3"/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19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</row>
    <row r="1057" ht="15.75" customHeight="1">
      <c r="A1057" s="3"/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19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</row>
    <row r="1058" ht="15.75" customHeight="1">
      <c r="A1058" s="3"/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19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</row>
    <row r="1059" ht="15.75" customHeight="1">
      <c r="A1059" s="3"/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19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</row>
    <row r="1060" ht="15.75" customHeight="1">
      <c r="A1060" s="3"/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19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</row>
    <row r="1061" ht="15.75" customHeight="1">
      <c r="A1061" s="3"/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19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</row>
    <row r="1062" ht="15.75" customHeight="1">
      <c r="A1062" s="3"/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19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</row>
    <row r="1063" ht="15.75" customHeight="1">
      <c r="A1063" s="3"/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19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</row>
    <row r="1064" ht="15.75" customHeight="1">
      <c r="A1064" s="3"/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19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</row>
    <row r="1065" ht="15.75" customHeight="1">
      <c r="A1065" s="3"/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19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</row>
    <row r="1066" ht="15.75" customHeight="1">
      <c r="A1066" s="3"/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19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</row>
    <row r="1067" ht="15.75" customHeight="1">
      <c r="A1067" s="3"/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19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</row>
    <row r="1068" ht="15.75" customHeight="1">
      <c r="A1068" s="3"/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19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</row>
    <row r="1069" ht="15.75" customHeight="1">
      <c r="A1069" s="3"/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19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</row>
    <row r="1070" ht="15.75" customHeight="1">
      <c r="A1070" s="3"/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19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</row>
    <row r="1071" ht="15.75" customHeight="1">
      <c r="A1071" s="3"/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19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</row>
    <row r="1072" ht="15.75" customHeight="1">
      <c r="A1072" s="3"/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19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</row>
    <row r="1073" ht="15.75" customHeight="1">
      <c r="A1073" s="3"/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19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</row>
    <row r="1074" ht="15.75" customHeight="1">
      <c r="A1074" s="3"/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19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</row>
    <row r="1075" ht="15.75" customHeight="1">
      <c r="A1075" s="3"/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19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</row>
  </sheetData>
  <autoFilter ref="$A$1:$AI$181"/>
  <mergeCells count="104">
    <mergeCell ref="A240:B240"/>
    <mergeCell ref="C240:D240"/>
    <mergeCell ref="E240:J240"/>
    <mergeCell ref="A241:B241"/>
    <mergeCell ref="C241:D241"/>
    <mergeCell ref="E241:J241"/>
    <mergeCell ref="A242:B242"/>
    <mergeCell ref="A243:B243"/>
    <mergeCell ref="C243:D243"/>
    <mergeCell ref="E243:J243"/>
    <mergeCell ref="A244:B244"/>
    <mergeCell ref="C244:D244"/>
    <mergeCell ref="E244:J244"/>
    <mergeCell ref="A246:J246"/>
    <mergeCell ref="E248:F248"/>
    <mergeCell ref="G248:H248"/>
    <mergeCell ref="A247:B247"/>
    <mergeCell ref="C247:D247"/>
    <mergeCell ref="E247:F247"/>
    <mergeCell ref="G247:H247"/>
    <mergeCell ref="I247:J247"/>
    <mergeCell ref="C248:D248"/>
    <mergeCell ref="I248:J248"/>
    <mergeCell ref="A256:B256"/>
    <mergeCell ref="A257:B257"/>
    <mergeCell ref="A258:B258"/>
    <mergeCell ref="A259:B259"/>
    <mergeCell ref="A260:B260"/>
    <mergeCell ref="A261:B261"/>
    <mergeCell ref="A253:J253"/>
    <mergeCell ref="A254:B254"/>
    <mergeCell ref="G254:H254"/>
    <mergeCell ref="I254:J254"/>
    <mergeCell ref="A255:B255"/>
    <mergeCell ref="I255:J255"/>
    <mergeCell ref="I256:J256"/>
    <mergeCell ref="G259:H259"/>
    <mergeCell ref="G260:H260"/>
    <mergeCell ref="G261:H261"/>
    <mergeCell ref="G255:H255"/>
    <mergeCell ref="G256:H256"/>
    <mergeCell ref="G257:H257"/>
    <mergeCell ref="I257:J257"/>
    <mergeCell ref="G258:H258"/>
    <mergeCell ref="I258:J258"/>
    <mergeCell ref="I259:J259"/>
    <mergeCell ref="A267:B267"/>
    <mergeCell ref="A270:B270"/>
    <mergeCell ref="A271:B271"/>
    <mergeCell ref="A272:B272"/>
    <mergeCell ref="A273:B273"/>
    <mergeCell ref="A274:B274"/>
    <mergeCell ref="A275:B275"/>
    <mergeCell ref="A276:B276"/>
    <mergeCell ref="I260:J260"/>
    <mergeCell ref="I261:J261"/>
    <mergeCell ref="A263:J263"/>
    <mergeCell ref="A264:J264"/>
    <mergeCell ref="A266:J266"/>
    <mergeCell ref="G267:J267"/>
    <mergeCell ref="A269:J269"/>
    <mergeCell ref="A278:J278"/>
    <mergeCell ref="A279:J279"/>
    <mergeCell ref="G270:J270"/>
    <mergeCell ref="G271:J271"/>
    <mergeCell ref="G272:J272"/>
    <mergeCell ref="G273:J273"/>
    <mergeCell ref="G274:J274"/>
    <mergeCell ref="G275:J275"/>
    <mergeCell ref="G276:J276"/>
    <mergeCell ref="A199:J199"/>
    <mergeCell ref="A200:J200"/>
    <mergeCell ref="A214:J214"/>
    <mergeCell ref="A215:J215"/>
    <mergeCell ref="A225:J225"/>
    <mergeCell ref="A232:J232"/>
    <mergeCell ref="A233:J233"/>
    <mergeCell ref="C236:D236"/>
    <mergeCell ref="E236:J236"/>
    <mergeCell ref="A234:B234"/>
    <mergeCell ref="C234:D234"/>
    <mergeCell ref="E234:J234"/>
    <mergeCell ref="A235:B235"/>
    <mergeCell ref="C235:D235"/>
    <mergeCell ref="E235:J235"/>
    <mergeCell ref="A236:B236"/>
    <mergeCell ref="C239:D239"/>
    <mergeCell ref="E239:J239"/>
    <mergeCell ref="A237:B237"/>
    <mergeCell ref="C237:D237"/>
    <mergeCell ref="E237:J237"/>
    <mergeCell ref="A238:B238"/>
    <mergeCell ref="C238:D238"/>
    <mergeCell ref="E238:J238"/>
    <mergeCell ref="A239:B239"/>
    <mergeCell ref="C242:D242"/>
    <mergeCell ref="E242:J242"/>
    <mergeCell ref="A248:B248"/>
    <mergeCell ref="A249:B249"/>
    <mergeCell ref="C249:D249"/>
    <mergeCell ref="E249:F249"/>
    <mergeCell ref="G249:H249"/>
    <mergeCell ref="I249:J249"/>
    <mergeCell ref="A251:J251"/>
  </mergeCells>
  <conditionalFormatting sqref="Q183:Q194">
    <cfRule type="expression" dxfId="1" priority="1">
      <formula>AND($G39="Вышло",N($AA39)=0,N($U39)=0)</formula>
    </cfRule>
  </conditionalFormatting>
  <conditionalFormatting sqref="Q183:Q194">
    <cfRule type="expression" dxfId="0" priority="2">
      <formula>AND($G39="Вышло",$F39="")</formula>
    </cfRule>
  </conditionalFormatting>
  <conditionalFormatting sqref="Q183:Q194">
    <cfRule type="expression" dxfId="0" priority="3">
      <formula>AND($G39="Вышло",$F39="")</formula>
    </cfRule>
  </conditionalFormatting>
  <conditionalFormatting sqref="Q183:Q194">
    <cfRule type="expression" dxfId="1" priority="4">
      <formula>AND($G39="Вышло",N($AA39)=0,N($U39)=0)</formula>
    </cfRule>
  </conditionalFormatting>
  <conditionalFormatting sqref="Q183:Q194">
    <cfRule type="expression" dxfId="0" priority="5">
      <formula>AND($G39="Вышло",$F39="")</formula>
    </cfRule>
  </conditionalFormatting>
  <conditionalFormatting sqref="Q183:Q194">
    <cfRule type="expression" dxfId="0" priority="6">
      <formula>AND($H39="Вышло",$G39="")</formula>
    </cfRule>
  </conditionalFormatting>
  <conditionalFormatting sqref="Q183:Q194">
    <cfRule type="expression" dxfId="1" priority="7">
      <formula>AND($G39="Вышло",N($AA39)=0,N($U39)=0)</formula>
    </cfRule>
  </conditionalFormatting>
  <conditionalFormatting sqref="Q183:Q194">
    <cfRule type="expression" dxfId="1" priority="8">
      <formula>AND($H39="Вышло",N($AB39)=0,N($V39)=0)</formula>
    </cfRule>
  </conditionalFormatting>
  <conditionalFormatting sqref="Q183:Q194">
    <cfRule type="expression" dxfId="0" priority="9">
      <formula>AND($G31="Вышло",$F31="")</formula>
    </cfRule>
  </conditionalFormatting>
  <conditionalFormatting sqref="Q183:Q194">
    <cfRule type="expression" dxfId="3" priority="10">
      <formula>AND($G31="Вышло",N($AA31)=0,N($U31)=0)</formula>
    </cfRule>
  </conditionalFormatting>
  <conditionalFormatting sqref="Q155">
    <cfRule type="expression" dxfId="0" priority="11">
      <formula>AND($G36="Вышло",$F36="")</formula>
    </cfRule>
  </conditionalFormatting>
  <conditionalFormatting sqref="Q155">
    <cfRule type="expression" dxfId="3" priority="12">
      <formula>AND($G28="Вышло",N($AA28)=0,N($U28)=0)</formula>
    </cfRule>
  </conditionalFormatting>
  <conditionalFormatting sqref="Q155">
    <cfRule type="expression" dxfId="1" priority="13">
      <formula>AND($H36="Вышло",N($AB36)=0,N($V36)=0)</formula>
    </cfRule>
  </conditionalFormatting>
  <conditionalFormatting sqref="Q155">
    <cfRule type="expression" dxfId="0" priority="14">
      <formula>AND($G28="Вышло",$F28="")</formula>
    </cfRule>
  </conditionalFormatting>
  <conditionalFormatting sqref="Q155">
    <cfRule type="expression" dxfId="1" priority="15">
      <formula>AND($G36="Вышло",N($AA36)=0,N($U36)=0)</formula>
    </cfRule>
  </conditionalFormatting>
  <conditionalFormatting sqref="Q155">
    <cfRule type="expression" dxfId="0" priority="16">
      <formula>AND($H36="Вышло",$G36="")</formula>
    </cfRule>
  </conditionalFormatting>
  <conditionalFormatting sqref="Q155">
    <cfRule type="expression" dxfId="0" priority="17">
      <formula>AND($G36="Вышло",$F36="")</formula>
    </cfRule>
  </conditionalFormatting>
  <conditionalFormatting sqref="Q155">
    <cfRule type="expression" dxfId="0" priority="18">
      <formula>AND($G36="Вышло",$F36="")</formula>
    </cfRule>
  </conditionalFormatting>
  <conditionalFormatting sqref="Q155">
    <cfRule type="expression" dxfId="1" priority="19">
      <formula>AND($G36="Вышло",N($AA36)=0,N($U36)=0)</formula>
    </cfRule>
  </conditionalFormatting>
  <conditionalFormatting sqref="Q155">
    <cfRule type="expression" dxfId="1" priority="20">
      <formula>AND($G36="Вышло",N($AA36)=0,N($U36)=0)</formula>
    </cfRule>
  </conditionalFormatting>
  <conditionalFormatting sqref="Q144:Q151 Q156:Q179">
    <cfRule type="expression" dxfId="1" priority="21">
      <formula>AND($G23="Вышло",N($AA23)=0,N($U23)=0)</formula>
    </cfRule>
  </conditionalFormatting>
  <conditionalFormatting sqref="Q144:Q151 Q156:Q179">
    <cfRule type="expression" dxfId="1" priority="22">
      <formula>AND($H23="Вышло",N($AB23)=0,N($V23)=0)</formula>
    </cfRule>
  </conditionalFormatting>
  <conditionalFormatting sqref="Q144:Q151 Q156:Q179">
    <cfRule type="expression" dxfId="0" priority="23">
      <formula>AND($G23="Вышло",$F23="")</formula>
    </cfRule>
  </conditionalFormatting>
  <conditionalFormatting sqref="Q144:Q151 Q156:Q179">
    <cfRule type="expression" dxfId="0" priority="24">
      <formula>AND($G23="Вышло",$F23="")</formula>
    </cfRule>
  </conditionalFormatting>
  <conditionalFormatting sqref="Q144:Q151 Q156:Q179">
    <cfRule type="expression" dxfId="0" priority="25">
      <formula>AND($G15="Вышло",$F15="")</formula>
    </cfRule>
  </conditionalFormatting>
  <conditionalFormatting sqref="Q144:Q151 Q156:Q179">
    <cfRule type="expression" dxfId="1" priority="26">
      <formula>AND($G23="Вышло",N($AA23)=0,N($U23)=0)</formula>
    </cfRule>
  </conditionalFormatting>
  <conditionalFormatting sqref="Q144:Q151 Q156:Q179">
    <cfRule type="expression" dxfId="3" priority="27">
      <formula>AND($G15="Вышло",N($AA15)=0,N($U15)=0)</formula>
    </cfRule>
  </conditionalFormatting>
  <conditionalFormatting sqref="Q144:Q151 Q156:Q179">
    <cfRule type="expression" dxfId="0" priority="28">
      <formula>AND($G23="Вышло",$F23="")</formula>
    </cfRule>
  </conditionalFormatting>
  <conditionalFormatting sqref="Q144:Q151 Q156:Q179">
    <cfRule type="expression" dxfId="0" priority="29">
      <formula>AND($H23="Вышло",$G23="")</formula>
    </cfRule>
  </conditionalFormatting>
  <conditionalFormatting sqref="Q144:Q151 Q156:Q179">
    <cfRule type="expression" dxfId="1" priority="30">
      <formula>AND($G23="Вышло",N($AA23)=0,N($U23)=0)</formula>
    </cfRule>
  </conditionalFormatting>
  <conditionalFormatting sqref="A92:AI139 C144:F147 C159:E179 Q159:Q179">
    <cfRule type="expression" dxfId="1" priority="31">
      <formula>AND($G101="Вышло",N($AA101)=0,N($U101)=0)</formula>
    </cfRule>
  </conditionalFormatting>
  <conditionalFormatting sqref="A92:AI139 C144:F147 C159:E179 Q159:Q179">
    <cfRule type="expression" dxfId="0" priority="32">
      <formula>AND($G101="Вышло",$F101="")</formula>
    </cfRule>
  </conditionalFormatting>
  <conditionalFormatting sqref="A92:AD139 C144:F147 C159:E179 Q159:Q179">
    <cfRule type="expression" dxfId="1" priority="33">
      <formula>AND($G101="Вышло",N($AA101)=0,N($U101)=0)</formula>
    </cfRule>
  </conditionalFormatting>
  <conditionalFormatting sqref="A92:AD139 C144:F147 C159:E179 Q159:Q179">
    <cfRule type="expression" dxfId="0" priority="34">
      <formula>AND($G101="Вышло",$F101="")</formula>
    </cfRule>
  </conditionalFormatting>
  <conditionalFormatting sqref="A92:AD139 C144:F147 C159:E179 Q159:Q179">
    <cfRule type="expression" dxfId="1" priority="35">
      <formula>AND($G101="Вышло",N($AA101)=0,N($U101)=0)</formula>
    </cfRule>
  </conditionalFormatting>
  <conditionalFormatting sqref="A92:AD139 C144:F147 C159:E179 Q159:Q179">
    <cfRule type="expression" dxfId="0" priority="36">
      <formula>AND($G101="Вышло",$F101="")</formula>
    </cfRule>
  </conditionalFormatting>
  <conditionalFormatting sqref="Q86:Q89">
    <cfRule type="expression" dxfId="0" priority="37">
      <formula>AND($H62="Вышло",$G62="")</formula>
    </cfRule>
  </conditionalFormatting>
  <conditionalFormatting sqref="Q86:Q89">
    <cfRule type="expression" dxfId="1" priority="38">
      <formula>AND($H62="Вышло",N($AB62)=0,N($V62)=0)</formula>
    </cfRule>
  </conditionalFormatting>
  <conditionalFormatting sqref="Q86:Q89">
    <cfRule type="expression" dxfId="0" priority="39">
      <formula>AND($G62="Вышло",$F62="")</formula>
    </cfRule>
  </conditionalFormatting>
  <conditionalFormatting sqref="Q86:Q89">
    <cfRule type="expression" dxfId="1" priority="40">
      <formula>AND($G62="Вышло",N($AA62)=0,N($U62)=0)</formula>
    </cfRule>
  </conditionalFormatting>
  <conditionalFormatting sqref="Q86:Q89">
    <cfRule type="expression" dxfId="0" priority="41">
      <formula>AND($G62="Вышло",$F62="")</formula>
    </cfRule>
  </conditionalFormatting>
  <conditionalFormatting sqref="Q86:Q89">
    <cfRule type="expression" dxfId="1" priority="42">
      <formula>AND($G62="Вышло",N($AA62)=0,N($U62)=0)</formula>
    </cfRule>
  </conditionalFormatting>
  <conditionalFormatting sqref="Q86:Q89">
    <cfRule type="expression" dxfId="0" priority="43">
      <formula>AND($G62="Вышло",$F62="")</formula>
    </cfRule>
  </conditionalFormatting>
  <conditionalFormatting sqref="Q86:Q89">
    <cfRule type="expression" dxfId="1" priority="44">
      <formula>AND($G62="Вышло",N($AA62)=0,N($U62)=0)</formula>
    </cfRule>
  </conditionalFormatting>
  <conditionalFormatting sqref="Q86:Q89">
    <cfRule type="expression" dxfId="0" priority="45">
      <formula>AND($G54="Вышло",$F54="")</formula>
    </cfRule>
  </conditionalFormatting>
  <conditionalFormatting sqref="Q86:Q89">
    <cfRule type="expression" dxfId="3" priority="46">
      <formula>AND($G54="Вышло",N($AA54)=0,N($U54)=0)</formula>
    </cfRule>
  </conditionalFormatting>
  <conditionalFormatting sqref="G86:G89">
    <cfRule type="expression" dxfId="0" priority="47">
      <formula>AND($G215="Вышло",$F215="")</formula>
    </cfRule>
  </conditionalFormatting>
  <conditionalFormatting sqref="G86:G89">
    <cfRule type="expression" dxfId="1" priority="48">
      <formula>AND($G215="Вышло",N($AA215)=0,N($U215)=0)</formula>
    </cfRule>
  </conditionalFormatting>
  <conditionalFormatting sqref="G86:G89">
    <cfRule type="expression" dxfId="0" priority="49">
      <formula>AND($G215="Вышло",$F215="")</formula>
    </cfRule>
  </conditionalFormatting>
  <conditionalFormatting sqref="G86:G89">
    <cfRule type="expression" dxfId="1" priority="50">
      <formula>AND($G215="Вышло",N($AA215)=0,N($U215)=0)</formula>
    </cfRule>
  </conditionalFormatting>
  <conditionalFormatting sqref="G86:G89">
    <cfRule type="expression" dxfId="0" priority="51">
      <formula>AND($G215="Вышло",$F215="")</formula>
    </cfRule>
  </conditionalFormatting>
  <conditionalFormatting sqref="G86:G89">
    <cfRule type="expression" dxfId="1" priority="52">
      <formula>AND($G215="Вышло",N($AA215)=0,N($U215)=0)</formula>
    </cfRule>
  </conditionalFormatting>
  <conditionalFormatting sqref="Q92:Q123">
    <cfRule type="expression" dxfId="0" priority="53">
      <formula>AND($G23="Вышло",$F23="")</formula>
    </cfRule>
  </conditionalFormatting>
  <conditionalFormatting sqref="Q92:Q123">
    <cfRule type="expression" dxfId="1" priority="54">
      <formula>AND($G23="Вышло",N($AA23)=0,N($U23)=0)</formula>
    </cfRule>
  </conditionalFormatting>
  <conditionalFormatting sqref="Q92:Q123">
    <cfRule type="expression" dxfId="0" priority="55">
      <formula>AND($G23="Вышло",$F23="")</formula>
    </cfRule>
  </conditionalFormatting>
  <conditionalFormatting sqref="Q92:Q123">
    <cfRule type="expression" dxfId="1" priority="56">
      <formula>AND($G23="Вышло",N($AA23)=0,N($U23)=0)</formula>
    </cfRule>
  </conditionalFormatting>
  <conditionalFormatting sqref="Q92:Q123">
    <cfRule type="expression" dxfId="0" priority="57">
      <formula>AND($G23="Вышло",$F23="")</formula>
    </cfRule>
  </conditionalFormatting>
  <conditionalFormatting sqref="Q92:Q123">
    <cfRule type="expression" dxfId="1" priority="58">
      <formula>AND($G23="Вышло",N($AA23)=0,N($U23)=0)</formula>
    </cfRule>
  </conditionalFormatting>
  <conditionalFormatting sqref="Q92:Q123">
    <cfRule type="expression" dxfId="0" priority="59">
      <formula>AND($H23="Вышло",$G23="")</formula>
    </cfRule>
  </conditionalFormatting>
  <conditionalFormatting sqref="Q92:Q123">
    <cfRule type="expression" dxfId="1" priority="60">
      <formula>AND($H23="Вышло",N($AB23)=0,N($V23)=0)</formula>
    </cfRule>
  </conditionalFormatting>
  <conditionalFormatting sqref="Q92:Q123">
    <cfRule type="expression" dxfId="0" priority="61">
      <formula>AND($G15="Вышло",$F15="")</formula>
    </cfRule>
  </conditionalFormatting>
  <conditionalFormatting sqref="Q92:Q123">
    <cfRule type="expression" dxfId="3" priority="62">
      <formula>AND($G15="Вышло",N($AA15)=0,N($U15)=0)</formula>
    </cfRule>
  </conditionalFormatting>
  <conditionalFormatting sqref="P39">
    <cfRule type="expression" dxfId="1" priority="63">
      <formula>AND($G23="Вышло",N($AA23)=0,N($U23)=0)</formula>
    </cfRule>
  </conditionalFormatting>
  <conditionalFormatting sqref="P39">
    <cfRule type="expression" dxfId="0" priority="64">
      <formula>AND($G29="Вышло",$F29="")</formula>
    </cfRule>
  </conditionalFormatting>
  <conditionalFormatting sqref="P39">
    <cfRule type="expression" dxfId="1" priority="65">
      <formula>AND($G29="Вышло",N($AA29)=0,N($U29)=0)</formula>
    </cfRule>
  </conditionalFormatting>
  <conditionalFormatting sqref="P39">
    <cfRule type="expression" dxfId="0" priority="66">
      <formula>AND($G29="Вышло",$F29="")</formula>
    </cfRule>
  </conditionalFormatting>
  <conditionalFormatting sqref="P39">
    <cfRule type="expression" dxfId="1" priority="67">
      <formula>AND($G29="Вышло",N($AA29)=0,N($U29)=0)</formula>
    </cfRule>
  </conditionalFormatting>
  <conditionalFormatting sqref="P39">
    <cfRule type="expression" dxfId="0" priority="68">
      <formula>AND($G29="Вышло",$F29="")</formula>
    </cfRule>
  </conditionalFormatting>
  <conditionalFormatting sqref="P39">
    <cfRule type="expression" dxfId="1" priority="69">
      <formula>AND($G29="Вышло",N($AA29)=0,N($U29)=0)</formula>
    </cfRule>
  </conditionalFormatting>
  <conditionalFormatting sqref="P39">
    <cfRule type="expression" dxfId="0" priority="70">
      <formula>AND($H29="Вышло",$G29="")</formula>
    </cfRule>
  </conditionalFormatting>
  <conditionalFormatting sqref="P39">
    <cfRule type="expression" dxfId="1" priority="71">
      <formula>AND($H29="Вышло",N($AB29)=0,N($V29)=0)</formula>
    </cfRule>
  </conditionalFormatting>
  <conditionalFormatting sqref="P39">
    <cfRule type="expression" dxfId="0" priority="72">
      <formula>AND($G22="Вышло",$F22="")</formula>
    </cfRule>
  </conditionalFormatting>
  <conditionalFormatting sqref="P39">
    <cfRule type="expression" dxfId="3" priority="73">
      <formula>AND($G22="Вышло",N($AA22)=0,N($U22)=0)</formula>
    </cfRule>
  </conditionalFormatting>
  <conditionalFormatting sqref="U39">
    <cfRule type="expression" dxfId="0" priority="74">
      <formula>AND($G32="Вышло",$F32="")</formula>
    </cfRule>
  </conditionalFormatting>
  <conditionalFormatting sqref="U39">
    <cfRule type="expression" dxfId="1" priority="75">
      <formula>AND($G32="Вышло",N($AA32)=0,N($U32)=0)</formula>
    </cfRule>
  </conditionalFormatting>
  <conditionalFormatting sqref="U39">
    <cfRule type="expression" dxfId="0" priority="76">
      <formula>AND($G32="Вышло",$F32="")</formula>
    </cfRule>
  </conditionalFormatting>
  <conditionalFormatting sqref="U39">
    <cfRule type="expression" dxfId="1" priority="77">
      <formula>AND($G32="Вышло",N($AA32)=0,N($U32)=0)</formula>
    </cfRule>
  </conditionalFormatting>
  <conditionalFormatting sqref="U39">
    <cfRule type="expression" dxfId="0" priority="78">
      <formula>AND($G32="Вышло",$F32="")</formula>
    </cfRule>
  </conditionalFormatting>
  <conditionalFormatting sqref="U39">
    <cfRule type="expression" dxfId="1" priority="79">
      <formula>AND($G32="Вышло",N($AA32)=0,N($U32)=0)</formula>
    </cfRule>
  </conditionalFormatting>
  <conditionalFormatting sqref="U39">
    <cfRule type="expression" dxfId="0" priority="80">
      <formula>AND($H32="Вышло",$G32="")</formula>
    </cfRule>
  </conditionalFormatting>
  <conditionalFormatting sqref="U39">
    <cfRule type="expression" dxfId="1" priority="81">
      <formula>AND($H32="Вышло",N($AB32)=0,N($V32)=0)</formula>
    </cfRule>
  </conditionalFormatting>
  <conditionalFormatting sqref="U39">
    <cfRule type="expression" dxfId="3" priority="82">
      <formula>AND($G23="Вышло",N($AA23)=0,N($U23)=0)</formula>
    </cfRule>
  </conditionalFormatting>
  <conditionalFormatting sqref="U39">
    <cfRule type="expression" dxfId="0" priority="83">
      <formula>AND($G23="Вышло",$F23="")</formula>
    </cfRule>
  </conditionalFormatting>
  <conditionalFormatting sqref="U39">
    <cfRule type="expression" dxfId="1" priority="84">
      <formula>AND($H21="Вышло",N($AB21)=0,N($V21)=0)</formula>
    </cfRule>
  </conditionalFormatting>
  <conditionalFormatting sqref="U39">
    <cfRule type="expression" dxfId="0" priority="85">
      <formula>AND($H21="Вышло",$G21="")</formula>
    </cfRule>
  </conditionalFormatting>
  <conditionalFormatting sqref="A39">
    <cfRule type="expression" dxfId="1" priority="86">
      <formula>AND($H17="Вышло",N($AB17)=0,N($V17)=0)</formula>
    </cfRule>
  </conditionalFormatting>
  <conditionalFormatting sqref="A39">
    <cfRule type="expression" dxfId="0" priority="87">
      <formula>AND($H17="Вышло",$G17="")</formula>
    </cfRule>
  </conditionalFormatting>
  <conditionalFormatting sqref="A39">
    <cfRule type="expression" dxfId="1" priority="88">
      <formula>AND($G17="Вышло",N($AA17)=0,N($U17)=0)</formula>
    </cfRule>
  </conditionalFormatting>
  <conditionalFormatting sqref="A39">
    <cfRule type="expression" dxfId="0" priority="89">
      <formula>AND($G17="Вышло",$F17="")</formula>
    </cfRule>
  </conditionalFormatting>
  <conditionalFormatting sqref="A39">
    <cfRule type="expression" dxfId="1" priority="90">
      <formula>AND($G17="Вышло",N($AA17)=0,N($U17)=0)</formula>
    </cfRule>
  </conditionalFormatting>
  <conditionalFormatting sqref="A39">
    <cfRule type="expression" dxfId="0" priority="91">
      <formula>AND($G17="Вышло",$F17="")</formula>
    </cfRule>
  </conditionalFormatting>
  <conditionalFormatting sqref="A39">
    <cfRule type="expression" dxfId="1" priority="92">
      <formula>AND($G17="Вышло",N($AA17)=0,N($U17)=0)</formula>
    </cfRule>
  </conditionalFormatting>
  <conditionalFormatting sqref="A39">
    <cfRule type="expression" dxfId="0" priority="93">
      <formula>AND($G17="Вышло",$F17="")</formula>
    </cfRule>
  </conditionalFormatting>
  <conditionalFormatting sqref="A39">
    <cfRule type="expression" dxfId="3" priority="94">
      <formula>AND($G14="Вышло",N($AA14)=0,N($U14)=0)</formula>
    </cfRule>
  </conditionalFormatting>
  <conditionalFormatting sqref="A39">
    <cfRule type="expression" dxfId="0" priority="95">
      <formula>AND($G14="Вышло",$F14="")</formula>
    </cfRule>
  </conditionalFormatting>
  <conditionalFormatting sqref="B44:C44">
    <cfRule type="expression" dxfId="0" priority="96">
      <formula>AND(#REF!="Вышло",#REF!="")</formula>
    </cfRule>
  </conditionalFormatting>
  <conditionalFormatting sqref="B44:C44">
    <cfRule type="expression" dxfId="3" priority="97">
      <formula>AND(#REF!="Вышло",N(#REF!)=0,N(#REF!)=0)</formula>
    </cfRule>
  </conditionalFormatting>
  <conditionalFormatting sqref="B44:C44">
    <cfRule type="expression" dxfId="1" priority="98">
      <formula>AND(#REF!="Вышло",N(#REF!)=0,N(#REF!)=0)</formula>
    </cfRule>
  </conditionalFormatting>
  <conditionalFormatting sqref="B44:C44">
    <cfRule type="expression" dxfId="0" priority="99">
      <formula>AND(#REF!="Вышло",#REF!="")</formula>
    </cfRule>
  </conditionalFormatting>
  <conditionalFormatting sqref="A42:B49 C42:F85 D87:F89 G42:G89 H42:H85 H87:H89 I42:P49 Q42:Q85 Q87:Q89 R42:AI49">
    <cfRule type="expression" dxfId="1" priority="100">
      <formula>AND(#REF!="Вышло",N(#REF!)=0,N(#REF!)=0)</formula>
    </cfRule>
  </conditionalFormatting>
  <conditionalFormatting sqref="A42:B49 C42:F85 D87:F89 G42:G89 H42:H85 H87:H89 I42:P49 Q42:Q85 Q87:Q89 R42:AI49">
    <cfRule type="expression" dxfId="0" priority="101">
      <formula>AND(#REF!="Вышло",#REF!="")</formula>
    </cfRule>
  </conditionalFormatting>
  <conditionalFormatting sqref="A42:B49 C42:H85 D87:H89 I42:P49 Q42:Q85 Q87:Q89 R42:AI49">
    <cfRule type="expression" dxfId="1" priority="102">
      <formula>AND($G157="Вышло",N($AA157)=0,N($U157)=0)</formula>
    </cfRule>
  </conditionalFormatting>
  <conditionalFormatting sqref="A42:B49 C42:H85 D87:H89 I42:P49 Q42:Q85 Q87:Q89 R42:AI49">
    <cfRule type="expression" dxfId="0" priority="103">
      <formula>AND($G157="Вышло",$F157="")</formula>
    </cfRule>
  </conditionalFormatting>
  <conditionalFormatting sqref="A42:B49 C42:H85 D87:H89 I42:P49 Q42:Q85 Q87:Q89 R42:AD49">
    <cfRule type="expression" dxfId="1" priority="104">
      <formula>AND($G157="Вышло",N($AA157)=0,N($U157)=0)</formula>
    </cfRule>
  </conditionalFormatting>
  <conditionalFormatting sqref="A42:B49 C42:H85 D87:H89 I42:P49 Q42:Q85 Q87:Q89 R42:AD49">
    <cfRule type="expression" dxfId="0" priority="105">
      <formula>AND($G157="Вышло",$F157="")</formula>
    </cfRule>
  </conditionalFormatting>
  <conditionalFormatting sqref="A42:B49 C42:H85 D87:H89 I42:P49 Q42:Q85 Q87:Q89 R42:AD49">
    <cfRule type="expression" dxfId="1" priority="106">
      <formula>AND($G157="Вышло",N($AA157)=0,N($U157)=0)</formula>
    </cfRule>
  </conditionalFormatting>
  <conditionalFormatting sqref="A42:B49 C42:H85 D87:H89 I42:P49 Q42:Q85 Q87:Q89 R42:AD49">
    <cfRule type="expression" dxfId="0" priority="107">
      <formula>AND($G157="Вышло",$F157="")</formula>
    </cfRule>
  </conditionalFormatting>
  <conditionalFormatting sqref="A41:Y41 Z41:Z88 AA41:AI41">
    <cfRule type="expression" dxfId="1" priority="108">
      <formula>AND($H34="Вышло",N($AB34)=0,N($V34)=0)</formula>
    </cfRule>
  </conditionalFormatting>
  <conditionalFormatting sqref="A41:Y41 Z41:Z88 AA41:AI41">
    <cfRule type="expression" dxfId="0" priority="109">
      <formula>AND($H34="Вышло",$G34="")</formula>
    </cfRule>
  </conditionalFormatting>
  <conditionalFormatting sqref="A41:Y41 Z41:Z88 AA41:AI41">
    <cfRule type="expression" dxfId="1" priority="110">
      <formula>AND(#REF!="Вышло",N(#REF!)=0,N(#REF!)=0)</formula>
    </cfRule>
  </conditionalFormatting>
  <conditionalFormatting sqref="A41:Y41 Z41:Z88 AA41:AI41">
    <cfRule type="expression" dxfId="0" priority="111">
      <formula>AND(#REF!="Вышло",#REF!="")</formula>
    </cfRule>
  </conditionalFormatting>
  <conditionalFormatting sqref="A41:Y41 Z41:Z88 AA41:AD41">
    <cfRule type="expression" dxfId="1" priority="112">
      <formula>AND(#REF!="Вышло",N(#REF!)=0,N(#REF!)=0)</formula>
    </cfRule>
  </conditionalFormatting>
  <conditionalFormatting sqref="A41:Y41 Z41:Z88 AA41:AD41">
    <cfRule type="expression" dxfId="0" priority="113">
      <formula>AND(#REF!="Вышло",#REF!="")</formula>
    </cfRule>
  </conditionalFormatting>
  <conditionalFormatting sqref="A41:Y41 Z41:Z88 AA41:AD41">
    <cfRule type="expression" dxfId="1" priority="114">
      <formula>AND(#REF!="Вышло",N(#REF!)=0,N(#REF!)=0)</formula>
    </cfRule>
  </conditionalFormatting>
  <conditionalFormatting sqref="A41:Y41 Z41:Z88 AA41:AD41">
    <cfRule type="expression" dxfId="0" priority="115">
      <formula>AND(#REF!="Вышло",#REF!="")</formula>
    </cfRule>
  </conditionalFormatting>
  <conditionalFormatting sqref="L49">
    <cfRule type="expression" dxfId="0" priority="116">
      <formula>AND(#REF!="Вышло",#REF!="")</formula>
    </cfRule>
  </conditionalFormatting>
  <conditionalFormatting sqref="L49">
    <cfRule type="expression" dxfId="1" priority="117">
      <formula>AND($H34="Вышло",N($AA34)=0,N($U34)=0)</formula>
    </cfRule>
  </conditionalFormatting>
  <conditionalFormatting sqref="L49">
    <cfRule type="expression" dxfId="0" priority="118">
      <formula>AND($H34="Вышло",$G34="")</formula>
    </cfRule>
  </conditionalFormatting>
  <conditionalFormatting sqref="L49">
    <cfRule type="expression" dxfId="1" priority="119">
      <formula>AND($G34="Вышло",N($Y34)=0,N($T34)=0)</formula>
    </cfRule>
  </conditionalFormatting>
  <conditionalFormatting sqref="Q49:Q85 Q87:Q89">
    <cfRule type="expression" dxfId="1" priority="120">
      <formula>AND($H36="Вышло",N($AB36)=0,N($V36)=0)</formula>
    </cfRule>
  </conditionalFormatting>
  <conditionalFormatting sqref="Q49:Q85 Q87:Q89">
    <cfRule type="expression" dxfId="0" priority="121">
      <formula>AND($H36="Вышло",$G36="")</formula>
    </cfRule>
  </conditionalFormatting>
  <conditionalFormatting sqref="Q49:Q85 Q87:Q89">
    <cfRule type="expression" dxfId="1" priority="122">
      <formula>AND($G36="Вышло",N($AA36)=0,N($U36)=0)</formula>
    </cfRule>
  </conditionalFormatting>
  <conditionalFormatting sqref="Q49:Q85 Q87:Q89">
    <cfRule type="expression" dxfId="0" priority="123">
      <formula>AND($G36="Вышло",$F36="")</formula>
    </cfRule>
  </conditionalFormatting>
  <conditionalFormatting sqref="Q49:Q85 Q87:Q89">
    <cfRule type="expression" dxfId="1" priority="124">
      <formula>AND($G36="Вышло",N($AA36)=0,N($U36)=0)</formula>
    </cfRule>
  </conditionalFormatting>
  <conditionalFormatting sqref="Q49:Q85 Q87:Q89">
    <cfRule type="expression" dxfId="0" priority="125">
      <formula>AND($G36="Вышло",$F36="")</formula>
    </cfRule>
  </conditionalFormatting>
  <conditionalFormatting sqref="Q49:Q85 Q87:Q89">
    <cfRule type="expression" dxfId="1" priority="126">
      <formula>AND($G36="Вышло",N($AA36)=0,N($U36)=0)</formula>
    </cfRule>
  </conditionalFormatting>
  <conditionalFormatting sqref="Q49:Q85 Q87:Q89">
    <cfRule type="expression" dxfId="0" priority="127">
      <formula>AND($G36="Вышло",$F36="")</formula>
    </cfRule>
  </conditionalFormatting>
  <conditionalFormatting sqref="Q49:Q85 Q87:Q89">
    <cfRule type="expression" dxfId="3" priority="128">
      <formula>AND(#REF!="Вышло",N(#REF!)=0,N(#REF!)=0)</formula>
    </cfRule>
  </conditionalFormatting>
  <conditionalFormatting sqref="Q49:Q85 Q87:Q89">
    <cfRule type="expression" dxfId="0" priority="129">
      <formula>AND(#REF!="Вышло",#REF!="")</formula>
    </cfRule>
  </conditionalFormatting>
  <conditionalFormatting sqref="A35:AD35">
    <cfRule type="expression" dxfId="0" priority="130">
      <formula>AND($G9="Вышло",$F9="")</formula>
    </cfRule>
  </conditionalFormatting>
  <conditionalFormatting sqref="A35:AD35">
    <cfRule type="expression" dxfId="0" priority="131">
      <formula>AND($G9="Вышло",$F9="")</formula>
    </cfRule>
  </conditionalFormatting>
  <conditionalFormatting sqref="A35:AD35">
    <cfRule type="expression" dxfId="1" priority="132">
      <formula>AND($G9="Вышло",N($AA9)=0,N($U9)=0)</formula>
    </cfRule>
  </conditionalFormatting>
  <conditionalFormatting sqref="A35:AI35">
    <cfRule type="expression" dxfId="0" priority="133">
      <formula>AND($G9="Вышло",$F9="")</formula>
    </cfRule>
  </conditionalFormatting>
  <conditionalFormatting sqref="A35:AI35">
    <cfRule type="expression" dxfId="1" priority="134">
      <formula>AND($G9="Вышло",N($AA9)=0,N($U9)=0)</formula>
    </cfRule>
  </conditionalFormatting>
  <conditionalFormatting sqref="U35">
    <cfRule type="expression" dxfId="0" priority="135">
      <formula>AND($G21="Вышло",$F21="")</formula>
    </cfRule>
  </conditionalFormatting>
  <conditionalFormatting sqref="U35">
    <cfRule type="expression" dxfId="3" priority="136">
      <formula>AND($G21="Вышло",N($AA21)=0,N($U21)=0)</formula>
    </cfRule>
  </conditionalFormatting>
  <conditionalFormatting sqref="U35">
    <cfRule type="expression" dxfId="0" priority="137">
      <formula>AND($H18="Вышло",$G18="")</formula>
    </cfRule>
  </conditionalFormatting>
  <conditionalFormatting sqref="U35">
    <cfRule type="expression" dxfId="1" priority="138">
      <formula>AND($H18="Вышло",N($AB18)=0,N($V18)=0)</formula>
    </cfRule>
  </conditionalFormatting>
  <conditionalFormatting sqref="U35">
    <cfRule type="expression" dxfId="0" priority="139">
      <formula>AND(#REF!="Вышло",#REF!="")</formula>
    </cfRule>
  </conditionalFormatting>
  <conditionalFormatting sqref="U35">
    <cfRule type="expression" dxfId="3" priority="140">
      <formula>AND(#REF!="Вышло",N(#REF!)=0,N(#REF!)=0)</formula>
    </cfRule>
  </conditionalFormatting>
  <conditionalFormatting sqref="U35">
    <cfRule type="expression" dxfId="1" priority="141">
      <formula>AND($H27="Вышло",N($AB27)=0,N($V27)=0)</formula>
    </cfRule>
  </conditionalFormatting>
  <conditionalFormatting sqref="U35">
    <cfRule type="expression" dxfId="0" priority="142">
      <formula>AND($H27="Вышло",$G27="")</formula>
    </cfRule>
  </conditionalFormatting>
  <conditionalFormatting sqref="U35">
    <cfRule type="expression" dxfId="1" priority="143">
      <formula>AND($G27="Вышло",N($AA27)=0,N($U27)=0)</formula>
    </cfRule>
  </conditionalFormatting>
  <conditionalFormatting sqref="U35">
    <cfRule type="expression" dxfId="0" priority="144">
      <formula>AND($G27="Вышло",$F27="")</formula>
    </cfRule>
  </conditionalFormatting>
  <conditionalFormatting sqref="U35">
    <cfRule type="expression" dxfId="1" priority="145">
      <formula>AND($G27="Вышло",N($AA27)=0,N($U27)=0)</formula>
    </cfRule>
  </conditionalFormatting>
  <conditionalFormatting sqref="U35">
    <cfRule type="expression" dxfId="0" priority="146">
      <formula>AND($G27="Вышло",$F27="")</formula>
    </cfRule>
  </conditionalFormatting>
  <conditionalFormatting sqref="U35">
    <cfRule type="expression" dxfId="1" priority="147">
      <formula>AND($G27="Вышло",N($AA27)=0,N($U27)=0)</formula>
    </cfRule>
  </conditionalFormatting>
  <conditionalFormatting sqref="U35">
    <cfRule type="expression" dxfId="0" priority="148">
      <formula>AND($G27="Вышло",$F27="")</formula>
    </cfRule>
  </conditionalFormatting>
  <conditionalFormatting sqref="B35:AD35">
    <cfRule type="expression" dxfId="3" priority="149">
      <formula>AND($G1="Вышло",N($AA1)=0,N($U1)=0)</formula>
    </cfRule>
  </conditionalFormatting>
  <conditionalFormatting sqref="P35">
    <cfRule type="expression" dxfId="0" priority="150">
      <formula>AND($H23="Вышло",$G23="")</formula>
    </cfRule>
  </conditionalFormatting>
  <conditionalFormatting sqref="P35">
    <cfRule type="expression" dxfId="1" priority="151">
      <formula>AND($H23="Вышло",N($AB23)=0,N($V23)=0)</formula>
    </cfRule>
  </conditionalFormatting>
  <conditionalFormatting sqref="P35">
    <cfRule type="expression" dxfId="0" priority="152">
      <formula>AND($G23="Вышло",$F23="")</formula>
    </cfRule>
  </conditionalFormatting>
  <conditionalFormatting sqref="P35">
    <cfRule type="expression" dxfId="1" priority="153">
      <formula>AND($G23="Вышло",N($AA23)=0,N($U23)=0)</formula>
    </cfRule>
  </conditionalFormatting>
  <conditionalFormatting sqref="P35">
    <cfRule type="expression" dxfId="0" priority="154">
      <formula>AND($G23="Вышло",$F23="")</formula>
    </cfRule>
  </conditionalFormatting>
  <conditionalFormatting sqref="P35">
    <cfRule type="expression" dxfId="1" priority="155">
      <formula>AND($G23="Вышло",N($AA23)=0,N($U23)=0)</formula>
    </cfRule>
  </conditionalFormatting>
  <conditionalFormatting sqref="P35">
    <cfRule type="expression" dxfId="0" priority="156">
      <formula>AND($G23="Вышло",$F23="")</formula>
    </cfRule>
  </conditionalFormatting>
  <conditionalFormatting sqref="P35">
    <cfRule type="expression" dxfId="1" priority="157">
      <formula>AND($G23="Вышло",N($AA23)=0,N($U23)=0)</formula>
    </cfRule>
  </conditionalFormatting>
  <conditionalFormatting sqref="P35">
    <cfRule type="expression" dxfId="1" priority="158">
      <formula>AND($G21="Вышло",N($AA21)=0,N($U21)=0)</formula>
    </cfRule>
  </conditionalFormatting>
  <conditionalFormatting sqref="P35">
    <cfRule type="expression" dxfId="3" priority="159">
      <formula>AND($G22="Вышло",N($AA22)=0,N($U22)=0)</formula>
    </cfRule>
  </conditionalFormatting>
  <conditionalFormatting sqref="P35">
    <cfRule type="expression" dxfId="0" priority="160">
      <formula>AND($G22="Вышло",$F22="")</formula>
    </cfRule>
  </conditionalFormatting>
  <conditionalFormatting sqref="U27">
    <cfRule type="expression" dxfId="0" priority="161">
      <formula>AND($G22="Вышло",$F22="")</formula>
    </cfRule>
  </conditionalFormatting>
  <conditionalFormatting sqref="U27">
    <cfRule type="expression" dxfId="3" priority="162">
      <formula>AND($G22="Вышло",N($AA22)=0,N($U22)=0)</formula>
    </cfRule>
  </conditionalFormatting>
  <conditionalFormatting sqref="U27">
    <cfRule type="expression" dxfId="0" priority="163">
      <formula>AND($H19="Вышло",$G19="")</formula>
    </cfRule>
  </conditionalFormatting>
  <conditionalFormatting sqref="U27">
    <cfRule type="expression" dxfId="1" priority="164">
      <formula>AND($H19="Вышло",N($AB19)=0,N($V19)=0)</formula>
    </cfRule>
  </conditionalFormatting>
  <conditionalFormatting sqref="U27">
    <cfRule type="expression" dxfId="0" priority="165">
      <formula>AND(#REF!="Вышло",#REF!="")</formula>
    </cfRule>
  </conditionalFormatting>
  <conditionalFormatting sqref="U27">
    <cfRule type="expression" dxfId="3" priority="166">
      <formula>AND(#REF!="Вышло",N(#REF!)=0,N(#REF!)=0)</formula>
    </cfRule>
  </conditionalFormatting>
  <conditionalFormatting sqref="A35">
    <cfRule type="expression" dxfId="1" priority="167">
      <formula>AND($H15="Вышло",N($AB15)=0,N($V15)=0)</formula>
    </cfRule>
  </conditionalFormatting>
  <conditionalFormatting sqref="A35">
    <cfRule type="expression" dxfId="0" priority="168">
      <formula>AND($H15="Вышло",$G15="")</formula>
    </cfRule>
  </conditionalFormatting>
  <conditionalFormatting sqref="A35">
    <cfRule type="expression" dxfId="1" priority="169">
      <formula>AND($G15="Вышло",N($AA15)=0,N($U15)=0)</formula>
    </cfRule>
  </conditionalFormatting>
  <conditionalFormatting sqref="A35">
    <cfRule type="expression" dxfId="0" priority="170">
      <formula>AND($G15="Вышло",$F15="")</formula>
    </cfRule>
  </conditionalFormatting>
  <conditionalFormatting sqref="A35">
    <cfRule type="expression" dxfId="1" priority="171">
      <formula>AND($G15="Вышло",N($AA15)=0,N($U15)=0)</formula>
    </cfRule>
  </conditionalFormatting>
  <conditionalFormatting sqref="A35">
    <cfRule type="expression" dxfId="0" priority="172">
      <formula>AND($G15="Вышло",$F15="")</formula>
    </cfRule>
  </conditionalFormatting>
  <conditionalFormatting sqref="A35">
    <cfRule type="expression" dxfId="1" priority="173">
      <formula>AND($G15="Вышло",N($AA15)=0,N($U15)=0)</formula>
    </cfRule>
  </conditionalFormatting>
  <conditionalFormatting sqref="A35">
    <cfRule type="expression" dxfId="0" priority="174">
      <formula>AND($G15="Вышло",$F15="")</formula>
    </cfRule>
  </conditionalFormatting>
  <conditionalFormatting sqref="A35">
    <cfRule type="expression" dxfId="3" priority="175">
      <formula>AND($G12="Вышло",N($AA12)=0,N($U12)=0)</formula>
    </cfRule>
  </conditionalFormatting>
  <conditionalFormatting sqref="A35">
    <cfRule type="expression" dxfId="0" priority="176">
      <formula>AND($G12="Вышло",$F12="")</formula>
    </cfRule>
  </conditionalFormatting>
  <conditionalFormatting sqref="B30:L32 B34:L34 B39:L39 M30:M39 N30:N32 N34 N39:P39 O30:O34 P30:AI32 P34 Q34:Q40 Q50:Q85 Q87:Q89 R34:AI34 R39:AF39 AG39:AI89">
    <cfRule type="expression" dxfId="1" priority="177">
      <formula>AND($H10="Вышло",N($AB10)=0,N($V10)=0)</formula>
    </cfRule>
  </conditionalFormatting>
  <conditionalFormatting sqref="B30:L32 B34:L34 B39:L39 M30:M39 N30:N32 N34 N39:P39 O30:O34 P30:AI32 P34 Q34:Q40 Q50:Q85 Q87:Q89 R34:AI34 R39:AF39 AG39:AI89">
    <cfRule type="expression" dxfId="0" priority="178">
      <formula>AND($H10="Вышло",$G10="")</formula>
    </cfRule>
  </conditionalFormatting>
  <conditionalFormatting sqref="B30:L32 B34:L34 B39:L39 M30:M39 N30:N32 N34 N39:P39 O30:O34 P30:AI32 P34 Q34:Q40 Q50:Q85 Q87:Q89 R34:AI34 R39:AF39 AG39:AI89">
    <cfRule type="expression" dxfId="1" priority="179">
      <formula>AND($G10="Вышло",N($AA10)=0,N($U10)=0)</formula>
    </cfRule>
  </conditionalFormatting>
  <conditionalFormatting sqref="B30:L32 B34:L34 B39:L39 M30:M39 N30:N32 N34 N39:P39 O30:O34 P30:AI32 P34 Q34:Q40 Q50:Q85 Q87:Q89 R34:AI34 R39:AF39 AG39:AI89">
    <cfRule type="expression" dxfId="0" priority="180">
      <formula>AND($G10="Вышло",$F10="")</formula>
    </cfRule>
  </conditionalFormatting>
  <conditionalFormatting sqref="U30:U32">
    <cfRule type="expression" dxfId="0" priority="181">
      <formula>AND($H20="Вышло",$G20="")</formula>
    </cfRule>
  </conditionalFormatting>
  <conditionalFormatting sqref="U30:U32">
    <cfRule type="expression" dxfId="1" priority="182">
      <formula>AND($H20="Вышло",N($AB20)=0,N($V20)=0)</formula>
    </cfRule>
  </conditionalFormatting>
  <conditionalFormatting sqref="U30:U32 U39">
    <cfRule type="expression" dxfId="0" priority="183">
      <formula>AND(#REF!="Вышло",#REF!="")</formula>
    </cfRule>
  </conditionalFormatting>
  <conditionalFormatting sqref="U30:U32 U39">
    <cfRule type="expression" dxfId="3" priority="184">
      <formula>AND(#REF!="Вышло",N(#REF!)=0,N(#REF!)=0)</formula>
    </cfRule>
  </conditionalFormatting>
  <conditionalFormatting sqref="B30:L32 B34:L34 B39:L39 M30:M39 N30:N32 N34 N39:P39 O30:O34 P30:AD32 P34 Q34:Q40 Q50:Q85 Q87:Q89 R34:AD34 R39:AD39">
    <cfRule type="expression" dxfId="3" priority="185">
      <formula>AND($G2="Вышло",N($AA2)=0,N($U2)=0)</formula>
    </cfRule>
  </conditionalFormatting>
  <conditionalFormatting sqref="B30:L32 B34:L34 B39:L39 M30:M39 N30:N32 N34 N39:P39 O30:O34 P30:AD32 P34 Q34:Q40 Q50:Q85 Q87:Q89 R34:AD34 R39:AD39">
    <cfRule type="expression" dxfId="0" priority="186">
      <formula>AND($G2="Вышло",$F2="")</formula>
    </cfRule>
  </conditionalFormatting>
  <conditionalFormatting sqref="B30:L32 B34:L34 B39:L39 M30:M39 N30:N32 N34 N39:P39 O30:O34 P30:AD32 P34 Q34:Q40 Q50:Q85 Q87:Q89 R34:AD34 R39:AD39">
    <cfRule type="expression" dxfId="1" priority="187">
      <formula>AND($G10="Вышло",N($AA10)=0,N($U10)=0)</formula>
    </cfRule>
  </conditionalFormatting>
  <conditionalFormatting sqref="B30:L32 B34:L34 B39:L39 M30:M39 N30:N32 N34 N39:P39 O30:O34 P30:AD32 P34 Q34:Q40 Q50:Q85 Q87:Q89 R34:AD34 R39:AD39">
    <cfRule type="expression" dxfId="0" priority="188">
      <formula>AND($G10="Вышло",$F10="")</formula>
    </cfRule>
  </conditionalFormatting>
  <conditionalFormatting sqref="B30:L32 B34:L34 B39:L39 M30:M39 N30:N32 N34 N39:P39 O30:O34 P30:AD32 P34 Q34:Q40 Q50:Q85 Q87:Q89 R34:AD34 R39:AD39">
    <cfRule type="expression" dxfId="1" priority="189">
      <formula>AND($G10="Вышло",N($AA10)=0,N($U10)=0)</formula>
    </cfRule>
  </conditionalFormatting>
  <conditionalFormatting sqref="B30:L32 B34:L34 B39:L39 M30:M39 N30:N32 N34 N39:P39 O30:O34 P30:AD32 P34 Q34:Q40 Q50:Q85 Q87:Q89 R34:AD34 R39:AD39">
    <cfRule type="expression" dxfId="0" priority="190">
      <formula>AND($G10="Вышло",$F10="")</formula>
    </cfRule>
  </conditionalFormatting>
  <conditionalFormatting sqref="P30:P32 P39 Y30:Z32 Y39:Z39">
    <cfRule type="expression" dxfId="0" priority="191">
      <formula>AND(#REF!="Вышло",#REF!="")</formula>
    </cfRule>
  </conditionalFormatting>
  <conditionalFormatting sqref="P30:P32 P39 Y30:Z32 Y39:Z39">
    <cfRule type="expression" dxfId="1" priority="192">
      <formula>AND(#REF!="Вышло",N(#REF!)=0,N(#REF!)=0)</formula>
    </cfRule>
  </conditionalFormatting>
  <conditionalFormatting sqref="P30:P32 P39 Y30:Z32 Y39:Z39">
    <cfRule type="expression" dxfId="0" priority="193">
      <formula>AND(#REF!="Вышло",#REF!="")</formula>
    </cfRule>
  </conditionalFormatting>
  <conditionalFormatting sqref="P30:P32 P39 Y30:Z32 Y39:Z39">
    <cfRule type="expression" dxfId="1" priority="194">
      <formula>AND(#REF!="Вышло",N(#REF!)=0,N(#REF!)=0)</formula>
    </cfRule>
  </conditionalFormatting>
  <conditionalFormatting sqref="P30:P32 P39 Y30:Z32 Y39:Z39">
    <cfRule type="expression" dxfId="0" priority="195">
      <formula>AND(#REF!="Вышло",#REF!="")</formula>
    </cfRule>
  </conditionalFormatting>
  <conditionalFormatting sqref="P30:P32 P39 Y30:Z32 Y39:Z39">
    <cfRule type="expression" dxfId="1" priority="196">
      <formula>AND(#REF!="Вышло",N(#REF!)=0,N(#REF!)=0)</formula>
    </cfRule>
  </conditionalFormatting>
  <conditionalFormatting sqref="P30:P32 P39 Y30:Z32 Y39:Z39">
    <cfRule type="expression" dxfId="0" priority="197">
      <formula>AND(#REF!="Вышло",#REF!="")</formula>
    </cfRule>
  </conditionalFormatting>
  <conditionalFormatting sqref="P30:P32 P39 Y30:Z32 Y39:Z39">
    <cfRule type="expression" dxfId="1" priority="198">
      <formula>AND(#REF!="Вышло",N(#REF!)=0,N(#REF!)=0)</formula>
    </cfRule>
  </conditionalFormatting>
  <conditionalFormatting sqref="P30">
    <cfRule type="expression" dxfId="3" priority="199">
      <formula>AND($G20="Вышло",N($AA20)=0,N($U20)=0)</formula>
    </cfRule>
  </conditionalFormatting>
  <conditionalFormatting sqref="P30">
    <cfRule type="expression" dxfId="0" priority="200">
      <formula>AND($G20="Вышло",$F20="")</formula>
    </cfRule>
  </conditionalFormatting>
  <conditionalFormatting sqref="P30">
    <cfRule type="expression" dxfId="1" priority="201">
      <formula>AND($G24="Вышло",N($AA24)=0,N($U24)=0)</formula>
    </cfRule>
  </conditionalFormatting>
  <conditionalFormatting sqref="P30">
    <cfRule type="expression" dxfId="0" priority="202">
      <formula>AND($G24="Вышло",$F24="")</formula>
    </cfRule>
  </conditionalFormatting>
  <conditionalFormatting sqref="P30">
    <cfRule type="expression" dxfId="1" priority="203">
      <formula>AND($G24="Вышло",N($AA24)=0,N($U24)=0)</formula>
    </cfRule>
  </conditionalFormatting>
  <conditionalFormatting sqref="P30">
    <cfRule type="expression" dxfId="0" priority="204">
      <formula>AND($G24="Вышло",$F24="")</formula>
    </cfRule>
  </conditionalFormatting>
  <conditionalFormatting sqref="P30">
    <cfRule type="expression" dxfId="1" priority="205">
      <formula>AND($G24="Вышло",N($AA24)=0,N($U24)=0)</formula>
    </cfRule>
  </conditionalFormatting>
  <conditionalFormatting sqref="P30">
    <cfRule type="expression" dxfId="0" priority="206">
      <formula>AND($G24="Вышло",$F24="")</formula>
    </cfRule>
  </conditionalFormatting>
  <conditionalFormatting sqref="P30">
    <cfRule type="expression" dxfId="0" priority="207">
      <formula>AND($H24="Вышло",$G24="")</formula>
    </cfRule>
  </conditionalFormatting>
  <conditionalFormatting sqref="P30">
    <cfRule type="expression" dxfId="1" priority="208">
      <formula>AND($H24="Вышло",N($AB24)=0,N($V24)=0)</formula>
    </cfRule>
  </conditionalFormatting>
  <conditionalFormatting sqref="P31:P32 U30:U32">
    <cfRule type="expression" dxfId="0" priority="209">
      <formula>AND($G22="Вышло",$F22="")</formula>
    </cfRule>
  </conditionalFormatting>
  <conditionalFormatting sqref="P31:P32 U30:U32">
    <cfRule type="expression" dxfId="3" priority="210">
      <formula>AND($G22="Вышло",N($AA22)=0,N($U22)=0)</formula>
    </cfRule>
  </conditionalFormatting>
  <conditionalFormatting sqref="A30:A32">
    <cfRule type="expression" dxfId="0" priority="211">
      <formula>AND($G13="Вышло",$F13="")</formula>
    </cfRule>
  </conditionalFormatting>
  <conditionalFormatting sqref="A30:A32">
    <cfRule type="expression" dxfId="3" priority="212">
      <formula>AND($G13="Вышло",N($AA13)=0,N($U13)=0)</formula>
    </cfRule>
  </conditionalFormatting>
  <conditionalFormatting sqref="A30:A32">
    <cfRule type="expression" dxfId="0" priority="213">
      <formula>AND($G16="Вышло",$F16="")</formula>
    </cfRule>
  </conditionalFormatting>
  <conditionalFormatting sqref="A30:A32">
    <cfRule type="expression" dxfId="1" priority="214">
      <formula>AND($G16="Вышло",N($AA16)=0,N($U16)=0)</formula>
    </cfRule>
  </conditionalFormatting>
  <conditionalFormatting sqref="A30:A32">
    <cfRule type="expression" dxfId="0" priority="215">
      <formula>AND($G16="Вышло",$F16="")</formula>
    </cfRule>
  </conditionalFormatting>
  <conditionalFormatting sqref="A30:A32">
    <cfRule type="expression" dxfId="1" priority="216">
      <formula>AND($G16="Вышло",N($AA16)=0,N($U16)=0)</formula>
    </cfRule>
  </conditionalFormatting>
  <conditionalFormatting sqref="A30:A32">
    <cfRule type="expression" dxfId="0" priority="217">
      <formula>AND($G16="Вышло",$F16="")</formula>
    </cfRule>
  </conditionalFormatting>
  <conditionalFormatting sqref="A30:A32">
    <cfRule type="expression" dxfId="1" priority="218">
      <formula>AND($G16="Вышло",N($AA16)=0,N($U16)=0)</formula>
    </cfRule>
  </conditionalFormatting>
  <conditionalFormatting sqref="A30:A32">
    <cfRule type="expression" dxfId="0" priority="219">
      <formula>AND($H16="Вышло",$G16="")</formula>
    </cfRule>
  </conditionalFormatting>
  <conditionalFormatting sqref="A30:A32">
    <cfRule type="expression" dxfId="1" priority="220">
      <formula>AND($H16="Вышло",N($AB16)=0,N($V16)=0)</formula>
    </cfRule>
  </conditionalFormatting>
  <conditionalFormatting sqref="P30:P32">
    <cfRule type="expression" dxfId="1" priority="221">
      <formula>AND($G22="Вышло",N($AA22)=0,N($U22)=0)</formula>
    </cfRule>
  </conditionalFormatting>
  <conditionalFormatting sqref="P26">
    <cfRule type="expression" dxfId="1" priority="222">
      <formula>AND($G27="Вышло",N($AA27)=0,N($U27)=0)</formula>
    </cfRule>
  </conditionalFormatting>
  <conditionalFormatting sqref="P26">
    <cfRule type="expression" dxfId="1" priority="223">
      <formula>AND(#REF!="Вышло",N(#REF!)=0,N(#REF!)=0)</formula>
    </cfRule>
  </conditionalFormatting>
  <conditionalFormatting sqref="P26">
    <cfRule type="expression" dxfId="0" priority="224">
      <formula>AND(#REF!="Вышло",#REF!="")</formula>
    </cfRule>
  </conditionalFormatting>
  <conditionalFormatting sqref="P26">
    <cfRule type="expression" dxfId="1" priority="225">
      <formula>AND(#REF!="Вышло",N(#REF!)=0,N(#REF!)=0)</formula>
    </cfRule>
  </conditionalFormatting>
  <conditionalFormatting sqref="P26">
    <cfRule type="expression" dxfId="0" priority="226">
      <formula>AND(#REF!="Вышло",#REF!="")</formula>
    </cfRule>
  </conditionalFormatting>
  <conditionalFormatting sqref="P26">
    <cfRule type="expression" dxfId="1" priority="227">
      <formula>AND(#REF!="Вышло",N(#REF!)=0,N(#REF!)=0)</formula>
    </cfRule>
  </conditionalFormatting>
  <conditionalFormatting sqref="P26">
    <cfRule type="expression" dxfId="0" priority="228">
      <formula>AND(#REF!="Вышло",#REF!="")</formula>
    </cfRule>
  </conditionalFormatting>
  <conditionalFormatting sqref="P26">
    <cfRule type="expression" dxfId="1" priority="229">
      <formula>AND(#REF!="Вышло",N(#REF!)=0,N(#REF!)=0)</formula>
    </cfRule>
  </conditionalFormatting>
  <conditionalFormatting sqref="P26">
    <cfRule type="expression" dxfId="0" priority="230">
      <formula>AND(#REF!="Вышло",#REF!="")</formula>
    </cfRule>
  </conditionalFormatting>
  <conditionalFormatting sqref="A26:AD26">
    <cfRule type="expression" dxfId="3" priority="231">
      <formula>AND($G39="Вышло",N($AA39)=0,N($U39)=0)</formula>
    </cfRule>
  </conditionalFormatting>
  <conditionalFormatting sqref="A26:AD26">
    <cfRule type="expression" dxfId="0" priority="232">
      <formula>AND($G39="Вышло",$F39="")</formula>
    </cfRule>
  </conditionalFormatting>
  <conditionalFormatting sqref="A27">
    <cfRule type="expression" dxfId="0" priority="233">
      <formula>AND($G11="Вышло",$F11="")</formula>
    </cfRule>
  </conditionalFormatting>
  <conditionalFormatting sqref="A27">
    <cfRule type="expression" dxfId="3" priority="234">
      <formula>AND($G11="Вышло",N($AA11)=0,N($U11)=0)</formula>
    </cfRule>
  </conditionalFormatting>
  <conditionalFormatting sqref="A27">
    <cfRule type="expression" dxfId="0" priority="235">
      <formula>AND($G14="Вышло",$F14="")</formula>
    </cfRule>
  </conditionalFormatting>
  <conditionalFormatting sqref="A27">
    <cfRule type="expression" dxfId="1" priority="236">
      <formula>AND($G14="Вышло",N($AA14)=0,N($U14)=0)</formula>
    </cfRule>
  </conditionalFormatting>
  <conditionalFormatting sqref="A27">
    <cfRule type="expression" dxfId="0" priority="237">
      <formula>AND($G14="Вышло",$F14="")</formula>
    </cfRule>
  </conditionalFormatting>
  <conditionalFormatting sqref="A27">
    <cfRule type="expression" dxfId="1" priority="238">
      <formula>AND($G14="Вышло",N($AA14)=0,N($U14)=0)</formula>
    </cfRule>
  </conditionalFormatting>
  <conditionalFormatting sqref="A27">
    <cfRule type="expression" dxfId="0" priority="239">
      <formula>AND($G14="Вышло",$F14="")</formula>
    </cfRule>
  </conditionalFormatting>
  <conditionalFormatting sqref="A27">
    <cfRule type="expression" dxfId="1" priority="240">
      <formula>AND($G14="Вышло",N($AA14)=0,N($U14)=0)</formula>
    </cfRule>
  </conditionalFormatting>
  <conditionalFormatting sqref="A27">
    <cfRule type="expression" dxfId="0" priority="241">
      <formula>AND($H14="Вышло",$G14="")</formula>
    </cfRule>
  </conditionalFormatting>
  <conditionalFormatting sqref="A27">
    <cfRule type="expression" dxfId="1" priority="242">
      <formula>AND($H14="Вышло",N($AB14)=0,N($V14)=0)</formula>
    </cfRule>
  </conditionalFormatting>
  <conditionalFormatting sqref="A27">
    <cfRule type="expression" dxfId="1" priority="243">
      <formula>AND($H20="Вышло",N($AB20)=0,N($V20)=0)</formula>
    </cfRule>
  </conditionalFormatting>
  <conditionalFormatting sqref="A27">
    <cfRule type="expression" dxfId="0" priority="244">
      <formula>AND($H20="Вышло",$G20="")</formula>
    </cfRule>
  </conditionalFormatting>
  <conditionalFormatting sqref="A27">
    <cfRule type="expression" dxfId="3" priority="245">
      <formula>AND(#REF!="Вышло",N(#REF!)=0,N(#REF!)=0)</formula>
    </cfRule>
  </conditionalFormatting>
  <conditionalFormatting sqref="A27">
    <cfRule type="expression" dxfId="0" priority="246">
      <formula>AND(#REF!="Вышло",#REF!="")</formula>
    </cfRule>
  </conditionalFormatting>
  <conditionalFormatting sqref="A27">
    <cfRule type="expression" dxfId="1" priority="247">
      <formula>AND(#REF!="Вышло",N(#REF!)=0,N(#REF!)=0)</formula>
    </cfRule>
  </conditionalFormatting>
  <conditionalFormatting sqref="A27">
    <cfRule type="expression" dxfId="0" priority="248">
      <formula>AND(#REF!="Вышло",#REF!="")</formula>
    </cfRule>
  </conditionalFormatting>
  <conditionalFormatting sqref="A27">
    <cfRule type="expression" dxfId="1" priority="249">
      <formula>AND(#REF!="Вышло",N(#REF!)=0,N(#REF!)=0)</formula>
    </cfRule>
  </conditionalFormatting>
  <conditionalFormatting sqref="A27">
    <cfRule type="expression" dxfId="0" priority="250">
      <formula>AND(#REF!="Вышло",#REF!="")</formula>
    </cfRule>
  </conditionalFormatting>
  <conditionalFormatting sqref="A27">
    <cfRule type="expression" dxfId="1" priority="251">
      <formula>AND(#REF!="Вышло",N(#REF!)=0,N(#REF!)=0)</formula>
    </cfRule>
  </conditionalFormatting>
  <conditionalFormatting sqref="A27">
    <cfRule type="expression" dxfId="0" priority="252">
      <formula>AND(#REF!="Вышло",#REF!="")</formula>
    </cfRule>
  </conditionalFormatting>
  <conditionalFormatting sqref="A27">
    <cfRule type="expression" dxfId="1" priority="253">
      <formula>AND(#REF!="Вышло",N(#REF!)=0,N(#REF!)=0)</formula>
    </cfRule>
  </conditionalFormatting>
  <conditionalFormatting sqref="A27">
    <cfRule type="expression" dxfId="0" priority="254">
      <formula>AND(#REF!="Вышло",#REF!="")</formula>
    </cfRule>
  </conditionalFormatting>
  <conditionalFormatting sqref="A27">
    <cfRule type="expression" dxfId="3" priority="255">
      <formula>AND(#REF!="Вышло",N(#REF!)=0,N(#REF!)=0)</formula>
    </cfRule>
  </conditionalFormatting>
  <conditionalFormatting sqref="A27">
    <cfRule type="expression" dxfId="0" priority="256">
      <formula>AND(#REF!="Вышло",#REF!="")</formula>
    </cfRule>
  </conditionalFormatting>
  <conditionalFormatting sqref="A27">
    <cfRule type="expression" dxfId="0" priority="257">
      <formula>AND(#REF!="Вышло",#REF!="")</formula>
    </cfRule>
  </conditionalFormatting>
  <conditionalFormatting sqref="A27">
    <cfRule type="expression" dxfId="0" priority="258">
      <formula>AND(#REF!="Вышло",#REF!="")</formula>
    </cfRule>
  </conditionalFormatting>
  <conditionalFormatting sqref="A27">
    <cfRule type="expression" dxfId="1" priority="259">
      <formula>AND(#REF!="Вышло",N(#REF!)=0,N(#REF!)=0)</formula>
    </cfRule>
  </conditionalFormatting>
  <conditionalFormatting sqref="A27">
    <cfRule type="expression" dxfId="1" priority="260">
      <formula>AND(#REF!="Вышло",N(#REF!)=0,N(#REF!)=0)</formula>
    </cfRule>
  </conditionalFormatting>
  <conditionalFormatting sqref="P27">
    <cfRule type="expression" dxfId="0" priority="261">
      <formula>AND(#REF!="Вышло",#REF!="")</formula>
    </cfRule>
  </conditionalFormatting>
  <conditionalFormatting sqref="P27">
    <cfRule type="expression" dxfId="1" priority="262">
      <formula>AND(#REF!="Вышло",N(#REF!)=0,N(#REF!)=0)</formula>
    </cfRule>
  </conditionalFormatting>
  <conditionalFormatting sqref="P27">
    <cfRule type="expression" dxfId="0" priority="263">
      <formula>AND(#REF!="Вышло",#REF!="")</formula>
    </cfRule>
  </conditionalFormatting>
  <conditionalFormatting sqref="P27">
    <cfRule type="expression" dxfId="1" priority="264">
      <formula>AND(#REF!="Вышло",N(#REF!)=0,N(#REF!)=0)</formula>
    </cfRule>
  </conditionalFormatting>
  <conditionalFormatting sqref="P27">
    <cfRule type="expression" dxfId="0" priority="265">
      <formula>AND(#REF!="Вышло",#REF!="")</formula>
    </cfRule>
  </conditionalFormatting>
  <conditionalFormatting sqref="P27">
    <cfRule type="expression" dxfId="1" priority="266">
      <formula>AND(#REF!="Вышло",N(#REF!)=0,N(#REF!)=0)</formula>
    </cfRule>
  </conditionalFormatting>
  <conditionalFormatting sqref="P27">
    <cfRule type="expression" dxfId="0" priority="267">
      <formula>AND(#REF!="Вышло",#REF!="")</formula>
    </cfRule>
  </conditionalFormatting>
  <conditionalFormatting sqref="P27">
    <cfRule type="expression" dxfId="1" priority="268">
      <formula>AND(#REF!="Вышло",N(#REF!)=0,N(#REF!)=0)</formula>
    </cfRule>
  </conditionalFormatting>
  <conditionalFormatting sqref="P27">
    <cfRule type="expression" dxfId="1" priority="269">
      <formula>AND(#REF!="Вышло",N(#REF!)=0,N(#REF!)=0)</formula>
    </cfRule>
  </conditionalFormatting>
  <conditionalFormatting sqref="P27">
    <cfRule type="expression" dxfId="1" priority="270">
      <formula>AND($H25="Вышло",N($AB25)=0,N($V25)=0)</formula>
    </cfRule>
  </conditionalFormatting>
  <conditionalFormatting sqref="P27">
    <cfRule type="expression" dxfId="0" priority="271">
      <formula>AND($H25="Вышло",$G25="")</formula>
    </cfRule>
  </conditionalFormatting>
  <conditionalFormatting sqref="P27">
    <cfRule type="expression" dxfId="1" priority="272">
      <formula>AND($G25="Вышло",N($AA25)=0,N($U25)=0)</formula>
    </cfRule>
  </conditionalFormatting>
  <conditionalFormatting sqref="P27">
    <cfRule type="expression" dxfId="0" priority="273">
      <formula>AND($G25="Вышло",$F25="")</formula>
    </cfRule>
  </conditionalFormatting>
  <conditionalFormatting sqref="P27">
    <cfRule type="expression" dxfId="1" priority="274">
      <formula>AND($G25="Вышло",N($AA25)=0,N($U25)=0)</formula>
    </cfRule>
  </conditionalFormatting>
  <conditionalFormatting sqref="P27">
    <cfRule type="expression" dxfId="0" priority="275">
      <formula>AND($G25="Вышло",$F25="")</formula>
    </cfRule>
  </conditionalFormatting>
  <conditionalFormatting sqref="P27">
    <cfRule type="expression" dxfId="1" priority="276">
      <formula>AND($G25="Вышло",N($AA25)=0,N($U25)=0)</formula>
    </cfRule>
  </conditionalFormatting>
  <conditionalFormatting sqref="P27">
    <cfRule type="expression" dxfId="0" priority="277">
      <formula>AND($G25="Вышло",$F25="")</formula>
    </cfRule>
  </conditionalFormatting>
  <conditionalFormatting sqref="P27">
    <cfRule type="expression" dxfId="0" priority="278">
      <formula>AND($G18="Вышло",$F18="")</formula>
    </cfRule>
  </conditionalFormatting>
  <conditionalFormatting sqref="P27">
    <cfRule type="expression" dxfId="3" priority="279">
      <formula>AND($G18="Вышло",N($AA18)=0,N($U18)=0)</formula>
    </cfRule>
  </conditionalFormatting>
  <conditionalFormatting sqref="P27">
    <cfRule type="expression" dxfId="1" priority="280">
      <formula>AND(#REF!="Вышло",N(#REF!)=0,N(#REF!)=0)</formula>
    </cfRule>
  </conditionalFormatting>
  <conditionalFormatting sqref="P27">
    <cfRule type="expression" dxfId="0" priority="281">
      <formula>AND(#REF!="Вышло",#REF!="")</formula>
    </cfRule>
  </conditionalFormatting>
  <conditionalFormatting sqref="P27">
    <cfRule type="expression" dxfId="0" priority="282">
      <formula>AND(#REF!="Вышло",#REF!="")</formula>
    </cfRule>
  </conditionalFormatting>
  <conditionalFormatting sqref="P27">
    <cfRule type="expression" dxfId="1" priority="283">
      <formula>AND($G15="Вышло",N($AA15)=0,N($U15)=0)</formula>
    </cfRule>
  </conditionalFormatting>
  <conditionalFormatting sqref="P27">
    <cfRule type="expression" dxfId="0" priority="284">
      <formula>AND($G15="Вышло",$F15="")</formula>
    </cfRule>
  </conditionalFormatting>
  <conditionalFormatting sqref="P27">
    <cfRule type="expression" dxfId="0" priority="285">
      <formula>AND($G35="Вышло",$F35="")</formula>
    </cfRule>
  </conditionalFormatting>
  <conditionalFormatting sqref="P27">
    <cfRule type="expression" dxfId="0" priority="286">
      <formula>AND(#REF!="Вышло",#REF!="")</formula>
    </cfRule>
  </conditionalFormatting>
  <conditionalFormatting sqref="P27">
    <cfRule type="expression" dxfId="0" priority="287">
      <formula>AND(#REF!="Вышло",#REF!="")</formula>
    </cfRule>
  </conditionalFormatting>
  <conditionalFormatting sqref="P27">
    <cfRule type="expression" dxfId="1" priority="288">
      <formula>AND($G15="Вышло",N($AA15)=0,N($U15)=0)</formula>
    </cfRule>
  </conditionalFormatting>
  <conditionalFormatting sqref="P27">
    <cfRule type="expression" dxfId="1" priority="289">
      <formula>AND($G15="Вышло",N($AA15)=0,N($U15)=0)</formula>
    </cfRule>
  </conditionalFormatting>
  <conditionalFormatting sqref="P27">
    <cfRule type="expression" dxfId="1" priority="290">
      <formula>AND($H14="Вышло",N($AB14)=0,N($V14)=0)</formula>
    </cfRule>
  </conditionalFormatting>
  <conditionalFormatting sqref="P27">
    <cfRule type="expression" dxfId="0" priority="291">
      <formula>AND($G15="Вышло",$F15="")</formula>
    </cfRule>
  </conditionalFormatting>
  <conditionalFormatting sqref="P27">
    <cfRule type="expression" dxfId="1" priority="292">
      <formula>AND(#REF!="Вышло",N(#REF!)=0,N(#REF!)=0)</formula>
    </cfRule>
  </conditionalFormatting>
  <conditionalFormatting sqref="P27">
    <cfRule type="expression" dxfId="0" priority="293">
      <formula>AND($H14="Вышло",$G14="")</formula>
    </cfRule>
  </conditionalFormatting>
  <conditionalFormatting sqref="P27">
    <cfRule type="expression" dxfId="1" priority="294">
      <formula>AND(#REF!="Вышло",N(#REF!)=0,N(#REF!)=0)</formula>
    </cfRule>
  </conditionalFormatting>
  <conditionalFormatting sqref="P27">
    <cfRule type="expression" dxfId="0" priority="295">
      <formula>AND($G15="Вышло",$F15="")</formula>
    </cfRule>
  </conditionalFormatting>
  <conditionalFormatting sqref="P27">
    <cfRule type="expression" dxfId="1" priority="296">
      <formula>AND(#REF!="Вышло",N(#REF!)=0,N(#REF!)=0)</formula>
    </cfRule>
  </conditionalFormatting>
  <conditionalFormatting sqref="P27">
    <cfRule type="expression" dxfId="3" priority="297">
      <formula>AND($G35="Вышло",N($AA35)=0,N($U35)=0)</formula>
    </cfRule>
  </conditionalFormatting>
  <conditionalFormatting sqref="A20:A21 A24:A25 B24:AD24">
    <cfRule type="expression" dxfId="3" priority="298">
      <formula>AND($G19="Вышло",N($AA19)=0,N($U19)=0)</formula>
    </cfRule>
  </conditionalFormatting>
  <conditionalFormatting sqref="A20:A21 A24:A25 B24:AD24">
    <cfRule type="expression" dxfId="0" priority="299">
      <formula>AND($G19="Вышло",$F19="")</formula>
    </cfRule>
  </conditionalFormatting>
  <conditionalFormatting sqref="A20:A21 A24:A25 B24:AD24">
    <cfRule type="expression" dxfId="1" priority="300">
      <formula>AND($G6="Вышло",N($AA6)=0,N($U6)=0)</formula>
    </cfRule>
  </conditionalFormatting>
  <conditionalFormatting sqref="A20:A21 A24:A25 B24:AD24">
    <cfRule type="expression" dxfId="0" priority="301">
      <formula>AND($G6="Вышло",$F6="")</formula>
    </cfRule>
  </conditionalFormatting>
  <conditionalFormatting sqref="A20:A21 A24:A25 B24:AD24">
    <cfRule type="expression" dxfId="1" priority="302">
      <formula>AND($G6="Вышло",N($AA6)=0,N($U6)=0)</formula>
    </cfRule>
  </conditionalFormatting>
  <conditionalFormatting sqref="A20:A21 A24:A25 B24:AD24">
    <cfRule type="expression" dxfId="0" priority="303">
      <formula>AND($G6="Вышло",$F6="")</formula>
    </cfRule>
  </conditionalFormatting>
  <conditionalFormatting sqref="A20:A21 A24:A25 B24:AI24">
    <cfRule type="expression" dxfId="1" priority="304">
      <formula>AND($H5="Вышло",N($AB5)=0,N($V5)=0)</formula>
    </cfRule>
  </conditionalFormatting>
  <conditionalFormatting sqref="A20:A21 A24:A25 B24:AI24">
    <cfRule type="expression" dxfId="0" priority="305">
      <formula>AND($H5="Вышло",$G5="")</formula>
    </cfRule>
  </conditionalFormatting>
  <conditionalFormatting sqref="A20:A21 A24:A25 B24:AI24">
    <cfRule type="expression" dxfId="1" priority="306">
      <formula>AND($G6="Вышло",N($AA6)=0,N($U6)=0)</formula>
    </cfRule>
  </conditionalFormatting>
  <conditionalFormatting sqref="A20:A21 A24:A25 B24:AI24">
    <cfRule type="expression" dxfId="0" priority="307">
      <formula>AND($G6="Вышло",$F6="")</formula>
    </cfRule>
  </conditionalFormatting>
  <conditionalFormatting sqref="A22 B21:B22 C22:AD22">
    <cfRule type="expression" dxfId="3" priority="308">
      <formula>AND(#REF!="Вышло",N(#REF!)=0,N(#REF!)=0)</formula>
    </cfRule>
  </conditionalFormatting>
  <conditionalFormatting sqref="A22 B21:B22 C22:AD22">
    <cfRule type="expression" dxfId="0" priority="309">
      <formula>AND(#REF!="Вышло",#REF!="")</formula>
    </cfRule>
  </conditionalFormatting>
  <conditionalFormatting sqref="A22 B21:B22 C22:AD22">
    <cfRule type="expression" dxfId="1" priority="310">
      <formula>AND($G9="Вышло",N($AA9)=0,N($U9)=0)</formula>
    </cfRule>
  </conditionalFormatting>
  <conditionalFormatting sqref="A22 B21:B22 C22:AD22">
    <cfRule type="expression" dxfId="0" priority="311">
      <formula>AND($G9="Вышло",$F9="")</formula>
    </cfRule>
  </conditionalFormatting>
  <conditionalFormatting sqref="A22 B21:B22 C22:AD22">
    <cfRule type="expression" dxfId="1" priority="312">
      <formula>AND($G9="Вышло",N($AA9)=0,N($U9)=0)</formula>
    </cfRule>
  </conditionalFormatting>
  <conditionalFormatting sqref="A22 B21:B22 C22:AD22">
    <cfRule type="expression" dxfId="0" priority="313">
      <formula>AND($G9="Вышло",$F9="")</formula>
    </cfRule>
  </conditionalFormatting>
  <conditionalFormatting sqref="C22">
    <cfRule type="expression" dxfId="3" priority="314">
      <formula>AND($G15="Вышло",N($AA15)=0,N($U15)=0)</formula>
    </cfRule>
  </conditionalFormatting>
  <conditionalFormatting sqref="C22 L22">
    <cfRule type="expression" dxfId="0" priority="315">
      <formula>AND($G15="Вышло",$F15="")</formula>
    </cfRule>
  </conditionalFormatting>
  <conditionalFormatting sqref="A22 B21:B22 C22:AI22">
    <cfRule type="expression" dxfId="1" priority="316">
      <formula>AND($H7="Вышло",N($AB7)=0,N($V7)=0)</formula>
    </cfRule>
  </conditionalFormatting>
  <conditionalFormatting sqref="A22 B21:B22 C22:AI22">
    <cfRule type="expression" dxfId="0" priority="317">
      <formula>AND($H7="Вышло",$G7="")</formula>
    </cfRule>
  </conditionalFormatting>
  <conditionalFormatting sqref="A22 B21:B22 C22:AI22">
    <cfRule type="expression" dxfId="1" priority="318">
      <formula>AND($G8="Вышло",N($AA8)=0,N($U8)=0)</formula>
    </cfRule>
  </conditionalFormatting>
  <conditionalFormatting sqref="A22 B21:B22 C22:AI22">
    <cfRule type="expression" dxfId="0" priority="319">
      <formula>AND($G8="Вышло",$F8="")</formula>
    </cfRule>
  </conditionalFormatting>
  <conditionalFormatting sqref="A23:Z23 AA23:AF24 AG23:AI23">
    <cfRule type="expression" dxfId="1" priority="320">
      <formula>AND($H9="Вышло",N($AB9)=0,N($V9)=0)</formula>
    </cfRule>
  </conditionalFormatting>
  <conditionalFormatting sqref="A23:Z23 AA23:AF24 AG23:AI23">
    <cfRule type="expression" dxfId="0" priority="321">
      <formula>AND($H9="Вышло",$G9="")</formula>
    </cfRule>
  </conditionalFormatting>
  <conditionalFormatting sqref="A23:Z23 AA23:AF24 AG23:AI23">
    <cfRule type="expression" dxfId="1" priority="322">
      <formula>AND($G10="Вышло",N($AA10)=0,N($U10)=0)</formula>
    </cfRule>
  </conditionalFormatting>
  <conditionalFormatting sqref="A23:Z23 AA23:AF24 AG23:AI23">
    <cfRule type="expression" dxfId="0" priority="323">
      <formula>AND($G10="Вышло",$F10="")</formula>
    </cfRule>
  </conditionalFormatting>
  <conditionalFormatting sqref="A23:Z23 AA23:AD24">
    <cfRule type="expression" dxfId="1" priority="324">
      <formula>AND($G10="Вышло",N($AA10)=0,N($U10)=0)</formula>
    </cfRule>
  </conditionalFormatting>
  <conditionalFormatting sqref="A23:Z23 AA23:AD24">
    <cfRule type="expression" dxfId="0" priority="325">
      <formula>AND($G10="Вышло",$F10="")</formula>
    </cfRule>
  </conditionalFormatting>
  <conditionalFormatting sqref="A23:Z23 AA23:AD24">
    <cfRule type="expression" dxfId="1" priority="326">
      <formula>AND($G10="Вышло",N($AA10)=0,N($U10)=0)</formula>
    </cfRule>
  </conditionalFormatting>
  <conditionalFormatting sqref="A23:Z23 AA23:AD24">
    <cfRule type="expression" dxfId="0" priority="327">
      <formula>AND($G10="Вышло",$F10="")</formula>
    </cfRule>
  </conditionalFormatting>
  <conditionalFormatting sqref="A23:Z23 AA23:AD24">
    <cfRule type="expression" dxfId="3" priority="328">
      <formula>AND($G21="Вышло",N($AA21)=0,N($U21)=0)</formula>
    </cfRule>
  </conditionalFormatting>
  <conditionalFormatting sqref="A23:Z23 AA23:AD24">
    <cfRule type="expression" dxfId="0" priority="329">
      <formula>AND($G21="Вышло",$F21="")</formula>
    </cfRule>
  </conditionalFormatting>
  <conditionalFormatting sqref="P25">
    <cfRule type="expression" dxfId="3" priority="330">
      <formula>AND($G39="Вышло",N($AA39)=0,N($U39)=0)</formula>
    </cfRule>
  </conditionalFormatting>
  <conditionalFormatting sqref="P25">
    <cfRule type="expression" dxfId="0" priority="331">
      <formula>AND($G39="Вышло",$F39="")</formula>
    </cfRule>
  </conditionalFormatting>
  <conditionalFormatting sqref="P25">
    <cfRule type="expression" dxfId="1" priority="332">
      <formula>AND($G39="Вышло",N($AA39)=0,N($U39)=0)</formula>
    </cfRule>
  </conditionalFormatting>
  <conditionalFormatting sqref="P25">
    <cfRule type="expression" dxfId="1" priority="333">
      <formula>AND($H38="Вышло",N($AB38)=0,N($V38)=0)</formula>
    </cfRule>
  </conditionalFormatting>
  <conditionalFormatting sqref="P25">
    <cfRule type="expression" dxfId="0" priority="334">
      <formula>AND($H38="Вышло",$G38="")</formula>
    </cfRule>
  </conditionalFormatting>
  <conditionalFormatting sqref="P25">
    <cfRule type="expression" dxfId="1" priority="335">
      <formula>AND($G38="Вышло",N($AA38)=0,N($U38)=0)</formula>
    </cfRule>
  </conditionalFormatting>
  <conditionalFormatting sqref="P25">
    <cfRule type="expression" dxfId="0" priority="336">
      <formula>AND($G38="Вышло",$F38="")</formula>
    </cfRule>
  </conditionalFormatting>
  <conditionalFormatting sqref="P25">
    <cfRule type="expression" dxfId="1" priority="337">
      <formula>AND($G38="Вышло",N($AA38)=0,N($U38)=0)</formula>
    </cfRule>
  </conditionalFormatting>
  <conditionalFormatting sqref="P25">
    <cfRule type="expression" dxfId="0" priority="338">
      <formula>AND($G38="Вышло",$F38="")</formula>
    </cfRule>
  </conditionalFormatting>
  <conditionalFormatting sqref="P25">
    <cfRule type="expression" dxfId="1" priority="339">
      <formula>AND($G38="Вышло",N($AA38)=0,N($U38)=0)</formula>
    </cfRule>
  </conditionalFormatting>
  <conditionalFormatting sqref="P25">
    <cfRule type="expression" dxfId="0" priority="340">
      <formula>AND($G38="Вышло",$F38="")</formula>
    </cfRule>
  </conditionalFormatting>
  <conditionalFormatting sqref="A25:AD25">
    <cfRule type="expression" dxfId="3" priority="341">
      <formula>AND($G31="Вышло",N($AA31)=0,N($U31)=0)</formula>
    </cfRule>
  </conditionalFormatting>
  <conditionalFormatting sqref="A25:AD25">
    <cfRule type="expression" dxfId="0" priority="342">
      <formula>AND($G31="Вышло",$F31="")</formula>
    </cfRule>
  </conditionalFormatting>
  <conditionalFormatting sqref="B27">
    <cfRule type="expression" dxfId="1" priority="343">
      <formula>AND($G13="Вышло",N($AA13)=0,N($U13)=0)</formula>
    </cfRule>
  </conditionalFormatting>
  <conditionalFormatting sqref="B27">
    <cfRule type="expression" dxfId="3" priority="344">
      <formula>AND($G11="Вышло",N($AA11)=0,N($U11)=0)</formula>
    </cfRule>
  </conditionalFormatting>
  <conditionalFormatting sqref="B27">
    <cfRule type="expression" dxfId="1" priority="345">
      <formula>AND($G13="Вышло",N($AA13)=0,N($U13)=0)</formula>
    </cfRule>
  </conditionalFormatting>
  <conditionalFormatting sqref="B27">
    <cfRule type="expression" dxfId="1" priority="346">
      <formula>AND($G13="Вышло",N($AA13)=0,N($U13)=0)</formula>
    </cfRule>
  </conditionalFormatting>
  <conditionalFormatting sqref="B27">
    <cfRule type="expression" dxfId="0" priority="347">
      <formula>AND($G13="Вышло",$F13="")</formula>
    </cfRule>
  </conditionalFormatting>
  <conditionalFormatting sqref="B27">
    <cfRule type="expression" dxfId="0" priority="348">
      <formula>AND($H13="Вышло",$G13="")</formula>
    </cfRule>
  </conditionalFormatting>
  <conditionalFormatting sqref="B27">
    <cfRule type="expression" dxfId="0" priority="349">
      <formula>AND($G13="Вышло",$F13="")</formula>
    </cfRule>
  </conditionalFormatting>
  <conditionalFormatting sqref="B27">
    <cfRule type="expression" dxfId="0" priority="350">
      <formula>AND($G11="Вышло",$F11="")</formula>
    </cfRule>
  </conditionalFormatting>
  <conditionalFormatting sqref="B27">
    <cfRule type="expression" dxfId="0" priority="351">
      <formula>AND($G13="Вышло",$F13="")</formula>
    </cfRule>
  </conditionalFormatting>
  <conditionalFormatting sqref="B27">
    <cfRule type="expression" dxfId="1" priority="352">
      <formula>AND($H13="Вышло",N($AB13)=0,N($V13)=0)</formula>
    </cfRule>
  </conditionalFormatting>
  <conditionalFormatting sqref="A15 B15:B16 C15:AD15 AB17:AD17 AB19:AD19">
    <cfRule type="expression" dxfId="0" priority="353">
      <formula>AND(#REF!="Вышло",#REF!="")</formula>
    </cfRule>
  </conditionalFormatting>
  <conditionalFormatting sqref="A15 B15:B16 C15:AD15 AB17:AD17 AB19:AD19">
    <cfRule type="expression" dxfId="0" priority="354">
      <formula>AND($G38="Вышло",$F38="")</formula>
    </cfRule>
  </conditionalFormatting>
  <conditionalFormatting sqref="A15 B15:B16 C15:AD15 AB17:AD17 AB19:AD19">
    <cfRule type="expression" dxfId="1" priority="355">
      <formula>AND($G38="Вышло",N($AA38)=0,N($U38)=0)</formula>
    </cfRule>
  </conditionalFormatting>
  <conditionalFormatting sqref="A15 B15:B16 C15:AD15 AB17:AD17 AB19:AD19">
    <cfRule type="expression" dxfId="0" priority="356">
      <formula>AND($G38="Вышло",$F38="")</formula>
    </cfRule>
  </conditionalFormatting>
  <conditionalFormatting sqref="A15 B15:B16 C15:AD15 AB17:AD17 AB19:AD19">
    <cfRule type="expression" dxfId="3" priority="357">
      <formula>AND(#REF!="Вышло",N(#REF!)=0,N(#REF!)=0)</formula>
    </cfRule>
  </conditionalFormatting>
  <conditionalFormatting sqref="A15 B15:B16 C15:AD15 AB17:AD17 AB19:AD19">
    <cfRule type="expression" dxfId="1" priority="358">
      <formula>AND($G38="Вышло",N($AA38)=0,N($U38)=0)</formula>
    </cfRule>
  </conditionalFormatting>
  <conditionalFormatting sqref="I15">
    <cfRule type="expression" dxfId="0" priority="359">
      <formula>AND($G16="Вышло",$F16="")</formula>
    </cfRule>
  </conditionalFormatting>
  <conditionalFormatting sqref="A15 B15:B16 C15:AI15 AB17:AF17 AB19:AF19">
    <cfRule type="expression" dxfId="1" priority="360">
      <formula>AND($H37="Вышло",N($AB37)=0,N($V37)=0)</formula>
    </cfRule>
  </conditionalFormatting>
  <conditionalFormatting sqref="A15 B15:B16 C15:AI15 AB17:AF17 AB19:AF19">
    <cfRule type="expression" dxfId="0" priority="361">
      <formula>AND($H37="Вышло",$G37="")</formula>
    </cfRule>
  </conditionalFormatting>
  <conditionalFormatting sqref="A15 B15:B16 C15:AI15 AB17:AF17 AB19:AF19">
    <cfRule type="expression" dxfId="0" priority="362">
      <formula>AND($G38="Вышло",$F38="")</formula>
    </cfRule>
  </conditionalFormatting>
  <conditionalFormatting sqref="A15 B15:B16 C15:AI15 AB17:AF17 AB19:AF19">
    <cfRule type="expression" dxfId="1" priority="363">
      <formula>AND($G38="Вышло",N($AA38)=0,N($U38)=0)</formula>
    </cfRule>
  </conditionalFormatting>
  <conditionalFormatting sqref="C21:C22">
    <cfRule type="expression" dxfId="0" priority="364">
      <formula>AND($G7="Вышло",$F7="")</formula>
    </cfRule>
  </conditionalFormatting>
  <conditionalFormatting sqref="C21:C22">
    <cfRule type="expression" dxfId="3" priority="365">
      <formula>AND($G7="Вышло",N($AA7)=0,N($U7)=0)</formula>
    </cfRule>
  </conditionalFormatting>
  <conditionalFormatting sqref="C21:C22">
    <cfRule type="expression" dxfId="0" priority="366">
      <formula>AND($G10="Вышло",$F10="")</formula>
    </cfRule>
  </conditionalFormatting>
  <conditionalFormatting sqref="C21:C22">
    <cfRule type="expression" dxfId="1" priority="367">
      <formula>AND($G10="Вышло",N($AA10)=0,N($U10)=0)</formula>
    </cfRule>
  </conditionalFormatting>
  <conditionalFormatting sqref="C21:C22">
    <cfRule type="expression" dxfId="0" priority="368">
      <formula>AND($G10="Вышло",$F10="")</formula>
    </cfRule>
  </conditionalFormatting>
  <conditionalFormatting sqref="C21:C22">
    <cfRule type="expression" dxfId="1" priority="369">
      <formula>AND($G10="Вышло",N($AA10)=0,N($U10)=0)</formula>
    </cfRule>
  </conditionalFormatting>
  <conditionalFormatting sqref="C21:C22">
    <cfRule type="expression" dxfId="1" priority="370">
      <formula>AND($G8="Вышло",N($AA8)=0,N($U8)=0)</formula>
    </cfRule>
  </conditionalFormatting>
  <conditionalFormatting sqref="C21:C22">
    <cfRule type="expression" dxfId="0" priority="371">
      <formula>AND($G10="Вышло",$F10="")</formula>
    </cfRule>
  </conditionalFormatting>
  <conditionalFormatting sqref="C21:C22">
    <cfRule type="expression" dxfId="1" priority="372">
      <formula>AND($G10="Вышло",N($AA10)=0,N($U10)=0)</formula>
    </cfRule>
  </conditionalFormatting>
  <conditionalFormatting sqref="C21:C22">
    <cfRule type="expression" dxfId="0" priority="373">
      <formula>AND($H10="Вышло",$G10="")</formula>
    </cfRule>
  </conditionalFormatting>
  <conditionalFormatting sqref="C21:C22">
    <cfRule type="expression" dxfId="1" priority="374">
      <formula>AND($H10="Вышло",N($AB10)=0,N($V10)=0)</formula>
    </cfRule>
  </conditionalFormatting>
  <conditionalFormatting sqref="P21:P23">
    <cfRule type="expression" dxfId="1" priority="375">
      <formula>AND($G30="Вышло",N($AA30)=0,N($U30)=0)</formula>
    </cfRule>
  </conditionalFormatting>
  <conditionalFormatting sqref="P21:P23">
    <cfRule type="expression" dxfId="0" priority="376">
      <formula>AND($G38="Вышло",$F38="")</formula>
    </cfRule>
  </conditionalFormatting>
  <conditionalFormatting sqref="P21:P23">
    <cfRule type="expression" dxfId="1" priority="377">
      <formula>AND($G38="Вышло",N($AA38)=0,N($U38)=0)</formula>
    </cfRule>
  </conditionalFormatting>
  <conditionalFormatting sqref="P21:P23">
    <cfRule type="expression" dxfId="0" priority="378">
      <formula>AND($G38="Вышло",$F38="")</formula>
    </cfRule>
  </conditionalFormatting>
  <conditionalFormatting sqref="P21:P23">
    <cfRule type="expression" dxfId="1" priority="379">
      <formula>AND($G38="Вышло",N($AA38)=0,N($U38)=0)</formula>
    </cfRule>
  </conditionalFormatting>
  <conditionalFormatting sqref="P21:P23">
    <cfRule type="expression" dxfId="0" priority="380">
      <formula>AND($G38="Вышло",$F38="")</formula>
    </cfRule>
  </conditionalFormatting>
  <conditionalFormatting sqref="P21:P23">
    <cfRule type="expression" dxfId="1" priority="381">
      <formula>AND($G38="Вышло",N($AA38)=0,N($U38)=0)</formula>
    </cfRule>
  </conditionalFormatting>
  <conditionalFormatting sqref="P21:P23">
    <cfRule type="expression" dxfId="0" priority="382">
      <formula>AND($H38="Вышло",$G38="")</formula>
    </cfRule>
  </conditionalFormatting>
  <conditionalFormatting sqref="P21:P23">
    <cfRule type="expression" dxfId="0" priority="383">
      <formula>AND(#REF!="Вышло",#REF!="")</formula>
    </cfRule>
  </conditionalFormatting>
  <conditionalFormatting sqref="P21:P23">
    <cfRule type="expression" dxfId="3" priority="384">
      <formula>AND(#REF!="Вышло",N(#REF!)=0,N(#REF!)=0)</formula>
    </cfRule>
  </conditionalFormatting>
  <conditionalFormatting sqref="P21:P23">
    <cfRule type="expression" dxfId="1" priority="385">
      <formula>AND($H38="Вышло",N($AB38)=0,N($V38)=0)</formula>
    </cfRule>
  </conditionalFormatting>
  <conditionalFormatting sqref="P21:P23">
    <cfRule type="expression" dxfId="0" priority="386">
      <formula>AND(#REF!="Вышло",#REF!="")</formula>
    </cfRule>
  </conditionalFormatting>
  <conditionalFormatting sqref="P21:P23">
    <cfRule type="expression" dxfId="1" priority="387">
      <formula>AND(#REF!="Вышло",N(#REF!)=0,N(#REF!)=0)</formula>
    </cfRule>
  </conditionalFormatting>
  <conditionalFormatting sqref="P21:P23">
    <cfRule type="expression" dxfId="0" priority="388">
      <formula>AND(#REF!="Вышло",#REF!="")</formula>
    </cfRule>
  </conditionalFormatting>
  <conditionalFormatting sqref="P21:P23">
    <cfRule type="expression" dxfId="1" priority="389">
      <formula>AND(#REF!="Вышло",N(#REF!)=0,N(#REF!)=0)</formula>
    </cfRule>
  </conditionalFormatting>
  <conditionalFormatting sqref="P21:P23">
    <cfRule type="expression" dxfId="0" priority="390">
      <formula>AND(#REF!="Вышло",#REF!="")</formula>
    </cfRule>
  </conditionalFormatting>
  <conditionalFormatting sqref="P21:P23">
    <cfRule type="expression" dxfId="1" priority="391">
      <formula>AND(#REF!="Вышло",N(#REF!)=0,N(#REF!)=0)</formula>
    </cfRule>
  </conditionalFormatting>
  <conditionalFormatting sqref="P21:P23">
    <cfRule type="expression" dxfId="0" priority="392">
      <formula>AND(#REF!="Вышло",#REF!="")</formula>
    </cfRule>
  </conditionalFormatting>
  <conditionalFormatting sqref="P21:P23">
    <cfRule type="expression" dxfId="1" priority="393">
      <formula>AND(#REF!="Вышло",N(#REF!)=0,N(#REF!)=0)</formula>
    </cfRule>
  </conditionalFormatting>
  <conditionalFormatting sqref="P21:P23">
    <cfRule type="expression" dxfId="0" priority="394">
      <formula>AND($G30="Вышло",$F30="")</formula>
    </cfRule>
  </conditionalFormatting>
  <conditionalFormatting sqref="P21:P23">
    <cfRule type="expression" dxfId="3" priority="395">
      <formula>AND($G30="Вышло",N($AA30)=0,N($U30)=0)</formula>
    </cfRule>
  </conditionalFormatting>
  <conditionalFormatting sqref="G21 P21:P23">
    <cfRule type="expression" dxfId="3" priority="396">
      <formula>AND($G2="Вышло",N($AA2)=0,N($U2)=0)</formula>
    </cfRule>
  </conditionalFormatting>
  <conditionalFormatting sqref="G21 P21:P23">
    <cfRule type="expression" dxfId="0" priority="397">
      <formula>AND($G2="Вышло",$F2="")</formula>
    </cfRule>
  </conditionalFormatting>
  <conditionalFormatting sqref="A20:A21 A25 B20:AI20">
    <cfRule type="expression" dxfId="1" priority="398">
      <formula>AND($H12="Вышло",N($AB12)=0,N($V12)=0)</formula>
    </cfRule>
  </conditionalFormatting>
  <conditionalFormatting sqref="A20:A21 A25 B20:AI20">
    <cfRule type="expression" dxfId="0" priority="399">
      <formula>AND($H12="Вышло",$G12="")</formula>
    </cfRule>
  </conditionalFormatting>
  <conditionalFormatting sqref="A20:A21 A25 B20:AI20">
    <cfRule type="expression" dxfId="1" priority="400">
      <formula>AND($G13="Вышло",N($AA13)=0,N($U13)=0)</formula>
    </cfRule>
  </conditionalFormatting>
  <conditionalFormatting sqref="A20:A21 A25 B20:AI20">
    <cfRule type="expression" dxfId="0" priority="401">
      <formula>AND($G13="Вышло",$F13="")</formula>
    </cfRule>
  </conditionalFormatting>
  <conditionalFormatting sqref="A20:A21 A25 B20:AD20">
    <cfRule type="expression" dxfId="1" priority="402">
      <formula>AND($G13="Вышло",N($AA13)=0,N($U13)=0)</formula>
    </cfRule>
  </conditionalFormatting>
  <conditionalFormatting sqref="A20:A21 A25 B20:AD20">
    <cfRule type="expression" dxfId="0" priority="403">
      <formula>AND($G13="Вышло",$F13="")</formula>
    </cfRule>
  </conditionalFormatting>
  <conditionalFormatting sqref="A20:A21 A25 B20:AD20">
    <cfRule type="expression" dxfId="1" priority="404">
      <formula>AND($G13="Вышло",N($AA13)=0,N($U13)=0)</formula>
    </cfRule>
  </conditionalFormatting>
  <conditionalFormatting sqref="A20:A21 A25 B20:AD20">
    <cfRule type="expression" dxfId="0" priority="405">
      <formula>AND($G13="Вышло",$F13="")</formula>
    </cfRule>
  </conditionalFormatting>
  <conditionalFormatting sqref="A20:A21 A25 B20:AD20">
    <cfRule type="expression" dxfId="3" priority="406">
      <formula>AND(#REF!="Вышло",N(#REF!)=0,N(#REF!)=0)</formula>
    </cfRule>
  </conditionalFormatting>
  <conditionalFormatting sqref="A20:A21 A25 B20:AD20">
    <cfRule type="expression" dxfId="0" priority="407">
      <formula>AND(#REF!="Вышло",#REF!="")</formula>
    </cfRule>
  </conditionalFormatting>
  <conditionalFormatting sqref="A18:AI18">
    <cfRule type="expression" dxfId="1" priority="408">
      <formula>AND($H12="Вышло",N($AB12)=0,N($V12)=0)</formula>
    </cfRule>
  </conditionalFormatting>
  <conditionalFormatting sqref="A18:AI18">
    <cfRule type="expression" dxfId="0" priority="409">
      <formula>AND($H12="Вышло",$G12="")</formula>
    </cfRule>
  </conditionalFormatting>
  <conditionalFormatting sqref="A18:AI18">
    <cfRule type="expression" dxfId="1" priority="410">
      <formula>AND($G13="Вышло",N($AA13)=0,N($U13)=0)</formula>
    </cfRule>
  </conditionalFormatting>
  <conditionalFormatting sqref="A18:AI18">
    <cfRule type="expression" dxfId="0" priority="411">
      <formula>AND($G13="Вышло",$F13="")</formula>
    </cfRule>
  </conditionalFormatting>
  <conditionalFormatting sqref="A18:AD18">
    <cfRule type="expression" dxfId="3" priority="412">
      <formula>AND(#REF!="Вышло",N(#REF!)=0,N(#REF!)=0)</formula>
    </cfRule>
  </conditionalFormatting>
  <conditionalFormatting sqref="A18:AD18">
    <cfRule type="expression" dxfId="0" priority="413">
      <formula>AND(#REF!="Вышло",#REF!="")</formula>
    </cfRule>
  </conditionalFormatting>
  <conditionalFormatting sqref="A18:AD18">
    <cfRule type="expression" dxfId="1" priority="414">
      <formula>AND($G13="Вышло",N($AA13)=0,N($U13)=0)</formula>
    </cfRule>
  </conditionalFormatting>
  <conditionalFormatting sqref="A18:AD18">
    <cfRule type="expression" dxfId="0" priority="415">
      <formula>AND($G13="Вышло",$F13="")</formula>
    </cfRule>
  </conditionalFormatting>
  <conditionalFormatting sqref="A18:AD18">
    <cfRule type="expression" dxfId="1" priority="416">
      <formula>AND($G13="Вышло",N($AA13)=0,N($U13)=0)</formula>
    </cfRule>
  </conditionalFormatting>
  <conditionalFormatting sqref="A18:AD18">
    <cfRule type="expression" dxfId="0" priority="417">
      <formula>AND($G13="Вышло",$F13="")</formula>
    </cfRule>
  </conditionalFormatting>
  <conditionalFormatting sqref="A13:AI13">
    <cfRule type="expression" dxfId="1" priority="418">
      <formula>AND(#REF!="Вышло",N(#REF!)=0,N(#REF!)=0)</formula>
    </cfRule>
  </conditionalFormatting>
  <conditionalFormatting sqref="A13:AI13">
    <cfRule type="expression" dxfId="0" priority="419">
      <formula>AND(#REF!="Вышло",#REF!="")</formula>
    </cfRule>
  </conditionalFormatting>
  <conditionalFormatting sqref="A13:AI13">
    <cfRule type="expression" dxfId="1" priority="420">
      <formula>AND($H11="Вышло",N($AB11)=0,N($V11)=0)</formula>
    </cfRule>
  </conditionalFormatting>
  <conditionalFormatting sqref="A13:AI13">
    <cfRule type="expression" dxfId="0" priority="421">
      <formula>AND($H11="Вышло",$G11="")</formula>
    </cfRule>
  </conditionalFormatting>
  <conditionalFormatting sqref="A13:AD13">
    <cfRule type="expression" dxfId="1" priority="422">
      <formula>AND(#REF!="Вышло",N(#REF!)=0,N(#REF!)=0)</formula>
    </cfRule>
  </conditionalFormatting>
  <conditionalFormatting sqref="A13:AD13">
    <cfRule type="expression" dxfId="0" priority="423">
      <formula>AND(#REF!="Вышло",#REF!="")</formula>
    </cfRule>
  </conditionalFormatting>
  <conditionalFormatting sqref="A13:AD13">
    <cfRule type="expression" dxfId="1" priority="424">
      <formula>AND(#REF!="Вышло",N(#REF!)=0,N(#REF!)=0)</formula>
    </cfRule>
  </conditionalFormatting>
  <conditionalFormatting sqref="A13:AD13">
    <cfRule type="expression" dxfId="0" priority="425">
      <formula>AND(#REF!="Вышло",#REF!="")</formula>
    </cfRule>
  </conditionalFormatting>
  <conditionalFormatting sqref="A13:AD13">
    <cfRule type="expression" dxfId="3" priority="426">
      <formula>AND(#REF!="Вышло",N(#REF!)=0,N(#REF!)=0)</formula>
    </cfRule>
  </conditionalFormatting>
  <conditionalFormatting sqref="A13:AD13">
    <cfRule type="expression" dxfId="0" priority="427">
      <formula>AND(#REF!="Вышло",#REF!="")</formula>
    </cfRule>
  </conditionalFormatting>
  <conditionalFormatting sqref="C13 L13">
    <cfRule type="expression" dxfId="1" priority="428">
      <formula>AND(#REF!="Вышло",N(#REF!)=0,N(#REF!)=0)</formula>
    </cfRule>
  </conditionalFormatting>
  <conditionalFormatting sqref="C13 L13">
    <cfRule type="expression" dxfId="0" priority="429">
      <formula>AND(#REF!="Вышло",#REF!="")</formula>
    </cfRule>
  </conditionalFormatting>
  <conditionalFormatting sqref="C13 L13">
    <cfRule type="expression" dxfId="1" priority="430">
      <formula>AND(#REF!="Вышло",N(#REF!)=0,N(#REF!)=0)</formula>
    </cfRule>
  </conditionalFormatting>
  <conditionalFormatting sqref="C13 L13">
    <cfRule type="expression" dxfId="0" priority="431">
      <formula>AND($G25="Вышло",$F25="")</formula>
    </cfRule>
  </conditionalFormatting>
  <conditionalFormatting sqref="C13">
    <cfRule type="expression" dxfId="1" priority="432">
      <formula>AND(#REF!="Вышло",N(#REF!)=0,N(#REF!)=0)</formula>
    </cfRule>
  </conditionalFormatting>
  <conditionalFormatting sqref="C13">
    <cfRule type="expression" dxfId="0" priority="433">
      <formula>AND(#REF!="Вышло",#REF!="")</formula>
    </cfRule>
  </conditionalFormatting>
  <conditionalFormatting sqref="C13">
    <cfRule type="expression" dxfId="1" priority="434">
      <formula>AND(#REF!="Вышло",N(#REF!)=0,N(#REF!)=0)</formula>
    </cfRule>
  </conditionalFormatting>
  <conditionalFormatting sqref="C13">
    <cfRule type="expression" dxfId="0" priority="435">
      <formula>AND(#REF!="Вышло",#REF!="")</formula>
    </cfRule>
  </conditionalFormatting>
  <conditionalFormatting sqref="C13">
    <cfRule type="expression" dxfId="0" priority="436">
      <formula>AND(#REF!="Вышло",#REF!="")</formula>
    </cfRule>
  </conditionalFormatting>
  <conditionalFormatting sqref="C13">
    <cfRule type="expression" dxfId="3" priority="437">
      <formula>AND($G25="Вышло",N($AA25)=0,N($U25)=0)</formula>
    </cfRule>
  </conditionalFormatting>
  <conditionalFormatting sqref="A19:T19 A21 A25 U19:U25 V19:AD19">
    <cfRule type="expression" dxfId="3" priority="438">
      <formula>AND(#REF!="Вышло",N(#REF!)=0,N(#REF!)=0)</formula>
    </cfRule>
  </conditionalFormatting>
  <conditionalFormatting sqref="A19:T19 A21 A25 U19:U25 V19:AD19">
    <cfRule type="expression" dxfId="0" priority="439">
      <formula>AND(#REF!="Вышло",#REF!="")</formula>
    </cfRule>
  </conditionalFormatting>
  <conditionalFormatting sqref="A19:T19 A21 A25 U19:U25 U27 U30:U32 U35 U39 V19:AD19">
    <cfRule type="expression" dxfId="1" priority="440">
      <formula>AND(#REF!="Вышло",N(#REF!)=0,N(#REF!)=0)</formula>
    </cfRule>
  </conditionalFormatting>
  <conditionalFormatting sqref="A19:T19 A21 A25 U19:U25 U27 U30:U32 U35 U39 V19:AD19">
    <cfRule type="expression" dxfId="0" priority="441">
      <formula>AND(#REF!="Вышло",#REF!="")</formula>
    </cfRule>
  </conditionalFormatting>
  <conditionalFormatting sqref="A19:T19 A21 A25 U19:U25 U27 U30:U32 U35 U39 V19:AD19">
    <cfRule type="expression" dxfId="1" priority="442">
      <formula>AND(#REF!="Вышло",N(#REF!)=0,N(#REF!)=0)</formula>
    </cfRule>
  </conditionalFormatting>
  <conditionalFormatting sqref="A19:T19 A21 A25 U19:U25 U27 U30:U32 U35 U39 V19:AD19">
    <cfRule type="expression" dxfId="0" priority="443">
      <formula>AND(#REF!="Вышло",#REF!="")</formula>
    </cfRule>
  </conditionalFormatting>
  <conditionalFormatting sqref="A19:T19 A21 A25 U19:U25 V19:AI19">
    <cfRule type="expression" dxfId="1" priority="444">
      <formula>AND($H11="Вышло",N($AB11)=0,N($V11)=0)</formula>
    </cfRule>
  </conditionalFormatting>
  <conditionalFormatting sqref="A19:T19 A21 A25 U19:U25 V19:AI19">
    <cfRule type="expression" dxfId="0" priority="445">
      <formula>AND($H11="Вышло",$G11="")</formula>
    </cfRule>
  </conditionalFormatting>
  <conditionalFormatting sqref="A19:T19 A21 A25 U19:U25 U27 U30:U32 U35 U39 V19:AI19">
    <cfRule type="expression" dxfId="1" priority="446">
      <formula>AND(#REF!="Вышло",N(#REF!)=0,N(#REF!)=0)</formula>
    </cfRule>
  </conditionalFormatting>
  <conditionalFormatting sqref="A19:T19 A21 A25 U19:U25 U27 U30:U32 U35 U39 V19:AI19">
    <cfRule type="expression" dxfId="0" priority="447">
      <formula>AND(#REF!="Вышло",#REF!="")</formula>
    </cfRule>
  </conditionalFormatting>
  <conditionalFormatting sqref="A14:B14 C14:C15 D14:AD14">
    <cfRule type="expression" dxfId="3" priority="448">
      <formula>AND(#REF!="Вышло",N(#REF!)=0,N(#REF!)=0)</formula>
    </cfRule>
  </conditionalFormatting>
  <conditionalFormatting sqref="A14:B14 C14:C15 D14:AD14">
    <cfRule type="expression" dxfId="0" priority="449">
      <formula>AND(#REF!="Вышло",#REF!="")</formula>
    </cfRule>
  </conditionalFormatting>
  <conditionalFormatting sqref="A14:B14 C14:C15 D14:AD14">
    <cfRule type="expression" dxfId="1" priority="450">
      <formula>AND(#REF!="Вышло",N(#REF!)=0,N(#REF!)=0)</formula>
    </cfRule>
  </conditionalFormatting>
  <conditionalFormatting sqref="A14:B14 C14:C15 D14:AD14">
    <cfRule type="expression" dxfId="0" priority="451">
      <formula>AND(#REF!="Вышло",#REF!="")</formula>
    </cfRule>
  </conditionalFormatting>
  <conditionalFormatting sqref="A14:B14 C14:C15 D14:AD14">
    <cfRule type="expression" dxfId="1" priority="452">
      <formula>AND(#REF!="Вышло",N(#REF!)=0,N(#REF!)=0)</formula>
    </cfRule>
  </conditionalFormatting>
  <conditionalFormatting sqref="A14:B14 C14:C15 D14:AD14">
    <cfRule type="expression" dxfId="0" priority="453">
      <formula>AND(#REF!="Вышло",#REF!="")</formula>
    </cfRule>
  </conditionalFormatting>
  <conditionalFormatting sqref="C14:C15 L14">
    <cfRule type="expression" dxfId="1" priority="454">
      <formula>AND(#REF!="Вышло",N(#REF!)=0,N(#REF!)=0)</formula>
    </cfRule>
  </conditionalFormatting>
  <conditionalFormatting sqref="C14:C15 L14">
    <cfRule type="expression" dxfId="0" priority="455">
      <formula>AND(#REF!="Вышло",#REF!="")</formula>
    </cfRule>
  </conditionalFormatting>
  <conditionalFormatting sqref="C14:C15 L14">
    <cfRule type="expression" dxfId="1" priority="456">
      <formula>AND(#REF!="Вышло",N(#REF!)=0,N(#REF!)=0)</formula>
    </cfRule>
  </conditionalFormatting>
  <conditionalFormatting sqref="C14:C15 L14">
    <cfRule type="expression" dxfId="0" priority="457">
      <formula>AND($G25="Вышло",$F25="")</formula>
    </cfRule>
  </conditionalFormatting>
  <conditionalFormatting sqref="C14:C15">
    <cfRule type="expression" dxfId="1" priority="458">
      <formula>AND(#REF!="Вышло",N(#REF!)=0,N(#REF!)=0)</formula>
    </cfRule>
  </conditionalFormatting>
  <conditionalFormatting sqref="C14:C15">
    <cfRule type="expression" dxfId="0" priority="459">
      <formula>AND(#REF!="Вышло",#REF!="")</formula>
    </cfRule>
  </conditionalFormatting>
  <conditionalFormatting sqref="C14:C15">
    <cfRule type="expression" dxfId="1" priority="460">
      <formula>AND(#REF!="Вышло",N(#REF!)=0,N(#REF!)=0)</formula>
    </cfRule>
  </conditionalFormatting>
  <conditionalFormatting sqref="C14:C15">
    <cfRule type="expression" dxfId="0" priority="461">
      <formula>AND(#REF!="Вышло",#REF!="")</formula>
    </cfRule>
  </conditionalFormatting>
  <conditionalFormatting sqref="C14:C15">
    <cfRule type="expression" dxfId="0" priority="462">
      <formula>AND(#REF!="Вышло",#REF!="")</formula>
    </cfRule>
  </conditionalFormatting>
  <conditionalFormatting sqref="C14:C15">
    <cfRule type="expression" dxfId="3" priority="463">
      <formula>AND($G25="Вышло",N($AA25)=0,N($U25)=0)</formula>
    </cfRule>
  </conditionalFormatting>
  <conditionalFormatting sqref="A14:B14 C14:C15 D14:AI14">
    <cfRule type="expression" dxfId="1" priority="464">
      <formula>AND(#REF!="Вышло",N(#REF!)=0,N(#REF!)=0)</formula>
    </cfRule>
  </conditionalFormatting>
  <conditionalFormatting sqref="A14:B14 C14:C15 D14:AI14">
    <cfRule type="expression" dxfId="0" priority="465">
      <formula>AND(#REF!="Вышло",#REF!="")</formula>
    </cfRule>
  </conditionalFormatting>
  <conditionalFormatting sqref="A14:B14 C14:C15 D14:AI14">
    <cfRule type="expression" dxfId="1" priority="466">
      <formula>AND($H11="Вышло",N($AB11)=0,N($V11)=0)</formula>
    </cfRule>
  </conditionalFormatting>
  <conditionalFormatting sqref="A14:B14 C14:C15 D14:AI14">
    <cfRule type="expression" dxfId="0" priority="467">
      <formula>AND($H11="Вышло",$G11="")</formula>
    </cfRule>
  </conditionalFormatting>
  <conditionalFormatting sqref="A15:B16 C16:AD16 AB18:AD18">
    <cfRule type="expression" dxfId="1" priority="468">
      <formula>AND($G9="Вышло",N($AA9)=0,N($U9)=0)</formula>
    </cfRule>
  </conditionalFormatting>
  <conditionalFormatting sqref="A15:B16 C16:AD16 AB18:AD18">
    <cfRule type="expression" dxfId="0" priority="469">
      <formula>AND($G9="Вышло",$F9="")</formula>
    </cfRule>
  </conditionalFormatting>
  <conditionalFormatting sqref="A15:B16 C16:AD16 AB18:AD18">
    <cfRule type="expression" dxfId="1" priority="470">
      <formula>AND($G9="Вышло",N($AA9)=0,N($U9)=0)</formula>
    </cfRule>
  </conditionalFormatting>
  <conditionalFormatting sqref="A15:B16 C16:AD16 AB18:AD18">
    <cfRule type="expression" dxfId="0" priority="471">
      <formula>AND($G9="Вышло",$F9="")</formula>
    </cfRule>
  </conditionalFormatting>
  <conditionalFormatting sqref="A15:B16 C16:AD16 AB18:AD18">
    <cfRule type="expression" dxfId="3" priority="472">
      <formula>AND(#REF!="Вышло",N(#REF!)=0,N(#REF!)=0)</formula>
    </cfRule>
  </conditionalFormatting>
  <conditionalFormatting sqref="A15:B16 C16:AD16 AB18:AD18">
    <cfRule type="expression" dxfId="0" priority="473">
      <formula>AND(#REF!="Вышло",#REF!="")</formula>
    </cfRule>
  </conditionalFormatting>
  <conditionalFormatting sqref="A15:B16 C16:AI16 AB18:AF18">
    <cfRule type="expression" dxfId="1" priority="474">
      <formula>AND($G9="Вышло",N($AA9)=0,N($U9)=0)</formula>
    </cfRule>
  </conditionalFormatting>
  <conditionalFormatting sqref="A15:B16 C16:AI16 AB18:AF18">
    <cfRule type="expression" dxfId="0" priority="475">
      <formula>AND($G9="Вышло",$F9="")</formula>
    </cfRule>
  </conditionalFormatting>
  <conditionalFormatting sqref="A15:B16 C16:AI16 AB18:AF18">
    <cfRule type="expression" dxfId="1" priority="476">
      <formula>AND($H8="Вышло",N($AB8)=0,N($V8)=0)</formula>
    </cfRule>
  </conditionalFormatting>
  <conditionalFormatting sqref="A15:B16 C16:AI16 AB18:AF18">
    <cfRule type="expression" dxfId="0" priority="477">
      <formula>AND($H8="Вышло",$G8="")</formula>
    </cfRule>
  </conditionalFormatting>
  <conditionalFormatting sqref="A17:AI17">
    <cfRule type="expression" dxfId="1" priority="478">
      <formula>AND($H9="Вышло",N($AB9)=0,N($V9)=0)</formula>
    </cfRule>
  </conditionalFormatting>
  <conditionalFormatting sqref="A17:AI17">
    <cfRule type="expression" dxfId="0" priority="479">
      <formula>AND($H9="Вышло",$G9="")</formula>
    </cfRule>
  </conditionalFormatting>
  <conditionalFormatting sqref="A17:AI17">
    <cfRule type="expression" dxfId="1" priority="480">
      <formula>AND($G10="Вышло",N($AA10)=0,N($U10)=0)</formula>
    </cfRule>
  </conditionalFormatting>
  <conditionalFormatting sqref="A17:AI17">
    <cfRule type="expression" dxfId="0" priority="481">
      <formula>AND($G10="Вышло",$F10="")</formula>
    </cfRule>
  </conditionalFormatting>
  <conditionalFormatting sqref="A17:AD17">
    <cfRule type="expression" dxfId="1" priority="482">
      <formula>AND($G10="Вышло",N($AA10)=0,N($U10)=0)</formula>
    </cfRule>
  </conditionalFormatting>
  <conditionalFormatting sqref="A17:AD17">
    <cfRule type="expression" dxfId="0" priority="483">
      <formula>AND($G10="Вышло",$F10="")</formula>
    </cfRule>
  </conditionalFormatting>
  <conditionalFormatting sqref="A17:AD17">
    <cfRule type="expression" dxfId="1" priority="484">
      <formula>AND($G10="Вышло",N($AA10)=0,N($U10)=0)</formula>
    </cfRule>
  </conditionalFormatting>
  <conditionalFormatting sqref="A17:AD17">
    <cfRule type="expression" dxfId="0" priority="485">
      <formula>AND($G10="Вышло",$F10="")</formula>
    </cfRule>
  </conditionalFormatting>
  <conditionalFormatting sqref="A17:AD17">
    <cfRule type="expression" dxfId="3" priority="486">
      <formula>AND(#REF!="Вышло",N(#REF!)=0,N(#REF!)=0)</formula>
    </cfRule>
  </conditionalFormatting>
  <conditionalFormatting sqref="A17:AD17">
    <cfRule type="expression" dxfId="0" priority="487">
      <formula>AND(#REF!="Вышло",#REF!="")</formula>
    </cfRule>
  </conditionalFormatting>
  <conditionalFormatting sqref="A12:O12 E9 P12:P14 P16:P20 Q12:AI12">
    <cfRule type="expression" dxfId="1" priority="488">
      <formula>AND($H22="Вышло",N($AB22)=0,N($V22)=0)</formula>
    </cfRule>
  </conditionalFormatting>
  <conditionalFormatting sqref="A12:O12 E9 P12:P14 P16:P20 Q12:AI12">
    <cfRule type="expression" dxfId="0" priority="489">
      <formula>AND($H22="Вышло",$G22="")</formula>
    </cfRule>
  </conditionalFormatting>
  <conditionalFormatting sqref="A12:O12 E9 P12:P14 P16:P20 Q12:AI12">
    <cfRule type="expression" dxfId="1" priority="490">
      <formula>AND($G22="Вышло",N($AA22)=0,N($U22)=0)</formula>
    </cfRule>
  </conditionalFormatting>
  <conditionalFormatting sqref="A12:O12 E9 P12:P14 P16:P20 Q12:AI12">
    <cfRule type="expression" dxfId="0" priority="491">
      <formula>AND($G22="Вышло",$F22="")</formula>
    </cfRule>
  </conditionalFormatting>
  <conditionalFormatting sqref="A12:O12 E9 P12:P14 P16:P20 Q12:AI12">
    <cfRule type="expression" dxfId="1" priority="492">
      <formula>AND($H4="Вышло",N($AB4)=0,N($V4)=0)</formula>
    </cfRule>
  </conditionalFormatting>
  <conditionalFormatting sqref="A12:O12 E9 P12:P14 P16:P20 Q12:AI12">
    <cfRule type="expression" dxfId="0" priority="493">
      <formula>AND($H4="Вышло",$G4="")</formula>
    </cfRule>
  </conditionalFormatting>
  <conditionalFormatting sqref="A12:O12 E9 P12:P14 P16:P20 Q12:AI12">
    <cfRule type="expression" dxfId="1" priority="494">
      <formula>AND($G5="Вышло",N($AA5)=0,N($U5)=0)</formula>
    </cfRule>
  </conditionalFormatting>
  <conditionalFormatting sqref="A12:O12 E9 P12:P14 P16:P20 Q12:AI12">
    <cfRule type="expression" dxfId="0" priority="495">
      <formula>AND($G5="Вышло",$F5="")</formula>
    </cfRule>
  </conditionalFormatting>
  <conditionalFormatting sqref="A12:O12 E9 P12:P14 P16:P20 Q12:AD12">
    <cfRule type="expression" dxfId="1" priority="496">
      <formula>AND($G25="Вышло",N($AA25)=0,N($U25)=0)</formula>
    </cfRule>
  </conditionalFormatting>
  <conditionalFormatting sqref="A12:O12 E9 P12:P14 P16:P20 Q12:AD12">
    <cfRule type="expression" dxfId="0" priority="497">
      <formula>AND($G25="Вышло",$F25="")</formula>
    </cfRule>
  </conditionalFormatting>
  <conditionalFormatting sqref="A12:O12 E9 P12:P14 P16:P20 Q12:AD12">
    <cfRule type="expression" dxfId="1" priority="498">
      <formula>AND($G25="Вышло",N($AA25)=0,N($U25)=0)</formula>
    </cfRule>
  </conditionalFormatting>
  <conditionalFormatting sqref="A12:O12 E9 P12:P14 P16:P20 Q12:AD12">
    <cfRule type="expression" dxfId="0" priority="499">
      <formula>AND($G25="Вышло",$F25="")</formula>
    </cfRule>
  </conditionalFormatting>
  <conditionalFormatting sqref="A12:O12 E9 P12:P14 P16:P20 Q12:AD12">
    <cfRule type="expression" dxfId="3" priority="500">
      <formula>AND($G24="Вышло",N($AA24)=0,N($U24)=0)</formula>
    </cfRule>
  </conditionalFormatting>
  <conditionalFormatting sqref="A12:O12 E9 P12:P14 P16:P20 Q12:AD12">
    <cfRule type="expression" dxfId="0" priority="501">
      <formula>AND($G24="Вышло",$F24="")</formula>
    </cfRule>
  </conditionalFormatting>
  <conditionalFormatting sqref="A12:O12 E9 P12:P14 P16:P20 Q12:AD12">
    <cfRule type="expression" dxfId="1" priority="502">
      <formula>AND($G8="Вышло",N($AA8)=0,N($U8)=0)</formula>
    </cfRule>
  </conditionalFormatting>
  <conditionalFormatting sqref="A12:O12 E9 P12:P14 P16:P20 Q12:AD12">
    <cfRule type="expression" dxfId="0" priority="503">
      <formula>AND($G8="Вышло",$F8="")</formula>
    </cfRule>
  </conditionalFormatting>
  <conditionalFormatting sqref="A12:O12 E9 P12:P14 P16:P20 Q12:AD12">
    <cfRule type="expression" dxfId="1" priority="504">
      <formula>AND($G8="Вышло",N($AA8)=0,N($U8)=0)</formula>
    </cfRule>
  </conditionalFormatting>
  <conditionalFormatting sqref="A12:O12 E9 P12:P14 P16:P20 Q12:AD12">
    <cfRule type="expression" dxfId="0" priority="505">
      <formula>AND($G8="Вышло",$F8="")</formula>
    </cfRule>
  </conditionalFormatting>
  <conditionalFormatting sqref="C12 L12">
    <cfRule type="expression" dxfId="0" priority="506">
      <formula>AND($G25="Вышло",$F25="")</formula>
    </cfRule>
  </conditionalFormatting>
  <conditionalFormatting sqref="C12">
    <cfRule type="expression" dxfId="3" priority="507">
      <formula>AND($G25="Вышло",N($AA25)=0,N($U25)=0)</formula>
    </cfRule>
  </conditionalFormatting>
  <conditionalFormatting sqref="A9 B7:B10 C9 D9:D10 E9:AD9">
    <cfRule type="expression" dxfId="3" priority="508">
      <formula>AND($G5="Вышло",N($AA5)=0,N($U5)=0)</formula>
    </cfRule>
  </conditionalFormatting>
  <conditionalFormatting sqref="A9 B7:B10 C9 D9:D10 E9:AD9">
    <cfRule type="expression" dxfId="0" priority="509">
      <formula>AND($G5="Вышло",$F5="")</formula>
    </cfRule>
  </conditionalFormatting>
  <conditionalFormatting sqref="A9 B7:B10 C9 D9:D10 E9:AD9">
    <cfRule type="expression" dxfId="1" priority="510">
      <formula>AND($G19="Вышло",N($AA19)=0,N($U19)=0)</formula>
    </cfRule>
  </conditionalFormatting>
  <conditionalFormatting sqref="A9 B7:B10 C9 D9:D10 E9:AD9">
    <cfRule type="expression" dxfId="0" priority="511">
      <formula>AND($G19="Вышло",$F19="")</formula>
    </cfRule>
  </conditionalFormatting>
  <conditionalFormatting sqref="A9 B7:B10 C9 D9:D10 E9:AD9">
    <cfRule type="expression" dxfId="1" priority="512">
      <formula>AND($G19="Вышло",N($AA19)=0,N($U19)=0)</formula>
    </cfRule>
  </conditionalFormatting>
  <conditionalFormatting sqref="A9 B7:B10 C9 D9:D10 E9:AD9">
    <cfRule type="expression" dxfId="0" priority="513">
      <formula>AND($G19="Вышло",$F19="")</formula>
    </cfRule>
  </conditionalFormatting>
  <conditionalFormatting sqref="P9">
    <cfRule type="expression" dxfId="0" priority="514">
      <formula>AND($G35="Вышло",$F35="")</formula>
    </cfRule>
  </conditionalFormatting>
  <conditionalFormatting sqref="P9">
    <cfRule type="expression" dxfId="3" priority="515">
      <formula>AND($G35="Вышло",N($AA35)=0,N($U35)=0)</formula>
    </cfRule>
  </conditionalFormatting>
  <conditionalFormatting sqref="P9">
    <cfRule type="expression" dxfId="1" priority="516">
      <formula>AND($G6="Вышло",N($AA6)=0,N($U6)=0)</formula>
    </cfRule>
  </conditionalFormatting>
  <conditionalFormatting sqref="P9">
    <cfRule type="expression" dxfId="0" priority="517">
      <formula>AND($G6="Вышло",$F6="")</formula>
    </cfRule>
  </conditionalFormatting>
  <conditionalFormatting sqref="P9">
    <cfRule type="expression" dxfId="1" priority="518">
      <formula>AND($G6="Вышло",N($AA6)=0,N($U6)=0)</formula>
    </cfRule>
  </conditionalFormatting>
  <conditionalFormatting sqref="P9">
    <cfRule type="expression" dxfId="0" priority="519">
      <formula>AND($G6="Вышло",$F6="")</formula>
    </cfRule>
  </conditionalFormatting>
  <conditionalFormatting sqref="P9">
    <cfRule type="expression" dxfId="1" priority="520">
      <formula>AND($G6="Вышло",N($AA6)=0,N($U6)=0)</formula>
    </cfRule>
  </conditionalFormatting>
  <conditionalFormatting sqref="P9">
    <cfRule type="expression" dxfId="0" priority="521">
      <formula>AND($G6="Вышло",$F6="")</formula>
    </cfRule>
  </conditionalFormatting>
  <conditionalFormatting sqref="P9">
    <cfRule type="expression" dxfId="1" priority="522">
      <formula>AND($H6="Вышло",N($AB6)=0,N($V6)=0)</formula>
    </cfRule>
  </conditionalFormatting>
  <conditionalFormatting sqref="P9">
    <cfRule type="expression" dxfId="0" priority="523">
      <formula>AND($H6="Вышло",$G6="")</formula>
    </cfRule>
  </conditionalFormatting>
  <conditionalFormatting sqref="A9 B7:B10 C9 D9:D10 E9:AI9">
    <cfRule type="expression" dxfId="1" priority="524">
      <formula>AND($G19="Вышло",N($AA19)=0,N($U19)=0)</formula>
    </cfRule>
  </conditionalFormatting>
  <conditionalFormatting sqref="A9 B7:B10 C9 D9:D10 E9:AI9">
    <cfRule type="expression" dxfId="0" priority="525">
      <formula>AND($G19="Вышло",$F19="")</formula>
    </cfRule>
  </conditionalFormatting>
  <conditionalFormatting sqref="A9 B7:B10 C9 D9:D10 E9:AI9">
    <cfRule type="expression" dxfId="1" priority="526">
      <formula>AND($H19="Вышло",N($AB19)=0,N($V19)=0)</formula>
    </cfRule>
  </conditionalFormatting>
  <conditionalFormatting sqref="A9 B7:B10 C9 D9:D10 E9:AI9">
    <cfRule type="expression" dxfId="0" priority="527">
      <formula>AND($H19="Вышло",$G19="")</formula>
    </cfRule>
  </conditionalFormatting>
  <conditionalFormatting sqref="A7:C11 D10:O11 P10:P14 P16:P20 Q10:T11 U10:U25 V10:AD11">
    <cfRule type="expression" dxfId="3" priority="528">
      <formula>AND($G2="Вышло",N($AA2)=0,N($U2)=0)</formula>
    </cfRule>
  </conditionalFormatting>
  <conditionalFormatting sqref="A7:C11 D10:O11 P10:P14 P16:P20 Q10:T11 U10:U25 V10:AD11">
    <cfRule type="expression" dxfId="0" priority="529">
      <formula>AND($G2="Вышло",$F2="")</formula>
    </cfRule>
  </conditionalFormatting>
  <conditionalFormatting sqref="A7:C11 D10:O11 P10:P14 P16:P20 P25 P31:P32 Q10:T11 U10:U25 U27 U30:U32 V10:AF11 AG10:AI27">
    <cfRule type="expression" dxfId="1" priority="530">
      <formula>AND($H8="Вышло",N($AB8)=0,N($V8)=0)</formula>
    </cfRule>
  </conditionalFormatting>
  <conditionalFormatting sqref="A7:C11 D10:O11 P10:P14 P16:P20 P25 P31:P32 Q10:T11 U10:U25 U27 U30:U32 V10:AF11 AG10:AI27">
    <cfRule type="expression" dxfId="0" priority="531">
      <formula>AND($H8="Вышло",$G8="")</formula>
    </cfRule>
  </conditionalFormatting>
  <conditionalFormatting sqref="A7:C11 D10:O11 P10:P14 P16:P20 P25 P31:P32 Q10:T11 U10:U25 U27 U30:U32 V10:AF11 AG10:AI27">
    <cfRule type="expression" dxfId="1" priority="532">
      <formula>AND($G8="Вышло",N($AA8)=0,N($U8)=0)</formula>
    </cfRule>
  </conditionalFormatting>
  <conditionalFormatting sqref="A7:C11 D10:O11 P10:P14 P16:P20 P25 P31:P32 Q10:T11 U10:U25 U27 U30:U32 V10:AF11 AG10:AI27">
    <cfRule type="expression" dxfId="0" priority="533">
      <formula>AND($G8="Вышло",$F8="")</formula>
    </cfRule>
  </conditionalFormatting>
  <conditionalFormatting sqref="A7:C11 D10:O11 P10:P14 P16:P20 P25 P31:P32 Q10:T11 U10:U25 U27 U30:U32 V10:AD11">
    <cfRule type="expression" dxfId="1" priority="534">
      <formula>AND($G8="Вышло",N($AA8)=0,N($U8)=0)</formula>
    </cfRule>
  </conditionalFormatting>
  <conditionalFormatting sqref="A7:C11 D10:O11 P10:P14 P16:P20 P25 P31:P32 Q10:T11 U10:U25 U27 U30:U32 V10:AD11">
    <cfRule type="expression" dxfId="0" priority="535">
      <formula>AND($G8="Вышло",$F8="")</formula>
    </cfRule>
  </conditionalFormatting>
  <conditionalFormatting sqref="A7:C11 D10:O11 P10:P14 P16:P20 P25 P31:P32 Q10:T11 U10:U25 U27 U30:U32 V10:AD11">
    <cfRule type="expression" dxfId="1" priority="536">
      <formula>AND($G8="Вышло",N($AA8)=0,N($U8)=0)</formula>
    </cfRule>
  </conditionalFormatting>
  <conditionalFormatting sqref="A7:C11 D10:O11 P10:P14 P16:P20 P25 P31:P32 Q10:T11 U10:U25 U27 U30:U32 V10:AD11">
    <cfRule type="expression" dxfId="0" priority="537">
      <formula>AND($G8="Вышло",$F8="")</formula>
    </cfRule>
  </conditionalFormatting>
  <conditionalFormatting sqref="A7:O8 P7:P14 P16:P20 P25 P35 Q7:Q27 R7:X8 Y7:Z27 Y35:Z35 AA7:AD8 AE7:AE25 AE27 AE35 AF7:AI8">
    <cfRule type="expression" dxfId="1" priority="538">
      <formula>AND(#REF!="Вышло",N(#REF!)=0,N(#REF!)=0)</formula>
    </cfRule>
  </conditionalFormatting>
  <conditionalFormatting sqref="A7:O8 P7:P14 P16:P20 P25 P35 Q7:Q27 R7:X8 Y7:Z27 Y35:Z35 AA7:AD8 AE7:AE25 AE27 AE35 AF7:AI8">
    <cfRule type="expression" dxfId="0" priority="539">
      <formula>AND(#REF!="Вышло",#REF!="")</formula>
    </cfRule>
  </conditionalFormatting>
  <conditionalFormatting sqref="A7:O8 P7:P14 P16:P20 P25 P35 Q7:Q27 R7:X8 Y7:Z27 Y35:Z35 AA7:AD8 AE7:AE25 AE27 AE35 AF7:AI8">
    <cfRule type="expression" dxfId="1" priority="540">
      <formula>AND(#REF!="Вышло",N(#REF!)=0,N(#REF!)=0)</formula>
    </cfRule>
  </conditionalFormatting>
  <conditionalFormatting sqref="A7:O8 P7:P14 P16:P20 P25 P35 Q7:Q27 R7:X8 Y7:Z27 Y35:Z35 AA7:AD8 AE7:AE25 AE27 AE35 AF7:AI8">
    <cfRule type="expression" dxfId="0" priority="541">
      <formula>AND(#REF!="Вышло",#REF!="")</formula>
    </cfRule>
  </conditionalFormatting>
  <conditionalFormatting sqref="A7:O8 P7:P14 P16:P20 P25 P35 Q7:Q27 R7:X8 Y7:Z27 Y35:Z35 AA7:AD8">
    <cfRule type="expression" dxfId="1" priority="542">
      <formula>AND(#REF!="Вышло",N(#REF!)=0,N(#REF!)=0)</formula>
    </cfRule>
  </conditionalFormatting>
  <conditionalFormatting sqref="A7:O8 P7:P14 P16:P20 P25 P35 Q7:Q27 R7:X8 Y7:Z27 Y35:Z35 AA7:AD8">
    <cfRule type="expression" dxfId="0" priority="543">
      <formula>AND(#REF!="Вышло",#REF!="")</formula>
    </cfRule>
  </conditionalFormatting>
  <conditionalFormatting sqref="A7:O8 P7:P14 P16:P20 P25 P35 Q7:Q27 R7:X8 Y7:Z27 Y35:Z35 AA7:AD8">
    <cfRule type="expression" dxfId="1" priority="544">
      <formula>AND(#REF!="Вышло",N(#REF!)=0,N(#REF!)=0)</formula>
    </cfRule>
  </conditionalFormatting>
  <conditionalFormatting sqref="A7:O8 P7:P14 P16:P20 P25 P35 Q7:Q27 R7:X8 Y7:Z27 Y35:Z35 AA7:AD8">
    <cfRule type="expression" dxfId="0" priority="545">
      <formula>AND(#REF!="Вышло",#REF!="")</formula>
    </cfRule>
  </conditionalFormatting>
  <conditionalFormatting sqref="A7:O8 P7:P14 P16:P20 P25:P27 P30:P32 P35 P39 Q7:Q27 R7:X8 Y7:Z27 Y30:Z32 Y35:Z35 Y39:Z39 AA7:AD8">
    <cfRule type="expression" dxfId="3" priority="546">
      <formula>AND(#REF!="Вышло",N(#REF!)=0,N(#REF!)=0)</formula>
    </cfRule>
  </conditionalFormatting>
  <conditionalFormatting sqref="A7:O8 P7:P14 P16:P20 P25:P27 P30:P32 P35 P39 Q7:Q27 R7:X8 Y7:Z27 Y30:Z32 Y35:Z35 Y39:Z39 AA7:AD8">
    <cfRule type="expression" dxfId="0" priority="547">
      <formula>AND(#REF!="Вышло",#REF!="")</formula>
    </cfRule>
  </conditionalFormatting>
  <conditionalFormatting sqref="G7 G10:G11 G21 G25 P7:P14 P16:P23 P25:P27 P30:P32 P35 P39">
    <cfRule type="expression" dxfId="1" priority="548">
      <formula>AND(#REF!="Вышло",N(#REF!)=0,N(#REF!)=0)</formula>
    </cfRule>
  </conditionalFormatting>
  <conditionalFormatting sqref="G7 G10:G11 G21 G25 P7:P14 P16:P23 P25:P27 P30:P32 P35 P39">
    <cfRule type="expression" dxfId="0" priority="549">
      <formula>AND(#REF!="Вышло",#REF!="")</formula>
    </cfRule>
  </conditionalFormatting>
  <conditionalFormatting sqref="G7 G10:G11 G21 G25">
    <cfRule type="expression" dxfId="1" priority="550">
      <formula>AND(#REF!="Вышло",N(#REF!)=0,N(#REF!)=0)</formula>
    </cfRule>
  </conditionalFormatting>
  <conditionalFormatting sqref="G7 G10:G11 G21 G25">
    <cfRule type="expression" dxfId="0" priority="551">
      <formula>AND(#REF!="Вышло",#REF!="")</formula>
    </cfRule>
  </conditionalFormatting>
  <conditionalFormatting sqref="G7 G10:G11 G21 G25">
    <cfRule type="expression" dxfId="1" priority="552">
      <formula>AND(#REF!="Вышло",N(#REF!)=0,N(#REF!)=0)</formula>
    </cfRule>
  </conditionalFormatting>
  <conditionalFormatting sqref="G7 G10:G11 G21 G25">
    <cfRule type="expression" dxfId="0" priority="553">
      <formula>AND(#REF!="Вышло",#REF!="")</formula>
    </cfRule>
  </conditionalFormatting>
  <conditionalFormatting sqref="G7 G10:G11 G21 G25">
    <cfRule type="expression" dxfId="1" priority="554">
      <formula>AND(#REF!="Вышло",N(#REF!)=0,N(#REF!)=0)</formula>
    </cfRule>
  </conditionalFormatting>
  <conditionalFormatting sqref="G7 G10:G11 G21 G25">
    <cfRule type="expression" dxfId="0" priority="555">
      <formula>AND(#REF!="Вышло",#REF!="")</formula>
    </cfRule>
  </conditionalFormatting>
  <conditionalFormatting sqref="G7 G10:G11 G21 G25">
    <cfRule type="expression" dxfId="1" priority="556">
      <formula>AND(#REF!="Вышло",N(#REF!)=0,N(#REF!)=0)</formula>
    </cfRule>
  </conditionalFormatting>
  <conditionalFormatting sqref="G7 G10:G11 G21 G25">
    <cfRule type="expression" dxfId="0" priority="557">
      <formula>AND(#REF!="Вышло",#REF!="")</formula>
    </cfRule>
  </conditionalFormatting>
  <conditionalFormatting sqref="G7 G10:G11 G21 G25">
    <cfRule type="expression" dxfId="1" priority="558">
      <formula>AND(#REF!="Вышло",N(#REF!)=0,N(#REF!)=0)</formula>
    </cfRule>
  </conditionalFormatting>
  <conditionalFormatting sqref="G7 G10:G11 G21 G25">
    <cfRule type="expression" dxfId="0" priority="559">
      <formula>AND(#REF!="Вышло",#REF!="")</formula>
    </cfRule>
  </conditionalFormatting>
  <conditionalFormatting sqref="G7 G10:G11 G21 G25">
    <cfRule type="expression" dxfId="0" priority="560">
      <formula>AND(#REF!="Вышло",#REF!="")</formula>
    </cfRule>
  </conditionalFormatting>
  <conditionalFormatting sqref="G7 G10:G11 G21 G25">
    <cfRule type="expression" dxfId="1" priority="561">
      <formula>AND(#REF!="Вышло",N(#REF!)=0,N(#REF!)=0)</formula>
    </cfRule>
  </conditionalFormatting>
  <conditionalFormatting sqref="G7 G10:G11 G21 G25">
    <cfRule type="expression" dxfId="1" priority="562">
      <formula>AND(#REF!="Вышло",N(#REF!)=0,N(#REF!)=0)</formula>
    </cfRule>
  </conditionalFormatting>
  <conditionalFormatting sqref="G7 G10:G11 G21 G25">
    <cfRule type="expression" dxfId="0" priority="563">
      <formula>AND(#REF!="Вышло",#REF!="")</formula>
    </cfRule>
  </conditionalFormatting>
  <conditionalFormatting sqref="B33:C33">
    <cfRule type="expression" dxfId="0" priority="564">
      <formula>AND(#REF!="Вышло",#REF!="")</formula>
    </cfRule>
  </conditionalFormatting>
  <conditionalFormatting sqref="B33:C33">
    <cfRule type="expression" dxfId="3" priority="565">
      <formula>AND($G36="Вышло",N($AA36)=0,N($U36)=0)</formula>
    </cfRule>
  </conditionalFormatting>
  <conditionalFormatting sqref="B33:C33">
    <cfRule type="expression" dxfId="1" priority="566">
      <formula>AND(#REF!="Вышло",N(#REF!)=0,N(#REF!)=0)</formula>
    </cfRule>
  </conditionalFormatting>
  <conditionalFormatting sqref="B33:C33">
    <cfRule type="expression" dxfId="0" priority="567">
      <formula>AND($G36="Вышло",$F36="")</formula>
    </cfRule>
  </conditionalFormatting>
  <conditionalFormatting sqref="A27 A34 A86:A89 C86:C89 C156">
    <cfRule type="expression" dxfId="1" priority="568">
      <formula>AND(#REF!="Вышло",N(#REF!)=0,N(#REF!)=0)</formula>
    </cfRule>
  </conditionalFormatting>
  <conditionalFormatting sqref="A27 A34 A86:A89 C86:C89 C156">
    <cfRule type="expression" dxfId="0" priority="569">
      <formula>AND(#REF!="Вышло",#REF!="")</formula>
    </cfRule>
  </conditionalFormatting>
  <conditionalFormatting sqref="A15 A20:A21 A25 A27:AD27 A34 A37 A141 B15:T20 B23:T25 B34:B37 C34:C38 C141 C156:C157 D35 E34:E37 E141 E152 F34:G35 F37:F38 G37 H35 I34:K37 L34:L38 L40 L50:L89 L141 L144:L151 L155:L179 L183:L196 M34:AD35 M37:AD37 U15:U25 V15:AD20 V23:AD25">
    <cfRule type="expression" dxfId="0" priority="570">
      <formula>AND(#REF!="Вышло",#REF!="")</formula>
    </cfRule>
  </conditionalFormatting>
  <conditionalFormatting sqref="A15 A20:A21 A25 A27:AD27 A34:C34 A37:C37 A141:C141 B15:T20 B23:T25 B148:B151 B155:B179 C156:C157 E34:G34 E36:E37 E141 E152 F37:F38 G37 I34:AD34 I37:AD37 L141 L144 L156 U15:U25 V15:AD20 V23:AD25">
    <cfRule type="expression" dxfId="3" priority="571">
      <formula>AND(#REF!="Вышло",N(#REF!)=0,N(#REF!)=0)</formula>
    </cfRule>
  </conditionalFormatting>
  <conditionalFormatting sqref="A28 A33:A35 A37:A38 A40:A90 A92:A180 A182:B182 A197:B197 B28:L29 B33:C38 B40:AD179 C181:C197 D33:D35 D182:G182 D197:G197 E33:AD38 H181:I197 J182 J197 K181:L197 M27:M29 M182:N182 M197:N197 N28:P29 O181:P197 Q7:Q29 Q182:Q194 Q197:S197 R28:AD29 R182:S182 T181:U197 V182 V197 W181:Z197 AA182:AC182 AA197:AC197 AD181:AD197">
    <cfRule type="expression" dxfId="0" priority="572">
      <formula>AND(#REF!="Вышло",#REF!="")</formula>
    </cfRule>
  </conditionalFormatting>
  <conditionalFormatting sqref="A28 A33:A35 A37:A38 A40:A90 A92:A180 A182:B182 A197:B197 B28:L29 B33:C38 B40:AD179 C181:C197 D33:D35 D182:G182 D197:G197 E33:AD38 H181:I197 J182 J197 K181:L197 M27:M29 M182:N182 M197:N197 N28:P29 O181:P197 Q7:Q29 Q182:Q194 Q197:S197 R28:AD29 R182:S182 T181:U197 V182 V197 W181:Z197 AA182:AC182 AA197:AC197 AD181:AD197">
    <cfRule type="expression" dxfId="3" priority="573">
      <formula>AND(#REF!="Вышло",N(#REF!)=0,N(#REF!)=0)</formula>
    </cfRule>
  </conditionalFormatting>
  <conditionalFormatting sqref="A141:P141 B148:B151 B155:B179 B182 C21:C22 L156 P7:P14 P16:P23 P25:P27 P30:P32 P35 P39 P144:P151 P155:P179 P182:Q194 Q33 Q140:Q141 Q155 R141:X141 Y92:Z141 Y144:Z179 Y182:Y196 Z182 AA141:AD141">
    <cfRule type="expression" dxfId="0" priority="574">
      <formula>AND(#REF!="Вышло",#REF!="")</formula>
    </cfRule>
  </conditionalFormatting>
  <conditionalFormatting sqref="A7:O11 A21:B21 A25:B25 A27:B27 A30:A32 A35 A39 A141:P141 B148:B151 B155:B179 B182 C21:C22 C25:C27 C35:C36 C38 C157 D21:O21 D25 E25:E27 E35 F25:O25 I15 L156 P7:P14 P16:P23 P25:P27 P30:P32 P35 P39 P144:P151 P155:P179 P182:Q194 Q7:Q27 Q33 Q140:Q141 Q155 R7:T11 R21:T21 R25:T25 R141:X141 U7:U25 U27 U30:U32 U35 U39 V7:X11 V21:X21 V25:X25 Y7:Z27 Y30:Z32 Y35:Z35 Y39:Z39 Y92:Z141 Y144:Z179 Y182:Y196 Z182 AA7:AD11 AA21:AD21 AA25:AD25 AA141:AD141">
    <cfRule type="expression" dxfId="3" priority="575">
      <formula>AND($G7="Вышло",N($AA7)=0,N($U7)=0)</formula>
    </cfRule>
  </conditionalFormatting>
  <conditionalFormatting sqref="A33:AD33 A41:K48 A140:P140 A142:A180 A182:G182 B142:P179 C63:F63 G63:G89 H63:H85 H87:H89 H181:H182 I182:J182 K181:K182 L40:L48 L181:L196 M41:Y48 M182:O182 P182:Q194 Q7:Q27 Q63 Q92:Q123 Q140:Q179 R140:T140 R142:AD179 R182:T182 U92:U140 U182:U195 V140:AD140 V182:X182 Y182:Y196 Z41:Z88 Z182:AD182 AA41:AD48">
    <cfRule type="expression" dxfId="0" priority="576">
      <formula>AND(#REF!="Вышло",#REF!="")</formula>
    </cfRule>
  </conditionalFormatting>
  <conditionalFormatting sqref="A33:AD33 A41:K48 A140:P140 A142:A180 A182:G182 B142:P179 C63:F63 G63:G89 H63:H85 H87:H89 H181:H182 I182:J182 K181:K182 L40:L48 L181:L196 M41:Y48 M182:O182 P182:Q194 Q7:Q27 Q63 Q92:Q123 Q140:Q179 R140:T140 R142:AD179 R182:T182 U92:U140 U182:U195 V140:AD140 V182:X182 Y182:Y196 Z41:Z88 Z182:AD182 AA41:AD48">
    <cfRule type="expression" dxfId="3" priority="577">
      <formula>AND(#REF!="Вышло",N(#REF!)=0,N(#REF!)=0)</formula>
    </cfRule>
  </conditionalFormatting>
  <conditionalFormatting sqref="A15 A20:A21 A25:A28 A34:C34 A37:B37 A90:AD90 A141:A142 A197:AD197 B15:AD28 B142 C36:C38 C141:C142 C156:C157 D142 E34:G34 E36:E37 E141:E142 E152 F37:F38 F142:K142 G37 I34:AD34 I37:AD37 L141:L142 L144 L156 M142:AD142">
    <cfRule type="expression" dxfId="0" priority="578">
      <formula>AND(#REF!="Вышло",#REF!="")</formula>
    </cfRule>
  </conditionalFormatting>
  <conditionalFormatting sqref="A15 A20:A21 A25:A28 A34:C34 A37:B37 A90:AD90 A141:A142 A197:AD197 B15:AD28 B142 C36:C38 C141:C142 C156:C157 D142 E34:G34 E36:E37 E141:E142 E152 F37:F38 F142:K142 G37 I34:AD34 I37:AD37 L141:L142 L144 L156 M142:AD142">
    <cfRule type="expression" dxfId="0" priority="579">
      <formula>AND(#REF!="Вышло",#REF!="")</formula>
    </cfRule>
  </conditionalFormatting>
  <conditionalFormatting sqref="A15 A20:A21 A25:A28 A34:C34 A37:B37 A90:AD90 A141:A142 A197:AD197 B15:AD28 B142 C36:C38 C141:C142 C156:C157 D142 E34:G34 E36:E37 E141:E142 E152 F37:F38 F142:K142 G37 I34:AD34 I37:AD37 L141:L142 L144 L156 M142:AD142">
    <cfRule type="expression" dxfId="1" priority="580">
      <formula>AND(#REF!="Вышло",N(#REF!)=0,N(#REF!)=0)</formula>
    </cfRule>
  </conditionalFormatting>
  <conditionalFormatting sqref="A15 A20:A21 A25:A28 A34:A35 A37 A90:K90 A141:A142 A144:AD179 A197:K197 B15:AD28 B34:B37 B142 C34:C38 C141:C142 D35 D142 E34:E37 E141:E142 F34:G35 F37:F38 F142:K142 G37 G182 H35 I34:K37 L34:L38 L40 L50:L90 L141:L142 L183:L197 M34:AD35 M37:AD37 M90:AD90 M142:AD142 M197:X197 P183:Q194 Y182:Y197 Z182 Z197:AD197">
    <cfRule type="expression" dxfId="1" priority="581">
      <formula>AND(#REF!="Вышло",N(#REF!)=0,N(#REF!)=0)</formula>
    </cfRule>
  </conditionalFormatting>
  <conditionalFormatting sqref="A28 A33:AD34 A37:A38 A40:AD40 A50:AD90 A92:A180 A182:B182 A197 B92:AD179 C181:C196 D182:G182 G197 H36:H38 H181:I196 J182 K181:L196 M182:N182 O181:P196 Q7:Q27 Q182:Q194 R182:S182 T181:T197 U181:U196 V182 W181:Z196 AA182:AC182 AD181:AD196">
    <cfRule type="expression" dxfId="0" priority="582">
      <formula>AND(#REF!="Вышло",#REF!="")</formula>
    </cfRule>
  </conditionalFormatting>
  <conditionalFormatting sqref="A28 A33:AD34 A37:A38 A40:AD40 A50:AD90 A92:A180 A182:B182 A197 B92:AD179 C181:C196 D182:G182 G197 H36:H38 H181:I196 J182 K181:L196 M182:N182 O181:P196 Q7:Q27 Q182:Q194 R182:S182 T181:T197 U181:U196 V182 W181:Z196 AA182:AC182 AD181:AD196">
    <cfRule type="expression" dxfId="1" priority="583">
      <formula>AND(#REF!="Вышло",N(#REF!)=0,N(#REF!)=0)</formula>
    </cfRule>
  </conditionalFormatting>
  <conditionalFormatting sqref="A28 A33:AD34 A37:A38 A40:AD40 A50:AD90 A92:A180 A182:B182 A197 B92:AD179 C181:C196 D182:G182 G197 H36:H38 H181:I196 J182 K181:L196 M182:N182 O181:P196 Q7:Q27 Q182:Q194 R182:S182 T181:T197 U181:U196 V182 W181:Z196 AA182:AC182 AD181:AD196">
    <cfRule type="expression" dxfId="0" priority="584">
      <formula>AND(#REF!="Вышло",#REF!="")</formula>
    </cfRule>
  </conditionalFormatting>
  <conditionalFormatting sqref="A28 A33:AD34 A37:A38 A40:AD40 A50:AD90 A92:A180 A182:B182 A197 B92:AD179 C181:C196 D182:G182 G197 H36:H38 H181:I196 J182 K181:L196 M182:N182 O181:P196 Q7:Q27 Q182:Q194 R182:S182 T181:T197 U181:U196 V182 W181:Z196 AA182:AC182 AD181:AD196">
    <cfRule type="expression" dxfId="1" priority="585">
      <formula>AND(#REF!="Вышло",N(#REF!)=0,N(#REF!)=0)</formula>
    </cfRule>
  </conditionalFormatting>
  <conditionalFormatting sqref="A15 A20:A21 A25 A141 B15:B16 B33:C33 B41:B44 B140:C141 B148:C151 B155:C179 B182:C182 C15 C41:C48 C63 D12:D20 D22:D24 D34 D36:D38 D86:D89 D141:P141 D152 D156:D157 E15:AD15 E148:E151 E155:E179 E182 L156:L157 P144:P151 P155:P179 P182:Q194 Q33 Q140:Q141 Q155 R141:X141 Y92:Z141 Y144:Z179 Y182:Y196 Z182 AA141:AD141 AB17:AD17 AB19:AD19">
    <cfRule type="expression" dxfId="0" priority="586">
      <formula>AND(#REF!="Вышло",#REF!="")</formula>
    </cfRule>
  </conditionalFormatting>
  <conditionalFormatting sqref="A15 A20:A21 A25 A141 B15:B16 B33:C33 B41:B44 B140:C141 B148:C151 B155:C179 B182:C182 C15 C41:C48 C63 D12:D20 D22:D24 D34 D36:D38 D86:D89 D141:P141 D152 D156:D157 E15:AD15 E148:E151 E155:E179 E182 L156:L157 P144:P151 P155:P179 P182:Q194 Q33 Q140:Q141 Q155 R141:X141 Y92:Z141 Y144:Z179 Y182:Y196 Z182 AA141:AD141 AB17:AD17 AB19:AD19">
    <cfRule type="expression" dxfId="1" priority="587">
      <formula>AND(#REF!="Вышло",N(#REF!)=0,N(#REF!)=0)</formula>
    </cfRule>
  </conditionalFormatting>
  <conditionalFormatting sqref="A15 A20:A21 A25 A141:P141 B15:B16 B148:B151 B155:B179 B182 C15 D12:D20 D22:D24 D34 D36:D38 D86:D89 D152 D156:D157 E15:AD15 E148:E151 E155:E179 E182 L156:L157 P144:P151 P155:P179 P182:Q194 Q33 Q140:Q141 Q155 R141:X141 Y92:Z141 Y144:Z179 Y182:Y196 Z182 AA141:AD141 AB17:AD17 AB19:AD19">
    <cfRule type="expression" dxfId="0" priority="588">
      <formula>AND(#REF!="Вышло",#REF!="")</formula>
    </cfRule>
  </conditionalFormatting>
  <conditionalFormatting sqref="A15 A20:A21 A25 A141:P141 B15:B16 B148:B151 B155:B179 B182 C15 D12:D20 D22:D24 D34 D36:D38 D86:D89 D152 D156:D157 E15:AD15 E148:E151 E155:E179 E182 L156:L157 P144:P151 P155:P179 P182:Q194 Q33 Q140:Q141 Q155 R141:X141 Y92:Z141 Y144:Z179 Y182:Y196 Z182 AA141:AD141 AB17:AD17 AB19:AD19">
    <cfRule type="expression" dxfId="1" priority="589">
      <formula>AND(#REF!="Вышло",N(#REF!)=0,N(#REF!)=0)</formula>
    </cfRule>
  </conditionalFormatting>
  <conditionalFormatting sqref="I90 I142">
    <cfRule type="expression" dxfId="0" priority="590">
      <formula>AND($G90="Вышло",$F90="")</formula>
    </cfRule>
  </conditionalFormatting>
  <conditionalFormatting sqref="I90 I142">
    <cfRule type="expression" dxfId="0" priority="591">
      <formula>AND($G90="Вышло",$F90="")</formula>
    </cfRule>
  </conditionalFormatting>
  <conditionalFormatting sqref="I90 I142">
    <cfRule type="expression" dxfId="1" priority="592">
      <formula>AND($G90="Вышло",N($AA90)=0,N($U90)=0)</formula>
    </cfRule>
  </conditionalFormatting>
  <conditionalFormatting sqref="I90 I142">
    <cfRule type="expression" dxfId="0" priority="593">
      <formula>AND($G90="Вышло",$F90="")</formula>
    </cfRule>
  </conditionalFormatting>
  <conditionalFormatting sqref="I90 I142">
    <cfRule type="expression" dxfId="1" priority="594">
      <formula>AND($G90="Вышло",N($AA90)=0,N($U90)=0)</formula>
    </cfRule>
  </conditionalFormatting>
  <conditionalFormatting sqref="I90 I142 P7:P14 P16:P20 P25">
    <cfRule type="expression" dxfId="1" priority="595">
      <formula>AND($G2="Вышло",N($AA2)=0,N($U2)=0)</formula>
    </cfRule>
  </conditionalFormatting>
  <conditionalFormatting sqref="A144:AD197">
    <cfRule type="expression" dxfId="0" priority="596">
      <formula>AND($G135="Вышло",$F135="")</formula>
    </cfRule>
  </conditionalFormatting>
  <conditionalFormatting sqref="A144:AD197">
    <cfRule type="expression" dxfId="1" priority="597">
      <formula>AND($G135="Вышло",N($AA135)=0,N($U135)=0)</formula>
    </cfRule>
  </conditionalFormatting>
  <conditionalFormatting sqref="A144:AD197">
    <cfRule type="expression" dxfId="0" priority="598">
      <formula>AND($G135="Вышло",$F135="")</formula>
    </cfRule>
  </conditionalFormatting>
  <conditionalFormatting sqref="A144:AD197">
    <cfRule type="expression" dxfId="1" priority="599">
      <formula>AND($G135="Вышло",N($AA135)=0,N($U135)=0)</formula>
    </cfRule>
  </conditionalFormatting>
  <conditionalFormatting sqref="A15 A20:A21 A25:A28 A34:C34 A37:B37 A90:AI90 A141:A142 A197:AI197 B15:AI28 B142 C36:C38 C141:C142 C156:C157 D142 E34:G34 E36:E37 E141:E142 E152 F37:F38 F142:K142 G37 I34:AI34 I37:AI37 L141:L142 L144 L156 M142:AI142">
    <cfRule type="expression" dxfId="0" priority="600">
      <formula>AND(#REF!="Вышло",#REF!="")</formula>
    </cfRule>
  </conditionalFormatting>
  <conditionalFormatting sqref="A15 A20:A21 A25:A28 A34:C34 A37:B37 A90:AI90 A141:A142 A197:AI197 B15:AI28 B142 C36:C38 C141:C142 C156:C157 D142 E34:G34 E36:E37 E141:E142 E152 F37:F38 F142:K142 G37 I34:AI34 I37:AI37 L141:L142 L144 L156 M142:AI142">
    <cfRule type="expression" dxfId="1" priority="601">
      <formula>AND(#REF!="Вышло",N(#REF!)=0,N(#REF!)=0)</formula>
    </cfRule>
  </conditionalFormatting>
  <conditionalFormatting sqref="A28 A33:AI34 A37:A38 A40:AI40 A50:AI90 A92:A180 A182:B182 A197 B92:AI179 C181:C196 D182:G182 G197 H36:H38 H181:I196 J182 K181:L196 M182:N182 O181:P196 Q7:Q27 Q182:Q194 R182:S182 T181:T197 U181:U196 V182 W181:Z196 AA182:AC182 AD181:AF196 AG182:AH196 AI181:AI196">
    <cfRule type="expression" dxfId="0" priority="602">
      <formula>AND(#REF!="Вышло",#REF!="")</formula>
    </cfRule>
  </conditionalFormatting>
  <conditionalFormatting sqref="A28 A33:AI34 A37:A38 A40:AI40 A50:AI90 A92:A180 A182:B182 A197 B92:AI179 C181:C196 D182:G182 G197 H36:H38 H181:I196 J182 K181:L196 M182:N182 O181:P196 Q7:Q27 Q182:Q194 R182:S182 T181:T197 U181:U196 V182 W181:Z196 AA182:AC182 AD181:AF196 AG182:AH196 AI181:AI196">
    <cfRule type="expression" dxfId="1" priority="603">
      <formula>AND(#REF!="Вышло",N(#REF!)=0,N(#REF!)=0)</formula>
    </cfRule>
  </conditionalFormatting>
  <conditionalFormatting sqref="A15 A20:A21 A25 A141:P141 B15:B16 B148:B151 B155:B179 B182 C15 D12:D20 D22:D24 D34 D36:D38 D86:D89 D152 D156:D157 E15:AI15 E148:E151 E155:E179 E182 L156:L157 P144:P151 P155:P179 P182:Q194 Q33 Q140:Q141 Q155 R141:X141 Y92:Z141 Y144:Z179 Y182:Y196 Z182 AA141:AI141 AB17:AF17 AB19:AF19">
    <cfRule type="expression" dxfId="0" priority="604">
      <formula>AND(#REF!="Вышло",#REF!="")</formula>
    </cfRule>
  </conditionalFormatting>
  <conditionalFormatting sqref="A15 A20:A21 A25 A141:P141 B15:B16 B148:B151 B155:B179 B182 C15 D12:D20 D22:D24 D34 D36:D38 D86:D89 D152 D156:D157 E15:AI15 E148:E151 E155:E179 E182 L156:L157 P144:P151 P155:P179 P182:Q194 Q33 Q140:Q141 Q155 R141:X141 Y92:Z141 Y144:Z179 Y182:Y196 Z182 AA141:AI141 AB17:AF17 AB19:AF19">
    <cfRule type="expression" dxfId="1" priority="605">
      <formula>AND(#REF!="Вышло",N(#REF!)=0,N(#REF!)=0)</formula>
    </cfRule>
  </conditionalFormatting>
  <conditionalFormatting sqref="A15 A20:A21 A25 A141:P141 B15:B16 B148:B151 B155:B179 B182 C15 D12:D20 D22:D24 D34 D36:D38 D86:D89 D152 D156:D157 E15:AI15 E148:E151 E155:E179 E182 L156:L157 P144:P151 P155:P179 P182:Q194 Q33 Q140:Q141 Q155 R141:X141 Y92:Z141 Y144:Z179 Y182:Y196 Z182 AA141:AI141 AB17:AF17 AB19:AF19">
    <cfRule type="expression" dxfId="0" priority="606">
      <formula>AND(#REF!="Вышло",#REF!="")</formula>
    </cfRule>
  </conditionalFormatting>
  <conditionalFormatting sqref="A15 A20:A21 A25 A141:P141 B15:B16 B148:B151 B155:B179 B182 C15 D12:D20 D22:D24 D34 D36:D38 D86:D89 D152 D156:D157 E15:AI15 E148:E151 E155:E179 E182 L156:L157 P144:P151 P155:P179 P182:Q194 Q33 Q140:Q141 Q155 R141:X141 Y92:Z141 Y144:Z179 Y182:Y196 Z182 AA141:AI141 AB17:AF17 AB19:AF19">
    <cfRule type="expression" dxfId="1" priority="607">
      <formula>AND(#REF!="Вышло",N(#REF!)=0,N(#REF!)=0)</formula>
    </cfRule>
  </conditionalFormatting>
  <conditionalFormatting sqref="A144:AI197">
    <cfRule type="expression" dxfId="0" priority="608">
      <formula>AND($G135="Вышло",$F135="")</formula>
    </cfRule>
  </conditionalFormatting>
  <conditionalFormatting sqref="A144:AI197">
    <cfRule type="expression" dxfId="1" priority="609">
      <formula>AND($G135="Вышло",N($AA135)=0,N($U135)=0)</formula>
    </cfRule>
  </conditionalFormatting>
  <conditionalFormatting sqref="A15 A20:A21 A25:A27 A34:A35 A37 A141:C141 B15:AI27 B34:B37 B144:B179 B182 C34:C38 C152 C156:C157 D35 E34:E37 E141:G141 E152:G152 F34:F38 G34:G37 H35 I34:K37 I141:P141 J152:K152 L34:L38 L40 L50:L89 L144:L179 L181:L196 M34:P37 M152:O152 P144:P179 P182:Q194 Q33:Q37 Q140:Q141 Q148:Q155 R34:AI37 R141:X141 R152:X152 Y92:Z141 Y144:Z179 Y182:Y196 Z182 AA141:AI141 AA152:AI152">
    <cfRule type="expression" dxfId="0" priority="610">
      <formula>AND(#REF!="Вышло",#REF!="")</formula>
    </cfRule>
  </conditionalFormatting>
  <conditionalFormatting sqref="A15 A20:A21 A25:A27 A34:A35 A37 A141:C141 B15:AI27 B34:B37 B144:B179 B182 C34:C38 C152 C156:C157 D35 E34:E37 E141:G141 E152:G152 F34:F38 G34:G37 H35 I34:K37 I141:P141 J152:K152 L34:L38 L40 L50:L89 L144:L179 L181:L196 M34:P37 M152:O152 P144:P179 P182:Q194 Q33:Q37 Q140:Q141 Q148:Q155 R34:AI37 R141:X141 R152:X152 Y92:Z141 Y144:Z179 Y182:Y196 Z182 AA141:AI141 AA152:AI152">
    <cfRule type="expression" dxfId="1" priority="611">
      <formula>AND(#REF!="Вышло",N(#REF!)=0,N(#REF!)=0)</formula>
    </cfRule>
  </conditionalFormatting>
  <conditionalFormatting sqref="A33:AI34 A37:A38 A40:AI40 A50:AI89 A92:A180 A182:B182 B36:C38 B92:AI179 C181:C196 D182:G182 E36:AI38 H181:I196 J182 K181:L196 M182:N182 O181:P196 Q7:Q27 Q182:Q194 R182:S182 T181:U196 V182 W181:Z196 AA182:AC182 AD181:AF196 AG182:AH196 AI181:AI196">
    <cfRule type="expression" dxfId="0" priority="612">
      <formula>AND(#REF!="Вышло",#REF!="")</formula>
    </cfRule>
  </conditionalFormatting>
  <conditionalFormatting sqref="A33:AI34 A37:A38 A40:AI40 A50:AI89 A92:A180 A182:B182 B36:C38 B92:AI179 C181:C196 D182:G182 E36:AI38 H181:I196 J182 K181:L196 M182:N182 O181:P196 Q7:Q27 Q182:Q194 R182:S182 T181:U196 V182 W181:Z196 AA182:AC182 AD181:AF196 AG182:AH196 AI181:AI196">
    <cfRule type="expression" dxfId="1" priority="613">
      <formula>AND(#REF!="Вышло",N(#REF!)=0,N(#REF!)=0)</formula>
    </cfRule>
  </conditionalFormatting>
  <conditionalFormatting sqref="A92:AI139 A144:AI197 C21:C22 P7:P14 P16:P23 P25:P27 P30:P32 P35 P39">
    <cfRule type="expression" dxfId="0" priority="614">
      <formula>AND(#REF!="Вышло",#REF!="")</formula>
    </cfRule>
  </conditionalFormatting>
  <conditionalFormatting sqref="A92:AI139 A144:AI197 C21:C22 P7:P14 P16:P23 P25:P27 P30:P32 P35 P39">
    <cfRule type="expression" dxfId="1" priority="615">
      <formula>AND(#REF!="Вышло",N(#REF!)=0,N(#REF!)=0)</formula>
    </cfRule>
  </conditionalFormatting>
  <conditionalFormatting sqref="G202:G208">
    <cfRule type="containsText" dxfId="4" priority="616" operator="containsText" text="ПЕРЕБОР">
      <formula>NOT(ISERROR(SEARCH(("ПЕРЕБОР"),(G202))))</formula>
    </cfRule>
  </conditionalFormatting>
  <conditionalFormatting sqref="G202:G208">
    <cfRule type="containsText" dxfId="4" priority="617" operator="containsText" text="ВНЕ ПЛАНА">
      <formula>NOT(ISERROR(SEARCH(("ВНЕ ПЛАНА"),(G202))))</formula>
    </cfRule>
  </conditionalFormatting>
  <conditionalFormatting sqref="G202:G208">
    <cfRule type="containsText" dxfId="5" priority="618" operator="containsText" text="В ТЕМПЕ">
      <formula>NOT(ISERROR(SEARCH(("В ТЕМПЕ"),(G202))))</formula>
    </cfRule>
  </conditionalFormatting>
  <conditionalFormatting sqref="G202:G208">
    <cfRule type="containsText" dxfId="6" priority="619" operator="containsText" text="ОТСТАЁМ">
      <formula>NOT(ISERROR(SEARCH(("ОТСТАЁМ"),(G202))))</formula>
    </cfRule>
  </conditionalFormatting>
  <conditionalFormatting sqref="I212:I215">
    <cfRule type="containsText" dxfId="4" priority="620" operator="containsText" text="ПЕРЕБОР">
      <formula>NOT(ISERROR(SEARCH(("ПЕРЕБОР"),(I212))))</formula>
    </cfRule>
  </conditionalFormatting>
  <conditionalFormatting sqref="I212:I215">
    <cfRule type="containsText" dxfId="5" priority="621" operator="containsText" text="В ТЕМПЕ">
      <formula>NOT(ISERROR(SEARCH(("В ТЕМПЕ"),(I212))))</formula>
    </cfRule>
  </conditionalFormatting>
  <conditionalFormatting sqref="I212:I215">
    <cfRule type="containsText" dxfId="6" priority="622" operator="containsText" text="ОТСТАЁТ">
      <formula>NOT(ISERROR(SEARCH(("ОТСТАЁТ"),(I212))))</formula>
    </cfRule>
  </conditionalFormatting>
  <dataValidations>
    <dataValidation type="list" allowBlank="1" showErrorMessage="1" sqref="Q6:Q194">
      <formula1>"Тригггер,Клевая карта,Зеленый доктор,триггер,зеленый доктор"</formula1>
    </dataValidation>
    <dataValidation type="list" allowBlank="1" sqref="H7:H27 H30:H89 H92:H141 H144:H196">
      <formula1>"Ожидаем выхода,Вышло,Перенос,Отказ"</formula1>
    </dataValidation>
    <dataValidation type="date" allowBlank="1" showInputMessage="1" showErrorMessage="1" prompt="Только дата - Введи дату, например 14.07.2026" sqref="F29 F91 F143">
      <formula1>DATE(2026,1,1)</formula1>
      <formula2>DATE(2027,12,31)</formula2>
    </dataValidation>
    <dataValidation type="list" allowBlank="1" showErrorMessage="1" sqref="E6:E182">
      <formula1>"VK,телегаин,Консоль,18,Консоль,20,вк,1,3"</formula1>
    </dataValidation>
    <dataValidation type="list" allowBlank="1" sqref="A7:A26 A34 A37:A38 A40:A89 A92:A139 A141 A144:A147 A181 A183:A196">
      <formula1>bloggers_list</formula1>
    </dataValidation>
    <dataValidation type="list" allowBlank="1" sqref="C7:D27 C29 C30:D30 D31:D32 C33:D36 D37 C38:D89 C91 C92:D140 D141 C143 C144:D148 D149 C150:D150 D151 C152:D152 D153:D155 C156:D196">
      <formula1>"Ozon,Телеграм,WB,сайт,Макс,БОТ,VK"</formula1>
    </dataValidation>
    <dataValidation type="list" allowBlank="1" sqref="C37 C141">
      <formula1>"VK"</formula1>
    </dataValidation>
    <dataValidation type="list" allowBlank="1" showErrorMessage="1" sqref="G29 G91 G143">
      <formula1>"Ожидаем выхода,Вышло,Перенос,Отказ"</formula1>
    </dataValidation>
    <dataValidation type="date" allowBlank="1" sqref="F7:G27 F30:G35 G36 F37:G89 F92:G140 G141 F144:G151 G152 F153:G196">
      <formula1>DATE(2026,1,1)</formula1>
      <formula2>0.0</formula2>
    </dataValidation>
  </dataValidations>
  <hyperlinks>
    <hyperlink r:id="rId1" ref="A7"/>
    <hyperlink r:id="rId2" ref="N7"/>
    <hyperlink r:id="rId3" ref="S7"/>
    <hyperlink r:id="rId4" ref="A8"/>
    <hyperlink r:id="rId5" ref="N8"/>
    <hyperlink r:id="rId6" ref="S8"/>
    <hyperlink r:id="rId7" ref="A9"/>
    <hyperlink r:id="rId8" ref="N9"/>
    <hyperlink r:id="rId9" ref="S9"/>
    <hyperlink r:id="rId10" ref="A10"/>
    <hyperlink r:id="rId11" ref="N10"/>
    <hyperlink r:id="rId12" ref="S10"/>
    <hyperlink r:id="rId13" ref="A11"/>
    <hyperlink r:id="rId14" ref="N11"/>
    <hyperlink r:id="rId15" ref="S11"/>
    <hyperlink r:id="rId16" ref="A12"/>
    <hyperlink r:id="rId17" ref="N12"/>
    <hyperlink r:id="rId18" ref="O12"/>
    <hyperlink r:id="rId19" ref="S12"/>
    <hyperlink r:id="rId20" ref="A13"/>
    <hyperlink r:id="rId21" ref="N13"/>
    <hyperlink r:id="rId22" ref="O13"/>
    <hyperlink r:id="rId23" ref="S13"/>
    <hyperlink r:id="rId24" ref="A14"/>
    <hyperlink r:id="rId25" ref="N14"/>
    <hyperlink r:id="rId26" ref="O14"/>
    <hyperlink r:id="rId27" ref="S14"/>
    <hyperlink r:id="rId28" ref="A15"/>
    <hyperlink r:id="rId29" ref="N15"/>
    <hyperlink r:id="rId30" ref="O15"/>
    <hyperlink r:id="rId31" ref="S15"/>
    <hyperlink r:id="rId32" ref="A16"/>
    <hyperlink r:id="rId33" ref="N16"/>
    <hyperlink r:id="rId34" ref="O16"/>
    <hyperlink r:id="rId35" ref="S16"/>
    <hyperlink r:id="rId36" ref="A17"/>
    <hyperlink r:id="rId37" ref="N17"/>
    <hyperlink r:id="rId38" ref="O17"/>
    <hyperlink r:id="rId39" ref="S17"/>
    <hyperlink r:id="rId40" ref="A18"/>
    <hyperlink r:id="rId41" ref="N18"/>
    <hyperlink r:id="rId42" ref="O18"/>
    <hyperlink r:id="rId43" ref="S18"/>
    <hyperlink r:id="rId44" ref="A19"/>
    <hyperlink r:id="rId45" ref="N19"/>
    <hyperlink r:id="rId46" ref="O19"/>
    <hyperlink r:id="rId47" ref="S19"/>
    <hyperlink r:id="rId48" ref="A20"/>
    <hyperlink r:id="rId49" ref="N20"/>
    <hyperlink r:id="rId50" ref="O20"/>
    <hyperlink r:id="rId51" ref="S20"/>
    <hyperlink r:id="rId52" ref="A21"/>
    <hyperlink r:id="rId53" ref="N21"/>
    <hyperlink r:id="rId54" ref="S21"/>
    <hyperlink r:id="rId55" ref="A22"/>
    <hyperlink r:id="rId56" ref="N22"/>
    <hyperlink r:id="rId57" ref="O22"/>
    <hyperlink r:id="rId58" ref="S22"/>
    <hyperlink r:id="rId59" ref="A23"/>
    <hyperlink r:id="rId60" ref="N23"/>
    <hyperlink r:id="rId61" ref="O23"/>
    <hyperlink r:id="rId62" ref="S23"/>
    <hyperlink r:id="rId63" ref="A24"/>
    <hyperlink r:id="rId64" ref="N24"/>
    <hyperlink r:id="rId65" ref="O24"/>
    <hyperlink r:id="rId66" ref="S24"/>
    <hyperlink r:id="rId67" ref="A25"/>
    <hyperlink r:id="rId68" ref="S25"/>
    <hyperlink r:id="rId69" ref="A26"/>
    <hyperlink r:id="rId70" ref="N26"/>
    <hyperlink r:id="rId71" ref="S26"/>
    <hyperlink r:id="rId72" ref="A27"/>
    <hyperlink r:id="rId73" ref="N27"/>
    <hyperlink r:id="rId74" ref="O27"/>
    <hyperlink r:id="rId75" ref="S27"/>
    <hyperlink r:id="rId76" ref="A30"/>
    <hyperlink r:id="rId77" ref="N30"/>
    <hyperlink r:id="rId78" ref="O30"/>
    <hyperlink r:id="rId79" ref="S30"/>
    <hyperlink r:id="rId80" ref="A31"/>
    <hyperlink r:id="rId81" ref="N31"/>
    <hyperlink r:id="rId82" ref="O31"/>
    <hyperlink r:id="rId83" ref="S31"/>
    <hyperlink r:id="rId84" ref="A32"/>
    <hyperlink r:id="rId85" ref="N32"/>
    <hyperlink r:id="rId86" ref="O32"/>
    <hyperlink r:id="rId87" ref="S32"/>
    <hyperlink r:id="rId88" ref="A33"/>
    <hyperlink r:id="rId89" ref="N33"/>
    <hyperlink r:id="rId90" ref="O33"/>
    <hyperlink r:id="rId91" ref="S33"/>
    <hyperlink r:id="rId92" ref="A34"/>
    <hyperlink r:id="rId93" ref="N34"/>
    <hyperlink r:id="rId94" ref="O34"/>
    <hyperlink r:id="rId95" ref="S34"/>
    <hyperlink r:id="rId96" ref="A35"/>
    <hyperlink r:id="rId97" ref="N35"/>
    <hyperlink r:id="rId98" ref="O35"/>
    <hyperlink r:id="rId99" ref="S35"/>
    <hyperlink r:id="rId100" ref="A36"/>
    <hyperlink r:id="rId101" ref="N36"/>
    <hyperlink r:id="rId102" ref="O36"/>
    <hyperlink r:id="rId103" ref="S36"/>
    <hyperlink r:id="rId104" ref="A37"/>
    <hyperlink r:id="rId105" ref="N37"/>
    <hyperlink r:id="rId106" ref="O37"/>
    <hyperlink r:id="rId107" ref="S37"/>
    <hyperlink r:id="rId108" ref="A38"/>
    <hyperlink r:id="rId109" ref="N38"/>
    <hyperlink r:id="rId110" ref="O38"/>
    <hyperlink r:id="rId111" ref="S38"/>
    <hyperlink r:id="rId112" ref="A39"/>
    <hyperlink r:id="rId113" ref="S39"/>
    <hyperlink r:id="rId114" ref="A40"/>
    <hyperlink r:id="rId115" ref="N40"/>
    <hyperlink r:id="rId116" ref="O40"/>
    <hyperlink r:id="rId117" ref="S40"/>
    <hyperlink r:id="rId118" ref="A41"/>
    <hyperlink r:id="rId119" ref="S41"/>
    <hyperlink r:id="rId120" ref="A42"/>
    <hyperlink r:id="rId121" ref="N42"/>
    <hyperlink r:id="rId122" ref="S42"/>
    <hyperlink r:id="rId123" ref="A43"/>
    <hyperlink r:id="rId124" ref="N43"/>
    <hyperlink r:id="rId125" ref="S43"/>
    <hyperlink r:id="rId126" ref="A44"/>
    <hyperlink r:id="rId127" ref="N44"/>
    <hyperlink r:id="rId128" ref="S44"/>
    <hyperlink r:id="rId129" ref="A45"/>
    <hyperlink r:id="rId130" ref="N45"/>
    <hyperlink r:id="rId131" ref="O45"/>
    <hyperlink r:id="rId132" ref="S45"/>
    <hyperlink r:id="rId133" ref="A46"/>
    <hyperlink r:id="rId134" ref="O46"/>
    <hyperlink r:id="rId135" ref="S46"/>
    <hyperlink r:id="rId136" ref="A47"/>
    <hyperlink r:id="rId137" ref="O47"/>
    <hyperlink r:id="rId138" ref="S47"/>
    <hyperlink r:id="rId139" ref="A48"/>
    <hyperlink r:id="rId140" ref="O48"/>
    <hyperlink r:id="rId141" ref="S48"/>
    <hyperlink r:id="rId142" ref="A49"/>
    <hyperlink r:id="rId143" ref="N49"/>
    <hyperlink r:id="rId144" ref="S49"/>
    <hyperlink r:id="rId145" ref="A50"/>
    <hyperlink r:id="rId146" ref="N50"/>
    <hyperlink r:id="rId147" ref="S50"/>
    <hyperlink r:id="rId148" ref="A51"/>
    <hyperlink r:id="rId149" ref="N51"/>
    <hyperlink r:id="rId150" ref="S51"/>
    <hyperlink r:id="rId151" ref="A52"/>
    <hyperlink r:id="rId152" ref="N52"/>
    <hyperlink r:id="rId153" ref="S52"/>
    <hyperlink r:id="rId154" ref="A53"/>
    <hyperlink r:id="rId155" ref="N53"/>
    <hyperlink r:id="rId156" ref="S53"/>
    <hyperlink r:id="rId157" ref="A54"/>
    <hyperlink r:id="rId158" ref="N54"/>
    <hyperlink r:id="rId159" ref="S54"/>
    <hyperlink r:id="rId160" ref="A55"/>
    <hyperlink r:id="rId161" ref="N55"/>
    <hyperlink r:id="rId162" ref="S55"/>
    <hyperlink r:id="rId163" ref="A56"/>
    <hyperlink r:id="rId164" ref="N56"/>
    <hyperlink r:id="rId165" ref="S56"/>
    <hyperlink r:id="rId166" ref="A57"/>
    <hyperlink r:id="rId167" ref="N57"/>
    <hyperlink r:id="rId168" ref="S57"/>
    <hyperlink r:id="rId169" ref="A58"/>
    <hyperlink r:id="rId170" ref="N58"/>
    <hyperlink r:id="rId171" ref="S58"/>
    <hyperlink r:id="rId172" ref="A59"/>
    <hyperlink r:id="rId173" ref="N59"/>
    <hyperlink r:id="rId174" ref="S59"/>
    <hyperlink r:id="rId175" ref="A60"/>
    <hyperlink r:id="rId176" ref="N60"/>
    <hyperlink r:id="rId177" ref="S60"/>
    <hyperlink r:id="rId178" ref="A61"/>
    <hyperlink r:id="rId179" ref="N61"/>
    <hyperlink r:id="rId180" ref="S61"/>
    <hyperlink r:id="rId181" ref="A62"/>
    <hyperlink r:id="rId182" ref="S62"/>
    <hyperlink r:id="rId183" ref="A63"/>
    <hyperlink r:id="rId184" ref="N63"/>
    <hyperlink r:id="rId185" ref="S63"/>
    <hyperlink r:id="rId186" ref="A64"/>
    <hyperlink r:id="rId187" ref="N64"/>
    <hyperlink r:id="rId188" ref="S64"/>
    <hyperlink r:id="rId189" ref="A65"/>
    <hyperlink r:id="rId190" ref="N65"/>
    <hyperlink r:id="rId191" ref="S65"/>
    <hyperlink r:id="rId192" ref="A66"/>
    <hyperlink r:id="rId193" ref="N66"/>
    <hyperlink r:id="rId194" ref="S66"/>
    <hyperlink r:id="rId195" ref="A67"/>
    <hyperlink r:id="rId196" ref="N67"/>
    <hyperlink r:id="rId197" ref="S67"/>
    <hyperlink r:id="rId198" ref="A68"/>
    <hyperlink r:id="rId199" ref="N68"/>
    <hyperlink r:id="rId200" ref="S68"/>
    <hyperlink r:id="rId201" ref="A69"/>
    <hyperlink r:id="rId202" ref="N69"/>
    <hyperlink r:id="rId203" ref="S69"/>
    <hyperlink r:id="rId204" ref="A70"/>
    <hyperlink r:id="rId205" ref="N70"/>
    <hyperlink r:id="rId206" ref="S70"/>
    <hyperlink r:id="rId207" ref="A71"/>
    <hyperlink r:id="rId208" ref="N71"/>
    <hyperlink r:id="rId209" ref="S71"/>
    <hyperlink r:id="rId210" ref="A72"/>
    <hyperlink r:id="rId211" ref="N72"/>
    <hyperlink r:id="rId212" ref="S72"/>
    <hyperlink r:id="rId213" ref="A73"/>
    <hyperlink r:id="rId214" ref="N73"/>
    <hyperlink r:id="rId215" ref="S73"/>
    <hyperlink r:id="rId216" ref="A74"/>
    <hyperlink r:id="rId217" ref="N74"/>
    <hyperlink r:id="rId218" ref="S74"/>
    <hyperlink r:id="rId219" ref="A75"/>
    <hyperlink r:id="rId220" ref="N75"/>
    <hyperlink r:id="rId221" ref="S75"/>
    <hyperlink r:id="rId222" ref="A76"/>
    <hyperlink r:id="rId223" ref="N76"/>
    <hyperlink r:id="rId224" ref="S76"/>
    <hyperlink r:id="rId225" ref="A77"/>
    <hyperlink r:id="rId226" ref="N77"/>
    <hyperlink r:id="rId227" ref="S77"/>
    <hyperlink r:id="rId228" ref="A78"/>
    <hyperlink r:id="rId229" ref="N78"/>
    <hyperlink r:id="rId230" ref="S78"/>
    <hyperlink r:id="rId231" ref="A79"/>
    <hyperlink r:id="rId232" ref="N79"/>
    <hyperlink r:id="rId233" ref="S79"/>
    <hyperlink r:id="rId234" ref="A80"/>
    <hyperlink r:id="rId235" ref="N80"/>
    <hyperlink r:id="rId236" ref="S80"/>
    <hyperlink r:id="rId237" ref="A81"/>
    <hyperlink r:id="rId238" ref="N81"/>
    <hyperlink r:id="rId239" ref="S81"/>
    <hyperlink r:id="rId240" ref="A82"/>
    <hyperlink r:id="rId241" ref="N82"/>
    <hyperlink r:id="rId242" ref="S82"/>
    <hyperlink r:id="rId243" ref="A83"/>
    <hyperlink r:id="rId244" ref="N83"/>
    <hyperlink r:id="rId245" ref="S83"/>
    <hyperlink r:id="rId246" ref="A84"/>
    <hyperlink r:id="rId247" ref="N84"/>
    <hyperlink r:id="rId248" ref="S84"/>
    <hyperlink r:id="rId249" ref="A85"/>
    <hyperlink r:id="rId250" ref="N85"/>
    <hyperlink r:id="rId251" ref="S85"/>
    <hyperlink r:id="rId252" ref="A86"/>
    <hyperlink r:id="rId253" ref="N86"/>
    <hyperlink r:id="rId254" ref="O86"/>
    <hyperlink r:id="rId255" ref="S86"/>
    <hyperlink r:id="rId256" ref="A87"/>
    <hyperlink r:id="rId257" ref="N87"/>
    <hyperlink r:id="rId258" ref="S87"/>
    <hyperlink r:id="rId259" ref="A88"/>
    <hyperlink r:id="rId260" ref="N88"/>
    <hyperlink r:id="rId261" ref="S88"/>
    <hyperlink r:id="rId262" ref="A89"/>
    <hyperlink r:id="rId263" ref="N89"/>
    <hyperlink r:id="rId264" ref="S89"/>
    <hyperlink r:id="rId265" ref="A92"/>
    <hyperlink r:id="rId266" ref="N92"/>
    <hyperlink r:id="rId267" ref="O92"/>
    <hyperlink r:id="rId268" ref="S92"/>
    <hyperlink r:id="rId269" ref="A93"/>
    <hyperlink r:id="rId270" ref="N93"/>
    <hyperlink r:id="rId271" ref="O93"/>
    <hyperlink r:id="rId272" ref="S93"/>
    <hyperlink r:id="rId273" ref="A94"/>
    <hyperlink r:id="rId274" ref="N94"/>
    <hyperlink r:id="rId275" ref="O94"/>
    <hyperlink r:id="rId276" ref="S94"/>
    <hyperlink r:id="rId277" ref="A95"/>
    <hyperlink r:id="rId278" ref="N95"/>
    <hyperlink r:id="rId279" ref="O95"/>
    <hyperlink r:id="rId280" ref="S95"/>
    <hyperlink r:id="rId281" ref="A96"/>
    <hyperlink r:id="rId282" ref="N96"/>
    <hyperlink r:id="rId283" ref="O96"/>
    <hyperlink r:id="rId284" ref="S96"/>
    <hyperlink r:id="rId285" ref="A97"/>
    <hyperlink r:id="rId286" ref="N97"/>
    <hyperlink r:id="rId287" ref="O97"/>
    <hyperlink r:id="rId288" ref="S97"/>
    <hyperlink r:id="rId289" ref="A98"/>
    <hyperlink r:id="rId290" ref="N98"/>
    <hyperlink r:id="rId291" ref="O98"/>
    <hyperlink r:id="rId292" ref="S98"/>
    <hyperlink r:id="rId293" ref="A99"/>
    <hyperlink r:id="rId294" ref="N99"/>
    <hyperlink r:id="rId295" ref="O99"/>
    <hyperlink r:id="rId296" ref="S99"/>
    <hyperlink r:id="rId297" ref="A100"/>
    <hyperlink r:id="rId298" ref="N100"/>
    <hyperlink r:id="rId299" ref="O100"/>
    <hyperlink r:id="rId300" ref="S100"/>
    <hyperlink r:id="rId301" ref="A101"/>
    <hyperlink r:id="rId302" ref="N101"/>
    <hyperlink r:id="rId303" ref="O101"/>
    <hyperlink r:id="rId304" ref="S101"/>
    <hyperlink r:id="rId305" ref="A102"/>
    <hyperlink r:id="rId306" ref="N102"/>
    <hyperlink r:id="rId307" ref="O102"/>
    <hyperlink r:id="rId308" ref="S102"/>
    <hyperlink r:id="rId309" ref="A103"/>
    <hyperlink r:id="rId310" ref="N103"/>
    <hyperlink r:id="rId311" ref="O103"/>
    <hyperlink r:id="rId312" ref="S103"/>
    <hyperlink r:id="rId313" ref="A104"/>
    <hyperlink r:id="rId314" ref="N104"/>
    <hyperlink r:id="rId315" ref="O104"/>
    <hyperlink r:id="rId316" ref="S104"/>
    <hyperlink r:id="rId317" ref="A105"/>
    <hyperlink r:id="rId318" ref="N105"/>
    <hyperlink r:id="rId319" ref="O105"/>
    <hyperlink r:id="rId320" ref="S105"/>
    <hyperlink r:id="rId321" ref="A106"/>
    <hyperlink r:id="rId322" ref="N106"/>
    <hyperlink r:id="rId323" ref="O106"/>
    <hyperlink r:id="rId324" ref="S106"/>
    <hyperlink r:id="rId325" ref="A107"/>
    <hyperlink r:id="rId326" ref="N107"/>
    <hyperlink r:id="rId327" ref="O107"/>
    <hyperlink r:id="rId328" ref="S107"/>
    <hyperlink r:id="rId329" ref="A108"/>
    <hyperlink r:id="rId330" ref="N108"/>
    <hyperlink r:id="rId331" ref="O108"/>
    <hyperlink r:id="rId332" ref="S108"/>
    <hyperlink r:id="rId333" ref="A109"/>
    <hyperlink r:id="rId334" ref="N109"/>
    <hyperlink r:id="rId335" ref="O109"/>
    <hyperlink r:id="rId336" ref="S109"/>
    <hyperlink r:id="rId337" ref="A110"/>
    <hyperlink r:id="rId338" ref="N110"/>
    <hyperlink r:id="rId339" ref="O110"/>
    <hyperlink r:id="rId340" ref="S110"/>
    <hyperlink r:id="rId341" ref="A111"/>
    <hyperlink r:id="rId342" ref="N111"/>
    <hyperlink r:id="rId343" ref="O111"/>
    <hyperlink r:id="rId344" ref="S111"/>
    <hyperlink r:id="rId345" ref="A112"/>
    <hyperlink r:id="rId346" ref="N112"/>
    <hyperlink r:id="rId347" ref="O112"/>
    <hyperlink r:id="rId348" ref="S112"/>
    <hyperlink r:id="rId349" ref="A113"/>
    <hyperlink r:id="rId350" ref="N113"/>
    <hyperlink r:id="rId351" ref="O113"/>
    <hyperlink r:id="rId352" ref="S113"/>
    <hyperlink r:id="rId353" ref="A114"/>
    <hyperlink r:id="rId354" ref="N114"/>
    <hyperlink r:id="rId355" ref="O114"/>
    <hyperlink r:id="rId356" ref="S114"/>
    <hyperlink r:id="rId357" ref="A115"/>
    <hyperlink r:id="rId358" ref="N115"/>
    <hyperlink r:id="rId359" ref="O115"/>
    <hyperlink r:id="rId360" ref="S115"/>
    <hyperlink r:id="rId361" ref="A116"/>
    <hyperlink r:id="rId362" ref="N116"/>
    <hyperlink r:id="rId363" ref="O116"/>
    <hyperlink r:id="rId364" ref="S116"/>
    <hyperlink r:id="rId365" ref="A117"/>
    <hyperlink r:id="rId366" ref="N117"/>
    <hyperlink r:id="rId367" ref="O117"/>
    <hyperlink r:id="rId368" ref="S117"/>
    <hyperlink r:id="rId369" ref="A118"/>
    <hyperlink r:id="rId370" ref="N118"/>
    <hyperlink r:id="rId371" ref="O118"/>
    <hyperlink r:id="rId372" ref="S118"/>
    <hyperlink r:id="rId373" ref="A119"/>
    <hyperlink r:id="rId374" ref="N119"/>
    <hyperlink r:id="rId375" ref="O119"/>
    <hyperlink r:id="rId376" ref="S119"/>
    <hyperlink r:id="rId377" ref="A120"/>
    <hyperlink r:id="rId378" ref="N120"/>
    <hyperlink r:id="rId379" ref="O120"/>
    <hyperlink r:id="rId380" ref="S120"/>
    <hyperlink r:id="rId381" ref="A121"/>
    <hyperlink r:id="rId382" ref="N121"/>
    <hyperlink r:id="rId383" ref="O121"/>
    <hyperlink r:id="rId384" ref="S121"/>
    <hyperlink r:id="rId385" ref="A122"/>
    <hyperlink r:id="rId386" ref="N122"/>
    <hyperlink r:id="rId387" ref="O122"/>
    <hyperlink r:id="rId388" ref="S122"/>
    <hyperlink r:id="rId389" ref="A123"/>
    <hyperlink r:id="rId390" ref="N123"/>
    <hyperlink r:id="rId391" ref="O123"/>
    <hyperlink r:id="rId392" ref="S123"/>
    <hyperlink r:id="rId393" ref="A124"/>
    <hyperlink r:id="rId394" ref="N124"/>
    <hyperlink r:id="rId395" ref="S124"/>
    <hyperlink r:id="rId396" ref="A125"/>
    <hyperlink r:id="rId397" ref="N125"/>
    <hyperlink r:id="rId398" ref="S125"/>
    <hyperlink r:id="rId399" ref="A126"/>
    <hyperlink r:id="rId400" ref="N126"/>
    <hyperlink r:id="rId401" ref="S126"/>
    <hyperlink r:id="rId402" ref="A127"/>
    <hyperlink r:id="rId403" ref="N127"/>
    <hyperlink r:id="rId404" ref="S127"/>
    <hyperlink r:id="rId405" ref="A128"/>
    <hyperlink r:id="rId406" ref="N128"/>
    <hyperlink r:id="rId407" ref="S128"/>
    <hyperlink r:id="rId408" ref="A129"/>
    <hyperlink r:id="rId409" ref="N129"/>
    <hyperlink r:id="rId410" ref="S129"/>
    <hyperlink r:id="rId411" ref="A130"/>
    <hyperlink r:id="rId412" ref="N130"/>
    <hyperlink r:id="rId413" ref="S130"/>
    <hyperlink r:id="rId414" ref="A131"/>
    <hyperlink r:id="rId415" ref="N131"/>
    <hyperlink r:id="rId416" ref="S131"/>
    <hyperlink r:id="rId417" ref="A132"/>
    <hyperlink r:id="rId418" ref="N132"/>
    <hyperlink r:id="rId419" ref="S132"/>
    <hyperlink r:id="rId420" ref="A133"/>
    <hyperlink r:id="rId421" ref="N133"/>
    <hyperlink r:id="rId422" ref="S133"/>
    <hyperlink r:id="rId423" ref="A134"/>
    <hyperlink r:id="rId424" ref="N134"/>
    <hyperlink r:id="rId425" ref="S134"/>
    <hyperlink r:id="rId426" ref="A135"/>
    <hyperlink r:id="rId427" ref="N135"/>
    <hyperlink r:id="rId428" ref="S135"/>
    <hyperlink r:id="rId429" ref="A136"/>
    <hyperlink r:id="rId430" ref="N136"/>
    <hyperlink r:id="rId431" ref="S136"/>
    <hyperlink r:id="rId432" ref="A137"/>
    <hyperlink r:id="rId433" ref="N137"/>
    <hyperlink r:id="rId434" ref="S137"/>
    <hyperlink r:id="rId435" ref="A138"/>
    <hyperlink r:id="rId436" ref="N138"/>
    <hyperlink r:id="rId437" ref="S138"/>
    <hyperlink r:id="rId438" ref="A139"/>
    <hyperlink r:id="rId439" ref="N139"/>
    <hyperlink r:id="rId440" ref="S139"/>
    <hyperlink r:id="rId441" ref="A140"/>
    <hyperlink r:id="rId442" ref="S140"/>
    <hyperlink r:id="rId443" ref="A141"/>
    <hyperlink r:id="rId444" ref="N141"/>
    <hyperlink r:id="rId445" ref="O141"/>
    <hyperlink r:id="rId446" ref="S141"/>
    <hyperlink r:id="rId447" ref="A144"/>
    <hyperlink r:id="rId448" ref="N144"/>
    <hyperlink r:id="rId449" ref="O144"/>
    <hyperlink r:id="rId450" ref="S144"/>
    <hyperlink r:id="rId451" ref="A145"/>
    <hyperlink r:id="rId452" ref="N145"/>
    <hyperlink r:id="rId453" ref="O145"/>
    <hyperlink r:id="rId454" ref="S145"/>
    <hyperlink r:id="rId455" ref="A146"/>
    <hyperlink r:id="rId456" ref="N146"/>
    <hyperlink r:id="rId457" ref="O146"/>
    <hyperlink r:id="rId458" ref="S146"/>
    <hyperlink r:id="rId459" ref="A147"/>
    <hyperlink r:id="rId460" ref="N147"/>
    <hyperlink r:id="rId461" ref="O147"/>
    <hyperlink r:id="rId462" ref="S147"/>
    <hyperlink r:id="rId463" ref="A148"/>
    <hyperlink r:id="rId464" ref="N148"/>
    <hyperlink r:id="rId465" ref="O148"/>
    <hyperlink r:id="rId466" ref="S148"/>
    <hyperlink r:id="rId467" ref="A149"/>
    <hyperlink r:id="rId468" ref="N149"/>
    <hyperlink r:id="rId469" ref="O149"/>
    <hyperlink r:id="rId470" ref="S149"/>
    <hyperlink r:id="rId471" ref="A150"/>
    <hyperlink r:id="rId472" ref="N150"/>
    <hyperlink r:id="rId473" ref="O150"/>
    <hyperlink r:id="rId474" ref="S150"/>
    <hyperlink r:id="rId475" ref="A151"/>
    <hyperlink r:id="rId476" ref="N151"/>
    <hyperlink r:id="rId477" ref="O151"/>
    <hyperlink r:id="rId478" ref="S151"/>
    <hyperlink r:id="rId479" ref="A152"/>
    <hyperlink r:id="rId480" ref="N152"/>
    <hyperlink r:id="rId481" ref="O152"/>
    <hyperlink r:id="rId482" ref="S152"/>
    <hyperlink r:id="rId483" ref="A153"/>
    <hyperlink r:id="rId484" ref="N153"/>
    <hyperlink r:id="rId485" ref="O153"/>
    <hyperlink r:id="rId486" ref="S153"/>
    <hyperlink r:id="rId487" ref="A154"/>
    <hyperlink r:id="rId488" ref="N154"/>
    <hyperlink r:id="rId489" ref="O154"/>
    <hyperlink r:id="rId490" ref="S154"/>
    <hyperlink r:id="rId491" ref="A155"/>
    <hyperlink r:id="rId492" ref="N155"/>
    <hyperlink r:id="rId493" ref="O155"/>
    <hyperlink r:id="rId494" ref="S155"/>
    <hyperlink r:id="rId495" ref="A156"/>
    <hyperlink r:id="rId496" ref="N156"/>
    <hyperlink r:id="rId497" ref="O156"/>
    <hyperlink r:id="rId498" ref="S156"/>
    <hyperlink r:id="rId499" ref="A157"/>
    <hyperlink r:id="rId500" ref="N157"/>
    <hyperlink r:id="rId501" ref="O157"/>
    <hyperlink r:id="rId502" ref="S157"/>
    <hyperlink r:id="rId503" ref="A158"/>
    <hyperlink r:id="rId504" ref="S158"/>
    <hyperlink r:id="rId505" ref="A159"/>
    <hyperlink r:id="rId506" ref="N159"/>
    <hyperlink r:id="rId507" ref="S159"/>
    <hyperlink r:id="rId508" ref="A160"/>
    <hyperlink r:id="rId509" ref="N160"/>
    <hyperlink r:id="rId510" ref="S160"/>
    <hyperlink r:id="rId511" ref="A161"/>
    <hyperlink r:id="rId512" ref="N161"/>
    <hyperlink r:id="rId513" ref="S161"/>
    <hyperlink r:id="rId514" ref="A162"/>
    <hyperlink r:id="rId515" ref="N162"/>
    <hyperlink r:id="rId516" ref="S162"/>
    <hyperlink r:id="rId517" ref="A163"/>
    <hyperlink r:id="rId518" ref="N163"/>
    <hyperlink r:id="rId519" ref="S163"/>
    <hyperlink r:id="rId520" ref="A164"/>
    <hyperlink r:id="rId521" ref="N164"/>
    <hyperlink r:id="rId522" ref="S164"/>
    <hyperlink r:id="rId523" ref="A165"/>
    <hyperlink r:id="rId524" ref="N165"/>
    <hyperlink r:id="rId525" ref="S165"/>
    <hyperlink r:id="rId526" ref="A166"/>
    <hyperlink r:id="rId527" ref="N166"/>
    <hyperlink r:id="rId528" ref="S166"/>
    <hyperlink r:id="rId529" ref="A167"/>
    <hyperlink r:id="rId530" ref="N167"/>
    <hyperlink r:id="rId531" ref="S167"/>
    <hyperlink r:id="rId532" ref="A168"/>
    <hyperlink r:id="rId533" ref="N168"/>
    <hyperlink r:id="rId534" ref="S168"/>
    <hyperlink r:id="rId535" ref="A169"/>
    <hyperlink r:id="rId536" ref="N169"/>
    <hyperlink r:id="rId537" ref="S169"/>
    <hyperlink r:id="rId538" ref="A170"/>
    <hyperlink r:id="rId539" ref="N170"/>
    <hyperlink r:id="rId540" ref="S170"/>
    <hyperlink r:id="rId541" ref="A171"/>
    <hyperlink r:id="rId542" ref="N171"/>
    <hyperlink r:id="rId543" ref="S171"/>
    <hyperlink r:id="rId544" ref="A172"/>
    <hyperlink r:id="rId545" ref="N172"/>
    <hyperlink r:id="rId546" ref="S172"/>
    <hyperlink r:id="rId547" ref="A173"/>
    <hyperlink r:id="rId548" ref="N173"/>
    <hyperlink r:id="rId549" ref="S173"/>
    <hyperlink r:id="rId550" ref="A174"/>
    <hyperlink r:id="rId551" ref="S174"/>
    <hyperlink r:id="rId552" ref="A175"/>
    <hyperlink r:id="rId553" ref="N175"/>
    <hyperlink r:id="rId554" ref="S175"/>
    <hyperlink r:id="rId555" ref="A176"/>
    <hyperlink r:id="rId556" ref="N176"/>
    <hyperlink r:id="rId557" ref="S176"/>
    <hyperlink r:id="rId558" ref="A177"/>
    <hyperlink r:id="rId559" ref="N177"/>
    <hyperlink r:id="rId560" ref="S177"/>
    <hyperlink r:id="rId561" ref="A178"/>
    <hyperlink r:id="rId562" ref="N178"/>
    <hyperlink r:id="rId563" ref="S178"/>
    <hyperlink r:id="rId564" ref="A179"/>
    <hyperlink r:id="rId565" ref="N179"/>
    <hyperlink r:id="rId566" ref="S179"/>
    <hyperlink r:id="rId567" ref="A182"/>
    <hyperlink r:id="rId568" ref="N182"/>
    <hyperlink r:id="rId569" ref="O182"/>
    <hyperlink r:id="rId570" ref="S182"/>
    <hyperlink r:id="rId571" ref="A183"/>
    <hyperlink r:id="rId572" ref="N183"/>
    <hyperlink r:id="rId573" ref="O183"/>
    <hyperlink r:id="rId574" ref="S183"/>
    <hyperlink r:id="rId575" ref="A184"/>
    <hyperlink r:id="rId576" ref="N184"/>
    <hyperlink r:id="rId577" ref="O184"/>
    <hyperlink r:id="rId578" ref="S184"/>
    <hyperlink r:id="rId579" ref="A185"/>
    <hyperlink r:id="rId580" ref="N185"/>
    <hyperlink r:id="rId581" ref="O185"/>
    <hyperlink r:id="rId582" ref="S185"/>
    <hyperlink r:id="rId583" ref="A186"/>
    <hyperlink r:id="rId584" ref="N186"/>
    <hyperlink r:id="rId585" ref="O186"/>
    <hyperlink r:id="rId586" ref="S186"/>
    <hyperlink r:id="rId587" ref="A187"/>
    <hyperlink r:id="rId588" ref="N187"/>
    <hyperlink r:id="rId589" ref="O187"/>
    <hyperlink r:id="rId590" ref="S187"/>
    <hyperlink r:id="rId591" ref="A188"/>
    <hyperlink r:id="rId592" ref="N188"/>
    <hyperlink r:id="rId593" ref="O188"/>
    <hyperlink r:id="rId594" ref="S188"/>
    <hyperlink r:id="rId595" ref="A189"/>
    <hyperlink r:id="rId596" ref="N189"/>
    <hyperlink r:id="rId597" ref="O189"/>
    <hyperlink r:id="rId598" ref="S189"/>
    <hyperlink r:id="rId599" ref="A190"/>
    <hyperlink r:id="rId600" ref="N190"/>
    <hyperlink r:id="rId601" ref="O190"/>
    <hyperlink r:id="rId602" ref="S190"/>
    <hyperlink r:id="rId603" ref="A191"/>
    <hyperlink r:id="rId604" ref="N191"/>
    <hyperlink r:id="rId605" ref="O191"/>
    <hyperlink r:id="rId606" ref="S191"/>
    <hyperlink r:id="rId607" ref="A192"/>
    <hyperlink r:id="rId608" ref="N192"/>
    <hyperlink r:id="rId609" ref="O192"/>
    <hyperlink r:id="rId610" ref="S192"/>
    <hyperlink r:id="rId611" ref="A193"/>
    <hyperlink r:id="rId612" ref="N193"/>
    <hyperlink r:id="rId613" ref="O193"/>
    <hyperlink r:id="rId614" ref="S193"/>
    <hyperlink r:id="rId615" ref="A194"/>
    <hyperlink r:id="rId616" ref="N194"/>
    <hyperlink r:id="rId617" ref="O194"/>
    <hyperlink r:id="rId618" ref="S194"/>
  </hyperlinks>
  <printOptions/>
  <pageMargins bottom="0.75" footer="0.0" header="0.0" left="0.7" right="0.7" top="0.75"/>
  <pageSetup paperSize="9" orientation="portrait"/>
  <drawing r:id="rId619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0.0"/>
    <col customWidth="1" min="2" max="3" width="16.0"/>
    <col customWidth="1" min="4" max="10" width="13.0"/>
    <col customWidth="1" min="11" max="15" width="16.0"/>
    <col customWidth="1" min="16" max="18" width="12.0"/>
    <col customWidth="1" min="19" max="19" width="15.0"/>
    <col customWidth="1" min="20" max="20" width="9.0"/>
    <col customWidth="1" min="21" max="21" width="8.0"/>
    <col customWidth="1" min="22" max="22" width="10.0"/>
    <col customWidth="1" min="23" max="23" width="9.0"/>
    <col customWidth="1" min="24" max="25" width="10.0"/>
    <col customWidth="1" min="26" max="26" width="8.0"/>
    <col customWidth="1" min="27" max="28" width="11.0"/>
    <col customWidth="1" min="29" max="29" width="8.0"/>
    <col customWidth="1" min="30" max="30" width="10.0"/>
    <col customWidth="1" min="31" max="31" width="12.0"/>
    <col customWidth="1" min="32" max="32" width="11.0"/>
    <col customWidth="1" min="33" max="33" width="8.0"/>
    <col customWidth="1" min="34" max="36" width="16.0"/>
  </cols>
  <sheetData>
    <row r="1" ht="15.0" customHeight="1">
      <c r="A1" s="114" t="s">
        <v>1687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55"/>
      <c r="P1" s="3"/>
      <c r="Q1" s="3"/>
      <c r="R1" s="3"/>
      <c r="S1" s="3"/>
      <c r="T1" s="3"/>
      <c r="U1" s="155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</row>
    <row r="2" ht="15.0" hidden="1" customHeight="1">
      <c r="A2" s="115" t="s">
        <v>832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55"/>
      <c r="P2" s="3"/>
      <c r="Q2" s="3"/>
      <c r="R2" s="3"/>
      <c r="S2" s="3"/>
      <c r="T2" s="3"/>
      <c r="U2" s="155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</row>
    <row r="3" ht="15.0" hidden="1" customHeight="1">
      <c r="A3" s="115" t="s">
        <v>833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55"/>
      <c r="P3" s="3"/>
      <c r="Q3" s="3"/>
      <c r="R3" s="3"/>
      <c r="S3" s="3"/>
      <c r="T3" s="3"/>
      <c r="U3" s="155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</row>
    <row r="4" ht="15.0" hidden="1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55"/>
      <c r="P4" s="3"/>
      <c r="Q4" s="3"/>
      <c r="R4" s="3"/>
      <c r="S4" s="3"/>
      <c r="T4" s="3"/>
      <c r="U4" s="155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ht="31.5" customHeight="1">
      <c r="A5" s="116" t="s">
        <v>778</v>
      </c>
      <c r="B5" s="116" t="s">
        <v>834</v>
      </c>
      <c r="C5" s="116" t="s">
        <v>4</v>
      </c>
      <c r="D5" s="116" t="s">
        <v>1</v>
      </c>
      <c r="E5" s="116" t="s">
        <v>835</v>
      </c>
      <c r="F5" s="116" t="s">
        <v>836</v>
      </c>
      <c r="G5" s="116" t="s">
        <v>837</v>
      </c>
      <c r="H5" s="116" t="s">
        <v>838</v>
      </c>
      <c r="I5" s="116" t="s">
        <v>839</v>
      </c>
      <c r="J5" s="116" t="s">
        <v>840</v>
      </c>
      <c r="K5" s="116" t="s">
        <v>841</v>
      </c>
      <c r="L5" s="116" t="s">
        <v>842</v>
      </c>
      <c r="M5" s="116" t="s">
        <v>843</v>
      </c>
      <c r="N5" s="116" t="s">
        <v>844</v>
      </c>
      <c r="O5" s="116" t="s">
        <v>845</v>
      </c>
      <c r="P5" s="116" t="s">
        <v>846</v>
      </c>
      <c r="Q5" s="116" t="s">
        <v>847</v>
      </c>
      <c r="R5" s="116" t="s">
        <v>848</v>
      </c>
      <c r="S5" s="116" t="s">
        <v>779</v>
      </c>
      <c r="T5" s="116" t="s">
        <v>729</v>
      </c>
      <c r="U5" s="156" t="s">
        <v>849</v>
      </c>
      <c r="V5" s="116" t="s">
        <v>850</v>
      </c>
      <c r="W5" s="116" t="s">
        <v>851</v>
      </c>
      <c r="X5" s="116" t="s">
        <v>852</v>
      </c>
      <c r="Y5" s="116" t="s">
        <v>853</v>
      </c>
      <c r="Z5" s="116" t="s">
        <v>656</v>
      </c>
      <c r="AA5" s="116" t="s">
        <v>854</v>
      </c>
      <c r="AB5" s="116" t="s">
        <v>664</v>
      </c>
      <c r="AC5" s="116" t="s">
        <v>658</v>
      </c>
      <c r="AD5" s="116" t="s">
        <v>855</v>
      </c>
      <c r="AE5" s="116" t="s">
        <v>856</v>
      </c>
      <c r="AF5" s="116" t="s">
        <v>659</v>
      </c>
      <c r="AG5" s="116" t="s">
        <v>657</v>
      </c>
      <c r="AH5" s="116" t="s">
        <v>12</v>
      </c>
      <c r="AI5" s="240"/>
      <c r="AJ5" s="240"/>
    </row>
    <row r="6" ht="33.75" customHeight="1">
      <c r="A6" s="117" t="s">
        <v>1688</v>
      </c>
      <c r="B6" s="117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57"/>
      <c r="P6" s="117"/>
      <c r="Q6" s="117"/>
      <c r="R6" s="117"/>
      <c r="S6" s="117"/>
      <c r="T6" s="117"/>
      <c r="U6" s="131"/>
      <c r="V6" s="117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  <c r="AI6" s="241"/>
      <c r="AJ6" s="241"/>
    </row>
    <row r="7" ht="15.0" customHeight="1">
      <c r="A7" s="118" t="s">
        <v>291</v>
      </c>
      <c r="B7" s="119" t="str">
        <f>IF($A7="","",IFERROR(HYPERLINK(VLOOKUP($A7,'Мои блогеры'!$A$2:$N$673,14,0),"🔗 открыть"),""))</f>
        <v>🔗 открыть</v>
      </c>
      <c r="C7" s="11">
        <f>IFERROR(VLOOKUP($A7,'Мои блогеры'!$A:$N,5,0),"")</f>
        <v>953300</v>
      </c>
      <c r="D7" s="120" t="str">
        <f>IFERROR(VLOOKUP($A7,'Мои блогеры'!$A:$N,2,0),"")</f>
        <v>Tiktok</v>
      </c>
      <c r="E7" s="21"/>
      <c r="F7" s="21"/>
      <c r="G7" s="21"/>
      <c r="H7" s="121"/>
      <c r="I7" s="21"/>
      <c r="J7" s="11">
        <f>IFERROR(VLOOKUP($A7,'Мои блогеры'!$A$2:$N$673,8,0),"")</f>
        <v>80000</v>
      </c>
      <c r="K7" s="122">
        <v>4800.0</v>
      </c>
      <c r="L7" s="122"/>
      <c r="M7" s="11">
        <f t="shared" ref="M7:M12" si="1">IF(N($J7)+N($K7)+N($L7)=0,"",N($J7)+N($K7)+N($L7))</f>
        <v>84800</v>
      </c>
      <c r="N7" s="21"/>
      <c r="O7" s="153"/>
      <c r="P7" s="21"/>
      <c r="Q7" s="120" t="str">
        <f>IFERROR(VLOOKUP($A7,'Мои блогеры'!$A$2:$N$673,10,0)&amp;"-TRG","")</f>
        <v>-TRG</v>
      </c>
      <c r="R7" s="21"/>
      <c r="S7" s="21"/>
      <c r="T7" s="122"/>
      <c r="U7" s="123" t="str">
        <f t="shared" ref="U7:U12" si="2">IF(N($T7)=0,"",$M7/$T7)</f>
        <v/>
      </c>
      <c r="V7" s="122"/>
      <c r="W7" s="122"/>
      <c r="X7" s="123" t="str">
        <f t="shared" ref="X7:X12" si="3">IF(N($V7)=0,"",$M7/$V7)</f>
        <v/>
      </c>
      <c r="Y7" s="122"/>
      <c r="Z7" s="122"/>
      <c r="AA7" s="122"/>
      <c r="AB7" s="124"/>
      <c r="AC7" s="11" t="str">
        <f t="shared" ref="AC7:AC12" si="4">IF(OR(N($Z7)=0,$AB7=""),"",ROUND($Z7*$AB7,0))</f>
        <v/>
      </c>
      <c r="AD7" s="122"/>
      <c r="AE7" s="11" t="str">
        <f t="shared" ref="AE7:AE12" si="5">IF(OR(N($AC7)=0,$AD7=""),"",ROUND($AC7*$AD7,0))</f>
        <v/>
      </c>
      <c r="AF7" s="11" t="str">
        <f t="shared" ref="AF7:AF12" si="6">IF(N($AC7)=0,"",ROUND($M7/$AC7,0))</f>
        <v/>
      </c>
      <c r="AG7" s="11" t="str">
        <f t="shared" ref="AG7:AG12" si="7">IF(N($Z7)=0,"",ROUND($M7/$Z7,0))</f>
        <v/>
      </c>
      <c r="AH7" s="21"/>
      <c r="AI7" s="242"/>
      <c r="AJ7" s="242"/>
    </row>
    <row r="8">
      <c r="A8" s="125" t="s">
        <v>384</v>
      </c>
      <c r="B8" s="119" t="str">
        <f>IF($A8="","",IFERROR(HYPERLINK(VLOOKUP($A8,'Мои блогеры'!$A$2:$N$673,14,0),"🔗 открыть"),""))</f>
        <v>🔗 открыть</v>
      </c>
      <c r="C8" s="11" t="str">
        <f>IFERROR(VLOOKUP($A8,'Мои блогеры'!$A:$N,5,0),"")</f>
        <v/>
      </c>
      <c r="D8" s="120" t="str">
        <f>IFERROR(VLOOKUP($A8,'Мои блогеры'!$A:$N,2,0),"")</f>
        <v>YouTube/ВК</v>
      </c>
      <c r="E8" s="21"/>
      <c r="F8" s="21"/>
      <c r="G8" s="21"/>
      <c r="H8" s="121"/>
      <c r="I8" s="21"/>
      <c r="J8" s="11">
        <f>IFERROR(VLOOKUP($A8,'Мои блогеры'!$A$2:$N$673,8,0),"")</f>
        <v>55000</v>
      </c>
      <c r="K8" s="122"/>
      <c r="L8" s="122"/>
      <c r="M8" s="11">
        <f t="shared" si="1"/>
        <v>55000</v>
      </c>
      <c r="N8" s="21"/>
      <c r="O8" s="153"/>
      <c r="P8" s="21"/>
      <c r="Q8" s="120" t="str">
        <f>IFERROR(VLOOKUP($A8,'Мои блогеры'!$A$2:$N$673,10,0)&amp;"-TRG","")</f>
        <v>-TRG</v>
      </c>
      <c r="R8" s="21"/>
      <c r="S8" s="21"/>
      <c r="T8" s="122"/>
      <c r="U8" s="123" t="str">
        <f t="shared" si="2"/>
        <v/>
      </c>
      <c r="V8" s="122"/>
      <c r="W8" s="122"/>
      <c r="X8" s="123" t="str">
        <f t="shared" si="3"/>
        <v/>
      </c>
      <c r="Y8" s="122"/>
      <c r="Z8" s="122"/>
      <c r="AA8" s="122"/>
      <c r="AB8" s="124"/>
      <c r="AC8" s="11" t="str">
        <f t="shared" si="4"/>
        <v/>
      </c>
      <c r="AD8" s="122"/>
      <c r="AE8" s="11" t="str">
        <f t="shared" si="5"/>
        <v/>
      </c>
      <c r="AF8" s="11" t="str">
        <f t="shared" si="6"/>
        <v/>
      </c>
      <c r="AG8" s="11" t="str">
        <f t="shared" si="7"/>
        <v/>
      </c>
      <c r="AH8" s="21"/>
      <c r="AI8" s="242"/>
      <c r="AJ8" s="242"/>
    </row>
    <row r="9" ht="15.0" customHeight="1">
      <c r="A9" s="125" t="s">
        <v>453</v>
      </c>
      <c r="B9" s="119" t="str">
        <f>IF($A9="","",IFERROR(HYPERLINK(VLOOKUP($A9,'Мои блогеры'!$A$2:$N$673,14,0),"🔗 открыть"),""))</f>
        <v>🔗 открыть</v>
      </c>
      <c r="C9" s="11" t="str">
        <f>IFERROR(VLOOKUP($A9,'Мои блогеры'!$A:$N,5,0),"")</f>
        <v/>
      </c>
      <c r="D9" s="120" t="str">
        <f>IFERROR(VLOOKUP($A9,'Мои блогеры'!$A:$N,2,0),"")</f>
        <v>YouTube/ВК</v>
      </c>
      <c r="E9" s="21"/>
      <c r="F9" s="21"/>
      <c r="G9" s="21"/>
      <c r="H9" s="121"/>
      <c r="I9" s="21"/>
      <c r="J9" s="11">
        <f>IFERROR(VLOOKUP($A9,'Мои блогеры'!$A$2:$N$673,8,0),"")</f>
        <v>55000</v>
      </c>
      <c r="K9" s="122"/>
      <c r="L9" s="122"/>
      <c r="M9" s="11">
        <f t="shared" si="1"/>
        <v>55000</v>
      </c>
      <c r="N9" s="21"/>
      <c r="O9" s="153"/>
      <c r="P9" s="21"/>
      <c r="Q9" s="120" t="str">
        <f>IFERROR(VLOOKUP($A9,'Мои блогеры'!$A$2:$N$673,10,0)&amp;"-TRG","")</f>
        <v>-TRG</v>
      </c>
      <c r="R9" s="21"/>
      <c r="S9" s="21"/>
      <c r="T9" s="122"/>
      <c r="U9" s="123" t="str">
        <f t="shared" si="2"/>
        <v/>
      </c>
      <c r="V9" s="122"/>
      <c r="W9" s="122"/>
      <c r="X9" s="123" t="str">
        <f t="shared" si="3"/>
        <v/>
      </c>
      <c r="Y9" s="122"/>
      <c r="Z9" s="122"/>
      <c r="AA9" s="122"/>
      <c r="AB9" s="124"/>
      <c r="AC9" s="11" t="str">
        <f t="shared" si="4"/>
        <v/>
      </c>
      <c r="AD9" s="122"/>
      <c r="AE9" s="11" t="str">
        <f t="shared" si="5"/>
        <v/>
      </c>
      <c r="AF9" s="11" t="str">
        <f t="shared" si="6"/>
        <v/>
      </c>
      <c r="AG9" s="11" t="str">
        <f t="shared" si="7"/>
        <v/>
      </c>
      <c r="AH9" s="21"/>
      <c r="AI9" s="242"/>
      <c r="AJ9" s="242"/>
    </row>
    <row r="10" ht="15.0" customHeight="1">
      <c r="A10" s="125" t="s">
        <v>479</v>
      </c>
      <c r="B10" s="120" t="str">
        <f>IF($A10="","",IFERROR(HYPERLINK(VLOOKUP($A10,'Мои блогеры'!$A$2:$N$673,14,0),"🔗 открыть"),""))</f>
        <v>🔗 открыть</v>
      </c>
      <c r="C10" s="11">
        <f>IFERROR(VLOOKUP($A10,'Мои блогеры'!$A:$N,5,0),"")</f>
        <v>481659</v>
      </c>
      <c r="D10" s="120" t="str">
        <f>IFERROR(VLOOKUP($A10,'Мои блогеры'!$A:$N,2,0),"")</f>
        <v>Telegram</v>
      </c>
      <c r="E10" s="21"/>
      <c r="F10" s="21"/>
      <c r="G10" s="21"/>
      <c r="H10" s="121"/>
      <c r="I10" s="21"/>
      <c r="J10" s="11">
        <f>IFERROR(VLOOKUP($A10,'Мои блогеры'!$A$2:$N$673,8,0),"")</f>
        <v>17000</v>
      </c>
      <c r="K10" s="122">
        <v>5000.0</v>
      </c>
      <c r="L10" s="122"/>
      <c r="M10" s="11">
        <f t="shared" si="1"/>
        <v>22000</v>
      </c>
      <c r="N10" s="21"/>
      <c r="O10" s="153"/>
      <c r="P10" s="21"/>
      <c r="Q10" s="120" t="str">
        <f>IFERROR(VLOOKUP($A10,'Мои блогеры'!$A$2:$N$673,10,0)&amp;"-TRG","")</f>
        <v>-TRG</v>
      </c>
      <c r="R10" s="21"/>
      <c r="S10" s="21"/>
      <c r="T10" s="122"/>
      <c r="U10" s="123" t="str">
        <f t="shared" si="2"/>
        <v/>
      </c>
      <c r="V10" s="122"/>
      <c r="W10" s="122"/>
      <c r="X10" s="123" t="str">
        <f t="shared" si="3"/>
        <v/>
      </c>
      <c r="Y10" s="122"/>
      <c r="Z10" s="122"/>
      <c r="AA10" s="122"/>
      <c r="AB10" s="124"/>
      <c r="AC10" s="11" t="str">
        <f t="shared" si="4"/>
        <v/>
      </c>
      <c r="AD10" s="122"/>
      <c r="AE10" s="11" t="str">
        <f t="shared" si="5"/>
        <v/>
      </c>
      <c r="AF10" s="11" t="str">
        <f t="shared" si="6"/>
        <v/>
      </c>
      <c r="AG10" s="11" t="str">
        <f t="shared" si="7"/>
        <v/>
      </c>
      <c r="AH10" s="21"/>
      <c r="AI10" s="242"/>
      <c r="AJ10" s="242"/>
    </row>
    <row r="11" ht="15.0" customHeight="1">
      <c r="A11" s="125" t="s">
        <v>1689</v>
      </c>
      <c r="B11" s="120" t="str">
        <f>IF($A11="","",IFERROR(HYPERLINK(VLOOKUP($A11,'Мои блогеры'!$A$2:$N$673,14,0),"🔗 открыть"),""))</f>
        <v/>
      </c>
      <c r="C11" s="11">
        <v>100780.0</v>
      </c>
      <c r="D11" s="120" t="str">
        <f>IFERROR(VLOOKUP($A11,'Мои блогеры'!$A:$N,2,0),"")</f>
        <v/>
      </c>
      <c r="E11" s="21"/>
      <c r="F11" s="21"/>
      <c r="G11" s="21"/>
      <c r="H11" s="121"/>
      <c r="I11" s="21"/>
      <c r="J11" s="11">
        <v>14000.0</v>
      </c>
      <c r="K11" s="122">
        <v>2000.0</v>
      </c>
      <c r="L11" s="122"/>
      <c r="M11" s="11">
        <f t="shared" si="1"/>
        <v>16000</v>
      </c>
      <c r="N11" s="21"/>
      <c r="O11" s="153"/>
      <c r="P11" s="21"/>
      <c r="Q11" s="120" t="str">
        <f>IFERROR(VLOOKUP($A11,'Мои блогеры'!$A$2:$N$673,10,0)&amp;"-TRG","")</f>
        <v/>
      </c>
      <c r="R11" s="21"/>
      <c r="S11" s="21"/>
      <c r="T11" s="122"/>
      <c r="U11" s="123" t="str">
        <f t="shared" si="2"/>
        <v/>
      </c>
      <c r="V11" s="122"/>
      <c r="W11" s="122"/>
      <c r="X11" s="123" t="str">
        <f t="shared" si="3"/>
        <v/>
      </c>
      <c r="Y11" s="122"/>
      <c r="Z11" s="122"/>
      <c r="AA11" s="122"/>
      <c r="AB11" s="124"/>
      <c r="AC11" s="11" t="str">
        <f t="shared" si="4"/>
        <v/>
      </c>
      <c r="AD11" s="122"/>
      <c r="AE11" s="11" t="str">
        <f t="shared" si="5"/>
        <v/>
      </c>
      <c r="AF11" s="11" t="str">
        <f t="shared" si="6"/>
        <v/>
      </c>
      <c r="AG11" s="11" t="str">
        <f t="shared" si="7"/>
        <v/>
      </c>
      <c r="AH11" s="21"/>
      <c r="AI11" s="242"/>
      <c r="AJ11" s="242"/>
    </row>
    <row r="12" ht="15.0" customHeight="1">
      <c r="A12" s="125" t="s">
        <v>485</v>
      </c>
      <c r="B12" s="120" t="str">
        <f>IF($A12="","",IFERROR(HYPERLINK(VLOOKUP($A12,'Мои блогеры'!$A$2:$N$673,14,0),"🔗 открыть"),""))</f>
        <v>🔗 открыть</v>
      </c>
      <c r="C12" s="11">
        <f>IFERROR(VLOOKUP($A12,'Мои блогеры'!$A:$N,5,0),"")</f>
        <v>203900</v>
      </c>
      <c r="D12" s="120" t="str">
        <f>IFERROR(VLOOKUP($A12,'Мои блогеры'!$A:$N,2,0),"")</f>
        <v>Telegram</v>
      </c>
      <c r="E12" s="21"/>
      <c r="F12" s="21"/>
      <c r="G12" s="21"/>
      <c r="H12" s="121"/>
      <c r="I12" s="21"/>
      <c r="J12" s="11">
        <f>IFERROR(VLOOKUP($A12,'Мои блогеры'!$A$2:$N$673,8,0),"")</f>
        <v>20000</v>
      </c>
      <c r="K12" s="122"/>
      <c r="L12" s="122"/>
      <c r="M12" s="11">
        <f t="shared" si="1"/>
        <v>20000</v>
      </c>
      <c r="N12" s="21"/>
      <c r="O12" s="153"/>
      <c r="P12" s="21"/>
      <c r="Q12" s="120" t="str">
        <f>IFERROR(VLOOKUP($A12,'Мои блогеры'!$A$2:$N$673,10,0)&amp;"-TRG","")</f>
        <v>-TRG</v>
      </c>
      <c r="R12" s="21"/>
      <c r="S12" s="21"/>
      <c r="T12" s="122"/>
      <c r="U12" s="123" t="str">
        <f t="shared" si="2"/>
        <v/>
      </c>
      <c r="V12" s="122"/>
      <c r="W12" s="122"/>
      <c r="X12" s="123" t="str">
        <f t="shared" si="3"/>
        <v/>
      </c>
      <c r="Y12" s="122"/>
      <c r="Z12" s="122"/>
      <c r="AA12" s="122"/>
      <c r="AB12" s="124"/>
      <c r="AC12" s="11" t="str">
        <f t="shared" si="4"/>
        <v/>
      </c>
      <c r="AD12" s="122"/>
      <c r="AE12" s="11" t="str">
        <f t="shared" si="5"/>
        <v/>
      </c>
      <c r="AF12" s="11" t="str">
        <f t="shared" si="6"/>
        <v/>
      </c>
      <c r="AG12" s="11" t="str">
        <f t="shared" si="7"/>
        <v/>
      </c>
      <c r="AH12" s="21"/>
      <c r="AI12" s="242"/>
      <c r="AJ12" s="242"/>
    </row>
    <row r="13" ht="15.75" customHeight="1">
      <c r="A13" s="243" t="s">
        <v>1690</v>
      </c>
      <c r="B13" s="191" t="s">
        <v>1691</v>
      </c>
      <c r="C13" s="120">
        <v>5242.0</v>
      </c>
      <c r="D13" s="194" t="s">
        <v>786</v>
      </c>
      <c r="E13" s="21" t="s">
        <v>861</v>
      </c>
      <c r="F13" s="192"/>
      <c r="G13" s="192"/>
      <c r="H13" s="121">
        <v>46300.0</v>
      </c>
      <c r="I13" s="21" t="s">
        <v>1692</v>
      </c>
      <c r="J13" s="193">
        <v>1328.0</v>
      </c>
      <c r="K13" s="122"/>
      <c r="L13" s="11">
        <f>IF(N($I13)+N($J13)+N($K13)=0,"",N($I13)+N($J13)+N($K13))</f>
        <v>1328</v>
      </c>
      <c r="M13" s="194"/>
      <c r="N13" s="195" t="s">
        <v>1693</v>
      </c>
      <c r="O13" s="169" t="s">
        <v>1694</v>
      </c>
      <c r="P13" s="120" t="str">
        <f>IFERROR(VLOOKUP($A13,'Мои блогеры'!$A$2:$N$673,10,0)&amp;"-TRG","")</f>
        <v/>
      </c>
      <c r="Q13" s="20" t="s">
        <v>1025</v>
      </c>
      <c r="R13" s="194"/>
      <c r="S13" s="244"/>
      <c r="T13" s="122"/>
      <c r="U13" s="123"/>
      <c r="V13" s="193"/>
      <c r="W13" s="122"/>
      <c r="X13" s="122"/>
      <c r="Y13" s="123"/>
      <c r="Z13" s="202"/>
      <c r="AA13" s="193"/>
      <c r="AB13" s="193"/>
      <c r="AC13" s="193"/>
      <c r="AD13" s="124"/>
      <c r="AE13" s="11"/>
      <c r="AF13" s="122"/>
      <c r="AG13" s="191"/>
      <c r="AH13" s="191"/>
      <c r="AI13" s="11" t="str">
        <f>IF(N($AE13)=0,"",ROUND($L13/$AE13,0))</f>
        <v/>
      </c>
    </row>
    <row r="14" ht="15.75" customHeight="1">
      <c r="A14" s="125" t="s">
        <v>365</v>
      </c>
      <c r="B14" s="191" t="str">
        <f>IFERROR(VLOOKUP($A14,'Мои блогеры'!$A:$N,2,0),"")</f>
        <v>VK</v>
      </c>
      <c r="C14" s="11">
        <f>IFERROR(VLOOKUP($A14,'Мои блогеры'!$A:$N,5,0),"")</f>
        <v>17200</v>
      </c>
      <c r="D14" s="120" t="str">
        <f>IFERROR(VLOOKUP($A14,'Мои блогеры'!$A:$N,2,0),"")</f>
        <v>VK</v>
      </c>
      <c r="E14" s="21" t="s">
        <v>861</v>
      </c>
      <c r="F14" s="165" t="s">
        <v>950</v>
      </c>
      <c r="G14" s="21" t="s">
        <v>1554</v>
      </c>
      <c r="H14" s="121">
        <v>46297.0</v>
      </c>
      <c r="I14" s="21" t="s">
        <v>1692</v>
      </c>
      <c r="J14" s="11">
        <f>IFERROR(VLOOKUP($A14,'Мои блогеры'!$A$2:$N$673,8,0),"")</f>
        <v>5000</v>
      </c>
      <c r="K14" s="122">
        <v>300.0</v>
      </c>
      <c r="L14" s="122"/>
      <c r="M14" s="11">
        <f t="shared" ref="M14:M19" si="8">IF(N($J14)+N($K14)+N($L14)=0,"",N($J14)+N($K14)+N($L14))</f>
        <v>5300</v>
      </c>
      <c r="N14" s="153"/>
      <c r="O14" s="153"/>
      <c r="P14" s="120" t="str">
        <f>IFERROR(VLOOKUP($A14,'Мои блогеры'!$A$2:$N$673,10,0)&amp;"-TRG","")</f>
        <v>-TRG</v>
      </c>
      <c r="Q14" s="20" t="s">
        <v>1025</v>
      </c>
      <c r="R14" s="21"/>
      <c r="S14" s="153"/>
      <c r="T14" s="122"/>
      <c r="U14" s="123" t="str">
        <f t="shared" ref="U14:U16" si="9">IF(N($T14)=0,"",$M14/$T14)</f>
        <v/>
      </c>
      <c r="V14" s="122"/>
      <c r="W14" s="122"/>
      <c r="X14" s="122"/>
      <c r="Y14" s="123" t="str">
        <f t="shared" ref="Y14:Y16" si="10">IF(N($V14)=0,"",$M14/$V14)</f>
        <v/>
      </c>
      <c r="Z14" s="123" t="str">
        <f t="shared" ref="Z14:Z16" si="11">IFERROR(M14/X14,"")</f>
        <v/>
      </c>
      <c r="AA14" s="122"/>
      <c r="AB14" s="122"/>
      <c r="AC14" s="122"/>
      <c r="AD14" s="124"/>
      <c r="AE14" s="11" t="str">
        <f t="shared" ref="AE14:AE19" si="12">IF(OR(N($AB14)=0,$AD14=""),"",ROUND($AB14*$AD14,0))</f>
        <v/>
      </c>
      <c r="AF14" s="122"/>
      <c r="AG14" s="11"/>
      <c r="AH14" s="11"/>
      <c r="AI14" s="11"/>
    </row>
    <row r="15" ht="15.75" customHeight="1">
      <c r="A15" s="46" t="s">
        <v>368</v>
      </c>
      <c r="B15" s="191" t="str">
        <f>IFERROR(VLOOKUP($A15,'Мои блогеры'!$A:$N,2,0),"")</f>
        <v>Rutube</v>
      </c>
      <c r="C15" s="11">
        <f>IFERROR(VLOOKUP($A15,'Мои блогеры'!$A:$N,5,0),"")</f>
        <v>7483</v>
      </c>
      <c r="D15" s="120" t="str">
        <f>IFERROR(VLOOKUP($A15,'Мои блогеры'!$A:$N,2,0),"")</f>
        <v>Rutube</v>
      </c>
      <c r="E15" s="21" t="s">
        <v>861</v>
      </c>
      <c r="F15" s="165" t="s">
        <v>950</v>
      </c>
      <c r="G15" s="21" t="s">
        <v>1554</v>
      </c>
      <c r="H15" s="121">
        <v>46297.0</v>
      </c>
      <c r="I15" s="21" t="s">
        <v>1692</v>
      </c>
      <c r="J15" s="11">
        <f>IFERROR(VLOOKUP($A15,'Мои блогеры'!$A$2:$N$673,8,0),"")</f>
        <v>1000</v>
      </c>
      <c r="K15" s="122">
        <v>60.0</v>
      </c>
      <c r="L15" s="122"/>
      <c r="M15" s="11">
        <f t="shared" si="8"/>
        <v>1060</v>
      </c>
      <c r="N15" s="153"/>
      <c r="O15" s="153"/>
      <c r="P15" s="120" t="str">
        <f>IFERROR(VLOOKUP($A15,'Мои блогеры'!$A$2:$N$673,10,0)&amp;"-TRG","")</f>
        <v>-TRG</v>
      </c>
      <c r="Q15" s="20" t="s">
        <v>1025</v>
      </c>
      <c r="R15" s="21"/>
      <c r="S15" s="153"/>
      <c r="T15" s="122"/>
      <c r="U15" s="123" t="str">
        <f t="shared" si="9"/>
        <v/>
      </c>
      <c r="V15" s="122"/>
      <c r="W15" s="122"/>
      <c r="X15" s="122"/>
      <c r="Y15" s="123" t="str">
        <f t="shared" si="10"/>
        <v/>
      </c>
      <c r="Z15" s="123" t="str">
        <f t="shared" si="11"/>
        <v/>
      </c>
      <c r="AA15" s="122"/>
      <c r="AB15" s="122"/>
      <c r="AC15" s="122"/>
      <c r="AD15" s="124"/>
      <c r="AE15" s="11" t="str">
        <f t="shared" si="12"/>
        <v/>
      </c>
      <c r="AF15" s="122"/>
      <c r="AG15" s="11" t="str">
        <f>IF(OR(N($AE15)=0,$AF15=""),"",ROUND($AE15*$AF15,0))</f>
        <v/>
      </c>
      <c r="AH15" s="11" t="str">
        <f>IF(N($AE15)=0,"",ROUND($M15/$AE15,0))</f>
        <v/>
      </c>
      <c r="AI15" s="11" t="str">
        <f>IF(N($AB15)=0,"",ROUND($M15/$AB15,0))</f>
        <v/>
      </c>
    </row>
    <row r="16" ht="15.75" customHeight="1">
      <c r="A16" s="125" t="s">
        <v>365</v>
      </c>
      <c r="B16" s="191" t="str">
        <f>IFERROR(VLOOKUP($A16,'Мои блогеры'!$A:$N,2,0),"")</f>
        <v>VK</v>
      </c>
      <c r="C16" s="11">
        <f>IFERROR(VLOOKUP($A16,'Мои блогеры'!$A:$N,5,0),"")</f>
        <v>17200</v>
      </c>
      <c r="D16" s="120" t="s">
        <v>1695</v>
      </c>
      <c r="E16" s="21" t="s">
        <v>861</v>
      </c>
      <c r="F16" s="165" t="s">
        <v>950</v>
      </c>
      <c r="G16" s="21" t="s">
        <v>1554</v>
      </c>
      <c r="H16" s="121">
        <v>46297.0</v>
      </c>
      <c r="I16" s="21" t="s">
        <v>1692</v>
      </c>
      <c r="J16" s="11">
        <v>24700.0</v>
      </c>
      <c r="K16" s="122">
        <v>1440.0</v>
      </c>
      <c r="L16" s="122"/>
      <c r="M16" s="11">
        <f t="shared" si="8"/>
        <v>26140</v>
      </c>
      <c r="N16" s="153"/>
      <c r="O16" s="153"/>
      <c r="P16" s="120" t="str">
        <f>IFERROR(VLOOKUP($A16,'Мои блогеры'!$A$2:$N$673,10,0)&amp;"-TRG","")</f>
        <v>-TRG</v>
      </c>
      <c r="Q16" s="20" t="s">
        <v>1025</v>
      </c>
      <c r="R16" s="21"/>
      <c r="S16" s="153"/>
      <c r="T16" s="122"/>
      <c r="U16" s="123" t="str">
        <f t="shared" si="9"/>
        <v/>
      </c>
      <c r="V16" s="122"/>
      <c r="W16" s="122"/>
      <c r="X16" s="122"/>
      <c r="Y16" s="123" t="str">
        <f t="shared" si="10"/>
        <v/>
      </c>
      <c r="Z16" s="123" t="str">
        <f t="shared" si="11"/>
        <v/>
      </c>
      <c r="AA16" s="122"/>
      <c r="AB16" s="122"/>
      <c r="AC16" s="122"/>
      <c r="AD16" s="124"/>
      <c r="AE16" s="11" t="str">
        <f t="shared" si="12"/>
        <v/>
      </c>
      <c r="AF16" s="122"/>
      <c r="AG16" s="11"/>
      <c r="AH16" s="11"/>
      <c r="AI16" s="11"/>
    </row>
    <row r="17" ht="15.75" customHeight="1">
      <c r="A17" s="245" t="s">
        <v>417</v>
      </c>
      <c r="B17" s="191" t="str">
        <f>IFERROR(VLOOKUP($A17,'Мои блогеры'!$A:$N,2,0),"")</f>
        <v>YouTube</v>
      </c>
      <c r="C17" s="11">
        <v>246000.0</v>
      </c>
      <c r="D17" s="120" t="str">
        <f>IFERROR(VLOOKUP($A17,'Мои блогеры'!$A:$N,2,0),"")</f>
        <v>YouTube</v>
      </c>
      <c r="E17" s="21" t="s">
        <v>861</v>
      </c>
      <c r="F17" s="165" t="s">
        <v>950</v>
      </c>
      <c r="G17" s="21"/>
      <c r="H17" s="121">
        <v>46299.0</v>
      </c>
      <c r="I17" s="21" t="s">
        <v>1692</v>
      </c>
      <c r="J17" s="11">
        <v>15000.0</v>
      </c>
      <c r="K17" s="122">
        <v>900.0</v>
      </c>
      <c r="L17" s="122"/>
      <c r="M17" s="11">
        <f t="shared" si="8"/>
        <v>15900</v>
      </c>
      <c r="N17" s="153"/>
      <c r="O17" s="153"/>
      <c r="P17" s="120"/>
      <c r="Q17" s="20" t="s">
        <v>1025</v>
      </c>
      <c r="R17" s="21"/>
      <c r="S17" s="153"/>
      <c r="T17" s="122"/>
      <c r="U17" s="123"/>
      <c r="V17" s="122"/>
      <c r="W17" s="122"/>
      <c r="X17" s="122"/>
      <c r="Y17" s="123"/>
      <c r="Z17" s="123"/>
      <c r="AA17" s="122"/>
      <c r="AB17" s="122"/>
      <c r="AC17" s="122"/>
      <c r="AD17" s="124"/>
      <c r="AE17" s="11" t="str">
        <f t="shared" si="12"/>
        <v/>
      </c>
      <c r="AF17" s="122"/>
      <c r="AG17" s="11"/>
      <c r="AH17" s="11"/>
      <c r="AI17" s="11"/>
    </row>
    <row r="18" ht="15.75" customHeight="1">
      <c r="A18" s="246" t="s">
        <v>417</v>
      </c>
      <c r="B18" s="191" t="str">
        <f>IFERROR(VLOOKUP($A18,'Мои блогеры'!$A:$N,2,0),"")</f>
        <v>YouTube</v>
      </c>
      <c r="C18" s="11">
        <v>17036.0</v>
      </c>
      <c r="D18" s="198" t="s">
        <v>244</v>
      </c>
      <c r="E18" s="21" t="s">
        <v>861</v>
      </c>
      <c r="F18" s="165" t="s">
        <v>950</v>
      </c>
      <c r="G18" s="21"/>
      <c r="H18" s="121">
        <v>46299.0</v>
      </c>
      <c r="I18" s="21" t="s">
        <v>1692</v>
      </c>
      <c r="J18" s="11">
        <v>5000.0</v>
      </c>
      <c r="K18" s="122">
        <v>300.0</v>
      </c>
      <c r="L18" s="122"/>
      <c r="M18" s="11">
        <f t="shared" si="8"/>
        <v>5300</v>
      </c>
      <c r="N18" s="153"/>
      <c r="O18" s="153"/>
      <c r="P18" s="120"/>
      <c r="Q18" s="20" t="s">
        <v>1025</v>
      </c>
      <c r="R18" s="21"/>
      <c r="S18" s="153"/>
      <c r="T18" s="122"/>
      <c r="U18" s="123"/>
      <c r="V18" s="122"/>
      <c r="W18" s="122"/>
      <c r="X18" s="122"/>
      <c r="Y18" s="123"/>
      <c r="Z18" s="123"/>
      <c r="AA18" s="122"/>
      <c r="AB18" s="122"/>
      <c r="AC18" s="122"/>
      <c r="AD18" s="124"/>
      <c r="AE18" s="11" t="str">
        <f t="shared" si="12"/>
        <v/>
      </c>
      <c r="AF18" s="122"/>
      <c r="AG18" s="11"/>
      <c r="AH18" s="11"/>
      <c r="AI18" s="11"/>
    </row>
    <row r="19" ht="15.75" customHeight="1">
      <c r="A19" s="246" t="s">
        <v>417</v>
      </c>
      <c r="B19" s="191" t="str">
        <f>IFERROR(VLOOKUP($A19,'Мои блогеры'!$A:$N,2,0),"")</f>
        <v>YouTube</v>
      </c>
      <c r="C19" s="11">
        <v>21300.0</v>
      </c>
      <c r="D19" s="198" t="s">
        <v>297</v>
      </c>
      <c r="E19" s="21" t="s">
        <v>861</v>
      </c>
      <c r="F19" s="165" t="s">
        <v>950</v>
      </c>
      <c r="G19" s="21"/>
      <c r="H19" s="121">
        <v>46299.0</v>
      </c>
      <c r="I19" s="21" t="s">
        <v>1692</v>
      </c>
      <c r="J19" s="11">
        <v>10000.0</v>
      </c>
      <c r="K19" s="122">
        <v>600.0</v>
      </c>
      <c r="L19" s="122"/>
      <c r="M19" s="11">
        <f t="shared" si="8"/>
        <v>10600</v>
      </c>
      <c r="N19" s="153"/>
      <c r="O19" s="153"/>
      <c r="P19" s="120"/>
      <c r="Q19" s="20" t="s">
        <v>1025</v>
      </c>
      <c r="R19" s="21"/>
      <c r="S19" s="153"/>
      <c r="T19" s="122"/>
      <c r="U19" s="123"/>
      <c r="V19" s="122"/>
      <c r="W19" s="122"/>
      <c r="X19" s="122"/>
      <c r="Y19" s="123"/>
      <c r="Z19" s="123"/>
      <c r="AA19" s="122"/>
      <c r="AB19" s="122"/>
      <c r="AC19" s="122"/>
      <c r="AD19" s="124"/>
      <c r="AE19" s="11" t="str">
        <f t="shared" si="12"/>
        <v/>
      </c>
      <c r="AF19" s="122"/>
      <c r="AG19" s="11"/>
      <c r="AH19" s="11"/>
      <c r="AI19" s="11"/>
    </row>
    <row r="20" ht="15.75" customHeight="1">
      <c r="A20" s="247"/>
      <c r="B20" s="207"/>
      <c r="C20" s="11"/>
      <c r="D20" s="248"/>
      <c r="E20" s="21"/>
      <c r="F20" s="249"/>
      <c r="G20" s="250"/>
      <c r="H20" s="121"/>
      <c r="I20" s="21"/>
      <c r="J20" s="251"/>
      <c r="K20" s="122"/>
      <c r="L20" s="122"/>
      <c r="M20" s="251"/>
      <c r="N20" s="252"/>
      <c r="O20" s="153"/>
      <c r="P20" s="120"/>
      <c r="Q20" s="20"/>
      <c r="R20" s="250"/>
      <c r="S20" s="252"/>
      <c r="T20" s="122"/>
      <c r="U20" s="123"/>
      <c r="V20" s="253"/>
      <c r="W20" s="122"/>
      <c r="X20" s="122"/>
      <c r="Y20" s="123"/>
      <c r="Z20" s="211"/>
      <c r="AA20" s="253"/>
      <c r="AB20" s="253"/>
      <c r="AC20" s="253"/>
      <c r="AD20" s="124"/>
      <c r="AE20" s="11"/>
      <c r="AF20" s="122"/>
      <c r="AG20" s="251"/>
      <c r="AH20" s="251"/>
      <c r="AI20" s="254"/>
    </row>
    <row r="21" ht="15.75" customHeight="1">
      <c r="A21" s="213"/>
      <c r="B21" s="207"/>
      <c r="C21" s="120"/>
      <c r="D21" s="203"/>
      <c r="E21" s="21"/>
      <c r="F21" s="205"/>
      <c r="G21" s="205"/>
      <c r="H21" s="121"/>
      <c r="I21" s="11"/>
      <c r="J21" s="208"/>
      <c r="K21" s="122"/>
      <c r="L21" s="11"/>
      <c r="M21" s="203"/>
      <c r="N21" s="214"/>
      <c r="O21" s="153"/>
      <c r="P21" s="120"/>
      <c r="Q21" s="20"/>
      <c r="R21" s="203"/>
      <c r="S21" s="216"/>
      <c r="T21" s="122"/>
      <c r="U21" s="123"/>
      <c r="V21" s="208"/>
      <c r="W21" s="122"/>
      <c r="X21" s="122"/>
      <c r="Y21" s="123"/>
      <c r="Z21" s="211"/>
      <c r="AA21" s="208"/>
      <c r="AB21" s="208"/>
      <c r="AC21" s="208"/>
      <c r="AD21" s="124"/>
      <c r="AE21" s="11"/>
      <c r="AF21" s="122"/>
      <c r="AG21" s="207"/>
      <c r="AH21" s="207"/>
      <c r="AI21" s="254"/>
    </row>
    <row r="22" ht="15.75" customHeight="1">
      <c r="A22" s="213"/>
      <c r="B22" s="207"/>
      <c r="C22" s="120"/>
      <c r="D22" s="203"/>
      <c r="E22" s="21"/>
      <c r="F22" s="205"/>
      <c r="G22" s="205"/>
      <c r="H22" s="121"/>
      <c r="I22" s="11"/>
      <c r="J22" s="208"/>
      <c r="K22" s="122"/>
      <c r="L22" s="11"/>
      <c r="M22" s="203"/>
      <c r="N22" s="214"/>
      <c r="O22" s="153"/>
      <c r="P22" s="120"/>
      <c r="Q22" s="20"/>
      <c r="R22" s="203"/>
      <c r="S22" s="216"/>
      <c r="T22" s="122"/>
      <c r="U22" s="123"/>
      <c r="V22" s="208"/>
      <c r="W22" s="122"/>
      <c r="X22" s="122"/>
      <c r="Y22" s="123"/>
      <c r="Z22" s="211"/>
      <c r="AA22" s="208"/>
      <c r="AB22" s="208"/>
      <c r="AC22" s="208"/>
      <c r="AD22" s="124"/>
      <c r="AE22" s="11"/>
      <c r="AF22" s="122"/>
      <c r="AG22" s="207"/>
      <c r="AH22" s="207"/>
      <c r="AI22" s="254"/>
    </row>
    <row r="23" ht="15.0" customHeight="1">
      <c r="A23" s="126" t="s">
        <v>1696</v>
      </c>
      <c r="B23" s="126"/>
      <c r="C23" s="127"/>
      <c r="D23" s="126"/>
      <c r="E23" s="126"/>
      <c r="F23" s="126"/>
      <c r="G23" s="126"/>
      <c r="H23" s="126"/>
      <c r="I23" s="126" t="str">
        <f>COUNTIF(I7:I13,"Вышло")&amp;" / "&amp;COUNTA(A7:A13)</f>
        <v>0 / 7</v>
      </c>
      <c r="J23" s="127">
        <f t="shared" ref="J23:M23" si="13">SUM(J7:J13)</f>
        <v>242328</v>
      </c>
      <c r="K23" s="127">
        <f t="shared" si="13"/>
        <v>11800</v>
      </c>
      <c r="L23" s="127">
        <f t="shared" si="13"/>
        <v>1328</v>
      </c>
      <c r="M23" s="127">
        <f t="shared" si="13"/>
        <v>252800</v>
      </c>
      <c r="N23" s="126"/>
      <c r="O23" s="163"/>
      <c r="P23" s="126"/>
      <c r="Q23" s="126"/>
      <c r="R23" s="126"/>
      <c r="S23" s="126"/>
      <c r="T23" s="127">
        <f>SUM(T7:T13)</f>
        <v>0</v>
      </c>
      <c r="U23" s="128" t="str">
        <f>IF(N($T23)=0,"",$M23/$T23)</f>
        <v/>
      </c>
      <c r="V23" s="127">
        <f t="shared" ref="V23:W23" si="14">SUM(V7:V13)</f>
        <v>0</v>
      </c>
      <c r="W23" s="127">
        <f t="shared" si="14"/>
        <v>0</v>
      </c>
      <c r="X23" s="128" t="str">
        <f>IF(N(V23)=0,"",M23/V23)</f>
        <v/>
      </c>
      <c r="Y23" s="127">
        <f t="shared" ref="Y23:AA23" si="15">SUM(Y7:Y13)</f>
        <v>0</v>
      </c>
      <c r="Z23" s="127">
        <f t="shared" si="15"/>
        <v>0</v>
      </c>
      <c r="AA23" s="127">
        <f t="shared" si="15"/>
        <v>0</v>
      </c>
      <c r="AB23" s="129"/>
      <c r="AC23" s="127">
        <f>SUM(AC7:AC13)</f>
        <v>0</v>
      </c>
      <c r="AD23" s="127"/>
      <c r="AE23" s="127">
        <f>SUM(AE7:AE13)</f>
        <v>0</v>
      </c>
      <c r="AF23" s="127" t="str">
        <f>IF(N(AC23)=0,"—",ROUND(M23/AC23,0))</f>
        <v>—</v>
      </c>
      <c r="AG23" s="127" t="str">
        <f>IF(N(Z23)=0,"—",ROUND(M23/Z23,0))</f>
        <v>—</v>
      </c>
      <c r="AH23" s="126"/>
      <c r="AI23" s="255"/>
      <c r="AJ23" s="255"/>
    </row>
    <row r="24" ht="15.0" customHeight="1">
      <c r="A24" s="117" t="s">
        <v>1697</v>
      </c>
      <c r="B24" s="117"/>
      <c r="C24" s="130"/>
      <c r="D24" s="117"/>
      <c r="E24" s="117"/>
      <c r="F24" s="117"/>
      <c r="G24" s="117"/>
      <c r="H24" s="117"/>
      <c r="I24" s="117"/>
      <c r="J24" s="130"/>
      <c r="K24" s="130"/>
      <c r="L24" s="130"/>
      <c r="M24" s="130"/>
      <c r="N24" s="117"/>
      <c r="O24" s="157"/>
      <c r="P24" s="117"/>
      <c r="Q24" s="117"/>
      <c r="R24" s="117"/>
      <c r="S24" s="117"/>
      <c r="T24" s="130"/>
      <c r="U24" s="131"/>
      <c r="V24" s="130"/>
      <c r="W24" s="130"/>
      <c r="X24" s="131"/>
      <c r="Y24" s="130"/>
      <c r="Z24" s="130"/>
      <c r="AA24" s="130"/>
      <c r="AB24" s="132"/>
      <c r="AC24" s="130"/>
      <c r="AD24" s="130"/>
      <c r="AE24" s="130"/>
      <c r="AF24" s="130"/>
      <c r="AG24" s="130"/>
      <c r="AH24" s="117"/>
      <c r="AI24" s="241"/>
      <c r="AJ24" s="241"/>
    </row>
    <row r="25" ht="15.0" customHeight="1">
      <c r="A25" s="256"/>
      <c r="B25" s="120" t="str">
        <f>IF($A25="","",IFERROR(HYPERLINK(VLOOKUP($A25,'Мои блогеры'!$A$2:$N$673,14,0),"🔗 открыть"),""))</f>
        <v/>
      </c>
      <c r="C25" s="11"/>
      <c r="D25" s="120"/>
      <c r="E25" s="21"/>
      <c r="F25" s="21"/>
      <c r="G25" s="21"/>
      <c r="H25" s="167"/>
      <c r="I25" s="21"/>
      <c r="J25" s="11" t="str">
        <f>IFERROR(VLOOKUP($A25,'Мои блогеры'!$A$2:$N$673,8,0),"")</f>
        <v/>
      </c>
      <c r="K25" s="122"/>
      <c r="L25" s="122"/>
      <c r="M25" s="11" t="str">
        <f t="shared" ref="M25:M37" si="16">IF(N($J25)+N($K25)+N($L25)=0,"",N($J25)+N($K25)+N($L25))</f>
        <v/>
      </c>
      <c r="N25" s="21"/>
      <c r="O25" s="153"/>
      <c r="P25" s="21"/>
      <c r="Q25" s="120" t="str">
        <f>IFERROR(VLOOKUP($A25,'Мои блогеры'!$A$2:$N$673,10,0)&amp;"-TRG","")</f>
        <v/>
      </c>
      <c r="R25" s="21"/>
      <c r="S25" s="21"/>
      <c r="T25" s="122"/>
      <c r="U25" s="123" t="str">
        <f t="shared" ref="U25:U38" si="17">IF(N($T25)=0,"",$M25/$T25)</f>
        <v/>
      </c>
      <c r="V25" s="122"/>
      <c r="W25" s="122"/>
      <c r="X25" s="123" t="str">
        <f t="shared" ref="X25:X37" si="18">IF(N($V25)=0,"",$M25/$V25)</f>
        <v/>
      </c>
      <c r="Y25" s="122"/>
      <c r="Z25" s="122"/>
      <c r="AA25" s="122"/>
      <c r="AB25" s="124"/>
      <c r="AC25" s="11" t="str">
        <f t="shared" ref="AC25:AC37" si="19">IF(OR(N($Z25)=0,$AB25=""),"",ROUND($Z25*$AB25,0))</f>
        <v/>
      </c>
      <c r="AD25" s="122"/>
      <c r="AE25" s="11" t="str">
        <f t="shared" ref="AE25:AE37" si="20">IF(OR(N($AC25)=0,$AD25=""),"",ROUND($AC25*$AD25,0))</f>
        <v/>
      </c>
      <c r="AF25" s="11" t="str">
        <f t="shared" ref="AF25:AF37" si="21">IF(N($AC25)=0,"",ROUND($M25/$AC25,0))</f>
        <v/>
      </c>
      <c r="AG25" s="11" t="str">
        <f t="shared" ref="AG25:AG37" si="22">IF(N($Z25)=0,"",ROUND($M25/$Z25,0))</f>
        <v/>
      </c>
      <c r="AH25" s="21"/>
      <c r="AI25" s="242"/>
      <c r="AJ25" s="242"/>
    </row>
    <row r="26" ht="15.0" customHeight="1">
      <c r="A26" s="256"/>
      <c r="B26" s="120" t="str">
        <f>IF($A26="","",IFERROR(HYPERLINK(VLOOKUP($A26,'Мои блогеры'!$A$2:$N$673,14,0),"🔗 открыть"),""))</f>
        <v/>
      </c>
      <c r="C26" s="11"/>
      <c r="D26" s="120"/>
      <c r="E26" s="21"/>
      <c r="F26" s="21"/>
      <c r="G26" s="21"/>
      <c r="H26" s="121"/>
      <c r="I26" s="21"/>
      <c r="J26" s="11" t="str">
        <f>IFERROR(VLOOKUP($A26,'Мои блогеры'!$A$2:$N$673,8,0),"")</f>
        <v/>
      </c>
      <c r="K26" s="122"/>
      <c r="L26" s="122"/>
      <c r="M26" s="11" t="str">
        <f t="shared" si="16"/>
        <v/>
      </c>
      <c r="N26" s="21"/>
      <c r="O26" s="153"/>
      <c r="P26" s="21"/>
      <c r="Q26" s="120" t="str">
        <f>IFERROR(VLOOKUP($A26,'Мои блогеры'!$A$2:$N$673,10,0)&amp;"-TRG","")</f>
        <v/>
      </c>
      <c r="R26" s="21"/>
      <c r="S26" s="21"/>
      <c r="T26" s="122"/>
      <c r="U26" s="123" t="str">
        <f t="shared" si="17"/>
        <v/>
      </c>
      <c r="V26" s="122"/>
      <c r="W26" s="122"/>
      <c r="X26" s="123" t="str">
        <f t="shared" si="18"/>
        <v/>
      </c>
      <c r="Y26" s="122"/>
      <c r="Z26" s="122"/>
      <c r="AA26" s="122"/>
      <c r="AB26" s="124"/>
      <c r="AC26" s="11" t="str">
        <f t="shared" si="19"/>
        <v/>
      </c>
      <c r="AD26" s="122"/>
      <c r="AE26" s="11" t="str">
        <f t="shared" si="20"/>
        <v/>
      </c>
      <c r="AF26" s="11" t="str">
        <f t="shared" si="21"/>
        <v/>
      </c>
      <c r="AG26" s="11" t="str">
        <f t="shared" si="22"/>
        <v/>
      </c>
      <c r="AH26" s="21"/>
      <c r="AI26" s="242"/>
      <c r="AJ26" s="242"/>
    </row>
    <row r="27" ht="15.0" customHeight="1">
      <c r="A27" s="21"/>
      <c r="B27" s="120" t="str">
        <f>IF($A27="","",IFERROR(HYPERLINK(VLOOKUP($A27,'Мои блогеры'!$A$2:$N$673,14,0),"🔗 открыть"),""))</f>
        <v/>
      </c>
      <c r="C27" s="11"/>
      <c r="D27" s="120"/>
      <c r="E27" s="21"/>
      <c r="F27" s="165"/>
      <c r="G27" s="21"/>
      <c r="H27" s="121"/>
      <c r="I27" s="21"/>
      <c r="J27" s="11" t="str">
        <f>IFERROR(VLOOKUP($A27,'Мои блогеры'!$A$2:$N$673,8,0),"")</f>
        <v/>
      </c>
      <c r="K27" s="122"/>
      <c r="L27" s="122"/>
      <c r="M27" s="11" t="str">
        <f t="shared" si="16"/>
        <v/>
      </c>
      <c r="N27" s="21"/>
      <c r="O27" s="153"/>
      <c r="P27" s="21"/>
      <c r="Q27" s="120" t="str">
        <f>IFERROR(VLOOKUP($A27,'Мои блогеры'!$A$2:$N$673,10,0)&amp;"-TRG","")</f>
        <v/>
      </c>
      <c r="R27" s="21"/>
      <c r="S27" s="21"/>
      <c r="T27" s="122"/>
      <c r="U27" s="123" t="str">
        <f t="shared" si="17"/>
        <v/>
      </c>
      <c r="V27" s="122"/>
      <c r="W27" s="122"/>
      <c r="X27" s="123" t="str">
        <f t="shared" si="18"/>
        <v/>
      </c>
      <c r="Y27" s="122"/>
      <c r="Z27" s="122"/>
      <c r="AA27" s="122"/>
      <c r="AB27" s="124"/>
      <c r="AC27" s="11" t="str">
        <f t="shared" si="19"/>
        <v/>
      </c>
      <c r="AD27" s="122"/>
      <c r="AE27" s="11" t="str">
        <f t="shared" si="20"/>
        <v/>
      </c>
      <c r="AF27" s="11" t="str">
        <f t="shared" si="21"/>
        <v/>
      </c>
      <c r="AG27" s="11" t="str">
        <f t="shared" si="22"/>
        <v/>
      </c>
      <c r="AH27" s="21"/>
      <c r="AI27" s="242"/>
      <c r="AJ27" s="242"/>
    </row>
    <row r="28" ht="15.0" customHeight="1">
      <c r="A28" s="21"/>
      <c r="B28" s="120" t="str">
        <f>IF($A28="","",IFERROR(HYPERLINK(VLOOKUP($A28,'Мои блогеры'!$A$2:$N$673,14,0),"🔗 открыть"),""))</f>
        <v/>
      </c>
      <c r="C28" s="11"/>
      <c r="D28" s="120"/>
      <c r="E28" s="21"/>
      <c r="F28" s="165"/>
      <c r="G28" s="21"/>
      <c r="H28" s="167"/>
      <c r="I28" s="21"/>
      <c r="J28" s="11" t="str">
        <f>IFERROR(VLOOKUP($A28,'Мои блогеры'!$A$2:$N$673,8,0),"")</f>
        <v/>
      </c>
      <c r="K28" s="122"/>
      <c r="L28" s="122"/>
      <c r="M28" s="11" t="str">
        <f t="shared" si="16"/>
        <v/>
      </c>
      <c r="N28" s="21"/>
      <c r="O28" s="153"/>
      <c r="P28" s="21"/>
      <c r="Q28" s="120" t="str">
        <f>IFERROR(VLOOKUP($A28,'Мои блогеры'!$A$2:$N$673,10,0)&amp;"-TRG","")</f>
        <v/>
      </c>
      <c r="R28" s="21"/>
      <c r="S28" s="21"/>
      <c r="T28" s="122"/>
      <c r="U28" s="123" t="str">
        <f t="shared" si="17"/>
        <v/>
      </c>
      <c r="V28" s="122"/>
      <c r="W28" s="122"/>
      <c r="X28" s="123" t="str">
        <f t="shared" si="18"/>
        <v/>
      </c>
      <c r="Y28" s="122"/>
      <c r="Z28" s="122"/>
      <c r="AA28" s="122"/>
      <c r="AB28" s="124"/>
      <c r="AC28" s="11" t="str">
        <f t="shared" si="19"/>
        <v/>
      </c>
      <c r="AD28" s="122"/>
      <c r="AE28" s="11" t="str">
        <f t="shared" si="20"/>
        <v/>
      </c>
      <c r="AF28" s="11" t="str">
        <f t="shared" si="21"/>
        <v/>
      </c>
      <c r="AG28" s="11" t="str">
        <f t="shared" si="22"/>
        <v/>
      </c>
      <c r="AH28" s="21"/>
      <c r="AI28" s="242"/>
      <c r="AJ28" s="242"/>
    </row>
    <row r="29" ht="15.0" customHeight="1">
      <c r="A29" s="21"/>
      <c r="B29" s="120" t="str">
        <f>IF($A29="","",IFERROR(HYPERLINK(VLOOKUP($A29,'Мои блогеры'!$A$2:$N$673,14,0),"🔗 открыть"),""))</f>
        <v/>
      </c>
      <c r="C29" s="11"/>
      <c r="D29" s="120"/>
      <c r="E29" s="21"/>
      <c r="F29" s="165"/>
      <c r="G29" s="21"/>
      <c r="H29" s="121"/>
      <c r="I29" s="21"/>
      <c r="J29" s="11" t="str">
        <f>IFERROR(VLOOKUP($A29,'Мои блогеры'!$A$2:$N$673,8,0),"")</f>
        <v/>
      </c>
      <c r="K29" s="122"/>
      <c r="L29" s="122"/>
      <c r="M29" s="11" t="str">
        <f t="shared" si="16"/>
        <v/>
      </c>
      <c r="N29" s="21"/>
      <c r="O29" s="153"/>
      <c r="P29" s="21"/>
      <c r="Q29" s="120" t="str">
        <f>IFERROR(VLOOKUP($A29,'Мои блогеры'!$A$2:$N$673,10,0)&amp;"-TRG","")</f>
        <v/>
      </c>
      <c r="R29" s="21"/>
      <c r="S29" s="21"/>
      <c r="T29" s="122"/>
      <c r="U29" s="123" t="str">
        <f t="shared" si="17"/>
        <v/>
      </c>
      <c r="V29" s="122"/>
      <c r="W29" s="122"/>
      <c r="X29" s="123" t="str">
        <f t="shared" si="18"/>
        <v/>
      </c>
      <c r="Y29" s="122"/>
      <c r="Z29" s="122"/>
      <c r="AA29" s="122"/>
      <c r="AB29" s="124"/>
      <c r="AC29" s="11" t="str">
        <f t="shared" si="19"/>
        <v/>
      </c>
      <c r="AD29" s="122"/>
      <c r="AE29" s="11" t="str">
        <f t="shared" si="20"/>
        <v/>
      </c>
      <c r="AF29" s="11" t="str">
        <f t="shared" si="21"/>
        <v/>
      </c>
      <c r="AG29" s="11" t="str">
        <f t="shared" si="22"/>
        <v/>
      </c>
      <c r="AH29" s="21"/>
      <c r="AI29" s="242"/>
      <c r="AJ29" s="242"/>
    </row>
    <row r="30" ht="15.0" customHeight="1">
      <c r="A30" s="21"/>
      <c r="B30" s="120" t="str">
        <f>IF($A30="","",IFERROR(HYPERLINK(VLOOKUP($A30,'Мои блогеры'!$A$2:$N$673,14,0),"🔗 открыть"),""))</f>
        <v/>
      </c>
      <c r="C30" s="11" t="str">
        <f>IFERROR(VLOOKUP($A30,'Мои блогеры'!$A:$N,5,0),"")</f>
        <v/>
      </c>
      <c r="D30" s="120" t="str">
        <f>IFERROR(VLOOKUP($A30,'Мои блогеры'!$A:$N,2,0),"")</f>
        <v/>
      </c>
      <c r="E30" s="21"/>
      <c r="F30" s="21"/>
      <c r="G30" s="21"/>
      <c r="H30" s="121"/>
      <c r="I30" s="21"/>
      <c r="J30" s="11" t="str">
        <f>IFERROR(VLOOKUP($A30,'Мои блогеры'!$A$2:$N$673,8,0),"")</f>
        <v/>
      </c>
      <c r="K30" s="122"/>
      <c r="L30" s="122"/>
      <c r="M30" s="11" t="str">
        <f t="shared" si="16"/>
        <v/>
      </c>
      <c r="N30" s="21"/>
      <c r="O30" s="153"/>
      <c r="P30" s="21"/>
      <c r="Q30" s="120" t="str">
        <f>IFERROR(VLOOKUP($A30,'Мои блогеры'!$A$2:$N$673,10,0)&amp;"-TRG","")</f>
        <v/>
      </c>
      <c r="R30" s="21"/>
      <c r="S30" s="21"/>
      <c r="T30" s="122"/>
      <c r="U30" s="123" t="str">
        <f t="shared" si="17"/>
        <v/>
      </c>
      <c r="V30" s="122"/>
      <c r="W30" s="122"/>
      <c r="X30" s="123" t="str">
        <f t="shared" si="18"/>
        <v/>
      </c>
      <c r="Y30" s="122"/>
      <c r="Z30" s="122"/>
      <c r="AA30" s="122"/>
      <c r="AB30" s="124"/>
      <c r="AC30" s="11" t="str">
        <f t="shared" si="19"/>
        <v/>
      </c>
      <c r="AD30" s="122"/>
      <c r="AE30" s="11" t="str">
        <f t="shared" si="20"/>
        <v/>
      </c>
      <c r="AF30" s="11" t="str">
        <f t="shared" si="21"/>
        <v/>
      </c>
      <c r="AG30" s="11" t="str">
        <f t="shared" si="22"/>
        <v/>
      </c>
      <c r="AH30" s="21"/>
      <c r="AI30" s="242"/>
      <c r="AJ30" s="242"/>
    </row>
    <row r="31" ht="15.0" customHeight="1">
      <c r="A31" s="21"/>
      <c r="B31" s="120" t="str">
        <f>IF($A31="","",IFERROR(HYPERLINK(VLOOKUP($A31,'Мои блогеры'!$A$2:$N$673,14,0),"🔗 открыть"),""))</f>
        <v/>
      </c>
      <c r="C31" s="11" t="str">
        <f>IFERROR(VLOOKUP($A31,'Мои блогеры'!$A:$N,5,0),"")</f>
        <v/>
      </c>
      <c r="D31" s="120" t="str">
        <f>IFERROR(VLOOKUP($A31,'Мои блогеры'!$A:$N,2,0),"")</f>
        <v/>
      </c>
      <c r="E31" s="21"/>
      <c r="F31" s="21"/>
      <c r="G31" s="21"/>
      <c r="H31" s="121"/>
      <c r="I31" s="21"/>
      <c r="J31" s="11" t="str">
        <f>IFERROR(VLOOKUP($A31,'Мои блогеры'!$A$2:$N$673,8,0),"")</f>
        <v/>
      </c>
      <c r="K31" s="122"/>
      <c r="L31" s="122"/>
      <c r="M31" s="11" t="str">
        <f t="shared" si="16"/>
        <v/>
      </c>
      <c r="N31" s="21"/>
      <c r="O31" s="153"/>
      <c r="P31" s="21"/>
      <c r="Q31" s="120" t="str">
        <f>IFERROR(VLOOKUP($A31,'Мои блогеры'!$A$2:$N$673,10,0)&amp;"-TRG","")</f>
        <v/>
      </c>
      <c r="R31" s="21"/>
      <c r="S31" s="21"/>
      <c r="T31" s="122"/>
      <c r="U31" s="123" t="str">
        <f t="shared" si="17"/>
        <v/>
      </c>
      <c r="V31" s="122"/>
      <c r="W31" s="122"/>
      <c r="X31" s="123" t="str">
        <f t="shared" si="18"/>
        <v/>
      </c>
      <c r="Y31" s="122"/>
      <c r="Z31" s="122"/>
      <c r="AA31" s="122"/>
      <c r="AB31" s="124"/>
      <c r="AC31" s="11" t="str">
        <f t="shared" si="19"/>
        <v/>
      </c>
      <c r="AD31" s="122"/>
      <c r="AE31" s="11" t="str">
        <f t="shared" si="20"/>
        <v/>
      </c>
      <c r="AF31" s="11" t="str">
        <f t="shared" si="21"/>
        <v/>
      </c>
      <c r="AG31" s="11" t="str">
        <f t="shared" si="22"/>
        <v/>
      </c>
      <c r="AH31" s="21"/>
      <c r="AI31" s="242"/>
      <c r="AJ31" s="242"/>
    </row>
    <row r="32" ht="15.0" customHeight="1">
      <c r="A32" s="21"/>
      <c r="B32" s="120" t="str">
        <f>IF($A32="","",IFERROR(HYPERLINK(VLOOKUP($A32,'Мои блогеры'!$A$2:$N$673,14,0),"🔗 открыть"),""))</f>
        <v/>
      </c>
      <c r="C32" s="11" t="str">
        <f>IFERROR(VLOOKUP($A32,'Мои блогеры'!$A:$N,5,0),"")</f>
        <v/>
      </c>
      <c r="D32" s="120" t="str">
        <f>IFERROR(VLOOKUP($A32,'Мои блогеры'!$A:$N,2,0),"")</f>
        <v/>
      </c>
      <c r="E32" s="21"/>
      <c r="F32" s="21"/>
      <c r="G32" s="21"/>
      <c r="H32" s="121"/>
      <c r="I32" s="21"/>
      <c r="J32" s="11" t="str">
        <f>IFERROR(VLOOKUP($A32,'Мои блогеры'!$A$2:$N$673,8,0),"")</f>
        <v/>
      </c>
      <c r="K32" s="122"/>
      <c r="L32" s="122"/>
      <c r="M32" s="11" t="str">
        <f t="shared" si="16"/>
        <v/>
      </c>
      <c r="N32" s="21"/>
      <c r="O32" s="153"/>
      <c r="P32" s="21"/>
      <c r="Q32" s="120" t="str">
        <f>IFERROR(VLOOKUP($A32,'Мои блогеры'!$A$2:$N$673,10,0)&amp;"-TRG","")</f>
        <v/>
      </c>
      <c r="R32" s="21"/>
      <c r="S32" s="21"/>
      <c r="T32" s="122"/>
      <c r="U32" s="123" t="str">
        <f t="shared" si="17"/>
        <v/>
      </c>
      <c r="V32" s="122"/>
      <c r="W32" s="122"/>
      <c r="X32" s="123" t="str">
        <f t="shared" si="18"/>
        <v/>
      </c>
      <c r="Y32" s="122"/>
      <c r="Z32" s="122"/>
      <c r="AA32" s="122"/>
      <c r="AB32" s="124"/>
      <c r="AC32" s="11" t="str">
        <f t="shared" si="19"/>
        <v/>
      </c>
      <c r="AD32" s="122"/>
      <c r="AE32" s="11" t="str">
        <f t="shared" si="20"/>
        <v/>
      </c>
      <c r="AF32" s="11" t="str">
        <f t="shared" si="21"/>
        <v/>
      </c>
      <c r="AG32" s="11" t="str">
        <f t="shared" si="22"/>
        <v/>
      </c>
      <c r="AH32" s="21"/>
      <c r="AI32" s="242"/>
      <c r="AJ32" s="242"/>
    </row>
    <row r="33" ht="15.0" customHeight="1">
      <c r="A33" s="21"/>
      <c r="B33" s="120" t="str">
        <f>IF($A33="","",IFERROR(HYPERLINK(VLOOKUP($A33,'Мои блогеры'!$A$2:$N$673,14,0),"🔗 открыть"),""))</f>
        <v/>
      </c>
      <c r="C33" s="11" t="str">
        <f>IFERROR(VLOOKUP($A33,'Мои блогеры'!$A:$N,5,0),"")</f>
        <v/>
      </c>
      <c r="D33" s="120" t="str">
        <f>IFERROR(VLOOKUP($A33,'Мои блогеры'!$A:$N,2,0),"")</f>
        <v/>
      </c>
      <c r="E33" s="21"/>
      <c r="F33" s="21"/>
      <c r="G33" s="21"/>
      <c r="H33" s="121"/>
      <c r="I33" s="21"/>
      <c r="J33" s="11" t="str">
        <f>IFERROR(VLOOKUP($A33,'Мои блогеры'!$A$2:$N$673,8,0),"")</f>
        <v/>
      </c>
      <c r="K33" s="122"/>
      <c r="L33" s="122"/>
      <c r="M33" s="11" t="str">
        <f t="shared" si="16"/>
        <v/>
      </c>
      <c r="N33" s="21"/>
      <c r="O33" s="153"/>
      <c r="P33" s="21"/>
      <c r="Q33" s="120" t="str">
        <f>IFERROR(VLOOKUP($A33,'Мои блогеры'!$A$2:$N$673,10,0)&amp;"-TRG","")</f>
        <v/>
      </c>
      <c r="R33" s="21"/>
      <c r="S33" s="21"/>
      <c r="T33" s="122"/>
      <c r="U33" s="123" t="str">
        <f t="shared" si="17"/>
        <v/>
      </c>
      <c r="V33" s="122"/>
      <c r="W33" s="122"/>
      <c r="X33" s="123" t="str">
        <f t="shared" si="18"/>
        <v/>
      </c>
      <c r="Y33" s="122"/>
      <c r="Z33" s="122"/>
      <c r="AA33" s="122"/>
      <c r="AB33" s="124"/>
      <c r="AC33" s="11" t="str">
        <f t="shared" si="19"/>
        <v/>
      </c>
      <c r="AD33" s="122"/>
      <c r="AE33" s="11" t="str">
        <f t="shared" si="20"/>
        <v/>
      </c>
      <c r="AF33" s="11" t="str">
        <f t="shared" si="21"/>
        <v/>
      </c>
      <c r="AG33" s="11" t="str">
        <f t="shared" si="22"/>
        <v/>
      </c>
      <c r="AH33" s="21"/>
      <c r="AI33" s="242"/>
      <c r="AJ33" s="242"/>
    </row>
    <row r="34" ht="15.0" customHeight="1">
      <c r="A34" s="21"/>
      <c r="B34" s="120" t="str">
        <f>IF($A34="","",IFERROR(HYPERLINK(VLOOKUP($A34,'Мои блогеры'!$A$2:$N$673,14,0),"🔗 открыть"),""))</f>
        <v/>
      </c>
      <c r="C34" s="11" t="str">
        <f>IFERROR(VLOOKUP($A34,'Мои блогеры'!$A:$N,5,0),"")</f>
        <v/>
      </c>
      <c r="D34" s="120" t="str">
        <f>IFERROR(VLOOKUP($A34,'Мои блогеры'!$A:$N,2,0),"")</f>
        <v/>
      </c>
      <c r="E34" s="21"/>
      <c r="F34" s="21"/>
      <c r="G34" s="21"/>
      <c r="H34" s="121"/>
      <c r="I34" s="21"/>
      <c r="J34" s="11" t="str">
        <f>IFERROR(VLOOKUP($A34,'Мои блогеры'!$A$2:$N$673,8,0),"")</f>
        <v/>
      </c>
      <c r="K34" s="122"/>
      <c r="L34" s="122"/>
      <c r="M34" s="11" t="str">
        <f t="shared" si="16"/>
        <v/>
      </c>
      <c r="N34" s="21"/>
      <c r="O34" s="153"/>
      <c r="P34" s="21"/>
      <c r="Q34" s="120" t="str">
        <f>IFERROR(VLOOKUP($A34,'Мои блогеры'!$A$2:$N$673,10,0)&amp;"-TRG","")</f>
        <v/>
      </c>
      <c r="R34" s="21"/>
      <c r="S34" s="21"/>
      <c r="T34" s="122"/>
      <c r="U34" s="123" t="str">
        <f t="shared" si="17"/>
        <v/>
      </c>
      <c r="V34" s="122"/>
      <c r="W34" s="122"/>
      <c r="X34" s="123" t="str">
        <f t="shared" si="18"/>
        <v/>
      </c>
      <c r="Y34" s="122"/>
      <c r="Z34" s="122"/>
      <c r="AA34" s="122"/>
      <c r="AB34" s="124"/>
      <c r="AC34" s="11" t="str">
        <f t="shared" si="19"/>
        <v/>
      </c>
      <c r="AD34" s="122"/>
      <c r="AE34" s="11" t="str">
        <f t="shared" si="20"/>
        <v/>
      </c>
      <c r="AF34" s="11" t="str">
        <f t="shared" si="21"/>
        <v/>
      </c>
      <c r="AG34" s="11" t="str">
        <f t="shared" si="22"/>
        <v/>
      </c>
      <c r="AH34" s="21"/>
      <c r="AI34" s="242"/>
      <c r="AJ34" s="242"/>
    </row>
    <row r="35" ht="15.0" customHeight="1">
      <c r="A35" s="21"/>
      <c r="B35" s="120" t="str">
        <f>IF($A35="","",IFERROR(HYPERLINK(VLOOKUP($A35,'Мои блогеры'!$A$2:$N$673,14,0),"🔗 открыть"),""))</f>
        <v/>
      </c>
      <c r="C35" s="11" t="str">
        <f>IFERROR(VLOOKUP($A35,'Мои блогеры'!$A:$N,5,0),"")</f>
        <v/>
      </c>
      <c r="D35" s="120" t="str">
        <f>IFERROR(VLOOKUP($A35,'Мои блогеры'!$A:$N,2,0),"")</f>
        <v/>
      </c>
      <c r="E35" s="21"/>
      <c r="F35" s="21"/>
      <c r="G35" s="21"/>
      <c r="H35" s="121"/>
      <c r="I35" s="21"/>
      <c r="J35" s="11" t="str">
        <f>IFERROR(VLOOKUP($A35,'Мои блогеры'!$A$2:$N$673,8,0),"")</f>
        <v/>
      </c>
      <c r="K35" s="122"/>
      <c r="L35" s="122"/>
      <c r="M35" s="11" t="str">
        <f t="shared" si="16"/>
        <v/>
      </c>
      <c r="N35" s="21"/>
      <c r="O35" s="153"/>
      <c r="P35" s="21"/>
      <c r="Q35" s="120" t="str">
        <f>IFERROR(VLOOKUP($A35,'Мои блогеры'!$A$2:$N$673,10,0)&amp;"-TRG","")</f>
        <v/>
      </c>
      <c r="R35" s="21"/>
      <c r="S35" s="21"/>
      <c r="T35" s="122"/>
      <c r="U35" s="123" t="str">
        <f t="shared" si="17"/>
        <v/>
      </c>
      <c r="V35" s="122"/>
      <c r="W35" s="122"/>
      <c r="X35" s="123" t="str">
        <f t="shared" si="18"/>
        <v/>
      </c>
      <c r="Y35" s="122"/>
      <c r="Z35" s="122"/>
      <c r="AA35" s="122"/>
      <c r="AB35" s="124"/>
      <c r="AC35" s="11" t="str">
        <f t="shared" si="19"/>
        <v/>
      </c>
      <c r="AD35" s="122"/>
      <c r="AE35" s="11" t="str">
        <f t="shared" si="20"/>
        <v/>
      </c>
      <c r="AF35" s="11" t="str">
        <f t="shared" si="21"/>
        <v/>
      </c>
      <c r="AG35" s="11" t="str">
        <f t="shared" si="22"/>
        <v/>
      </c>
      <c r="AH35" s="21"/>
      <c r="AI35" s="242"/>
      <c r="AJ35" s="242"/>
    </row>
    <row r="36" ht="15.0" customHeight="1">
      <c r="A36" s="21"/>
      <c r="B36" s="120" t="str">
        <f>IF($A36="","",IFERROR(HYPERLINK(VLOOKUP($A36,'Мои блогеры'!$A$2:$N$673,14,0),"🔗 открыть"),""))</f>
        <v/>
      </c>
      <c r="C36" s="11" t="str">
        <f>IFERROR(VLOOKUP($A36,'Мои блогеры'!$A:$N,5,0),"")</f>
        <v/>
      </c>
      <c r="D36" s="120" t="str">
        <f>IFERROR(VLOOKUP($A36,'Мои блогеры'!$A:$N,2,0),"")</f>
        <v/>
      </c>
      <c r="E36" s="21"/>
      <c r="F36" s="21"/>
      <c r="G36" s="21"/>
      <c r="H36" s="121"/>
      <c r="I36" s="21"/>
      <c r="J36" s="11" t="str">
        <f>IFERROR(VLOOKUP($A36,'Мои блогеры'!$A$2:$N$673,8,0),"")</f>
        <v/>
      </c>
      <c r="K36" s="122"/>
      <c r="L36" s="122"/>
      <c r="M36" s="11" t="str">
        <f t="shared" si="16"/>
        <v/>
      </c>
      <c r="N36" s="21"/>
      <c r="O36" s="153"/>
      <c r="P36" s="21"/>
      <c r="Q36" s="120" t="str">
        <f>IFERROR(VLOOKUP($A36,'Мои блогеры'!$A$2:$N$673,10,0)&amp;"-TRG","")</f>
        <v/>
      </c>
      <c r="R36" s="21"/>
      <c r="S36" s="21"/>
      <c r="T36" s="122"/>
      <c r="U36" s="123" t="str">
        <f t="shared" si="17"/>
        <v/>
      </c>
      <c r="V36" s="122"/>
      <c r="W36" s="122"/>
      <c r="X36" s="123" t="str">
        <f t="shared" si="18"/>
        <v/>
      </c>
      <c r="Y36" s="122"/>
      <c r="Z36" s="122"/>
      <c r="AA36" s="122"/>
      <c r="AB36" s="124"/>
      <c r="AC36" s="11" t="str">
        <f t="shared" si="19"/>
        <v/>
      </c>
      <c r="AD36" s="122"/>
      <c r="AE36" s="11" t="str">
        <f t="shared" si="20"/>
        <v/>
      </c>
      <c r="AF36" s="11" t="str">
        <f t="shared" si="21"/>
        <v/>
      </c>
      <c r="AG36" s="11" t="str">
        <f t="shared" si="22"/>
        <v/>
      </c>
      <c r="AH36" s="21"/>
      <c r="AI36" s="242"/>
      <c r="AJ36" s="242"/>
    </row>
    <row r="37" ht="15.0" customHeight="1">
      <c r="A37" s="21"/>
      <c r="B37" s="120" t="str">
        <f>IF($A37="","",IFERROR(HYPERLINK(VLOOKUP($A37,'Мои блогеры'!$A$2:$N$673,14,0),"🔗 открыть"),""))</f>
        <v/>
      </c>
      <c r="C37" s="11" t="str">
        <f>IFERROR(VLOOKUP($A37,'Мои блогеры'!$A:$N,5,0),"")</f>
        <v/>
      </c>
      <c r="D37" s="120" t="str">
        <f>IFERROR(VLOOKUP($A37,'Мои блогеры'!$A:$N,2,0),"")</f>
        <v/>
      </c>
      <c r="E37" s="21"/>
      <c r="F37" s="21"/>
      <c r="G37" s="21"/>
      <c r="H37" s="121"/>
      <c r="I37" s="21"/>
      <c r="J37" s="11" t="str">
        <f>IFERROR(VLOOKUP($A37,'Мои блогеры'!$A$2:$N$673,8,0),"")</f>
        <v/>
      </c>
      <c r="K37" s="122"/>
      <c r="L37" s="122"/>
      <c r="M37" s="11" t="str">
        <f t="shared" si="16"/>
        <v/>
      </c>
      <c r="N37" s="21"/>
      <c r="O37" s="153"/>
      <c r="P37" s="21"/>
      <c r="Q37" s="120" t="str">
        <f>IFERROR(VLOOKUP($A37,'Мои блогеры'!$A$2:$N$673,10,0)&amp;"-TRG","")</f>
        <v/>
      </c>
      <c r="R37" s="21"/>
      <c r="S37" s="21"/>
      <c r="T37" s="122"/>
      <c r="U37" s="123" t="str">
        <f t="shared" si="17"/>
        <v/>
      </c>
      <c r="V37" s="122"/>
      <c r="W37" s="122"/>
      <c r="X37" s="123" t="str">
        <f t="shared" si="18"/>
        <v/>
      </c>
      <c r="Y37" s="122"/>
      <c r="Z37" s="122"/>
      <c r="AA37" s="122"/>
      <c r="AB37" s="124"/>
      <c r="AC37" s="11" t="str">
        <f t="shared" si="19"/>
        <v/>
      </c>
      <c r="AD37" s="122"/>
      <c r="AE37" s="11" t="str">
        <f t="shared" si="20"/>
        <v/>
      </c>
      <c r="AF37" s="11" t="str">
        <f t="shared" si="21"/>
        <v/>
      </c>
      <c r="AG37" s="11" t="str">
        <f t="shared" si="22"/>
        <v/>
      </c>
      <c r="AH37" s="21"/>
      <c r="AI37" s="242"/>
      <c r="AJ37" s="242"/>
    </row>
    <row r="38" ht="15.0" customHeight="1">
      <c r="A38" s="126" t="s">
        <v>1698</v>
      </c>
      <c r="B38" s="126"/>
      <c r="C38" s="127"/>
      <c r="D38" s="126"/>
      <c r="E38" s="126"/>
      <c r="F38" s="126"/>
      <c r="G38" s="126"/>
      <c r="H38" s="126"/>
      <c r="I38" s="126" t="str">
        <f>COUNTIF(I25:I37,"Вышло")&amp;" / "&amp;COUNTA(A25:A37)</f>
        <v>0 / 0</v>
      </c>
      <c r="J38" s="127">
        <f t="shared" ref="J38:M38" si="23">SUM(J25:J37)</f>
        <v>0</v>
      </c>
      <c r="K38" s="127">
        <f t="shared" si="23"/>
        <v>0</v>
      </c>
      <c r="L38" s="127">
        <f t="shared" si="23"/>
        <v>0</v>
      </c>
      <c r="M38" s="127">
        <f t="shared" si="23"/>
        <v>0</v>
      </c>
      <c r="N38" s="126"/>
      <c r="O38" s="163"/>
      <c r="P38" s="126"/>
      <c r="Q38" s="126"/>
      <c r="R38" s="126"/>
      <c r="S38" s="126"/>
      <c r="T38" s="127">
        <f>SUM(T25:T37)</f>
        <v>0</v>
      </c>
      <c r="U38" s="128" t="str">
        <f t="shared" si="17"/>
        <v/>
      </c>
      <c r="V38" s="127">
        <f t="shared" ref="V38:W38" si="24">SUM(V25:V37)</f>
        <v>0</v>
      </c>
      <c r="W38" s="127">
        <f t="shared" si="24"/>
        <v>0</v>
      </c>
      <c r="X38" s="128" t="str">
        <f>IF(N(V38)=0,"",M38/V38)</f>
        <v/>
      </c>
      <c r="Y38" s="127">
        <f t="shared" ref="Y38:AA38" si="25">SUM(Y25:Y37)</f>
        <v>0</v>
      </c>
      <c r="Z38" s="127">
        <f t="shared" si="25"/>
        <v>0</v>
      </c>
      <c r="AA38" s="127">
        <f t="shared" si="25"/>
        <v>0</v>
      </c>
      <c r="AB38" s="129"/>
      <c r="AC38" s="127">
        <f>SUM(AC25:AC37)</f>
        <v>0</v>
      </c>
      <c r="AD38" s="127"/>
      <c r="AE38" s="127">
        <f>SUM(AE25:AE37)</f>
        <v>0</v>
      </c>
      <c r="AF38" s="127" t="str">
        <f>IF(N(AC38)=0,"—",ROUND(M38/AC38,0))</f>
        <v>—</v>
      </c>
      <c r="AG38" s="127" t="str">
        <f>IF(N(Z38)=0,"—",ROUND(M38/Z38,0))</f>
        <v>—</v>
      </c>
      <c r="AH38" s="126"/>
      <c r="AI38" s="255"/>
      <c r="AJ38" s="255"/>
    </row>
    <row r="39" ht="15.0" customHeight="1">
      <c r="A39" s="117" t="s">
        <v>1699</v>
      </c>
      <c r="B39" s="117"/>
      <c r="C39" s="130"/>
      <c r="D39" s="117"/>
      <c r="E39" s="117"/>
      <c r="F39" s="117"/>
      <c r="G39" s="117"/>
      <c r="H39" s="117"/>
      <c r="I39" s="117"/>
      <c r="J39" s="130"/>
      <c r="K39" s="130"/>
      <c r="L39" s="130"/>
      <c r="M39" s="130"/>
      <c r="N39" s="117"/>
      <c r="O39" s="157"/>
      <c r="P39" s="117"/>
      <c r="Q39" s="117"/>
      <c r="R39" s="117"/>
      <c r="S39" s="117"/>
      <c r="T39" s="130"/>
      <c r="U39" s="131"/>
      <c r="V39" s="130"/>
      <c r="W39" s="130"/>
      <c r="X39" s="131"/>
      <c r="Y39" s="130"/>
      <c r="Z39" s="130"/>
      <c r="AA39" s="130"/>
      <c r="AB39" s="132"/>
      <c r="AC39" s="130"/>
      <c r="AD39" s="130"/>
      <c r="AE39" s="130"/>
      <c r="AF39" s="130"/>
      <c r="AG39" s="130"/>
      <c r="AH39" s="117"/>
      <c r="AI39" s="241"/>
      <c r="AJ39" s="241"/>
    </row>
    <row r="40" ht="15.0" customHeight="1">
      <c r="A40" s="256"/>
      <c r="B40" s="120" t="str">
        <f>IF($A40="","",IFERROR(HYPERLINK(VLOOKUP($A40,'Мои блогеры'!$A$2:$N$673,14,0),"🔗 открыть"),""))</f>
        <v/>
      </c>
      <c r="C40" s="11"/>
      <c r="D40" s="120"/>
      <c r="E40" s="21"/>
      <c r="F40" s="21"/>
      <c r="G40" s="21"/>
      <c r="H40" s="167"/>
      <c r="I40" s="21"/>
      <c r="J40" s="11" t="str">
        <f>IFERROR(VLOOKUP($A40,'Мои блогеры'!$A$2:$N$673,8,0),"")</f>
        <v/>
      </c>
      <c r="K40" s="122"/>
      <c r="L40" s="122"/>
      <c r="M40" s="11" t="str">
        <f t="shared" ref="M40:M50" si="26">IF(N($J40)+N($K40)+N($L40)=0,"",N($J40)+N($K40)+N($L40))</f>
        <v/>
      </c>
      <c r="N40" s="21"/>
      <c r="O40" s="153"/>
      <c r="P40" s="21"/>
      <c r="Q40" s="120" t="str">
        <f>IFERROR(VLOOKUP($A40,'Мои блогеры'!$A$2:$N$673,10,0)&amp;"-TRG","")</f>
        <v/>
      </c>
      <c r="R40" s="21"/>
      <c r="S40" s="21"/>
      <c r="T40" s="122"/>
      <c r="U40" s="123" t="str">
        <f t="shared" ref="U40:U51" si="27">IF(N($T40)=0,"",$M40/$T40)</f>
        <v/>
      </c>
      <c r="V40" s="122"/>
      <c r="W40" s="122"/>
      <c r="X40" s="123" t="str">
        <f t="shared" ref="X40:X50" si="28">IF(N($V40)=0,"",$M40/$V40)</f>
        <v/>
      </c>
      <c r="Y40" s="122"/>
      <c r="Z40" s="122"/>
      <c r="AA40" s="122"/>
      <c r="AB40" s="124"/>
      <c r="AC40" s="11" t="str">
        <f t="shared" ref="AC40:AC50" si="29">IF(OR(N($Z40)=0,$AB40=""),"",ROUND($Z40*$AB40,0))</f>
        <v/>
      </c>
      <c r="AD40" s="122"/>
      <c r="AE40" s="11" t="str">
        <f t="shared" ref="AE40:AE50" si="30">IF(OR(N($AC40)=0,$AD40=""),"",ROUND($AC40*$AD40,0))</f>
        <v/>
      </c>
      <c r="AF40" s="11" t="str">
        <f t="shared" ref="AF40:AF50" si="31">IF(N($AC40)=0,"",ROUND($M40/$AC40,0))</f>
        <v/>
      </c>
      <c r="AG40" s="11" t="str">
        <f t="shared" ref="AG40:AG50" si="32">IF(N($Z40)=0,"",ROUND($M40/$Z40,0))</f>
        <v/>
      </c>
      <c r="AH40" s="21"/>
      <c r="AI40" s="242"/>
      <c r="AJ40" s="242"/>
    </row>
    <row r="41" ht="15.0" customHeight="1">
      <c r="A41" s="256"/>
      <c r="B41" s="120" t="str">
        <f>IF($A41="","",IFERROR(HYPERLINK(VLOOKUP($A41,'Мои блогеры'!$A$2:$N$673,14,0),"🔗 открыть"),""))</f>
        <v/>
      </c>
      <c r="C41" s="11"/>
      <c r="D41" s="120"/>
      <c r="E41" s="21"/>
      <c r="F41" s="21"/>
      <c r="G41" s="21"/>
      <c r="H41" s="121"/>
      <c r="I41" s="21"/>
      <c r="J41" s="11" t="str">
        <f>IFERROR(VLOOKUP($A41,'Мои блогеры'!$A$2:$N$673,8,0),"")</f>
        <v/>
      </c>
      <c r="K41" s="122"/>
      <c r="L41" s="122"/>
      <c r="M41" s="11" t="str">
        <f t="shared" si="26"/>
        <v/>
      </c>
      <c r="N41" s="21"/>
      <c r="O41" s="153"/>
      <c r="P41" s="21"/>
      <c r="Q41" s="120" t="str">
        <f>IFERROR(VLOOKUP($A41,'Мои блогеры'!$A$2:$N$673,10,0)&amp;"-TRG","")</f>
        <v/>
      </c>
      <c r="R41" s="21"/>
      <c r="S41" s="21"/>
      <c r="T41" s="122"/>
      <c r="U41" s="123" t="str">
        <f t="shared" si="27"/>
        <v/>
      </c>
      <c r="V41" s="122"/>
      <c r="W41" s="122"/>
      <c r="X41" s="123" t="str">
        <f t="shared" si="28"/>
        <v/>
      </c>
      <c r="Y41" s="122"/>
      <c r="Z41" s="122"/>
      <c r="AA41" s="122"/>
      <c r="AB41" s="124"/>
      <c r="AC41" s="11" t="str">
        <f t="shared" si="29"/>
        <v/>
      </c>
      <c r="AD41" s="122"/>
      <c r="AE41" s="11" t="str">
        <f t="shared" si="30"/>
        <v/>
      </c>
      <c r="AF41" s="11" t="str">
        <f t="shared" si="31"/>
        <v/>
      </c>
      <c r="AG41" s="11" t="str">
        <f t="shared" si="32"/>
        <v/>
      </c>
      <c r="AH41" s="21"/>
      <c r="AI41" s="242"/>
      <c r="AJ41" s="242"/>
    </row>
    <row r="42" ht="15.75" customHeight="1">
      <c r="A42" s="21"/>
      <c r="B42" s="120" t="str">
        <f>IF($A42="","",IFERROR(HYPERLINK(VLOOKUP($A42,'Мои блогеры'!$A$2:$N$673,14,0),"🔗 открыть"),""))</f>
        <v/>
      </c>
      <c r="C42" s="11"/>
      <c r="D42" s="120"/>
      <c r="E42" s="21"/>
      <c r="F42" s="165"/>
      <c r="G42" s="21"/>
      <c r="H42" s="121"/>
      <c r="I42" s="21"/>
      <c r="J42" s="11" t="str">
        <f>IFERROR(VLOOKUP($A42,'Мои блогеры'!$A$2:$N$673,8,0),"")</f>
        <v/>
      </c>
      <c r="K42" s="122"/>
      <c r="L42" s="122"/>
      <c r="M42" s="11" t="str">
        <f t="shared" si="26"/>
        <v/>
      </c>
      <c r="N42" s="21"/>
      <c r="O42" s="153"/>
      <c r="P42" s="21"/>
      <c r="Q42" s="120" t="str">
        <f>IFERROR(VLOOKUP($A42,'Мои блогеры'!$A$2:$N$673,10,0)&amp;"-TRG","")</f>
        <v/>
      </c>
      <c r="R42" s="21"/>
      <c r="S42" s="21"/>
      <c r="T42" s="122"/>
      <c r="U42" s="123" t="str">
        <f t="shared" si="27"/>
        <v/>
      </c>
      <c r="V42" s="122"/>
      <c r="W42" s="122"/>
      <c r="X42" s="123" t="str">
        <f t="shared" si="28"/>
        <v/>
      </c>
      <c r="Y42" s="122"/>
      <c r="Z42" s="122"/>
      <c r="AA42" s="122"/>
      <c r="AB42" s="124"/>
      <c r="AC42" s="11" t="str">
        <f t="shared" si="29"/>
        <v/>
      </c>
      <c r="AD42" s="122"/>
      <c r="AE42" s="11" t="str">
        <f t="shared" si="30"/>
        <v/>
      </c>
      <c r="AF42" s="11" t="str">
        <f t="shared" si="31"/>
        <v/>
      </c>
      <c r="AG42" s="11" t="str">
        <f t="shared" si="32"/>
        <v/>
      </c>
      <c r="AH42" s="21"/>
      <c r="AI42" s="242"/>
      <c r="AJ42" s="242"/>
    </row>
    <row r="43" ht="15.0" customHeight="1">
      <c r="A43" s="21"/>
      <c r="B43" s="120" t="str">
        <f>IF($A43="","",IFERROR(HYPERLINK(VLOOKUP($A43,'Мои блогеры'!$A$2:$N$673,14,0),"🔗 открыть"),""))</f>
        <v/>
      </c>
      <c r="C43" s="11" t="str">
        <f>IFERROR(VLOOKUP($A43,'Мои блогеры'!$A:$N,5,0),"")</f>
        <v/>
      </c>
      <c r="D43" s="120" t="str">
        <f>IFERROR(VLOOKUP($A43,'Мои блогеры'!$A:$N,2,0),"")</f>
        <v/>
      </c>
      <c r="E43" s="21"/>
      <c r="F43" s="21"/>
      <c r="G43" s="21"/>
      <c r="H43" s="121"/>
      <c r="I43" s="21"/>
      <c r="J43" s="11" t="str">
        <f>IFERROR(VLOOKUP($A43,'Мои блогеры'!$A$2:$N$673,8,0),"")</f>
        <v/>
      </c>
      <c r="K43" s="122"/>
      <c r="L43" s="122"/>
      <c r="M43" s="11" t="str">
        <f t="shared" si="26"/>
        <v/>
      </c>
      <c r="N43" s="21"/>
      <c r="O43" s="153"/>
      <c r="P43" s="21"/>
      <c r="Q43" s="120" t="str">
        <f>IFERROR(VLOOKUP($A43,'Мои блогеры'!$A$2:$N$673,10,0)&amp;"-TRG","")</f>
        <v/>
      </c>
      <c r="R43" s="21"/>
      <c r="S43" s="21"/>
      <c r="T43" s="122"/>
      <c r="U43" s="123" t="str">
        <f t="shared" si="27"/>
        <v/>
      </c>
      <c r="V43" s="122"/>
      <c r="W43" s="122"/>
      <c r="X43" s="123" t="str">
        <f t="shared" si="28"/>
        <v/>
      </c>
      <c r="Y43" s="122"/>
      <c r="Z43" s="122"/>
      <c r="AA43" s="122"/>
      <c r="AB43" s="124"/>
      <c r="AC43" s="11" t="str">
        <f t="shared" si="29"/>
        <v/>
      </c>
      <c r="AD43" s="122"/>
      <c r="AE43" s="11" t="str">
        <f t="shared" si="30"/>
        <v/>
      </c>
      <c r="AF43" s="11" t="str">
        <f t="shared" si="31"/>
        <v/>
      </c>
      <c r="AG43" s="11" t="str">
        <f t="shared" si="32"/>
        <v/>
      </c>
      <c r="AH43" s="21"/>
      <c r="AI43" s="242"/>
      <c r="AJ43" s="242"/>
    </row>
    <row r="44" ht="15.0" customHeight="1">
      <c r="A44" s="21"/>
      <c r="B44" s="120" t="str">
        <f>IF($A44="","",IFERROR(HYPERLINK(VLOOKUP($A44,'Мои блогеры'!$A$2:$N$673,14,0),"🔗 открыть"),""))</f>
        <v/>
      </c>
      <c r="C44" s="11" t="str">
        <f>IFERROR(VLOOKUP($A44,'Мои блогеры'!$A:$N,5,0),"")</f>
        <v/>
      </c>
      <c r="D44" s="120" t="str">
        <f>IFERROR(VLOOKUP($A44,'Мои блогеры'!$A:$N,2,0),"")</f>
        <v/>
      </c>
      <c r="E44" s="21"/>
      <c r="F44" s="21"/>
      <c r="G44" s="21"/>
      <c r="H44" s="121"/>
      <c r="I44" s="21"/>
      <c r="J44" s="11" t="str">
        <f>IFERROR(VLOOKUP($A44,'Мои блогеры'!$A$2:$N$673,8,0),"")</f>
        <v/>
      </c>
      <c r="K44" s="122"/>
      <c r="L44" s="122"/>
      <c r="M44" s="11" t="str">
        <f t="shared" si="26"/>
        <v/>
      </c>
      <c r="N44" s="21"/>
      <c r="O44" s="153"/>
      <c r="P44" s="21"/>
      <c r="Q44" s="120" t="str">
        <f>IFERROR(VLOOKUP($A44,'Мои блогеры'!$A$2:$N$673,10,0)&amp;"-TRG","")</f>
        <v/>
      </c>
      <c r="R44" s="21"/>
      <c r="S44" s="21"/>
      <c r="T44" s="122"/>
      <c r="U44" s="123" t="str">
        <f t="shared" si="27"/>
        <v/>
      </c>
      <c r="V44" s="122"/>
      <c r="W44" s="122"/>
      <c r="X44" s="123" t="str">
        <f t="shared" si="28"/>
        <v/>
      </c>
      <c r="Y44" s="122"/>
      <c r="Z44" s="122"/>
      <c r="AA44" s="122"/>
      <c r="AB44" s="124"/>
      <c r="AC44" s="11" t="str">
        <f t="shared" si="29"/>
        <v/>
      </c>
      <c r="AD44" s="122"/>
      <c r="AE44" s="11" t="str">
        <f t="shared" si="30"/>
        <v/>
      </c>
      <c r="AF44" s="11" t="str">
        <f t="shared" si="31"/>
        <v/>
      </c>
      <c r="AG44" s="11" t="str">
        <f t="shared" si="32"/>
        <v/>
      </c>
      <c r="AH44" s="21"/>
      <c r="AI44" s="242"/>
      <c r="AJ44" s="242"/>
    </row>
    <row r="45" ht="15.0" customHeight="1">
      <c r="A45" s="21"/>
      <c r="B45" s="120" t="str">
        <f>IF($A45="","",IFERROR(HYPERLINK(VLOOKUP($A45,'Мои блогеры'!$A$2:$N$673,14,0),"🔗 открыть"),""))</f>
        <v/>
      </c>
      <c r="C45" s="11" t="str">
        <f>IFERROR(VLOOKUP($A45,'Мои блогеры'!$A:$N,5,0),"")</f>
        <v/>
      </c>
      <c r="D45" s="120" t="str">
        <f>IFERROR(VLOOKUP($A45,'Мои блогеры'!$A:$N,2,0),"")</f>
        <v/>
      </c>
      <c r="E45" s="21"/>
      <c r="F45" s="21"/>
      <c r="G45" s="21"/>
      <c r="H45" s="121"/>
      <c r="I45" s="21"/>
      <c r="J45" s="11" t="str">
        <f>IFERROR(VLOOKUP($A45,'Мои блогеры'!$A$2:$N$673,8,0),"")</f>
        <v/>
      </c>
      <c r="K45" s="122"/>
      <c r="L45" s="122"/>
      <c r="M45" s="11" t="str">
        <f t="shared" si="26"/>
        <v/>
      </c>
      <c r="N45" s="21"/>
      <c r="O45" s="153"/>
      <c r="P45" s="21"/>
      <c r="Q45" s="120" t="str">
        <f>IFERROR(VLOOKUP($A45,'Мои блогеры'!$A$2:$N$673,10,0)&amp;"-TRG","")</f>
        <v/>
      </c>
      <c r="R45" s="21"/>
      <c r="S45" s="21"/>
      <c r="T45" s="122"/>
      <c r="U45" s="123" t="str">
        <f t="shared" si="27"/>
        <v/>
      </c>
      <c r="V45" s="122"/>
      <c r="W45" s="122"/>
      <c r="X45" s="123" t="str">
        <f t="shared" si="28"/>
        <v/>
      </c>
      <c r="Y45" s="122"/>
      <c r="Z45" s="122"/>
      <c r="AA45" s="122"/>
      <c r="AB45" s="124"/>
      <c r="AC45" s="11" t="str">
        <f t="shared" si="29"/>
        <v/>
      </c>
      <c r="AD45" s="122"/>
      <c r="AE45" s="11" t="str">
        <f t="shared" si="30"/>
        <v/>
      </c>
      <c r="AF45" s="11" t="str">
        <f t="shared" si="31"/>
        <v/>
      </c>
      <c r="AG45" s="11" t="str">
        <f t="shared" si="32"/>
        <v/>
      </c>
      <c r="AH45" s="21"/>
      <c r="AI45" s="242"/>
      <c r="AJ45" s="242"/>
    </row>
    <row r="46" ht="15.0" customHeight="1">
      <c r="A46" s="21"/>
      <c r="B46" s="120" t="str">
        <f>IF($A46="","",IFERROR(HYPERLINK(VLOOKUP($A46,'Мои блогеры'!$A$2:$N$673,14,0),"🔗 открыть"),""))</f>
        <v/>
      </c>
      <c r="C46" s="11" t="str">
        <f>IFERROR(VLOOKUP($A46,'Мои блогеры'!$A:$N,5,0),"")</f>
        <v/>
      </c>
      <c r="D46" s="120" t="str">
        <f>IFERROR(VLOOKUP($A46,'Мои блогеры'!$A:$N,2,0),"")</f>
        <v/>
      </c>
      <c r="E46" s="21"/>
      <c r="F46" s="21"/>
      <c r="G46" s="21"/>
      <c r="H46" s="121"/>
      <c r="I46" s="21"/>
      <c r="J46" s="11" t="str">
        <f>IFERROR(VLOOKUP($A46,'Мои блогеры'!$A$2:$N$673,8,0),"")</f>
        <v/>
      </c>
      <c r="K46" s="122"/>
      <c r="L46" s="122"/>
      <c r="M46" s="11" t="str">
        <f t="shared" si="26"/>
        <v/>
      </c>
      <c r="N46" s="21"/>
      <c r="O46" s="153"/>
      <c r="P46" s="21"/>
      <c r="Q46" s="120" t="str">
        <f>IFERROR(VLOOKUP($A46,'Мои блогеры'!$A$2:$N$673,10,0)&amp;"-TRG","")</f>
        <v/>
      </c>
      <c r="R46" s="21"/>
      <c r="S46" s="21"/>
      <c r="T46" s="122"/>
      <c r="U46" s="123" t="str">
        <f t="shared" si="27"/>
        <v/>
      </c>
      <c r="V46" s="122"/>
      <c r="W46" s="122"/>
      <c r="X46" s="123" t="str">
        <f t="shared" si="28"/>
        <v/>
      </c>
      <c r="Y46" s="122"/>
      <c r="Z46" s="122"/>
      <c r="AA46" s="122"/>
      <c r="AB46" s="124"/>
      <c r="AC46" s="11" t="str">
        <f t="shared" si="29"/>
        <v/>
      </c>
      <c r="AD46" s="122"/>
      <c r="AE46" s="11" t="str">
        <f t="shared" si="30"/>
        <v/>
      </c>
      <c r="AF46" s="11" t="str">
        <f t="shared" si="31"/>
        <v/>
      </c>
      <c r="AG46" s="11" t="str">
        <f t="shared" si="32"/>
        <v/>
      </c>
      <c r="AH46" s="21"/>
      <c r="AI46" s="242"/>
      <c r="AJ46" s="242"/>
    </row>
    <row r="47" ht="15.0" customHeight="1">
      <c r="A47" s="21"/>
      <c r="B47" s="120" t="str">
        <f>IF($A47="","",IFERROR(HYPERLINK(VLOOKUP($A47,'Мои блогеры'!$A$2:$N$673,14,0),"🔗 открыть"),""))</f>
        <v/>
      </c>
      <c r="C47" s="11" t="str">
        <f>IFERROR(VLOOKUP($A47,'Мои блогеры'!$A:$N,5,0),"")</f>
        <v/>
      </c>
      <c r="D47" s="120" t="str">
        <f>IFERROR(VLOOKUP($A47,'Мои блогеры'!$A:$N,2,0),"")</f>
        <v/>
      </c>
      <c r="E47" s="21"/>
      <c r="F47" s="21"/>
      <c r="G47" s="21"/>
      <c r="H47" s="121"/>
      <c r="I47" s="21"/>
      <c r="J47" s="11" t="str">
        <f>IFERROR(VLOOKUP($A47,'Мои блогеры'!$A$2:$N$673,8,0),"")</f>
        <v/>
      </c>
      <c r="K47" s="122"/>
      <c r="L47" s="122"/>
      <c r="M47" s="11" t="str">
        <f t="shared" si="26"/>
        <v/>
      </c>
      <c r="N47" s="21"/>
      <c r="O47" s="153"/>
      <c r="P47" s="21"/>
      <c r="Q47" s="120" t="str">
        <f>IFERROR(VLOOKUP($A47,'Мои блогеры'!$A$2:$N$673,10,0)&amp;"-TRG","")</f>
        <v/>
      </c>
      <c r="R47" s="21"/>
      <c r="S47" s="21"/>
      <c r="T47" s="122"/>
      <c r="U47" s="123" t="str">
        <f t="shared" si="27"/>
        <v/>
      </c>
      <c r="V47" s="122"/>
      <c r="W47" s="122"/>
      <c r="X47" s="123" t="str">
        <f t="shared" si="28"/>
        <v/>
      </c>
      <c r="Y47" s="122"/>
      <c r="Z47" s="122"/>
      <c r="AA47" s="122"/>
      <c r="AB47" s="124"/>
      <c r="AC47" s="11" t="str">
        <f t="shared" si="29"/>
        <v/>
      </c>
      <c r="AD47" s="122"/>
      <c r="AE47" s="11" t="str">
        <f t="shared" si="30"/>
        <v/>
      </c>
      <c r="AF47" s="11" t="str">
        <f t="shared" si="31"/>
        <v/>
      </c>
      <c r="AG47" s="11" t="str">
        <f t="shared" si="32"/>
        <v/>
      </c>
      <c r="AH47" s="21"/>
      <c r="AI47" s="242"/>
      <c r="AJ47" s="242"/>
    </row>
    <row r="48" ht="15.0" customHeight="1">
      <c r="A48" s="21"/>
      <c r="B48" s="120" t="str">
        <f>IF($A48="","",IFERROR(HYPERLINK(VLOOKUP($A48,'Мои блогеры'!$A$2:$N$673,14,0),"🔗 открыть"),""))</f>
        <v/>
      </c>
      <c r="C48" s="11" t="str">
        <f>IFERROR(VLOOKUP($A48,'Мои блогеры'!$A:$N,5,0),"")</f>
        <v/>
      </c>
      <c r="D48" s="120" t="str">
        <f>IFERROR(VLOOKUP($A48,'Мои блогеры'!$A:$N,2,0),"")</f>
        <v/>
      </c>
      <c r="E48" s="21"/>
      <c r="F48" s="21"/>
      <c r="G48" s="21"/>
      <c r="H48" s="121"/>
      <c r="I48" s="21"/>
      <c r="J48" s="11" t="str">
        <f>IFERROR(VLOOKUP($A48,'Мои блогеры'!$A$2:$N$673,8,0),"")</f>
        <v/>
      </c>
      <c r="K48" s="122"/>
      <c r="L48" s="122"/>
      <c r="M48" s="11" t="str">
        <f t="shared" si="26"/>
        <v/>
      </c>
      <c r="N48" s="21"/>
      <c r="O48" s="153"/>
      <c r="P48" s="21"/>
      <c r="Q48" s="120" t="str">
        <f>IFERROR(VLOOKUP($A48,'Мои блогеры'!$A$2:$N$673,10,0)&amp;"-TRG","")</f>
        <v/>
      </c>
      <c r="R48" s="21"/>
      <c r="S48" s="21"/>
      <c r="T48" s="122"/>
      <c r="U48" s="123" t="str">
        <f t="shared" si="27"/>
        <v/>
      </c>
      <c r="V48" s="122"/>
      <c r="W48" s="122"/>
      <c r="X48" s="123" t="str">
        <f t="shared" si="28"/>
        <v/>
      </c>
      <c r="Y48" s="122"/>
      <c r="Z48" s="122"/>
      <c r="AA48" s="122"/>
      <c r="AB48" s="124"/>
      <c r="AC48" s="11" t="str">
        <f t="shared" si="29"/>
        <v/>
      </c>
      <c r="AD48" s="122"/>
      <c r="AE48" s="11" t="str">
        <f t="shared" si="30"/>
        <v/>
      </c>
      <c r="AF48" s="11" t="str">
        <f t="shared" si="31"/>
        <v/>
      </c>
      <c r="AG48" s="11" t="str">
        <f t="shared" si="32"/>
        <v/>
      </c>
      <c r="AH48" s="21"/>
      <c r="AI48" s="242"/>
      <c r="AJ48" s="242"/>
    </row>
    <row r="49" ht="15.0" customHeight="1">
      <c r="A49" s="21"/>
      <c r="B49" s="120" t="str">
        <f>IF($A49="","",IFERROR(HYPERLINK(VLOOKUP($A49,'Мои блогеры'!$A$2:$N$673,14,0),"🔗 открыть"),""))</f>
        <v/>
      </c>
      <c r="C49" s="11" t="str">
        <f>IFERROR(VLOOKUP($A49,'Мои блогеры'!$A:$N,5,0),"")</f>
        <v/>
      </c>
      <c r="D49" s="120" t="str">
        <f>IFERROR(VLOOKUP($A49,'Мои блогеры'!$A:$N,2,0),"")</f>
        <v/>
      </c>
      <c r="E49" s="21"/>
      <c r="F49" s="21"/>
      <c r="G49" s="21"/>
      <c r="H49" s="121"/>
      <c r="I49" s="21"/>
      <c r="J49" s="11" t="str">
        <f>IFERROR(VLOOKUP($A49,'Мои блогеры'!$A$2:$N$673,8,0),"")</f>
        <v/>
      </c>
      <c r="K49" s="122"/>
      <c r="L49" s="122"/>
      <c r="M49" s="11" t="str">
        <f t="shared" si="26"/>
        <v/>
      </c>
      <c r="N49" s="21"/>
      <c r="O49" s="153"/>
      <c r="P49" s="21"/>
      <c r="Q49" s="120" t="str">
        <f>IFERROR(VLOOKUP($A49,'Мои блогеры'!$A$2:$N$673,10,0)&amp;"-TRG","")</f>
        <v/>
      </c>
      <c r="R49" s="21"/>
      <c r="S49" s="21"/>
      <c r="T49" s="122"/>
      <c r="U49" s="123" t="str">
        <f t="shared" si="27"/>
        <v/>
      </c>
      <c r="V49" s="122"/>
      <c r="W49" s="122"/>
      <c r="X49" s="123" t="str">
        <f t="shared" si="28"/>
        <v/>
      </c>
      <c r="Y49" s="122"/>
      <c r="Z49" s="122"/>
      <c r="AA49" s="122"/>
      <c r="AB49" s="124"/>
      <c r="AC49" s="11" t="str">
        <f t="shared" si="29"/>
        <v/>
      </c>
      <c r="AD49" s="122"/>
      <c r="AE49" s="11" t="str">
        <f t="shared" si="30"/>
        <v/>
      </c>
      <c r="AF49" s="11" t="str">
        <f t="shared" si="31"/>
        <v/>
      </c>
      <c r="AG49" s="11" t="str">
        <f t="shared" si="32"/>
        <v/>
      </c>
      <c r="AH49" s="21"/>
      <c r="AI49" s="242"/>
      <c r="AJ49" s="242"/>
    </row>
    <row r="50" ht="15.0" customHeight="1">
      <c r="A50" s="21"/>
      <c r="B50" s="120" t="str">
        <f>IF($A50="","",IFERROR(HYPERLINK(VLOOKUP($A50,'Мои блогеры'!$A$2:$N$673,14,0),"🔗 открыть"),""))</f>
        <v/>
      </c>
      <c r="C50" s="11" t="str">
        <f>IFERROR(VLOOKUP($A50,'Мои блогеры'!$A:$N,5,0),"")</f>
        <v/>
      </c>
      <c r="D50" s="120" t="str">
        <f>IFERROR(VLOOKUP($A50,'Мои блогеры'!$A:$N,2,0),"")</f>
        <v/>
      </c>
      <c r="E50" s="21"/>
      <c r="F50" s="21"/>
      <c r="G50" s="21"/>
      <c r="H50" s="121"/>
      <c r="I50" s="21"/>
      <c r="J50" s="11" t="str">
        <f>IFERROR(VLOOKUP($A50,'Мои блогеры'!$A$2:$N$673,8,0),"")</f>
        <v/>
      </c>
      <c r="K50" s="122"/>
      <c r="L50" s="122"/>
      <c r="M50" s="11" t="str">
        <f t="shared" si="26"/>
        <v/>
      </c>
      <c r="N50" s="21"/>
      <c r="O50" s="153"/>
      <c r="P50" s="21"/>
      <c r="Q50" s="120" t="str">
        <f>IFERROR(VLOOKUP($A50,'Мои блогеры'!$A$2:$N$673,10,0)&amp;"-TRG","")</f>
        <v/>
      </c>
      <c r="R50" s="21"/>
      <c r="S50" s="21"/>
      <c r="T50" s="122"/>
      <c r="U50" s="123" t="str">
        <f t="shared" si="27"/>
        <v/>
      </c>
      <c r="V50" s="122"/>
      <c r="W50" s="122"/>
      <c r="X50" s="123" t="str">
        <f t="shared" si="28"/>
        <v/>
      </c>
      <c r="Y50" s="122"/>
      <c r="Z50" s="122"/>
      <c r="AA50" s="122"/>
      <c r="AB50" s="124"/>
      <c r="AC50" s="11" t="str">
        <f t="shared" si="29"/>
        <v/>
      </c>
      <c r="AD50" s="122"/>
      <c r="AE50" s="11" t="str">
        <f t="shared" si="30"/>
        <v/>
      </c>
      <c r="AF50" s="11" t="str">
        <f t="shared" si="31"/>
        <v/>
      </c>
      <c r="AG50" s="11" t="str">
        <f t="shared" si="32"/>
        <v/>
      </c>
      <c r="AH50" s="21"/>
      <c r="AI50" s="242"/>
      <c r="AJ50" s="242"/>
    </row>
    <row r="51" ht="15.0" customHeight="1">
      <c r="A51" s="126" t="s">
        <v>1700</v>
      </c>
      <c r="B51" s="126"/>
      <c r="C51" s="127"/>
      <c r="D51" s="126"/>
      <c r="E51" s="126"/>
      <c r="F51" s="126"/>
      <c r="G51" s="126"/>
      <c r="H51" s="126"/>
      <c r="I51" s="126" t="str">
        <f>COUNTIF(I40:I50,"Вышло")&amp;" / "&amp;COUNTA(A40:A50)</f>
        <v>0 / 0</v>
      </c>
      <c r="J51" s="127">
        <f t="shared" ref="J51:M51" si="33">SUM(J40:J50)</f>
        <v>0</v>
      </c>
      <c r="K51" s="127">
        <f t="shared" si="33"/>
        <v>0</v>
      </c>
      <c r="L51" s="127">
        <f t="shared" si="33"/>
        <v>0</v>
      </c>
      <c r="M51" s="127">
        <f t="shared" si="33"/>
        <v>0</v>
      </c>
      <c r="N51" s="126"/>
      <c r="O51" s="163"/>
      <c r="P51" s="126"/>
      <c r="Q51" s="126"/>
      <c r="R51" s="126"/>
      <c r="S51" s="126"/>
      <c r="T51" s="127">
        <f>SUM(T40:T50)</f>
        <v>0</v>
      </c>
      <c r="U51" s="128" t="str">
        <f t="shared" si="27"/>
        <v/>
      </c>
      <c r="V51" s="127">
        <f t="shared" ref="V51:W51" si="34">SUM(V40:V50)</f>
        <v>0</v>
      </c>
      <c r="W51" s="127">
        <f t="shared" si="34"/>
        <v>0</v>
      </c>
      <c r="X51" s="128" t="str">
        <f>IF(N(V51)=0,"",M51/V51)</f>
        <v/>
      </c>
      <c r="Y51" s="127">
        <f t="shared" ref="Y51:AA51" si="35">SUM(Y40:Y50)</f>
        <v>0</v>
      </c>
      <c r="Z51" s="127">
        <f t="shared" si="35"/>
        <v>0</v>
      </c>
      <c r="AA51" s="127">
        <f t="shared" si="35"/>
        <v>0</v>
      </c>
      <c r="AB51" s="129"/>
      <c r="AC51" s="127">
        <f>SUM(AC40:AC50)</f>
        <v>0</v>
      </c>
      <c r="AD51" s="127"/>
      <c r="AE51" s="127">
        <f>SUM(AE40:AE50)</f>
        <v>0</v>
      </c>
      <c r="AF51" s="127" t="str">
        <f>IF(N(AC51)=0,"—",ROUND(M51/AC51,0))</f>
        <v>—</v>
      </c>
      <c r="AG51" s="127" t="str">
        <f>IF(N(Z51)=0,"—",ROUND(M51/Z51,0))</f>
        <v>—</v>
      </c>
      <c r="AH51" s="126"/>
      <c r="AI51" s="255"/>
      <c r="AJ51" s="255"/>
    </row>
    <row r="52" ht="15.0" customHeight="1">
      <c r="A52" s="117" t="s">
        <v>1701</v>
      </c>
      <c r="B52" s="117"/>
      <c r="C52" s="130"/>
      <c r="D52" s="117"/>
      <c r="E52" s="117"/>
      <c r="F52" s="117"/>
      <c r="G52" s="117"/>
      <c r="H52" s="117"/>
      <c r="I52" s="117"/>
      <c r="J52" s="130"/>
      <c r="K52" s="130"/>
      <c r="L52" s="130"/>
      <c r="M52" s="130"/>
      <c r="N52" s="117"/>
      <c r="O52" s="157"/>
      <c r="P52" s="117"/>
      <c r="Q52" s="117"/>
      <c r="R52" s="117"/>
      <c r="S52" s="117"/>
      <c r="T52" s="130"/>
      <c r="U52" s="131"/>
      <c r="V52" s="130"/>
      <c r="W52" s="130"/>
      <c r="X52" s="131"/>
      <c r="Y52" s="130"/>
      <c r="Z52" s="130"/>
      <c r="AA52" s="130"/>
      <c r="AB52" s="132"/>
      <c r="AC52" s="130"/>
      <c r="AD52" s="130"/>
      <c r="AE52" s="130"/>
      <c r="AF52" s="130"/>
      <c r="AG52" s="130"/>
      <c r="AH52" s="117"/>
      <c r="AI52" s="241"/>
      <c r="AJ52" s="241"/>
    </row>
    <row r="53" ht="15.0" customHeight="1">
      <c r="A53" s="256"/>
      <c r="B53" s="120" t="str">
        <f>IF($A53="","",IFERROR(HYPERLINK(VLOOKUP($A53,'Мои блогеры'!$A$2:$N$673,14,0),"🔗 открыть"),""))</f>
        <v/>
      </c>
      <c r="C53" s="11"/>
      <c r="D53" s="120"/>
      <c r="E53" s="21"/>
      <c r="F53" s="21"/>
      <c r="G53" s="21"/>
      <c r="H53" s="167"/>
      <c r="I53" s="21"/>
      <c r="J53" s="11" t="str">
        <f>IFERROR(VLOOKUP($A53,'Мои блогеры'!$A$2:$N$673,8,0),"")</f>
        <v/>
      </c>
      <c r="K53" s="122"/>
      <c r="L53" s="122"/>
      <c r="M53" s="11" t="str">
        <f t="shared" ref="M53:M63" si="36">IF(N($J53)+N($K53)+N($L53)=0,"",N($J53)+N($K53)+N($L53))</f>
        <v/>
      </c>
      <c r="N53" s="21"/>
      <c r="O53" s="153"/>
      <c r="P53" s="21"/>
      <c r="Q53" s="120" t="str">
        <f>IFERROR(VLOOKUP($A53,'Мои блогеры'!$A$2:$N$673,10,0)&amp;"-TRG","")</f>
        <v/>
      </c>
      <c r="R53" s="21"/>
      <c r="S53" s="21"/>
      <c r="T53" s="122"/>
      <c r="U53" s="123" t="str">
        <f t="shared" ref="U53:U64" si="37">IF(N($T53)=0,"",$M53/$T53)</f>
        <v/>
      </c>
      <c r="V53" s="122"/>
      <c r="W53" s="122"/>
      <c r="X53" s="123" t="str">
        <f t="shared" ref="X53:X63" si="38">IF(N($V53)=0,"",$M53/$V53)</f>
        <v/>
      </c>
      <c r="Y53" s="122"/>
      <c r="Z53" s="122"/>
      <c r="AA53" s="122"/>
      <c r="AB53" s="124"/>
      <c r="AC53" s="11" t="str">
        <f t="shared" ref="AC53:AC63" si="39">IF(OR(N($Z53)=0,$AB53=""),"",ROUND($Z53*$AB53,0))</f>
        <v/>
      </c>
      <c r="AD53" s="122"/>
      <c r="AE53" s="11" t="str">
        <f t="shared" ref="AE53:AE63" si="40">IF(OR(N($AC53)=0,$AD53=""),"",ROUND($AC53*$AD53,0))</f>
        <v/>
      </c>
      <c r="AF53" s="11" t="str">
        <f t="shared" ref="AF53:AF63" si="41">IF(N($AC53)=0,"",ROUND($M53/$AC53,0))</f>
        <v/>
      </c>
      <c r="AG53" s="11" t="str">
        <f t="shared" ref="AG53:AG63" si="42">IF(N($Z53)=0,"",ROUND($M53/$Z53,0))</f>
        <v/>
      </c>
      <c r="AH53" s="21"/>
      <c r="AI53" s="242"/>
      <c r="AJ53" s="242"/>
    </row>
    <row r="54" ht="15.0" customHeight="1">
      <c r="A54" s="256"/>
      <c r="B54" s="120" t="str">
        <f>IF($A54="","",IFERROR(HYPERLINK(VLOOKUP($A54,'Мои блогеры'!$A$2:$N$673,14,0),"🔗 открыть"),""))</f>
        <v/>
      </c>
      <c r="C54" s="11"/>
      <c r="D54" s="120"/>
      <c r="E54" s="21"/>
      <c r="F54" s="21"/>
      <c r="G54" s="21"/>
      <c r="H54" s="121"/>
      <c r="I54" s="21"/>
      <c r="J54" s="11" t="str">
        <f>IFERROR(VLOOKUP($A54,'Мои блогеры'!$A$2:$N$673,8,0),"")</f>
        <v/>
      </c>
      <c r="K54" s="122"/>
      <c r="L54" s="122"/>
      <c r="M54" s="11" t="str">
        <f t="shared" si="36"/>
        <v/>
      </c>
      <c r="N54" s="21"/>
      <c r="O54" s="153"/>
      <c r="P54" s="21"/>
      <c r="Q54" s="120" t="str">
        <f>IFERROR(VLOOKUP($A54,'Мои блогеры'!$A$2:$N$673,10,0)&amp;"-TRG","")</f>
        <v/>
      </c>
      <c r="R54" s="21"/>
      <c r="S54" s="21"/>
      <c r="T54" s="122"/>
      <c r="U54" s="123" t="str">
        <f t="shared" si="37"/>
        <v/>
      </c>
      <c r="V54" s="122"/>
      <c r="W54" s="122"/>
      <c r="X54" s="123" t="str">
        <f t="shared" si="38"/>
        <v/>
      </c>
      <c r="Y54" s="122"/>
      <c r="Z54" s="122"/>
      <c r="AA54" s="122"/>
      <c r="AB54" s="124"/>
      <c r="AC54" s="11" t="str">
        <f t="shared" si="39"/>
        <v/>
      </c>
      <c r="AD54" s="122"/>
      <c r="AE54" s="11" t="str">
        <f t="shared" si="40"/>
        <v/>
      </c>
      <c r="AF54" s="11" t="str">
        <f t="shared" si="41"/>
        <v/>
      </c>
      <c r="AG54" s="11" t="str">
        <f t="shared" si="42"/>
        <v/>
      </c>
      <c r="AH54" s="21"/>
      <c r="AI54" s="242"/>
      <c r="AJ54" s="242"/>
    </row>
    <row r="55" ht="15.0" customHeight="1">
      <c r="A55" s="21"/>
      <c r="B55" s="120" t="str">
        <f>IF($A55="","",IFERROR(HYPERLINK(VLOOKUP($A55,'Мои блогеры'!$A$2:$N$673,14,0),"🔗 открыть"),""))</f>
        <v/>
      </c>
      <c r="C55" s="11"/>
      <c r="D55" s="120"/>
      <c r="E55" s="21"/>
      <c r="F55" s="165"/>
      <c r="G55" s="21"/>
      <c r="H55" s="121"/>
      <c r="I55" s="21"/>
      <c r="J55" s="11" t="str">
        <f>IFERROR(VLOOKUP($A55,'Мои блогеры'!$A$2:$N$673,8,0),"")</f>
        <v/>
      </c>
      <c r="K55" s="122"/>
      <c r="L55" s="122"/>
      <c r="M55" s="11" t="str">
        <f t="shared" si="36"/>
        <v/>
      </c>
      <c r="N55" s="21"/>
      <c r="O55" s="153"/>
      <c r="P55" s="21"/>
      <c r="Q55" s="120" t="str">
        <f>IFERROR(VLOOKUP($A55,'Мои блогеры'!$A$2:$N$673,10,0)&amp;"-TRG","")</f>
        <v/>
      </c>
      <c r="R55" s="21"/>
      <c r="S55" s="21"/>
      <c r="T55" s="122"/>
      <c r="U55" s="123" t="str">
        <f t="shared" si="37"/>
        <v/>
      </c>
      <c r="V55" s="122"/>
      <c r="W55" s="122"/>
      <c r="X55" s="123" t="str">
        <f t="shared" si="38"/>
        <v/>
      </c>
      <c r="Y55" s="122"/>
      <c r="Z55" s="122"/>
      <c r="AA55" s="122"/>
      <c r="AB55" s="124"/>
      <c r="AC55" s="11" t="str">
        <f t="shared" si="39"/>
        <v/>
      </c>
      <c r="AD55" s="122"/>
      <c r="AE55" s="11" t="str">
        <f t="shared" si="40"/>
        <v/>
      </c>
      <c r="AF55" s="11" t="str">
        <f t="shared" si="41"/>
        <v/>
      </c>
      <c r="AG55" s="11" t="str">
        <f t="shared" si="42"/>
        <v/>
      </c>
      <c r="AH55" s="21"/>
      <c r="AI55" s="242"/>
      <c r="AJ55" s="242"/>
    </row>
    <row r="56" ht="15.75" customHeight="1">
      <c r="A56" s="21"/>
      <c r="B56" s="120" t="str">
        <f>IF($A56="","",IFERROR(HYPERLINK(VLOOKUP($A56,'Мои блогеры'!$A$2:$N$673,14,0),"🔗 открыть"),""))</f>
        <v/>
      </c>
      <c r="C56" s="11" t="str">
        <f>IFERROR(VLOOKUP($A56,'Мои блогеры'!$A:$N,5,0),"")</f>
        <v/>
      </c>
      <c r="D56" s="120" t="str">
        <f>IFERROR(VLOOKUP($A56,'Мои блогеры'!$A:$N,2,0),"")</f>
        <v/>
      </c>
      <c r="E56" s="21"/>
      <c r="F56" s="21"/>
      <c r="G56" s="21"/>
      <c r="H56" s="121"/>
      <c r="I56" s="21"/>
      <c r="J56" s="11" t="str">
        <f>IFERROR(VLOOKUP($A56,'Мои блогеры'!$A$2:$N$673,8,0),"")</f>
        <v/>
      </c>
      <c r="K56" s="122"/>
      <c r="L56" s="122"/>
      <c r="M56" s="11" t="str">
        <f t="shared" si="36"/>
        <v/>
      </c>
      <c r="N56" s="21"/>
      <c r="O56" s="153"/>
      <c r="P56" s="21"/>
      <c r="Q56" s="120" t="str">
        <f>IFERROR(VLOOKUP($A56,'Мои блогеры'!$A$2:$N$673,10,0)&amp;"-TRG","")</f>
        <v/>
      </c>
      <c r="R56" s="21"/>
      <c r="S56" s="21"/>
      <c r="T56" s="122"/>
      <c r="U56" s="123" t="str">
        <f t="shared" si="37"/>
        <v/>
      </c>
      <c r="V56" s="122"/>
      <c r="W56" s="122"/>
      <c r="X56" s="123" t="str">
        <f t="shared" si="38"/>
        <v/>
      </c>
      <c r="Y56" s="122"/>
      <c r="Z56" s="122"/>
      <c r="AA56" s="122"/>
      <c r="AB56" s="124"/>
      <c r="AC56" s="11" t="str">
        <f t="shared" si="39"/>
        <v/>
      </c>
      <c r="AD56" s="122"/>
      <c r="AE56" s="11" t="str">
        <f t="shared" si="40"/>
        <v/>
      </c>
      <c r="AF56" s="11" t="str">
        <f t="shared" si="41"/>
        <v/>
      </c>
      <c r="AG56" s="11" t="str">
        <f t="shared" si="42"/>
        <v/>
      </c>
      <c r="AH56" s="21"/>
      <c r="AI56" s="242"/>
      <c r="AJ56" s="242"/>
    </row>
    <row r="57" ht="15.75" customHeight="1">
      <c r="A57" s="21"/>
      <c r="B57" s="120" t="str">
        <f>IF($A57="","",IFERROR(HYPERLINK(VLOOKUP($A57,'Мои блогеры'!$A$2:$N$673,14,0),"🔗 открыть"),""))</f>
        <v/>
      </c>
      <c r="C57" s="11" t="str">
        <f>IFERROR(VLOOKUP($A57,'Мои блогеры'!$A:$N,5,0),"")</f>
        <v/>
      </c>
      <c r="D57" s="120" t="str">
        <f>IFERROR(VLOOKUP($A57,'Мои блогеры'!$A:$N,2,0),"")</f>
        <v/>
      </c>
      <c r="E57" s="21"/>
      <c r="F57" s="21"/>
      <c r="G57" s="21"/>
      <c r="H57" s="121"/>
      <c r="I57" s="21"/>
      <c r="J57" s="11" t="str">
        <f>IFERROR(VLOOKUP($A57,'Мои блогеры'!$A$2:$N$673,8,0),"")</f>
        <v/>
      </c>
      <c r="K57" s="122"/>
      <c r="L57" s="122"/>
      <c r="M57" s="11" t="str">
        <f t="shared" si="36"/>
        <v/>
      </c>
      <c r="N57" s="21"/>
      <c r="O57" s="153"/>
      <c r="P57" s="21"/>
      <c r="Q57" s="120" t="str">
        <f>IFERROR(VLOOKUP($A57,'Мои блогеры'!$A$2:$N$673,10,0)&amp;"-TRG","")</f>
        <v/>
      </c>
      <c r="R57" s="21"/>
      <c r="S57" s="21"/>
      <c r="T57" s="122"/>
      <c r="U57" s="123" t="str">
        <f t="shared" si="37"/>
        <v/>
      </c>
      <c r="V57" s="122"/>
      <c r="W57" s="122"/>
      <c r="X57" s="123" t="str">
        <f t="shared" si="38"/>
        <v/>
      </c>
      <c r="Y57" s="122"/>
      <c r="Z57" s="122"/>
      <c r="AA57" s="122"/>
      <c r="AB57" s="124"/>
      <c r="AC57" s="11" t="str">
        <f t="shared" si="39"/>
        <v/>
      </c>
      <c r="AD57" s="122"/>
      <c r="AE57" s="11" t="str">
        <f t="shared" si="40"/>
        <v/>
      </c>
      <c r="AF57" s="11" t="str">
        <f t="shared" si="41"/>
        <v/>
      </c>
      <c r="AG57" s="11" t="str">
        <f t="shared" si="42"/>
        <v/>
      </c>
      <c r="AH57" s="21"/>
      <c r="AI57" s="242"/>
      <c r="AJ57" s="242"/>
    </row>
    <row r="58" ht="15.75" customHeight="1">
      <c r="A58" s="21"/>
      <c r="B58" s="120" t="str">
        <f>IF($A58="","",IFERROR(HYPERLINK(VLOOKUP($A58,'Мои блогеры'!$A$2:$N$673,14,0),"🔗 открыть"),""))</f>
        <v/>
      </c>
      <c r="C58" s="11" t="str">
        <f>IFERROR(VLOOKUP($A58,'Мои блогеры'!$A:$N,5,0),"")</f>
        <v/>
      </c>
      <c r="D58" s="120" t="str">
        <f>IFERROR(VLOOKUP($A58,'Мои блогеры'!$A:$N,2,0),"")</f>
        <v/>
      </c>
      <c r="E58" s="21"/>
      <c r="F58" s="21"/>
      <c r="G58" s="21"/>
      <c r="H58" s="121"/>
      <c r="I58" s="21"/>
      <c r="J58" s="11" t="str">
        <f>IFERROR(VLOOKUP($A58,'Мои блогеры'!$A$2:$N$673,8,0),"")</f>
        <v/>
      </c>
      <c r="K58" s="122"/>
      <c r="L58" s="122"/>
      <c r="M58" s="11" t="str">
        <f t="shared" si="36"/>
        <v/>
      </c>
      <c r="N58" s="21"/>
      <c r="O58" s="153"/>
      <c r="P58" s="21"/>
      <c r="Q58" s="120" t="str">
        <f>IFERROR(VLOOKUP($A58,'Мои блогеры'!$A$2:$N$673,10,0)&amp;"-TRG","")</f>
        <v/>
      </c>
      <c r="R58" s="21"/>
      <c r="S58" s="21"/>
      <c r="T58" s="122"/>
      <c r="U58" s="123" t="str">
        <f t="shared" si="37"/>
        <v/>
      </c>
      <c r="V58" s="122"/>
      <c r="W58" s="122"/>
      <c r="X58" s="123" t="str">
        <f t="shared" si="38"/>
        <v/>
      </c>
      <c r="Y58" s="122"/>
      <c r="Z58" s="122"/>
      <c r="AA58" s="122"/>
      <c r="AB58" s="124"/>
      <c r="AC58" s="11" t="str">
        <f t="shared" si="39"/>
        <v/>
      </c>
      <c r="AD58" s="122"/>
      <c r="AE58" s="11" t="str">
        <f t="shared" si="40"/>
        <v/>
      </c>
      <c r="AF58" s="11" t="str">
        <f t="shared" si="41"/>
        <v/>
      </c>
      <c r="AG58" s="11" t="str">
        <f t="shared" si="42"/>
        <v/>
      </c>
      <c r="AH58" s="21"/>
      <c r="AI58" s="242"/>
      <c r="AJ58" s="242"/>
    </row>
    <row r="59" ht="15.75" customHeight="1">
      <c r="A59" s="21"/>
      <c r="B59" s="120" t="str">
        <f>IF($A59="","",IFERROR(HYPERLINK(VLOOKUP($A59,'Мои блогеры'!$A$2:$N$673,14,0),"🔗 открыть"),""))</f>
        <v/>
      </c>
      <c r="C59" s="11" t="str">
        <f>IFERROR(VLOOKUP($A59,'Мои блогеры'!$A:$N,5,0),"")</f>
        <v/>
      </c>
      <c r="D59" s="120" t="str">
        <f>IFERROR(VLOOKUP($A59,'Мои блогеры'!$A:$N,2,0),"")</f>
        <v/>
      </c>
      <c r="E59" s="21"/>
      <c r="F59" s="21"/>
      <c r="G59" s="21"/>
      <c r="H59" s="121"/>
      <c r="I59" s="21"/>
      <c r="J59" s="11" t="str">
        <f>IFERROR(VLOOKUP($A59,'Мои блогеры'!$A$2:$N$673,8,0),"")</f>
        <v/>
      </c>
      <c r="K59" s="122"/>
      <c r="L59" s="122"/>
      <c r="M59" s="11" t="str">
        <f t="shared" si="36"/>
        <v/>
      </c>
      <c r="N59" s="21"/>
      <c r="O59" s="153"/>
      <c r="P59" s="21"/>
      <c r="Q59" s="120" t="str">
        <f>IFERROR(VLOOKUP($A59,'Мои блогеры'!$A$2:$N$673,10,0)&amp;"-TRG","")</f>
        <v/>
      </c>
      <c r="R59" s="21"/>
      <c r="S59" s="21"/>
      <c r="T59" s="122"/>
      <c r="U59" s="123" t="str">
        <f t="shared" si="37"/>
        <v/>
      </c>
      <c r="V59" s="122"/>
      <c r="W59" s="122"/>
      <c r="X59" s="123" t="str">
        <f t="shared" si="38"/>
        <v/>
      </c>
      <c r="Y59" s="122"/>
      <c r="Z59" s="122"/>
      <c r="AA59" s="122"/>
      <c r="AB59" s="124"/>
      <c r="AC59" s="11" t="str">
        <f t="shared" si="39"/>
        <v/>
      </c>
      <c r="AD59" s="122"/>
      <c r="AE59" s="11" t="str">
        <f t="shared" si="40"/>
        <v/>
      </c>
      <c r="AF59" s="11" t="str">
        <f t="shared" si="41"/>
        <v/>
      </c>
      <c r="AG59" s="11" t="str">
        <f t="shared" si="42"/>
        <v/>
      </c>
      <c r="AH59" s="21"/>
      <c r="AI59" s="242"/>
      <c r="AJ59" s="242"/>
    </row>
    <row r="60" ht="15.75" customHeight="1">
      <c r="A60" s="21"/>
      <c r="B60" s="120" t="str">
        <f>IF($A60="","",IFERROR(HYPERLINK(VLOOKUP($A60,'Мои блогеры'!$A$2:$N$673,14,0),"🔗 открыть"),""))</f>
        <v/>
      </c>
      <c r="C60" s="11" t="str">
        <f>IFERROR(VLOOKUP($A60,'Мои блогеры'!$A:$N,5,0),"")</f>
        <v/>
      </c>
      <c r="D60" s="120" t="str">
        <f>IFERROR(VLOOKUP($A60,'Мои блогеры'!$A:$N,2,0),"")</f>
        <v/>
      </c>
      <c r="E60" s="21"/>
      <c r="F60" s="21"/>
      <c r="G60" s="21"/>
      <c r="H60" s="121"/>
      <c r="I60" s="21"/>
      <c r="J60" s="11" t="str">
        <f>IFERROR(VLOOKUP($A60,'Мои блогеры'!$A$2:$N$673,8,0),"")</f>
        <v/>
      </c>
      <c r="K60" s="122"/>
      <c r="L60" s="122"/>
      <c r="M60" s="11" t="str">
        <f t="shared" si="36"/>
        <v/>
      </c>
      <c r="N60" s="21"/>
      <c r="O60" s="153"/>
      <c r="P60" s="21"/>
      <c r="Q60" s="120" t="str">
        <f>IFERROR(VLOOKUP($A60,'Мои блогеры'!$A$2:$N$673,10,0)&amp;"-TRG","")</f>
        <v/>
      </c>
      <c r="R60" s="21"/>
      <c r="S60" s="21"/>
      <c r="T60" s="122"/>
      <c r="U60" s="123" t="str">
        <f t="shared" si="37"/>
        <v/>
      </c>
      <c r="V60" s="122"/>
      <c r="W60" s="122"/>
      <c r="X60" s="123" t="str">
        <f t="shared" si="38"/>
        <v/>
      </c>
      <c r="Y60" s="122"/>
      <c r="Z60" s="122"/>
      <c r="AA60" s="122"/>
      <c r="AB60" s="124"/>
      <c r="AC60" s="11" t="str">
        <f t="shared" si="39"/>
        <v/>
      </c>
      <c r="AD60" s="122"/>
      <c r="AE60" s="11" t="str">
        <f t="shared" si="40"/>
        <v/>
      </c>
      <c r="AF60" s="11" t="str">
        <f t="shared" si="41"/>
        <v/>
      </c>
      <c r="AG60" s="11" t="str">
        <f t="shared" si="42"/>
        <v/>
      </c>
      <c r="AH60" s="21"/>
      <c r="AI60" s="242"/>
      <c r="AJ60" s="242"/>
    </row>
    <row r="61" ht="15.75" customHeight="1">
      <c r="A61" s="21"/>
      <c r="B61" s="120" t="str">
        <f>IF($A61="","",IFERROR(HYPERLINK(VLOOKUP($A61,'Мои блогеры'!$A$2:$N$673,14,0),"🔗 открыть"),""))</f>
        <v/>
      </c>
      <c r="C61" s="11" t="str">
        <f>IFERROR(VLOOKUP($A61,'Мои блогеры'!$A:$N,5,0),"")</f>
        <v/>
      </c>
      <c r="D61" s="120" t="str">
        <f>IFERROR(VLOOKUP($A61,'Мои блогеры'!$A:$N,2,0),"")</f>
        <v/>
      </c>
      <c r="E61" s="21"/>
      <c r="F61" s="21"/>
      <c r="G61" s="21"/>
      <c r="H61" s="121"/>
      <c r="I61" s="21"/>
      <c r="J61" s="11" t="str">
        <f>IFERROR(VLOOKUP($A61,'Мои блогеры'!$A$2:$N$673,8,0),"")</f>
        <v/>
      </c>
      <c r="K61" s="122"/>
      <c r="L61" s="122"/>
      <c r="M61" s="11" t="str">
        <f t="shared" si="36"/>
        <v/>
      </c>
      <c r="N61" s="21"/>
      <c r="O61" s="153"/>
      <c r="P61" s="21"/>
      <c r="Q61" s="120" t="str">
        <f>IFERROR(VLOOKUP($A61,'Мои блогеры'!$A$2:$N$673,10,0)&amp;"-TRG","")</f>
        <v/>
      </c>
      <c r="R61" s="21"/>
      <c r="S61" s="21"/>
      <c r="T61" s="122"/>
      <c r="U61" s="123" t="str">
        <f t="shared" si="37"/>
        <v/>
      </c>
      <c r="V61" s="122"/>
      <c r="W61" s="122"/>
      <c r="X61" s="123" t="str">
        <f t="shared" si="38"/>
        <v/>
      </c>
      <c r="Y61" s="122"/>
      <c r="Z61" s="122"/>
      <c r="AA61" s="122"/>
      <c r="AB61" s="124"/>
      <c r="AC61" s="11" t="str">
        <f t="shared" si="39"/>
        <v/>
      </c>
      <c r="AD61" s="122"/>
      <c r="AE61" s="11" t="str">
        <f t="shared" si="40"/>
        <v/>
      </c>
      <c r="AF61" s="11" t="str">
        <f t="shared" si="41"/>
        <v/>
      </c>
      <c r="AG61" s="11" t="str">
        <f t="shared" si="42"/>
        <v/>
      </c>
      <c r="AH61" s="21"/>
      <c r="AI61" s="242"/>
      <c r="AJ61" s="242"/>
    </row>
    <row r="62" ht="15.75" customHeight="1">
      <c r="A62" s="21"/>
      <c r="B62" s="120" t="str">
        <f>IF($A62="","",IFERROR(HYPERLINK(VLOOKUP($A62,'Мои блогеры'!$A$2:$N$673,14,0),"🔗 открыть"),""))</f>
        <v/>
      </c>
      <c r="C62" s="11" t="str">
        <f>IFERROR(VLOOKUP($A62,'Мои блогеры'!$A:$N,5,0),"")</f>
        <v/>
      </c>
      <c r="D62" s="120" t="str">
        <f>IFERROR(VLOOKUP($A62,'Мои блогеры'!$A:$N,2,0),"")</f>
        <v/>
      </c>
      <c r="E62" s="21"/>
      <c r="F62" s="21"/>
      <c r="G62" s="21"/>
      <c r="H62" s="121"/>
      <c r="I62" s="21"/>
      <c r="J62" s="11" t="str">
        <f>IFERROR(VLOOKUP($A62,'Мои блогеры'!$A$2:$N$673,8,0),"")</f>
        <v/>
      </c>
      <c r="K62" s="122"/>
      <c r="L62" s="122"/>
      <c r="M62" s="11" t="str">
        <f t="shared" si="36"/>
        <v/>
      </c>
      <c r="N62" s="21"/>
      <c r="O62" s="153"/>
      <c r="P62" s="21"/>
      <c r="Q62" s="120" t="str">
        <f>IFERROR(VLOOKUP($A62,'Мои блогеры'!$A$2:$N$673,10,0)&amp;"-TRG","")</f>
        <v/>
      </c>
      <c r="R62" s="21"/>
      <c r="S62" s="21"/>
      <c r="T62" s="122"/>
      <c r="U62" s="123" t="str">
        <f t="shared" si="37"/>
        <v/>
      </c>
      <c r="V62" s="122"/>
      <c r="W62" s="122"/>
      <c r="X62" s="123" t="str">
        <f t="shared" si="38"/>
        <v/>
      </c>
      <c r="Y62" s="122"/>
      <c r="Z62" s="122"/>
      <c r="AA62" s="122"/>
      <c r="AB62" s="124"/>
      <c r="AC62" s="11" t="str">
        <f t="shared" si="39"/>
        <v/>
      </c>
      <c r="AD62" s="122"/>
      <c r="AE62" s="11" t="str">
        <f t="shared" si="40"/>
        <v/>
      </c>
      <c r="AF62" s="11" t="str">
        <f t="shared" si="41"/>
        <v/>
      </c>
      <c r="AG62" s="11" t="str">
        <f t="shared" si="42"/>
        <v/>
      </c>
      <c r="AH62" s="21"/>
      <c r="AI62" s="242"/>
      <c r="AJ62" s="242"/>
    </row>
    <row r="63" ht="15.75" customHeight="1">
      <c r="A63" s="21"/>
      <c r="B63" s="120" t="str">
        <f>IF($A63="","",IFERROR(HYPERLINK(VLOOKUP($A63,'Мои блогеры'!$A$2:$N$673,14,0),"🔗 открыть"),""))</f>
        <v/>
      </c>
      <c r="C63" s="11" t="str">
        <f>IFERROR(VLOOKUP($A63,'Мои блогеры'!$A:$N,5,0),"")</f>
        <v/>
      </c>
      <c r="D63" s="120" t="str">
        <f>IFERROR(VLOOKUP($A63,'Мои блогеры'!$A:$N,2,0),"")</f>
        <v/>
      </c>
      <c r="E63" s="21"/>
      <c r="F63" s="21"/>
      <c r="G63" s="21"/>
      <c r="H63" s="121"/>
      <c r="I63" s="21"/>
      <c r="J63" s="11" t="str">
        <f>IFERROR(VLOOKUP($A63,'Мои блогеры'!$A$2:$N$673,8,0),"")</f>
        <v/>
      </c>
      <c r="K63" s="122"/>
      <c r="L63" s="122"/>
      <c r="M63" s="11" t="str">
        <f t="shared" si="36"/>
        <v/>
      </c>
      <c r="N63" s="21"/>
      <c r="O63" s="153"/>
      <c r="P63" s="21"/>
      <c r="Q63" s="120" t="str">
        <f>IFERROR(VLOOKUP($A63,'Мои блогеры'!$A$2:$N$673,10,0)&amp;"-TRG","")</f>
        <v/>
      </c>
      <c r="R63" s="21"/>
      <c r="S63" s="21"/>
      <c r="T63" s="122"/>
      <c r="U63" s="123" t="str">
        <f t="shared" si="37"/>
        <v/>
      </c>
      <c r="V63" s="122"/>
      <c r="W63" s="122"/>
      <c r="X63" s="123" t="str">
        <f t="shared" si="38"/>
        <v/>
      </c>
      <c r="Y63" s="122"/>
      <c r="Z63" s="122"/>
      <c r="AA63" s="122"/>
      <c r="AB63" s="124"/>
      <c r="AC63" s="11" t="str">
        <f t="shared" si="39"/>
        <v/>
      </c>
      <c r="AD63" s="122"/>
      <c r="AE63" s="11" t="str">
        <f t="shared" si="40"/>
        <v/>
      </c>
      <c r="AF63" s="11" t="str">
        <f t="shared" si="41"/>
        <v/>
      </c>
      <c r="AG63" s="11" t="str">
        <f t="shared" si="42"/>
        <v/>
      </c>
      <c r="AH63" s="21"/>
      <c r="AI63" s="242"/>
      <c r="AJ63" s="242"/>
    </row>
    <row r="64" ht="15.75" customHeight="1">
      <c r="A64" s="126" t="s">
        <v>1702</v>
      </c>
      <c r="B64" s="126"/>
      <c r="C64" s="127"/>
      <c r="D64" s="126"/>
      <c r="E64" s="126"/>
      <c r="F64" s="126"/>
      <c r="G64" s="126"/>
      <c r="H64" s="126"/>
      <c r="I64" s="126" t="str">
        <f>COUNTIF(I53:I63,"Вышло")&amp;" / "&amp;COUNTA(A53:A63)</f>
        <v>0 / 0</v>
      </c>
      <c r="J64" s="127">
        <f t="shared" ref="J64:M64" si="43">SUM(J53:J63)</f>
        <v>0</v>
      </c>
      <c r="K64" s="127">
        <f t="shared" si="43"/>
        <v>0</v>
      </c>
      <c r="L64" s="127">
        <f t="shared" si="43"/>
        <v>0</v>
      </c>
      <c r="M64" s="127">
        <f t="shared" si="43"/>
        <v>0</v>
      </c>
      <c r="N64" s="126"/>
      <c r="O64" s="163"/>
      <c r="P64" s="126"/>
      <c r="Q64" s="126"/>
      <c r="R64" s="126"/>
      <c r="S64" s="126"/>
      <c r="T64" s="127">
        <f>SUM(T53:T63)</f>
        <v>0</v>
      </c>
      <c r="U64" s="128" t="str">
        <f t="shared" si="37"/>
        <v/>
      </c>
      <c r="V64" s="127">
        <f t="shared" ref="V64:W64" si="44">SUM(V53:V63)</f>
        <v>0</v>
      </c>
      <c r="W64" s="127">
        <f t="shared" si="44"/>
        <v>0</v>
      </c>
      <c r="X64" s="128" t="str">
        <f>IF(N(V64)=0,"",M64/V64)</f>
        <v/>
      </c>
      <c r="Y64" s="127">
        <f t="shared" ref="Y64:AA64" si="45">SUM(Y53:Y63)</f>
        <v>0</v>
      </c>
      <c r="Z64" s="127">
        <f t="shared" si="45"/>
        <v>0</v>
      </c>
      <c r="AA64" s="127">
        <f t="shared" si="45"/>
        <v>0</v>
      </c>
      <c r="AB64" s="129"/>
      <c r="AC64" s="127">
        <f>SUM(AC53:AC63)</f>
        <v>0</v>
      </c>
      <c r="AD64" s="127"/>
      <c r="AE64" s="127">
        <f>SUM(AE53:AE63)</f>
        <v>0</v>
      </c>
      <c r="AF64" s="127" t="str">
        <f>IF(N(AC64)=0,"—",ROUND(M64/AC64,0))</f>
        <v>—</v>
      </c>
      <c r="AG64" s="127" t="str">
        <f>IF(N(Z64)=0,"—",ROUND(M64/Z64,0))</f>
        <v>—</v>
      </c>
      <c r="AH64" s="126"/>
      <c r="AI64" s="255"/>
      <c r="AJ64" s="255"/>
    </row>
    <row r="65" ht="15.75" customHeight="1">
      <c r="A65" s="117" t="s">
        <v>1703</v>
      </c>
      <c r="B65" s="257"/>
      <c r="C65" s="258"/>
      <c r="D65" s="257"/>
      <c r="E65" s="257"/>
      <c r="F65" s="257"/>
      <c r="G65" s="257"/>
      <c r="H65" s="259"/>
      <c r="I65" s="257"/>
      <c r="J65" s="258"/>
      <c r="K65" s="258"/>
      <c r="L65" s="258"/>
      <c r="M65" s="258"/>
      <c r="N65" s="257"/>
      <c r="O65" s="257"/>
      <c r="P65" s="257"/>
      <c r="Q65" s="257"/>
      <c r="R65" s="257"/>
      <c r="S65" s="257"/>
      <c r="T65" s="258"/>
      <c r="U65" s="260"/>
      <c r="V65" s="258"/>
      <c r="W65" s="258"/>
      <c r="X65" s="260"/>
      <c r="Y65" s="258"/>
      <c r="Z65" s="258"/>
      <c r="AA65" s="258"/>
      <c r="AB65" s="261"/>
      <c r="AC65" s="258"/>
      <c r="AD65" s="258"/>
      <c r="AE65" s="258"/>
      <c r="AF65" s="258"/>
      <c r="AG65" s="258"/>
      <c r="AH65" s="21"/>
      <c r="AI65" s="242"/>
      <c r="AJ65" s="242"/>
    </row>
    <row r="66" ht="15.75" customHeight="1">
      <c r="A66" s="243"/>
      <c r="B66" s="191" t="str">
        <f>IF($A66="","",IFERROR(HYPERLINK(VLOOKUP($A66,'Мои блогеры'!$A$2:$N$673,14,0),"🔗 открыть"),""))</f>
        <v/>
      </c>
      <c r="C66" s="191"/>
      <c r="D66" s="120" t="str">
        <f>IFERROR(VLOOKUP($A66,'Мои блогеры'!$A:$N,2,0),"")</f>
        <v/>
      </c>
      <c r="E66" s="194"/>
      <c r="F66" s="194"/>
      <c r="G66" s="262"/>
      <c r="H66" s="192"/>
      <c r="I66" s="21"/>
      <c r="J66" s="11" t="str">
        <f>IFERROR(VLOOKUP($A66,'Мои блогеры'!$A$2:$N$673,8,0),"")</f>
        <v/>
      </c>
      <c r="K66" s="193"/>
      <c r="L66" s="122"/>
      <c r="M66" s="11" t="str">
        <f t="shared" ref="M66:M72" si="46">IF(N($J66)+N($K66)+N($L66)=0,"",N($J66)+N($K66)+N($L66))</f>
        <v/>
      </c>
      <c r="N66" s="194"/>
      <c r="O66" s="194"/>
      <c r="P66" s="21"/>
      <c r="Q66" s="120" t="str">
        <f>IFERROR(VLOOKUP($A66,'Мои блогеры'!$A$2:$N$673,10,0)&amp;"-TRG","")</f>
        <v/>
      </c>
      <c r="R66" s="194"/>
      <c r="S66" s="193"/>
      <c r="T66" s="122"/>
      <c r="U66" s="123" t="str">
        <f t="shared" ref="U66:U73" si="47">IF(N($T66)=0,"",$M66/$T66)</f>
        <v/>
      </c>
      <c r="V66" s="193"/>
      <c r="W66" s="122"/>
      <c r="X66" s="123" t="str">
        <f t="shared" ref="X66:X72" si="48">IF(N($V66)=0,"",$M66/$V66)</f>
        <v/>
      </c>
      <c r="Y66" s="193"/>
      <c r="Z66" s="193"/>
      <c r="AA66" s="193"/>
      <c r="AB66" s="124"/>
      <c r="AC66" s="11" t="str">
        <f t="shared" ref="AC66:AC72" si="49">IF(OR(N($Z66)=0,$AB66=""),"",ROUND($Z66*$AB66,0))</f>
        <v/>
      </c>
      <c r="AD66" s="122"/>
      <c r="AE66" s="191" t="str">
        <f t="shared" ref="AE66:AE72" si="50">IF(OR(N($AC66)=0,$AD66=""),"",ROUND($AC66*$AD66,0))</f>
        <v/>
      </c>
      <c r="AF66" s="191" t="str">
        <f t="shared" ref="AF66:AF72" si="51">IF(N($AC66)=0,"",ROUND($M66/$AC66,0))</f>
        <v/>
      </c>
      <c r="AG66" s="11" t="str">
        <f t="shared" ref="AG66:AG68" si="52">IF(N($Z66)=0,"",ROUND($M66/$Z66,0))</f>
        <v/>
      </c>
      <c r="AH66" s="21"/>
      <c r="AI66" s="242"/>
      <c r="AJ66" s="242"/>
    </row>
    <row r="67" ht="15.75" customHeight="1">
      <c r="A67" s="243"/>
      <c r="B67" s="191" t="str">
        <f>IF($A67="","",IFERROR(HYPERLINK(VLOOKUP($A67,'Мои блогеры'!$A$2:$N$673,14,0),"🔗 открыть"),""))</f>
        <v/>
      </c>
      <c r="C67" s="191"/>
      <c r="D67" s="120" t="str">
        <f>IFERROR(VLOOKUP($A67,'Мои блогеры'!$A:$N,2,0),"")</f>
        <v/>
      </c>
      <c r="E67" s="194"/>
      <c r="F67" s="194"/>
      <c r="G67" s="192"/>
      <c r="H67" s="192"/>
      <c r="I67" s="21"/>
      <c r="J67" s="11" t="str">
        <f>IFERROR(VLOOKUP($A67,'Мои блогеры'!$A$2:$N$673,8,0),"")</f>
        <v/>
      </c>
      <c r="K67" s="193"/>
      <c r="L67" s="122"/>
      <c r="M67" s="11" t="str">
        <f t="shared" si="46"/>
        <v/>
      </c>
      <c r="N67" s="194"/>
      <c r="O67" s="194"/>
      <c r="P67" s="21"/>
      <c r="Q67" s="120" t="str">
        <f>IFERROR(VLOOKUP($A67,'Мои блогеры'!$A$2:$N$673,10,0)&amp;"-TRG","")</f>
        <v/>
      </c>
      <c r="R67" s="194"/>
      <c r="S67" s="193"/>
      <c r="T67" s="122"/>
      <c r="U67" s="123" t="str">
        <f t="shared" si="47"/>
        <v/>
      </c>
      <c r="V67" s="193"/>
      <c r="W67" s="122"/>
      <c r="X67" s="123" t="str">
        <f t="shared" si="48"/>
        <v/>
      </c>
      <c r="Y67" s="193"/>
      <c r="Z67" s="193"/>
      <c r="AA67" s="193"/>
      <c r="AB67" s="124"/>
      <c r="AC67" s="11" t="str">
        <f t="shared" si="49"/>
        <v/>
      </c>
      <c r="AD67" s="122"/>
      <c r="AE67" s="191" t="str">
        <f t="shared" si="50"/>
        <v/>
      </c>
      <c r="AF67" s="191" t="str">
        <f t="shared" si="51"/>
        <v/>
      </c>
      <c r="AG67" s="11" t="str">
        <f t="shared" si="52"/>
        <v/>
      </c>
      <c r="AH67" s="21"/>
      <c r="AI67" s="242"/>
      <c r="AJ67" s="242"/>
    </row>
    <row r="68" ht="15.75" customHeight="1">
      <c r="A68" s="243"/>
      <c r="B68" s="191" t="str">
        <f>IF($A68="","",IFERROR(HYPERLINK(VLOOKUP($A68,'Мои блогеры'!$A$2:$N$673,14,0),"🔗 открыть"),""))</f>
        <v/>
      </c>
      <c r="C68" s="191"/>
      <c r="D68" s="120" t="str">
        <f>IFERROR(VLOOKUP($A68,'Мои блогеры'!$A:$N,2,0),"")</f>
        <v/>
      </c>
      <c r="E68" s="194"/>
      <c r="F68" s="194"/>
      <c r="G68" s="192"/>
      <c r="H68" s="192"/>
      <c r="I68" s="21"/>
      <c r="J68" s="11" t="str">
        <f>IFERROR(VLOOKUP($A68,'Мои блогеры'!$A$2:$N$673,8,0),"")</f>
        <v/>
      </c>
      <c r="K68" s="193"/>
      <c r="L68" s="122"/>
      <c r="M68" s="11" t="str">
        <f t="shared" si="46"/>
        <v/>
      </c>
      <c r="N68" s="194"/>
      <c r="O68" s="194"/>
      <c r="P68" s="21"/>
      <c r="Q68" s="120" t="str">
        <f>IFERROR(VLOOKUP($A68,'Мои блогеры'!$A$2:$N$673,10,0)&amp;"-TRG","")</f>
        <v/>
      </c>
      <c r="R68" s="194"/>
      <c r="S68" s="193"/>
      <c r="T68" s="122"/>
      <c r="U68" s="123" t="str">
        <f t="shared" si="47"/>
        <v/>
      </c>
      <c r="V68" s="193"/>
      <c r="W68" s="122"/>
      <c r="X68" s="123" t="str">
        <f t="shared" si="48"/>
        <v/>
      </c>
      <c r="Y68" s="193"/>
      <c r="Z68" s="193"/>
      <c r="AA68" s="193"/>
      <c r="AB68" s="124"/>
      <c r="AC68" s="11" t="str">
        <f t="shared" si="49"/>
        <v/>
      </c>
      <c r="AD68" s="122"/>
      <c r="AE68" s="191" t="str">
        <f t="shared" si="50"/>
        <v/>
      </c>
      <c r="AF68" s="191" t="str">
        <f t="shared" si="51"/>
        <v/>
      </c>
      <c r="AG68" s="11" t="str">
        <f t="shared" si="52"/>
        <v/>
      </c>
      <c r="AH68" s="21"/>
      <c r="AI68" s="242"/>
      <c r="AJ68" s="242"/>
    </row>
    <row r="69" ht="15.75" customHeight="1">
      <c r="A69" s="243"/>
      <c r="B69" s="191" t="str">
        <f>IF($A69="","",IFERROR(HYPERLINK(VLOOKUP($A69,'Мои блогеры'!$A$2:$N$673,14,0),"🔗 открыть"),""))</f>
        <v/>
      </c>
      <c r="C69" s="191" t="str">
        <f>IFERROR(VLOOKUP($A69,'Мои блогеры'!$A:$N,2,0),"")</f>
        <v/>
      </c>
      <c r="D69" s="120" t="str">
        <f>IFERROR(VLOOKUP($A69,'Мои блогеры'!$A:$N,2,0),"")</f>
        <v/>
      </c>
      <c r="E69" s="194"/>
      <c r="F69" s="194"/>
      <c r="G69" s="192"/>
      <c r="H69" s="192"/>
      <c r="I69" s="21"/>
      <c r="J69" s="11" t="str">
        <f>IFERROR(VLOOKUP($A69,'Мои блогеры'!$A$2:$N$673,8,0),"")</f>
        <v/>
      </c>
      <c r="K69" s="193"/>
      <c r="L69" s="122"/>
      <c r="M69" s="11" t="str">
        <f t="shared" si="46"/>
        <v/>
      </c>
      <c r="N69" s="194"/>
      <c r="O69" s="194"/>
      <c r="P69" s="21"/>
      <c r="Q69" s="120" t="str">
        <f>IFERROR(VLOOKUP($A69,'Мои блогеры'!$A$2:$N$673,10,0)&amp;"-TRG","")</f>
        <v/>
      </c>
      <c r="R69" s="194"/>
      <c r="S69" s="193"/>
      <c r="T69" s="122"/>
      <c r="U69" s="123" t="str">
        <f t="shared" si="47"/>
        <v/>
      </c>
      <c r="V69" s="193"/>
      <c r="W69" s="122"/>
      <c r="X69" s="123" t="str">
        <f t="shared" si="48"/>
        <v/>
      </c>
      <c r="Y69" s="193"/>
      <c r="Z69" s="193"/>
      <c r="AA69" s="193"/>
      <c r="AB69" s="124"/>
      <c r="AC69" s="11" t="str">
        <f t="shared" si="49"/>
        <v/>
      </c>
      <c r="AD69" s="122"/>
      <c r="AE69" s="191" t="str">
        <f t="shared" si="50"/>
        <v/>
      </c>
      <c r="AF69" s="191" t="str">
        <f t="shared" si="51"/>
        <v/>
      </c>
      <c r="AG69" s="11" t="str">
        <f t="shared" ref="AG69:AG72" si="53">IF(N($AC69)=0,"",ROUND($M69/$AC69,0))</f>
        <v/>
      </c>
      <c r="AH69" s="21"/>
      <c r="AI69" s="242"/>
      <c r="AJ69" s="242"/>
    </row>
    <row r="70" ht="15.75" customHeight="1">
      <c r="A70" s="243"/>
      <c r="B70" s="191" t="str">
        <f>IF($A70="","",IFERROR(HYPERLINK(VLOOKUP($A70,'Мои блогеры'!$A$2:$N$673,14,0),"🔗 открыть"),""))</f>
        <v/>
      </c>
      <c r="C70" s="191" t="str">
        <f>IFERROR(VLOOKUP($A70,'Мои блогеры'!$A:$N,2,0),"")</f>
        <v/>
      </c>
      <c r="D70" s="120" t="str">
        <f>IFERROR(VLOOKUP($A70,'Мои блогеры'!$A:$N,2,0),"")</f>
        <v/>
      </c>
      <c r="E70" s="194"/>
      <c r="F70" s="194"/>
      <c r="G70" s="192"/>
      <c r="H70" s="192"/>
      <c r="I70" s="21"/>
      <c r="J70" s="11" t="str">
        <f>IFERROR(VLOOKUP($A70,'Мои блогеры'!$A$2:$N$673,8,0),"")</f>
        <v/>
      </c>
      <c r="K70" s="193"/>
      <c r="L70" s="122"/>
      <c r="M70" s="11" t="str">
        <f t="shared" si="46"/>
        <v/>
      </c>
      <c r="N70" s="194"/>
      <c r="O70" s="194"/>
      <c r="P70" s="21"/>
      <c r="Q70" s="120" t="str">
        <f>IFERROR(VLOOKUP($A70,'Мои блогеры'!$A$2:$N$673,10,0)&amp;"-TRG","")</f>
        <v/>
      </c>
      <c r="R70" s="194"/>
      <c r="S70" s="193"/>
      <c r="T70" s="122"/>
      <c r="U70" s="123" t="str">
        <f t="shared" si="47"/>
        <v/>
      </c>
      <c r="V70" s="193"/>
      <c r="W70" s="122"/>
      <c r="X70" s="123" t="str">
        <f t="shared" si="48"/>
        <v/>
      </c>
      <c r="Y70" s="193"/>
      <c r="Z70" s="193"/>
      <c r="AA70" s="193"/>
      <c r="AB70" s="124"/>
      <c r="AC70" s="11" t="str">
        <f t="shared" si="49"/>
        <v/>
      </c>
      <c r="AD70" s="122"/>
      <c r="AE70" s="191" t="str">
        <f t="shared" si="50"/>
        <v/>
      </c>
      <c r="AF70" s="191" t="str">
        <f t="shared" si="51"/>
        <v/>
      </c>
      <c r="AG70" s="11" t="str">
        <f t="shared" si="53"/>
        <v/>
      </c>
      <c r="AH70" s="21"/>
      <c r="AI70" s="242"/>
      <c r="AJ70" s="242"/>
    </row>
    <row r="71" ht="15.75" customHeight="1">
      <c r="A71" s="243"/>
      <c r="B71" s="191" t="str">
        <f>IF($A71="","",IFERROR(HYPERLINK(VLOOKUP($A71,'Мои блогеры'!$A$2:$N$673,14,0),"🔗 открыть"),""))</f>
        <v/>
      </c>
      <c r="C71" s="191" t="str">
        <f>IFERROR(VLOOKUP($A71,'Мои блогеры'!$A:$N,2,0),"")</f>
        <v/>
      </c>
      <c r="D71" s="120" t="str">
        <f>IFERROR(VLOOKUP($A71,'Мои блогеры'!$A:$N,2,0),"")</f>
        <v/>
      </c>
      <c r="E71" s="194"/>
      <c r="F71" s="194"/>
      <c r="G71" s="192"/>
      <c r="H71" s="192"/>
      <c r="I71" s="21"/>
      <c r="J71" s="11" t="str">
        <f>IFERROR(VLOOKUP($A71,'Мои блогеры'!$A$2:$N$673,8,0),"")</f>
        <v/>
      </c>
      <c r="K71" s="193"/>
      <c r="L71" s="122"/>
      <c r="M71" s="11" t="str">
        <f t="shared" si="46"/>
        <v/>
      </c>
      <c r="N71" s="194"/>
      <c r="O71" s="194"/>
      <c r="P71" s="21"/>
      <c r="Q71" s="120" t="str">
        <f>IFERROR(VLOOKUP($A71,'Мои блогеры'!$A$2:$N$673,10,0)&amp;"-TRG","")</f>
        <v/>
      </c>
      <c r="R71" s="194"/>
      <c r="S71" s="193"/>
      <c r="T71" s="122"/>
      <c r="U71" s="123" t="str">
        <f t="shared" si="47"/>
        <v/>
      </c>
      <c r="V71" s="193"/>
      <c r="W71" s="122"/>
      <c r="X71" s="123" t="str">
        <f t="shared" si="48"/>
        <v/>
      </c>
      <c r="Y71" s="193"/>
      <c r="Z71" s="193"/>
      <c r="AA71" s="193"/>
      <c r="AB71" s="124"/>
      <c r="AC71" s="11" t="str">
        <f t="shared" si="49"/>
        <v/>
      </c>
      <c r="AD71" s="122"/>
      <c r="AE71" s="191" t="str">
        <f t="shared" si="50"/>
        <v/>
      </c>
      <c r="AF71" s="191" t="str">
        <f t="shared" si="51"/>
        <v/>
      </c>
      <c r="AG71" s="11" t="str">
        <f t="shared" si="53"/>
        <v/>
      </c>
      <c r="AH71" s="21"/>
      <c r="AI71" s="242"/>
      <c r="AJ71" s="242"/>
    </row>
    <row r="72" ht="15.75" customHeight="1">
      <c r="A72" s="243"/>
      <c r="B72" s="191" t="str">
        <f>IF($A72="","",IFERROR(HYPERLINK(VLOOKUP($A72,'Мои блогеры'!$A$2:$N$673,14,0),"🔗 открыть"),""))</f>
        <v/>
      </c>
      <c r="C72" s="191" t="str">
        <f>IFERROR(VLOOKUP($A72,'Мои блогеры'!$A:$N,2,0),"")</f>
        <v/>
      </c>
      <c r="D72" s="120" t="str">
        <f>IFERROR(VLOOKUP($A72,'Мои блогеры'!$A:$N,2,0),"")</f>
        <v/>
      </c>
      <c r="E72" s="194"/>
      <c r="F72" s="194"/>
      <c r="G72" s="192"/>
      <c r="H72" s="192"/>
      <c r="I72" s="21"/>
      <c r="J72" s="11" t="str">
        <f>IFERROR(VLOOKUP($A72,'Мои блогеры'!$A$2:$N$673,8,0),"")</f>
        <v/>
      </c>
      <c r="K72" s="193"/>
      <c r="L72" s="122"/>
      <c r="M72" s="11" t="str">
        <f t="shared" si="46"/>
        <v/>
      </c>
      <c r="N72" s="194"/>
      <c r="O72" s="194"/>
      <c r="P72" s="21"/>
      <c r="Q72" s="120" t="str">
        <f>IFERROR(VLOOKUP($A72,'Мои блогеры'!$A$2:$N$673,10,0)&amp;"-TRG","")</f>
        <v/>
      </c>
      <c r="R72" s="194"/>
      <c r="S72" s="193"/>
      <c r="T72" s="122"/>
      <c r="U72" s="123" t="str">
        <f t="shared" si="47"/>
        <v/>
      </c>
      <c r="V72" s="193"/>
      <c r="W72" s="122"/>
      <c r="X72" s="123" t="str">
        <f t="shared" si="48"/>
        <v/>
      </c>
      <c r="Y72" s="193"/>
      <c r="Z72" s="193"/>
      <c r="AA72" s="193"/>
      <c r="AB72" s="124"/>
      <c r="AC72" s="11" t="str">
        <f t="shared" si="49"/>
        <v/>
      </c>
      <c r="AD72" s="122"/>
      <c r="AE72" s="191" t="str">
        <f t="shared" si="50"/>
        <v/>
      </c>
      <c r="AF72" s="191" t="str">
        <f t="shared" si="51"/>
        <v/>
      </c>
      <c r="AG72" s="11" t="str">
        <f t="shared" si="53"/>
        <v/>
      </c>
      <c r="AH72" s="21"/>
      <c r="AI72" s="242"/>
      <c r="AJ72" s="242"/>
    </row>
    <row r="73" ht="15.75" customHeight="1">
      <c r="A73" s="126" t="s">
        <v>1704</v>
      </c>
      <c r="B73" s="126"/>
      <c r="C73" s="127"/>
      <c r="D73" s="126"/>
      <c r="E73" s="126"/>
      <c r="F73" s="126"/>
      <c r="G73" s="126"/>
      <c r="H73" s="126"/>
      <c r="I73" s="126" t="str">
        <f>COUNTIF(I66:I72,"Вышло")&amp;" / "&amp;COUNTA(A66:A72)</f>
        <v>0 / 0</v>
      </c>
      <c r="J73" s="127">
        <f t="shared" ref="J73:M73" si="54">SUM(J66:J72)</f>
        <v>0</v>
      </c>
      <c r="K73" s="127">
        <f t="shared" si="54"/>
        <v>0</v>
      </c>
      <c r="L73" s="127">
        <f t="shared" si="54"/>
        <v>0</v>
      </c>
      <c r="M73" s="127">
        <f t="shared" si="54"/>
        <v>0</v>
      </c>
      <c r="N73" s="126"/>
      <c r="O73" s="163"/>
      <c r="P73" s="126"/>
      <c r="Q73" s="126"/>
      <c r="R73" s="126"/>
      <c r="S73" s="126"/>
      <c r="T73" s="127">
        <f>SUM(T66:T72)</f>
        <v>0</v>
      </c>
      <c r="U73" s="128" t="str">
        <f t="shared" si="47"/>
        <v/>
      </c>
      <c r="V73" s="127">
        <f t="shared" ref="V73:W73" si="55">SUM(V66:V72)</f>
        <v>0</v>
      </c>
      <c r="W73" s="127">
        <f t="shared" si="55"/>
        <v>0</v>
      </c>
      <c r="X73" s="128" t="str">
        <f>IF(N(V73)=0,"",M73/V73)</f>
        <v/>
      </c>
      <c r="Y73" s="127">
        <f t="shared" ref="Y73:AA73" si="56">SUM(Y66:Y72)</f>
        <v>0</v>
      </c>
      <c r="Z73" s="127">
        <f t="shared" si="56"/>
        <v>0</v>
      </c>
      <c r="AA73" s="127">
        <f t="shared" si="56"/>
        <v>0</v>
      </c>
      <c r="AB73" s="129"/>
      <c r="AC73" s="127">
        <f>SUM(AC66:AC72)</f>
        <v>0</v>
      </c>
      <c r="AD73" s="127"/>
      <c r="AE73" s="127">
        <f>SUM(AE66:AE72)</f>
        <v>0</v>
      </c>
      <c r="AF73" s="127" t="str">
        <f t="shared" ref="AF73:AF74" si="59">IF(N(AC73)=0,"—",ROUND(M73/AC73,0))</f>
        <v>—</v>
      </c>
      <c r="AG73" s="127" t="str">
        <f t="shared" ref="AG73:AG74" si="60">IF(N(Z73)=0,"—",ROUND(M73/Z73,0))</f>
        <v>—</v>
      </c>
      <c r="AH73" s="126"/>
      <c r="AI73" s="255"/>
      <c r="AJ73" s="255"/>
    </row>
    <row r="74" ht="15.75" customHeight="1">
      <c r="A74" s="133" t="s">
        <v>683</v>
      </c>
      <c r="B74" s="133"/>
      <c r="C74" s="134"/>
      <c r="D74" s="133"/>
      <c r="E74" s="133"/>
      <c r="F74" s="133"/>
      <c r="G74" s="133"/>
      <c r="H74" s="133"/>
      <c r="I74" s="133" t="str">
        <f>SUM(COUNTIF(I7:I13,"Вышло"),COUNTIF(I25:I37,"Вышло"),COUNTIF(I40:I50,"Вышло"),COUNTIF(I53:I63,"Вышло"),COUNTIF(I66:I72,"Вышло"))&amp;" / "&amp;SUM(COUNTA(A7:A13),COUNTA(A25:A37),COUNTA(A40:A50),COUNTA(A53:A63),COUNTA(A66:A72))</f>
        <v>0 / 7</v>
      </c>
      <c r="J74" s="134">
        <f t="shared" ref="J74:M74" si="57">J23+J38+J51+J64+J73</f>
        <v>242328</v>
      </c>
      <c r="K74" s="134">
        <f t="shared" si="57"/>
        <v>11800</v>
      </c>
      <c r="L74" s="134">
        <f t="shared" si="57"/>
        <v>1328</v>
      </c>
      <c r="M74" s="134">
        <f t="shared" si="57"/>
        <v>252800</v>
      </c>
      <c r="N74" s="133"/>
      <c r="O74" s="170"/>
      <c r="P74" s="133"/>
      <c r="Q74" s="133"/>
      <c r="R74" s="133"/>
      <c r="S74" s="133"/>
      <c r="T74" s="134">
        <f t="shared" ref="T74:AE74" si="58">T23+T38+T51+T64+T73</f>
        <v>0</v>
      </c>
      <c r="U74" s="135">
        <f t="shared" si="58"/>
        <v>0</v>
      </c>
      <c r="V74" s="134">
        <f t="shared" si="58"/>
        <v>0</v>
      </c>
      <c r="W74" s="134">
        <f t="shared" si="58"/>
        <v>0</v>
      </c>
      <c r="X74" s="135">
        <f t="shared" si="58"/>
        <v>0</v>
      </c>
      <c r="Y74" s="134">
        <f t="shared" si="58"/>
        <v>0</v>
      </c>
      <c r="Z74" s="134">
        <f t="shared" si="58"/>
        <v>0</v>
      </c>
      <c r="AA74" s="134">
        <f t="shared" si="58"/>
        <v>0</v>
      </c>
      <c r="AB74" s="136">
        <f t="shared" si="58"/>
        <v>0</v>
      </c>
      <c r="AC74" s="134">
        <f t="shared" si="58"/>
        <v>0</v>
      </c>
      <c r="AD74" s="134">
        <f t="shared" si="58"/>
        <v>0</v>
      </c>
      <c r="AE74" s="134">
        <f t="shared" si="58"/>
        <v>0</v>
      </c>
      <c r="AF74" s="134" t="str">
        <f t="shared" si="59"/>
        <v>—</v>
      </c>
      <c r="AG74" s="134" t="str">
        <f t="shared" si="60"/>
        <v>—</v>
      </c>
      <c r="AH74" s="133"/>
      <c r="AI74" s="263"/>
      <c r="AJ74" s="263"/>
    </row>
    <row r="75" ht="15.75" customHeight="1">
      <c r="A75" s="137" t="s">
        <v>1705</v>
      </c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3"/>
      <c r="Q75" s="3"/>
      <c r="R75" s="3"/>
      <c r="S75" s="3"/>
      <c r="T75" s="3"/>
      <c r="U75" s="155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</row>
    <row r="76" ht="36.0" customHeight="1">
      <c r="A76" s="138" t="s">
        <v>1</v>
      </c>
      <c r="B76" s="138" t="s">
        <v>872</v>
      </c>
      <c r="C76" s="138" t="s">
        <v>873</v>
      </c>
      <c r="D76" s="138" t="s">
        <v>859</v>
      </c>
      <c r="E76" s="138" t="s">
        <v>729</v>
      </c>
      <c r="F76" s="138" t="s">
        <v>730</v>
      </c>
      <c r="G76" s="138" t="s">
        <v>851</v>
      </c>
      <c r="H76" s="138" t="s">
        <v>731</v>
      </c>
      <c r="I76" s="138" t="s">
        <v>853</v>
      </c>
      <c r="J76" s="138" t="s">
        <v>656</v>
      </c>
      <c r="K76" s="138" t="s">
        <v>854</v>
      </c>
      <c r="L76" s="138" t="s">
        <v>874</v>
      </c>
      <c r="M76" s="138" t="s">
        <v>875</v>
      </c>
      <c r="N76" s="138" t="s">
        <v>876</v>
      </c>
      <c r="O76" s="138" t="s">
        <v>657</v>
      </c>
      <c r="P76" s="3"/>
      <c r="Q76" s="3"/>
      <c r="R76" s="3"/>
      <c r="S76" s="3"/>
      <c r="T76" s="3"/>
      <c r="U76" s="155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</row>
    <row r="77" ht="15.75" customHeight="1">
      <c r="A77" s="139" t="s">
        <v>29</v>
      </c>
      <c r="B77" s="140">
        <f>SUMIFS($M$6:$M$73,$D$6:$D$73,"Telegram")+SUMIFS($M$6:$M$73,$D$6:$D$73,"Telegram ")+SUMIFS($M$6:$M$73,$D$6:$D$73,"Телеграм")+SUMIFS($M$6:$M$73,$D$6:$D$73,"ТГ")</f>
        <v>42000</v>
      </c>
      <c r="C77" s="140">
        <f>SUMIFS($M$6:$M$73,$I$6:$I$73,"Вышло",$D$6:$D$73,"Telegram")+SUMIFS($M$6:$M$73,$I$6:$I$73,"Вышло",$D$6:$D$73,"Telegram ")+SUMIFS($M$6:$M$73,$I$6:$I$73,"Вышло",$D$6:$D$73,"Телеграм")+SUMIFS($M$6:$M$73,$I$6:$I$73,"Вышло",$D$6:$D$73,"ТГ")</f>
        <v>0</v>
      </c>
      <c r="D77" s="141">
        <f>COUNTIFS($I$6:$I$73,"Вышло",$D$6:$D$73,"Telegram")+COUNTIFS($I$6:$I$73,"Вышло",$D$6:$D$73,"Telegram ")+COUNTIFS($I$6:$I$73,"Вышло",$D$6:$D$73,"Телеграм")+COUNTIFS($I$6:$I$73,"Вышло",$D$6:$D$73,"ТГ")</f>
        <v>0</v>
      </c>
      <c r="E77" s="141">
        <f>SUMIFS($T$6:$T$73,$I$6:$I$73,"Вышло",$D$6:$D$73,"Telegram")+SUMIFS($T$6:$T$73,$I$6:$I$73,"Вышло",$D$6:$D$73,"Telegram ")+SUMIFS($T$6:$T$73,$I$6:$I$73,"Вышло",$D$6:$D$73,"Телеграм")+SUMIFS($T$6:$T$73,$I$6:$I$73,"Вышло",$D$6:$D$73,"ТГ")</f>
        <v>0</v>
      </c>
      <c r="F77" s="141">
        <f>SUMIFS($V$6:$V$73,$I$6:$I$73,"Вышло",$D$6:$D$73,"Telegram")+SUMIFS($V$6:$V$73,$I$6:$I$73,"Вышло",$D$6:$D$73,"Telegram ")+SUMIFS($V$6:$V$73,$I$6:$I$73,"Вышло",$D$6:$D$73,"Телеграм")+SUMIFS($V$6:$V$73,$I$6:$I$73,"Вышло",$D$6:$D$73,"ТГ")</f>
        <v>0</v>
      </c>
      <c r="G77" s="141">
        <f>SUMIFS($W$6:$W$73,$I$6:$I$73,"Вышло",$D$6:$D$73,"Telegram")+SUMIFS($W$6:$W$73,$I$6:$I$73,"Вышло",$D$6:$D$73,"Telegram ")+SUMIFS($W$6:$W$73,$I$6:$I$73,"Вышло",$D$6:$D$73,"Телеграм")+SUMIFS($W$6:$W$73,$I$6:$I$73,"Вышло",$D$6:$D$73,"ТГ")</f>
        <v>0</v>
      </c>
      <c r="H77" s="141">
        <f t="shared" ref="H77:H84" si="61">0</f>
        <v>0</v>
      </c>
      <c r="I77" s="141">
        <f>SUMIFS($Y$6:$Y$73,$I$6:$I$73,"Вышло",$D$6:$D$73,"Telegram")+SUMIFS($Y$6:$Y$73,$I$6:$I$73,"Вышло",$D$6:$D$73,"Telegram ")+SUMIFS($Y$6:$Y$73,$I$6:$I$73,"Вышло",$D$6:$D$73,"Телеграм")+SUMIFS($Y$6:$Y$73,$I$6:$I$73,"Вышло",$D$6:$D$73,"ТГ")</f>
        <v>0</v>
      </c>
      <c r="J77" s="141">
        <f>SUMIFS($Z$6:$Z$73,$I$6:$I$73,"Вышло",$D$6:$D$73,"Telegram")+SUMIFS($Z$6:$Z$73,$I$6:$I$73,"Вышло",$D$6:$D$73,"Telegram ")+SUMIFS($Z$6:$Z$73,$I$6:$I$73,"Вышло",$D$6:$D$73,"Телеграм")+SUMIFS($Z$6:$Z$73,$I$6:$I$73,"Вышло",$D$6:$D$73,"ТГ")</f>
        <v>0</v>
      </c>
      <c r="K77" s="140">
        <f>SUMIFS($AA$6:$AA$73,$I$6:$I$73,"Вышло",$D$6:$D$73,"Telegram")+SUMIFS($AA$6:$AA$73,$I$6:$I$73,"Вышло",$D$6:$D$73,"Telegram ")+SUMIFS($AA$6:$AA$73,$I$6:$I$73,"Вышло",$D$6:$D$73,"Телеграм")+SUMIFS($AA$6:$AA$73,$I$6:$I$73,"Вышло",$D$6:$D$73,"ТГ")</f>
        <v>0</v>
      </c>
      <c r="L77" s="140" t="str">
        <f>IF((SUMIFS($V$6:$V$73,$I$6:$I$73,"Вышло",$D$6:$D$73,"Telegram",$E$6:$E$73,"Сайт")+SUMIFS($V$6:$V$73,$I$6:$I$73,"Вышло",$D$6:$D$73,"Telegram",$E$6:$E$73,"сайт")+SUMIFS($V$6:$V$73,$I$6:$I$73,"Вышло",$D$6:$D$73,"Telegram ",$E$6:$E$73,"Сайт")+SUMIFS($V$6:$V$73,$I$6:$I$73,"Вышло",$D$6:$D$73,"Telegram ",$E$6:$E$73,"сайт")+SUMIFS($V$6:$V$73,$I$6:$I$73,"Вышло",$D$6:$D$73,"Телеграм",$E$6:$E$73,"Сайт")+SUMIFS($V$6:$V$73,$I$6:$I$73,"Вышло",$D$6:$D$73,"Телеграм",$E$6:$E$73,"сайт")+SUMIFS($V$6:$V$73,$I$6:$I$73,"Вышло",$D$6:$D$73,"ТГ",$E$6:$E$73,"Сайт")+SUMIFS($V$6:$V$73,$I$6:$I$73,"Вышло",$D$6:$D$73,"ТГ",$E$6:$E$73,"сайт")+SUMIFS($V$6:$V$73,$I$6:$I$73,"Вышло",$D$6:$D$73,"Telegram",$E$6:$E$73,"Ozon")+SUMIFS($V$6:$V$73,$I$6:$I$73,"Вышло",$D$6:$D$73,"Telegram",$E$6:$E$73,"OZON")+SUMIFS($V$6:$V$73,$I$6:$I$73,"Вышло",$D$6:$D$73,"Telegram",$E$6:$E$73,"Озон")+SUMIFS($V$6:$V$73,$I$6:$I$73,"Вышло",$D$6:$D$73,"Telegram",$E$6:$E$73,"озон")+SUMIFS($V$6:$V$73,$I$6:$I$73,"Вышло",$D$6:$D$73,"Telegram ",$E$6:$E$73,"Ozon")+SUMIFS($V$6:$V$73,$I$6:$I$73,"Вышло",$D$6:$D$73,"Telegram ",$E$6:$E$73,"OZON")+SUMIFS($V$6:$V$73,$I$6:$I$73,"Вышло",$D$6:$D$73,"Telegram ",$E$6:$E$73,"Озон")+SUMIFS($V$6:$V$73,$I$6:$I$73,"Вышло",$D$6:$D$73,"Telegram ",$E$6:$E$73,"озон")+SUMIFS($V$6:$V$73,$I$6:$I$73,"Вышло",$D$6:$D$73,"Телеграм",$E$6:$E$73,"Ozon")+SUMIFS($V$6:$V$73,$I$6:$I$73,"Вышло",$D$6:$D$73,"Телеграм",$E$6:$E$73,"OZON")+SUMIFS($V$6:$V$73,$I$6:$I$73,"Вышло",$D$6:$D$73,"Телеграм",$E$6:$E$73,"Озон")+SUMIFS($V$6:$V$73,$I$6:$I$73,"Вышло",$D$6:$D$73,"Телеграм",$E$6:$E$73,"озон")+SUMIFS($V$6:$V$73,$I$6:$I$73,"Вышло",$D$6:$D$73,"ТГ",$E$6:$E$73,"Ozon")+SUMIFS($V$6:$V$73,$I$6:$I$73,"Вышло",$D$6:$D$73,"ТГ",$E$6:$E$73,"OZON")+SUMIFS($V$6:$V$73,$I$6:$I$73,"Вышло",$D$6:$D$73,"ТГ",$E$6:$E$73,"Озон")+SUMIFS($V$6:$V$73,$I$6:$I$73,"Вышло",$D$6:$D$73,"ТГ",$E$6:$E$73,"озон"))=0,"—",ROUND((SUMIFS($M$6:$M$73,$I$6:$I$73,"Вышло",$D$6:$D$73,"Telegram",$E$6:$E$73,"Сайт",$V$6:$V$73,"&gt;0")+SUMIFS($M$6:$M$73,$I$6:$I$73,"Вышло",$D$6:$D$73,"Telegram",$E$6:$E$73,"сайт",$V$6:$V$73,"&gt;0")+SUMIFS($M$6:$M$73,$I$6:$I$73,"Вышло",$D$6:$D$73,"Telegram ",$E$6:$E$73,"Сайт",$V$6:$V$73,"&gt;0")+SUMIFS($M$6:$M$73,$I$6:$I$73,"Вышло",$D$6:$D$73,"Telegram ",$E$6:$E$73,"сайт",$V$6:$V$73,"&gt;0")+SUMIFS($M$6:$M$73,$I$6:$I$73,"Вышло",$D$6:$D$73,"Телеграм",$E$6:$E$73,"Сайт",$V$6:$V$73,"&gt;0")+SUMIFS($M$6:$M$73,$I$6:$I$73,"Вышло",$D$6:$D$73,"Телеграм",$E$6:$E$73,"сайт",$V$6:$V$73,"&gt;0")+SUMIFS($M$6:$M$73,$I$6:$I$73,"Вышло",$D$6:$D$73,"ТГ",$E$6:$E$73,"Сайт",$V$6:$V$73,"&gt;0")+SUMIFS($M$6:$M$73,$I$6:$I$73,"Вышло",$D$6:$D$73,"ТГ",$E$6:$E$73,"сайт",$V$6:$V$73,"&gt;0")+SUMIFS($M$6:$M$73,$I$6:$I$73,"Вышло",$D$6:$D$73,"Telegram",$E$6:$E$73,"Сайт",$V$6:$V$73,"&lt;=0",$P$6:$P$73,"&lt;&gt;")+SUMIFS($M$6:$M$73,$I$6:$I$73,"Вышло",$D$6:$D$73,"Telegram",$E$6:$E$73,"сайт",$V$6:$V$73,"&lt;=0",$P$6:$P$73,"&lt;&gt;")+SUMIFS($M$6:$M$73,$I$6:$I$73,"Вышло",$D$6:$D$73,"Telegram ",$E$6:$E$73,"Сайт",$V$6:$V$73,"&lt;=0",$P$6:$P$73,"&lt;&gt;")+SUMIFS($M$6:$M$73,$I$6:$I$73,"Вышло",$D$6:$D$73,"Telegram ",$E$6:$E$73,"сайт",$V$6:$V$73,"&lt;=0",$P$6:$P$73,"&lt;&gt;")+SUMIFS($M$6:$M$73,$I$6:$I$73,"Вышло",$D$6:$D$73,"Телеграм",$E$6:$E$73,"Сайт",$V$6:$V$73,"&lt;=0",$P$6:$P$73,"&lt;&gt;")+SUMIFS($M$6:$M$73,$I$6:$I$73,"Вышло",$D$6:$D$73,"Телеграм",$E$6:$E$73,"сайт",$V$6:$V$73,"&lt;=0",$P$6:$P$73,"&lt;&gt;")+SUMIFS($M$6:$M$73,$I$6:$I$73,"Вышло",$D$6:$D$73,"ТГ",$E$6:$E$73,"Сайт",$V$6:$V$73,"&lt;=0",$P$6:$P$73,"&lt;&gt;")+SUMIFS($M$6:$M$73,$I$6:$I$73,"Вышло",$D$6:$D$73,"ТГ",$E$6:$E$73,"сайт",$V$6:$V$73,"&lt;=0",$P$6:$P$73,"&lt;&gt;")+SUMIFS($M$6:$M$73,$I$6:$I$73,"Вышло",$D$6:$D$73,"Telegram",$E$6:$E$73,"Ozon",$V$6:$V$73,"&gt;0")+SUMIFS($M$6:$M$73,$I$6:$I$73,"Вышло",$D$6:$D$73,"Telegram",$E$6:$E$73,"OZON",$V$6:$V$73,"&gt;0")+SUMIFS($M$6:$M$73,$I$6:$I$73,"Вышло",$D$6:$D$73,"Telegram",$E$6:$E$73,"Озон",$V$6:$V$73,"&gt;0")+SUMIFS($M$6:$M$73,$I$6:$I$73,"Вышло",$D$6:$D$73,"Telegram",$E$6:$E$73,"озон",$V$6:$V$73,"&gt;0")+SUMIFS($M$6:$M$73,$I$6:$I$73,"Вышло",$D$6:$D$73,"Telegram ",$E$6:$E$73,"Ozon",$V$6:$V$73,"&gt;0")+SUMIFS($M$6:$M$73,$I$6:$I$73,"Вышло",$D$6:$D$73,"Telegram ",$E$6:$E$73,"OZON",$V$6:$V$73,"&gt;0")+SUMIFS($M$6:$M$73,$I$6:$I$73,"Вышло",$D$6:$D$73,"Telegram ",$E$6:$E$73,"Озон",$V$6:$V$73,"&gt;0")+SUMIFS($M$6:$M$73,$I$6:$I$73,"Вышло",$D$6:$D$73,"Telegram ",$E$6:$E$73,"озон",$V$6:$V$73,"&gt;0")+SUMIFS($M$6:$M$73,$I$6:$I$73,"Вышло",$D$6:$D$73,"Телеграм",$E$6:$E$73,"Ozon",$V$6:$V$73,"&gt;0")+SUMIFS($M$6:$M$73,$I$6:$I$73,"Вышло",$D$6:$D$73,"Телеграм",$E$6:$E$73,"OZON",$V$6:$V$73,"&gt;0")+SUMIFS($M$6:$M$73,$I$6:$I$73,"Вышло",$D$6:$D$73,"Телеграм",$E$6:$E$73,"Озон",$V$6:$V$73,"&gt;0")+SUMIFS($M$6:$M$73,$I$6:$I$73,"Вышло",$D$6:$D$73,"Телеграм",$E$6:$E$73,"озон",$V$6:$V$73,"&gt;0")+SUMIFS($M$6:$M$73,$I$6:$I$73,"Вышло",$D$6:$D$73,"ТГ",$E$6:$E$73,"Ozon",$V$6:$V$73,"&gt;0")+SUMIFS($M$6:$M$73,$I$6:$I$73,"Вышло",$D$6:$D$73,"ТГ",$E$6:$E$73,"OZON",$V$6:$V$73,"&gt;0")+SUMIFS($M$6:$M$73,$I$6:$I$73,"Вышло",$D$6:$D$73,"ТГ",$E$6:$E$73,"Озон",$V$6:$V$73,"&gt;0")+SUMIFS($M$6:$M$73,$I$6:$I$73,"Вышло",$D$6:$D$73,"ТГ",$E$6:$E$73,"озон",$V$6:$V$73,"&gt;0")+SUMIFS($M$6:$M$73,$I$6:$I$73,"Вышло",$D$6:$D$73,"Telegram",$E$6:$E$73,"Ozon",$V$6:$V$73,"&lt;=0",$P$6:$P$73,"&lt;&gt;")+SUMIFS($M$6:$M$73,$I$6:$I$73,"Вышло",$D$6:$D$73,"Telegram",$E$6:$E$73,"OZON",$V$6:$V$73,"&lt;=0",$P$6:$P$73,"&lt;&gt;")+SUMIFS($M$6:$M$73,$I$6:$I$73,"Вышло",$D$6:$D$73,"Telegram",$E$6:$E$73,"Озон",$V$6:$V$73,"&lt;=0",$P$6:$P$73,"&lt;&gt;")+SUMIFS($M$6:$M$73,$I$6:$I$73,"Вышло",$D$6:$D$73,"Telegram",$E$6:$E$73,"озон",$V$6:$V$73,"&lt;=0",$P$6:$P$73,"&lt;&gt;")+SUMIFS($M$6:$M$73,$I$6:$I$73,"Вышло",$D$6:$D$73,"Telegram ",$E$6:$E$73,"Ozon",$V$6:$V$73,"&lt;=0",$P$6:$P$73,"&lt;&gt;")+SUMIFS($M$6:$M$73,$I$6:$I$73,"Вышло",$D$6:$D$73,"Telegram ",$E$6:$E$73,"OZON",$V$6:$V$73,"&lt;=0",$P$6:$P$73,"&lt;&gt;")+SUMIFS($M$6:$M$73,$I$6:$I$73,"Вышло",$D$6:$D$73,"Telegram ",$E$6:$E$73,"Озон",$V$6:$V$73,"&lt;=0",$P$6:$P$73,"&lt;&gt;")+SUMIFS($M$6:$M$73,$I$6:$I$73,"Вышло",$D$6:$D$73,"Telegram ",$E$6:$E$73,"озон",$V$6:$V$73,"&lt;=0",$P$6:$P$73,"&lt;&gt;")+SUMIFS($M$6:$M$73,$I$6:$I$73,"Вышло",$D$6:$D$73,"Телеграм",$E$6:$E$73,"Ozon",$V$6:$V$73,"&lt;=0",$P$6:$P$73,"&lt;&gt;")+SUMIFS($M$6:$M$73,$I$6:$I$73,"Вышло",$D$6:$D$73,"Телеграм",$E$6:$E$73,"OZON",$V$6:$V$73,"&lt;=0",$P$6:$P$73,"&lt;&gt;")+SUMIFS($M$6:$M$73,$I$6:$I$73,"Вышло",$D$6:$D$73,"Телеграм",$E$6:$E$73,"Озон",$V$6:$V$73,"&lt;=0",$P$6:$P$73,"&lt;&gt;")+SUMIFS($M$6:$M$73,$I$6:$I$73,"Вышло",$D$6:$D$73,"Телеграм",$E$6:$E$73,"озон",$V$6:$V$73,"&lt;=0",$P$6:$P$73,"&lt;&gt;")+SUMIFS($M$6:$M$73,$I$6:$I$73,"Вышло",$D$6:$D$73,"ТГ",$E$6:$E$73,"Ozon",$V$6:$V$73,"&lt;=0",$P$6:$P$73,"&lt;&gt;")+SUMIFS($M$6:$M$73,$I$6:$I$73,"Вышло",$D$6:$D$73,"ТГ",$E$6:$E$73,"OZON",$V$6:$V$73,"&lt;=0",$P$6:$P$73,"&lt;&gt;")+SUMIFS($M$6:$M$73,$I$6:$I$73,"Вышло",$D$6:$D$73,"ТГ",$E$6:$E$73,"Озон",$V$6:$V$73,"&lt;=0",$P$6:$P$73,"&lt;&gt;")+SUMIFS($M$6:$M$73,$I$6:$I$73,"Вышло",$D$6:$D$73,"ТГ",$E$6:$E$73,"озон",$V$6:$V$73,"&lt;=0",$P$6:$P$73,"&lt;&gt;"))/(SUMIFS($V$6:$V$73,$I$6:$I$73,"Вышло",$D$6:$D$73,"Telegram",$E$6:$E$73,"Сайт")+SUMIFS($V$6:$V$73,$I$6:$I$73,"Вышло",$D$6:$D$73,"Telegram",$E$6:$E$73,"сайт")+SUMIFS($V$6:$V$73,$I$6:$I$73,"Вышло",$D$6:$D$73,"Telegram ",$E$6:$E$73,"Сайт")+SUMIFS($V$6:$V$73,$I$6:$I$73,"Вышло",$D$6:$D$73,"Telegram ",$E$6:$E$73,"сайт")+SUMIFS($V$6:$V$73,$I$6:$I$73,"Вышло",$D$6:$D$73,"Телеграм",$E$6:$E$73,"Сайт")+SUMIFS($V$6:$V$73,$I$6:$I$73,"Вышло",$D$6:$D$73,"Телеграм",$E$6:$E$73,"сайт")+SUMIFS($V$6:$V$73,$I$6:$I$73,"Вышло",$D$6:$D$73,"ТГ",$E$6:$E$73,"Сайт")+SUMIFS($V$6:$V$73,$I$6:$I$73,"Вышло",$D$6:$D$73,"ТГ",$E$6:$E$73,"сайт")+SUMIFS($V$6:$V$73,$I$6:$I$73,"Вышло",$D$6:$D$73,"Telegram",$E$6:$E$73,"Ozon")+SUMIFS($V$6:$V$73,$I$6:$I$73,"Вышло",$D$6:$D$73,"Telegram",$E$6:$E$73,"OZON")+SUMIFS($V$6:$V$73,$I$6:$I$73,"Вышло",$D$6:$D$73,"Telegram",$E$6:$E$73,"Озон")+SUMIFS($V$6:$V$73,$I$6:$I$73,"Вышло",$D$6:$D$73,"Telegram",$E$6:$E$73,"озон")+SUMIFS($V$6:$V$73,$I$6:$I$73,"Вышло",$D$6:$D$73,"Telegram ",$E$6:$E$73,"Ozon")+SUMIFS($V$6:$V$73,$I$6:$I$73,"Вышло",$D$6:$D$73,"Telegram ",$E$6:$E$73,"OZON")+SUMIFS($V$6:$V$73,$I$6:$I$73,"Вышло",$D$6:$D$73,"Telegram ",$E$6:$E$73,"Озон")+SUMIFS($V$6:$V$73,$I$6:$I$73,"Вышло",$D$6:$D$73,"Telegram ",$E$6:$E$73,"озон")+SUMIFS($V$6:$V$73,$I$6:$I$73,"Вышло",$D$6:$D$73,"Телеграм",$E$6:$E$73,"Ozon")+SUMIFS($V$6:$V$73,$I$6:$I$73,"Вышло",$D$6:$D$73,"Телеграм",$E$6:$E$73,"OZON")+SUMIFS($V$6:$V$73,$I$6:$I$73,"Вышло",$D$6:$D$73,"Телеграм",$E$6:$E$73,"Озон")+SUMIFS($V$6:$V$73,$I$6:$I$73,"Вышло",$D$6:$D$73,"Телеграм",$E$6:$E$73,"озон")+SUMIFS($V$6:$V$73,$I$6:$I$73,"Вышло",$D$6:$D$73,"ТГ",$E$6:$E$73,"Ozon")+SUMIFS($V$6:$V$73,$I$6:$I$73,"Вышло",$D$6:$D$73,"ТГ",$E$6:$E$73,"OZON")+SUMIFS($V$6:$V$73,$I$6:$I$73,"Вышло",$D$6:$D$73,"ТГ",$E$6:$E$73,"Озон")+SUMIFS($V$6:$V$73,$I$6:$I$73,"Вышло",$D$6:$D$73,"ТГ",$E$6:$E$73,"озон")),0))</f>
        <v>—</v>
      </c>
      <c r="M77" s="140" t="str">
        <f>IF((SUMIFS($W$6:$W$73,$I$6:$I$73,"Вышло",$D$6:$D$73,"Telegram",$E$6:$E$73,"WB")+SUMIFS($W$6:$W$73,$I$6:$I$73,"Вышло",$D$6:$D$73,"Telegram",$E$6:$E$73,"ВБ")+SUMIFS($W$6:$W$73,$I$6:$I$73,"Вышло",$D$6:$D$73,"Telegram ",$E$6:$E$73,"WB")+SUMIFS($W$6:$W$73,$I$6:$I$73,"Вышло",$D$6:$D$73,"Telegram ",$E$6:$E$73,"ВБ")+SUMIFS($W$6:$W$73,$I$6:$I$73,"Вышло",$D$6:$D$73,"Телеграм",$E$6:$E$73,"WB")+SUMIFS($W$6:$W$73,$I$6:$I$73,"Вышло",$D$6:$D$73,"Телеграм",$E$6:$E$73,"ВБ")+SUMIFS($W$6:$W$73,$I$6:$I$73,"Вышло",$D$6:$D$73,"ТГ",$E$6:$E$73,"WB")+SUMIFS($W$6:$W$73,$I$6:$I$73,"Вышло",$D$6:$D$73,"ТГ",$E$6:$E$73,"ВБ"))=0,"—",ROUND((SUMIFS($M$6:$M$73,$I$6:$I$73,"Вышло",$D$6:$D$73,"Telegram",$E$6:$E$73,"WB")+SUMIFS($M$6:$M$73,$I$6:$I$73,"Вышло",$D$6:$D$73,"Telegram",$E$6:$E$73,"ВБ")+SUMIFS($M$6:$M$73,$I$6:$I$73,"Вышло",$D$6:$D$73,"Telegram ",$E$6:$E$73,"WB")+SUMIFS($M$6:$M$73,$I$6:$I$73,"Вышло",$D$6:$D$73,"Telegram ",$E$6:$E$73,"ВБ")+SUMIFS($M$6:$M$73,$I$6:$I$73,"Вышло",$D$6:$D$73,"Телеграм",$E$6:$E$73,"WB")+SUMIFS($M$6:$M$73,$I$6:$I$73,"Вышло",$D$6:$D$73,"Телеграм",$E$6:$E$73,"ВБ")+SUMIFS($M$6:$M$73,$I$6:$I$73,"Вышло",$D$6:$D$73,"ТГ",$E$6:$E$73,"WB")+SUMIFS($M$6:$M$73,$I$6:$I$73,"Вышло",$D$6:$D$73,"ТГ",$E$6:$E$73,"ВБ")-(SUMIFS($M$6:$M$73,$I$6:$I$73,"Вышло",$D$6:$D$73,"Telegram",$E$6:$E$73,"WB",$W$6:$W$73,"&lt;=0",$V$6:$V$73,"&gt;0")+SUMIFS($M$6:$M$73,$I$6:$I$73,"Вышло",$D$6:$D$73,"Telegram",$E$6:$E$73,"ВБ",$W$6:$W$73,"&lt;=0",$V$6:$V$73,"&gt;0")+SUMIFS($M$6:$M$73,$I$6:$I$73,"Вышло",$D$6:$D$73,"Telegram ",$E$6:$E$73,"WB",$W$6:$W$73,"&lt;=0",$V$6:$V$73,"&gt;0")+SUMIFS($M$6:$M$73,$I$6:$I$73,"Вышло",$D$6:$D$73,"Telegram ",$E$6:$E$73,"ВБ",$W$6:$W$73,"&lt;=0",$V$6:$V$73,"&gt;0")+SUMIFS($M$6:$M$73,$I$6:$I$73,"Вышло",$D$6:$D$73,"Телеграм",$E$6:$E$73,"WB",$W$6:$W$73,"&lt;=0",$V$6:$V$73,"&gt;0")+SUMIFS($M$6:$M$73,$I$6:$I$73,"Вышло",$D$6:$D$73,"Телеграм",$E$6:$E$73,"ВБ",$W$6:$W$73,"&lt;=0",$V$6:$V$73,"&gt;0")+SUMIFS($M$6:$M$73,$I$6:$I$73,"Вышло",$D$6:$D$73,"ТГ",$E$6:$E$73,"WB",$W$6:$W$73,"&lt;=0",$V$6:$V$73,"&gt;0")+SUMIFS($M$6:$M$73,$I$6:$I$73,"Вышло",$D$6:$D$73,"ТГ",$E$6:$E$73,"ВБ",$W$6:$W$73,"&lt;=0",$V$6:$V$73,"&gt;0")))/(SUMIFS($W$6:$W$73,$I$6:$I$73,"Вышло",$D$6:$D$73,"Telegram",$E$6:$E$73,"WB")+SUMIFS($W$6:$W$73,$I$6:$I$73,"Вышло",$D$6:$D$73,"Telegram",$E$6:$E$73,"ВБ")+SUMIFS($W$6:$W$73,$I$6:$I$73,"Вышло",$D$6:$D$73,"Telegram ",$E$6:$E$73,"WB")+SUMIFS($W$6:$W$73,$I$6:$I$73,"Вышло",$D$6:$D$73,"Telegram ",$E$6:$E$73,"ВБ")+SUMIFS($W$6:$W$73,$I$6:$I$73,"Вышло",$D$6:$D$73,"Телеграм",$E$6:$E$73,"WB")+SUMIFS($W$6:$W$73,$I$6:$I$73,"Вышло",$D$6:$D$73,"Телеграм",$E$6:$E$73,"ВБ")+SUMIFS($W$6:$W$73,$I$6:$I$73,"Вышло",$D$6:$D$73,"ТГ",$E$6:$E$73,"WB")+SUMIFS($W$6:$W$73,$I$6:$I$73,"Вышло",$D$6:$D$73,"ТГ",$E$6:$E$73,"ВБ")),0))</f>
        <v>—</v>
      </c>
      <c r="N77" s="140" t="str">
        <f t="shared" ref="N77:N85" si="62">"—"</f>
        <v>—</v>
      </c>
      <c r="O77" s="140" t="str">
        <f>IF((SUMIFS($Z$6:$Z$73,$I$6:$I$73,"Вышло",$D$6:$D$73,"Telegram")+SUMIFS($Z$6:$Z$73,$I$6:$I$73,"Вышло",$D$6:$D$73,"Telegram ")+SUMIFS($Z$6:$Z$73,$I$6:$I$73,"Вышло",$D$6:$D$73,"Телеграм")+SUMIFS($Z$6:$Z$73,$I$6:$I$73,"Вышло",$D$6:$D$73,"ТГ"))=0,"—",ROUND((SUMIFS($M$6:$M$73,$I$6:$I$73,"Вышло",$D$6:$D$73,"Telegram")+SUMIFS($M$6:$M$73,$I$6:$I$73,"Вышло",$D$6:$D$73,"Telegram ")+SUMIFS($M$6:$M$73,$I$6:$I$73,"Вышло",$D$6:$D$73,"Телеграм")+SUMIFS($M$6:$M$73,$I$6:$I$73,"Вышло",$D$6:$D$73,"ТГ"))/(SUMIFS($Z$6:$Z$73,$I$6:$I$73,"Вышло",$D$6:$D$73,"Telegram")+SUMIFS($Z$6:$Z$73,$I$6:$I$73,"Вышло",$D$6:$D$73,"Telegram ")+SUMIFS($Z$6:$Z$73,$I$6:$I$73,"Вышло",$D$6:$D$73,"Телеграм")+SUMIFS($Z$6:$Z$73,$I$6:$I$73,"Вышло",$D$6:$D$73,"ТГ")),0))</f>
        <v>—</v>
      </c>
      <c r="P77" s="3"/>
      <c r="Q77" s="3"/>
      <c r="R77" s="3"/>
      <c r="S77" s="3"/>
      <c r="T77" s="3"/>
      <c r="U77" s="155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</row>
    <row r="78" ht="15.75" customHeight="1">
      <c r="A78" s="139" t="s">
        <v>37</v>
      </c>
      <c r="B78" s="140">
        <f>SUMIFS($M$6:$M$73,$D$6:$D$73,"MAX")+SUMIFS($M$6:$M$73,$D$6:$D$73,"Макс")+SUMIFS($M$6:$M$73,$D$6:$D$73,"МАКС")</f>
        <v>0</v>
      </c>
      <c r="C78" s="140">
        <f>SUMIFS($M$6:$M$73,$I$6:$I$73,"Вышло",$D$6:$D$73,"MAX")+SUMIFS($M$6:$M$73,$I$6:$I$73,"Вышло",$D$6:$D$73,"Макс")+SUMIFS($M$6:$M$73,$I$6:$I$73,"Вышло",$D$6:$D$73,"МАКС")</f>
        <v>0</v>
      </c>
      <c r="D78" s="141">
        <f>COUNTIFS($I$6:$I$73,"Вышло",$D$6:$D$73,"MAX")+COUNTIFS($I$6:$I$73,"Вышло",$D$6:$D$73,"Макс")</f>
        <v>0</v>
      </c>
      <c r="E78" s="141">
        <f>SUMIFS($T$6:$T$73,$I$6:$I$73,"Вышло",$D$6:$D$73,"MAX")+SUMIFS($T$6:$T$73,$I$6:$I$73,"Вышло",$D$6:$D$73,"Макс")+SUMIFS($T$6:$T$73,$I$6:$I$73,"Вышло",$D$6:$D$73,"МАКС")</f>
        <v>0</v>
      </c>
      <c r="F78" s="141">
        <f>SUMIFS($V$6:$V$73,$I$6:$I$73,"Вышло",$D$6:$D$73,"MAX")+SUMIFS($V$6:$V$73,$I$6:$I$73,"Вышло",$D$6:$D$73,"Макс")+SUMIFS($V$6:$V$73,$I$6:$I$73,"Вышло",$D$6:$D$73,"МАКС")</f>
        <v>0</v>
      </c>
      <c r="G78" s="141">
        <f>SUMIFS($W$6:$W$73,$I$6:$I$73,"Вышло",$D$6:$D$73,"MAX")+SUMIFS($W$6:$W$73,$I$6:$I$73,"Вышло",$D$6:$D$73,"Макс")+SUMIFS($W$6:$W$73,$I$6:$I$73,"Вышло",$D$6:$D$73,"МАКС")</f>
        <v>0</v>
      </c>
      <c r="H78" s="141">
        <f t="shared" si="61"/>
        <v>0</v>
      </c>
      <c r="I78" s="141">
        <f>SUMIFS($Y$6:$Y$73,$I$6:$I$73,"Вышло",$D$6:$D$73,"MAX")+SUMIFS($Y$6:$Y$73,$I$6:$I$73,"Вышло",$D$6:$D$73,"Макс")+SUMIFS($Y$6:$Y$73,$I$6:$I$73,"Вышло",$D$6:$D$73,"МАКС")</f>
        <v>0</v>
      </c>
      <c r="J78" s="141">
        <f>SUMIFS($Z$6:$Z$73,$I$6:$I$73,"Вышло",$D$6:$D$73,"MAX")+SUMIFS($Z$6:$Z$73,$I$6:$I$73,"Вышло",$D$6:$D$73,"Макс")+SUMIFS($Z$6:$Z$73,$I$6:$I$73,"Вышло",$D$6:$D$73,"МАКС")</f>
        <v>0</v>
      </c>
      <c r="K78" s="140">
        <f>SUMIFS($AA$6:$AA$73,$I$6:$I$73,"Вышло",$D$6:$D$73,"MAX")+SUMIFS($AA$6:$AA$73,$I$6:$I$73,"Вышло",$D$6:$D$73,"Макс")+SUMIFS($AA$6:$AA$73,$I$6:$I$73,"Вышло",$D$6:$D$73,"МАКС")</f>
        <v>0</v>
      </c>
      <c r="L78" s="140" t="str">
        <f>IF((SUMIFS($V$6:$V$73,$I$6:$I$73,"Вышло",$D$6:$D$73,"MAX",$E$6:$E$73,"Сайт")+SUMIFS($V$6:$V$73,$I$6:$I$73,"Вышло",$D$6:$D$73,"MAX",$E$6:$E$73,"сайт")+SUMIFS($V$6:$V$73,$I$6:$I$73,"Вышло",$D$6:$D$73,"Макс",$E$6:$E$73,"Сайт")+SUMIFS($V$6:$V$73,$I$6:$I$73,"Вышло",$D$6:$D$73,"Макс",$E$6:$E$73,"сайт")+SUMIFS($V$6:$V$73,$I$6:$I$73,"Вышло",$D$6:$D$73,"МАКС",$E$6:$E$73,"Сайт")+SUMIFS($V$6:$V$73,$I$6:$I$73,"Вышло",$D$6:$D$73,"МАКС",$E$6:$E$73,"сайт")+SUMIFS($V$6:$V$73,$I$6:$I$73,"Вышло",$D$6:$D$73,"MAX",$E$6:$E$73,"Ozon")+SUMIFS($V$6:$V$73,$I$6:$I$73,"Вышло",$D$6:$D$73,"MAX",$E$6:$E$73,"OZON")+SUMIFS($V$6:$V$73,$I$6:$I$73,"Вышло",$D$6:$D$73,"MAX",$E$6:$E$73,"Озон")+SUMIFS($V$6:$V$73,$I$6:$I$73,"Вышло",$D$6:$D$73,"MAX",$E$6:$E$73,"озон")+SUMIFS($V$6:$V$73,$I$6:$I$73,"Вышло",$D$6:$D$73,"Макс",$E$6:$E$73,"Ozon")+SUMIFS($V$6:$V$73,$I$6:$I$73,"Вышло",$D$6:$D$73,"Макс",$E$6:$E$73,"OZON")+SUMIFS($V$6:$V$73,$I$6:$I$73,"Вышло",$D$6:$D$73,"Макс",$E$6:$E$73,"Озон")+SUMIFS($V$6:$V$73,$I$6:$I$73,"Вышло",$D$6:$D$73,"Макс",$E$6:$E$73,"озон")+SUMIFS($V$6:$V$73,$I$6:$I$73,"Вышло",$D$6:$D$73,"МАКС",$E$6:$E$73,"Ozon")+SUMIFS($V$6:$V$73,$I$6:$I$73,"Вышло",$D$6:$D$73,"МАКС",$E$6:$E$73,"OZON")+SUMIFS($V$6:$V$73,$I$6:$I$73,"Вышло",$D$6:$D$73,"МАКС",$E$6:$E$73,"Озон")+SUMIFS($V$6:$V$73,$I$6:$I$73,"Вышло",$D$6:$D$73,"МАКС",$E$6:$E$73,"озон"))=0,"—",ROUND((SUMIFS($M$6:$M$73,$I$6:$I$73,"Вышло",$D$6:$D$73,"MAX",$E$6:$E$73,"Сайт",$V$6:$V$73,"&gt;0")+SUMIFS($M$6:$M$73,$I$6:$I$73,"Вышло",$D$6:$D$73,"MAX",$E$6:$E$73,"сайт",$V$6:$V$73,"&gt;0")+SUMIFS($M$6:$M$73,$I$6:$I$73,"Вышло",$D$6:$D$73,"Макс",$E$6:$E$73,"Сайт",$V$6:$V$73,"&gt;0")+SUMIFS($M$6:$M$73,$I$6:$I$73,"Вышло",$D$6:$D$73,"Макс",$E$6:$E$73,"сайт",$V$6:$V$73,"&gt;0")+SUMIFS($M$6:$M$73,$I$6:$I$73,"Вышло",$D$6:$D$73,"МАКС",$E$6:$E$73,"Сайт",$V$6:$V$73,"&gt;0")+SUMIFS($M$6:$M$73,$I$6:$I$73,"Вышло",$D$6:$D$73,"МАКС",$E$6:$E$73,"сайт",$V$6:$V$73,"&gt;0")+SUMIFS($M$6:$M$73,$I$6:$I$73,"Вышло",$D$6:$D$73,"MAX",$E$6:$E$73,"Сайт",$V$6:$V$73,"&lt;=0",$P$6:$P$73,"&lt;&gt;")+SUMIFS($M$6:$M$73,$I$6:$I$73,"Вышло",$D$6:$D$73,"MAX",$E$6:$E$73,"сайт",$V$6:$V$73,"&lt;=0",$P$6:$P$73,"&lt;&gt;")+SUMIFS($M$6:$M$73,$I$6:$I$73,"Вышло",$D$6:$D$73,"Макс",$E$6:$E$73,"Сайт",$V$6:$V$73,"&lt;=0",$P$6:$P$73,"&lt;&gt;")+SUMIFS($M$6:$M$73,$I$6:$I$73,"Вышло",$D$6:$D$73,"Макс",$E$6:$E$73,"сайт",$V$6:$V$73,"&lt;=0",$P$6:$P$73,"&lt;&gt;")+SUMIFS($M$6:$M$73,$I$6:$I$73,"Вышло",$D$6:$D$73,"МАКС",$E$6:$E$73,"Сайт",$V$6:$V$73,"&lt;=0",$P$6:$P$73,"&lt;&gt;")+SUMIFS($M$6:$M$73,$I$6:$I$73,"Вышло",$D$6:$D$73,"МАКС",$E$6:$E$73,"сайт",$V$6:$V$73,"&lt;=0",$P$6:$P$73,"&lt;&gt;")+SUMIFS($M$6:$M$73,$I$6:$I$73,"Вышло",$D$6:$D$73,"MAX",$E$6:$E$73,"Ozon",$V$6:$V$73,"&gt;0")+SUMIFS($M$6:$M$73,$I$6:$I$73,"Вышло",$D$6:$D$73,"MAX",$E$6:$E$73,"OZON",$V$6:$V$73,"&gt;0")+SUMIFS($M$6:$M$73,$I$6:$I$73,"Вышло",$D$6:$D$73,"MAX",$E$6:$E$73,"Озон",$V$6:$V$73,"&gt;0")+SUMIFS($M$6:$M$73,$I$6:$I$73,"Вышло",$D$6:$D$73,"MAX",$E$6:$E$73,"озон",$V$6:$V$73,"&gt;0")+SUMIFS($M$6:$M$73,$I$6:$I$73,"Вышло",$D$6:$D$73,"Макс",$E$6:$E$73,"Ozon",$V$6:$V$73,"&gt;0")+SUMIFS($M$6:$M$73,$I$6:$I$73,"Вышло",$D$6:$D$73,"Макс",$E$6:$E$73,"OZON",$V$6:$V$73,"&gt;0")+SUMIFS($M$6:$M$73,$I$6:$I$73,"Вышло",$D$6:$D$73,"Макс",$E$6:$E$73,"Озон",$V$6:$V$73,"&gt;0")+SUMIFS($M$6:$M$73,$I$6:$I$73,"Вышло",$D$6:$D$73,"Макс",$E$6:$E$73,"озон",$V$6:$V$73,"&gt;0")+SUMIFS($M$6:$M$73,$I$6:$I$73,"Вышло",$D$6:$D$73,"МАКС",$E$6:$E$73,"Ozon",$V$6:$V$73,"&gt;0")+SUMIFS($M$6:$M$73,$I$6:$I$73,"Вышло",$D$6:$D$73,"МАКС",$E$6:$E$73,"OZON",$V$6:$V$73,"&gt;0")+SUMIFS($M$6:$M$73,$I$6:$I$73,"Вышло",$D$6:$D$73,"МАКС",$E$6:$E$73,"Озон",$V$6:$V$73,"&gt;0")+SUMIFS($M$6:$M$73,$I$6:$I$73,"Вышло",$D$6:$D$73,"МАКС",$E$6:$E$73,"озон",$V$6:$V$73,"&gt;0")+SUMIFS($M$6:$M$73,$I$6:$I$73,"Вышло",$D$6:$D$73,"MAX",$E$6:$E$73,"Ozon",$V$6:$V$73,"&lt;=0",$P$6:$P$73,"&lt;&gt;")+SUMIFS($M$6:$M$73,$I$6:$I$73,"Вышло",$D$6:$D$73,"MAX",$E$6:$E$73,"OZON",$V$6:$V$73,"&lt;=0",$P$6:$P$73,"&lt;&gt;")+SUMIFS($M$6:$M$73,$I$6:$I$73,"Вышло",$D$6:$D$73,"MAX",$E$6:$E$73,"Озон",$V$6:$V$73,"&lt;=0",$P$6:$P$73,"&lt;&gt;")+SUMIFS($M$6:$M$73,$I$6:$I$73,"Вышло",$D$6:$D$73,"MAX",$E$6:$E$73,"озон",$V$6:$V$73,"&lt;=0",$P$6:$P$73,"&lt;&gt;")+SUMIFS($M$6:$M$73,$I$6:$I$73,"Вышло",$D$6:$D$73,"Макс",$E$6:$E$73,"Ozon",$V$6:$V$73,"&lt;=0",$P$6:$P$73,"&lt;&gt;")+SUMIFS($M$6:$M$73,$I$6:$I$73,"Вышло",$D$6:$D$73,"Макс",$E$6:$E$73,"OZON",$V$6:$V$73,"&lt;=0",$P$6:$P$73,"&lt;&gt;")+SUMIFS($M$6:$M$73,$I$6:$I$73,"Вышло",$D$6:$D$73,"Макс",$E$6:$E$73,"Озон",$V$6:$V$73,"&lt;=0",$P$6:$P$73,"&lt;&gt;")+SUMIFS($M$6:$M$73,$I$6:$I$73,"Вышло",$D$6:$D$73,"Макс",$E$6:$E$73,"озон",$V$6:$V$73,"&lt;=0",$P$6:$P$73,"&lt;&gt;")+SUMIFS($M$6:$M$73,$I$6:$I$73,"Вышло",$D$6:$D$73,"МАКС",$E$6:$E$73,"Ozon",$V$6:$V$73,"&lt;=0",$P$6:$P$73,"&lt;&gt;")+SUMIFS($M$6:$M$73,$I$6:$I$73,"Вышло",$D$6:$D$73,"МАКС",$E$6:$E$73,"OZON",$V$6:$V$73,"&lt;=0",$P$6:$P$73,"&lt;&gt;")+SUMIFS($M$6:$M$73,$I$6:$I$73,"Вышло",$D$6:$D$73,"МАКС",$E$6:$E$73,"Озон",$V$6:$V$73,"&lt;=0",$P$6:$P$73,"&lt;&gt;")+SUMIFS($M$6:$M$73,$I$6:$I$73,"Вышло",$D$6:$D$73,"МАКС",$E$6:$E$73,"озон",$V$6:$V$73,"&lt;=0",$P$6:$P$73,"&lt;&gt;"))/(SUMIFS($V$6:$V$73,$I$6:$I$73,"Вышло",$D$6:$D$73,"MAX",$E$6:$E$73,"Сайт")+SUMIFS($V$6:$V$73,$I$6:$I$73,"Вышло",$D$6:$D$73,"MAX",$E$6:$E$73,"сайт")+SUMIFS($V$6:$V$73,$I$6:$I$73,"Вышло",$D$6:$D$73,"Макс",$E$6:$E$73,"Сайт")+SUMIFS($V$6:$V$73,$I$6:$I$73,"Вышло",$D$6:$D$73,"Макс",$E$6:$E$73,"сайт")+SUMIFS($V$6:$V$73,$I$6:$I$73,"Вышло",$D$6:$D$73,"МАКС",$E$6:$E$73,"Сайт")+SUMIFS($V$6:$V$73,$I$6:$I$73,"Вышло",$D$6:$D$73,"МАКС",$E$6:$E$73,"сайт")+SUMIFS($V$6:$V$73,$I$6:$I$73,"Вышло",$D$6:$D$73,"MAX",$E$6:$E$73,"Ozon")+SUMIFS($V$6:$V$73,$I$6:$I$73,"Вышло",$D$6:$D$73,"MAX",$E$6:$E$73,"OZON")+SUMIFS($V$6:$V$73,$I$6:$I$73,"Вышло",$D$6:$D$73,"MAX",$E$6:$E$73,"Озон")+SUMIFS($V$6:$V$73,$I$6:$I$73,"Вышло",$D$6:$D$73,"MAX",$E$6:$E$73,"озон")+SUMIFS($V$6:$V$73,$I$6:$I$73,"Вышло",$D$6:$D$73,"Макс",$E$6:$E$73,"Ozon")+SUMIFS($V$6:$V$73,$I$6:$I$73,"Вышло",$D$6:$D$73,"Макс",$E$6:$E$73,"OZON")+SUMIFS($V$6:$V$73,$I$6:$I$73,"Вышло",$D$6:$D$73,"Макс",$E$6:$E$73,"Озон")+SUMIFS($V$6:$V$73,$I$6:$I$73,"Вышло",$D$6:$D$73,"Макс",$E$6:$E$73,"озон")+SUMIFS($V$6:$V$73,$I$6:$I$73,"Вышло",$D$6:$D$73,"МАКС",$E$6:$E$73,"Ozon")+SUMIFS($V$6:$V$73,$I$6:$I$73,"Вышло",$D$6:$D$73,"МАКС",$E$6:$E$73,"OZON")+SUMIFS($V$6:$V$73,$I$6:$I$73,"Вышло",$D$6:$D$73,"МАКС",$E$6:$E$73,"Озон")+SUMIFS($V$6:$V$73,$I$6:$I$73,"Вышло",$D$6:$D$73,"МАКС",$E$6:$E$73,"озон")),0))</f>
        <v>—</v>
      </c>
      <c r="M78" s="140" t="str">
        <f>IF((SUMIFS($W$6:$W$73,$I$6:$I$73,"Вышло",$D$6:$D$73,"MAX",$E$6:$E$73,"WB")+SUMIFS($W$6:$W$73,$I$6:$I$73,"Вышло",$D$6:$D$73,"MAX",$E$6:$E$73,"ВБ")+SUMIFS($W$6:$W$73,$I$6:$I$73,"Вышло",$D$6:$D$73,"Макс",$E$6:$E$73,"WB")+SUMIFS($W$6:$W$73,$I$6:$I$73,"Вышло",$D$6:$D$73,"Макс",$E$6:$E$73,"ВБ")+SUMIFS($W$6:$W$73,$I$6:$I$73,"Вышло",$D$6:$D$73,"МАКС",$E$6:$E$73,"WB")+SUMIFS($W$6:$W$73,$I$6:$I$73,"Вышло",$D$6:$D$73,"МАКС",$E$6:$E$73,"ВБ"))=0,"—",ROUND((SUMIFS($M$6:$M$73,$I$6:$I$73,"Вышло",$D$6:$D$73,"MAX",$E$6:$E$73,"WB")+SUMIFS($M$6:$M$73,$I$6:$I$73,"Вышло",$D$6:$D$73,"MAX",$E$6:$E$73,"ВБ")+SUMIFS($M$6:$M$73,$I$6:$I$73,"Вышло",$D$6:$D$73,"Макс",$E$6:$E$73,"WB")+SUMIFS($M$6:$M$73,$I$6:$I$73,"Вышло",$D$6:$D$73,"Макс",$E$6:$E$73,"ВБ")+SUMIFS($M$6:$M$73,$I$6:$I$73,"Вышло",$D$6:$D$73,"МАКС",$E$6:$E$73,"WB")+SUMIFS($M$6:$M$73,$I$6:$I$73,"Вышло",$D$6:$D$73,"МАКС",$E$6:$E$73,"ВБ")-(SUMIFS($M$6:$M$73,$I$6:$I$73,"Вышло",$D$6:$D$73,"MAX",$E$6:$E$73,"WB",$W$6:$W$73,"&lt;=0",$V$6:$V$73,"&gt;0")+SUMIFS($M$6:$M$73,$I$6:$I$73,"Вышло",$D$6:$D$73,"MAX",$E$6:$E$73,"ВБ",$W$6:$W$73,"&lt;=0",$V$6:$V$73,"&gt;0")+SUMIFS($M$6:$M$73,$I$6:$I$73,"Вышло",$D$6:$D$73,"Макс",$E$6:$E$73,"WB",$W$6:$W$73,"&lt;=0",$V$6:$V$73,"&gt;0")+SUMIFS($M$6:$M$73,$I$6:$I$73,"Вышло",$D$6:$D$73,"Макс",$E$6:$E$73,"ВБ",$W$6:$W$73,"&lt;=0",$V$6:$V$73,"&gt;0")+SUMIFS($M$6:$M$73,$I$6:$I$73,"Вышло",$D$6:$D$73,"МАКС",$E$6:$E$73,"WB",$W$6:$W$73,"&lt;=0",$V$6:$V$73,"&gt;0")+SUMIFS($M$6:$M$73,$I$6:$I$73,"Вышло",$D$6:$D$73,"МАКС",$E$6:$E$73,"ВБ",$W$6:$W$73,"&lt;=0",$V$6:$V$73,"&gt;0")))/(SUMIFS($W$6:$W$73,$I$6:$I$73,"Вышло",$D$6:$D$73,"MAX",$E$6:$E$73,"WB")+SUMIFS($W$6:$W$73,$I$6:$I$73,"Вышло",$D$6:$D$73,"MAX",$E$6:$E$73,"ВБ")+SUMIFS($W$6:$W$73,$I$6:$I$73,"Вышло",$D$6:$D$73,"Макс",$E$6:$E$73,"WB")+SUMIFS($W$6:$W$73,$I$6:$I$73,"Вышло",$D$6:$D$73,"Макс",$E$6:$E$73,"ВБ")+SUMIFS($W$6:$W$73,$I$6:$I$73,"Вышло",$D$6:$D$73,"МАКС",$E$6:$E$73,"WB")+SUMIFS($W$6:$W$73,$I$6:$I$73,"Вышло",$D$6:$D$73,"МАКС",$E$6:$E$73,"ВБ")),0))</f>
        <v>—</v>
      </c>
      <c r="N78" s="140" t="str">
        <f t="shared" si="62"/>
        <v>—</v>
      </c>
      <c r="O78" s="140" t="str">
        <f>IF((SUMIFS($Z$6:$Z$73,$I$6:$I$73,"Вышло",$D$6:$D$73,"MAX")+SUMIFS($Z$6:$Z$73,$I$6:$I$73,"Вышло",$D$6:$D$73,"Макс")+SUMIFS($Z$6:$Z$73,$I$6:$I$73,"Вышло",$D$6:$D$73,"МАКС"))=0,"—",ROUND((SUMIFS($M$6:$M$73,$I$6:$I$73,"Вышло",$D$6:$D$73,"MAX")+SUMIFS($M$6:$M$73,$I$6:$I$73,"Вышло",$D$6:$D$73,"Макс")+SUMIFS($M$6:$M$73,$I$6:$I$73,"Вышло",$D$6:$D$73,"МАКС"))/(SUMIFS($Z$6:$Z$73,$I$6:$I$73,"Вышло",$D$6:$D$73,"MAX")+SUMIFS($Z$6:$Z$73,$I$6:$I$73,"Вышло",$D$6:$D$73,"Макс")+SUMIFS($Z$6:$Z$73,$I$6:$I$73,"Вышло",$D$6:$D$73,"МАКС")),0))</f>
        <v>—</v>
      </c>
      <c r="P78" s="3"/>
      <c r="Q78" s="3"/>
      <c r="R78" s="3"/>
      <c r="S78" s="3"/>
      <c r="T78" s="3"/>
      <c r="U78" s="155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</row>
    <row r="79" ht="15.75" customHeight="1">
      <c r="A79" s="139" t="s">
        <v>244</v>
      </c>
      <c r="B79" s="140">
        <f>SUMIFS($M$6:$M$73,$D$6:$D$73,"VK")+SUMIFS($M$6:$M$73,$D$6:$D$73,"Vk")+SUMIFS($M$6:$M$73,$D$6:$D$73,"ВК")</f>
        <v>21200</v>
      </c>
      <c r="C79" s="140">
        <f>SUMIFS($M$6:$M$73,$I$6:$I$73,"Вышло",$D$6:$D$73,"VK")+SUMIFS($M$6:$M$73,$I$6:$I$73,"Вышло",$D$6:$D$73,"Vk")+SUMIFS($M$6:$M$73,$I$6:$I$73,"Вышло",$D$6:$D$73,"ВК")</f>
        <v>0</v>
      </c>
      <c r="D79" s="141">
        <f>COUNTIFS($I$6:$I$73,"Вышло",$D$6:$D$73,"VK")+COUNTIFS($I$6:$I$73,"Вышло",$D$6:$D$73,"ВК")</f>
        <v>0</v>
      </c>
      <c r="E79" s="141">
        <f>SUMIFS($T$6:$T$73,$I$6:$I$73,"Вышло",$D$6:$D$73,"VK")+SUMIFS($T$6:$T$73,$I$6:$I$73,"Вышло",$D$6:$D$73,"Vk")+SUMIFS($T$6:$T$73,$I$6:$I$73,"Вышло",$D$6:$D$73,"ВК")</f>
        <v>0</v>
      </c>
      <c r="F79" s="141">
        <f>SUMIFS($V$6:$V$73,$I$6:$I$73,"Вышло",$D$6:$D$73,"VK")+SUMIFS($V$6:$V$73,$I$6:$I$73,"Вышло",$D$6:$D$73,"Vk")+SUMIFS($V$6:$V$73,$I$6:$I$73,"Вышло",$D$6:$D$73,"ВК")</f>
        <v>0</v>
      </c>
      <c r="G79" s="141">
        <f>SUMIFS($W$6:$W$73,$I$6:$I$73,"Вышло",$D$6:$D$73,"VK")+SUMIFS($W$6:$W$73,$I$6:$I$73,"Вышло",$D$6:$D$73,"Vk")+SUMIFS($W$6:$W$73,$I$6:$I$73,"Вышло",$D$6:$D$73,"ВК")</f>
        <v>0</v>
      </c>
      <c r="H79" s="141">
        <f t="shared" si="61"/>
        <v>0</v>
      </c>
      <c r="I79" s="141">
        <f>SUMIFS($Y$6:$Y$73,$I$6:$I$73,"Вышло",$D$6:$D$73,"VK")+SUMIFS($Y$6:$Y$73,$I$6:$I$73,"Вышло",$D$6:$D$73,"Vk")+SUMIFS($Y$6:$Y$73,$I$6:$I$73,"Вышло",$D$6:$D$73,"ВК")</f>
        <v>0</v>
      </c>
      <c r="J79" s="141">
        <f>SUMIFS($Z$6:$Z$73,$I$6:$I$73,"Вышло",$D$6:$D$73,"VK")+SUMIFS($Z$6:$Z$73,$I$6:$I$73,"Вышло",$D$6:$D$73,"Vk")+SUMIFS($Z$6:$Z$73,$I$6:$I$73,"Вышло",$D$6:$D$73,"ВК")</f>
        <v>0</v>
      </c>
      <c r="K79" s="140">
        <f>SUMIFS($AA$6:$AA$73,$I$6:$I$73,"Вышло",$D$6:$D$73,"VK")+SUMIFS($AA$6:$AA$73,$I$6:$I$73,"Вышло",$D$6:$D$73,"Vk")+SUMIFS($AA$6:$AA$73,$I$6:$I$73,"Вышло",$D$6:$D$73,"ВК")</f>
        <v>0</v>
      </c>
      <c r="L79" s="140" t="str">
        <f>IF((SUMIFS($V$6:$V$73,$I$6:$I$73,"Вышло",$D$6:$D$73,"VK",$E$6:$E$73,"Сайт")+SUMIFS($V$6:$V$73,$I$6:$I$73,"Вышло",$D$6:$D$73,"VK",$E$6:$E$73,"сайт")+SUMIFS($V$6:$V$73,$I$6:$I$73,"Вышло",$D$6:$D$73,"Vk",$E$6:$E$73,"Сайт")+SUMIFS($V$6:$V$73,$I$6:$I$73,"Вышло",$D$6:$D$73,"Vk",$E$6:$E$73,"сайт")+SUMIFS($V$6:$V$73,$I$6:$I$73,"Вышло",$D$6:$D$73,"ВК",$E$6:$E$73,"Сайт")+SUMIFS($V$6:$V$73,$I$6:$I$73,"Вышло",$D$6:$D$73,"ВК",$E$6:$E$73,"сайт")+SUMIFS($V$6:$V$73,$I$6:$I$73,"Вышло",$D$6:$D$73,"VK",$E$6:$E$73,"Ozon")+SUMIFS($V$6:$V$73,$I$6:$I$73,"Вышло",$D$6:$D$73,"VK",$E$6:$E$73,"OZON")+SUMIFS($V$6:$V$73,$I$6:$I$73,"Вышло",$D$6:$D$73,"VK",$E$6:$E$73,"Озон")+SUMIFS($V$6:$V$73,$I$6:$I$73,"Вышло",$D$6:$D$73,"VK",$E$6:$E$73,"озон")+SUMIFS($V$6:$V$73,$I$6:$I$73,"Вышло",$D$6:$D$73,"Vk",$E$6:$E$73,"Ozon")+SUMIFS($V$6:$V$73,$I$6:$I$73,"Вышло",$D$6:$D$73,"Vk",$E$6:$E$73,"OZON")+SUMIFS($V$6:$V$73,$I$6:$I$73,"Вышло",$D$6:$D$73,"Vk",$E$6:$E$73,"Озон")+SUMIFS($V$6:$V$73,$I$6:$I$73,"Вышло",$D$6:$D$73,"Vk",$E$6:$E$73,"озон")+SUMIFS($V$6:$V$73,$I$6:$I$73,"Вышло",$D$6:$D$73,"ВК",$E$6:$E$73,"Ozon")+SUMIFS($V$6:$V$73,$I$6:$I$73,"Вышло",$D$6:$D$73,"ВК",$E$6:$E$73,"OZON")+SUMIFS($V$6:$V$73,$I$6:$I$73,"Вышло",$D$6:$D$73,"ВК",$E$6:$E$73,"Озон")+SUMIFS($V$6:$V$73,$I$6:$I$73,"Вышло",$D$6:$D$73,"ВК",$E$6:$E$73,"озон"))=0,"—",ROUND((SUMIFS($M$6:$M$73,$I$6:$I$73,"Вышло",$D$6:$D$73,"VK",$E$6:$E$73,"Сайт",$V$6:$V$73,"&gt;0")+SUMIFS($M$6:$M$73,$I$6:$I$73,"Вышло",$D$6:$D$73,"VK",$E$6:$E$73,"сайт",$V$6:$V$73,"&gt;0")+SUMIFS($M$6:$M$73,$I$6:$I$73,"Вышло",$D$6:$D$73,"Vk",$E$6:$E$73,"Сайт",$V$6:$V$73,"&gt;0")+SUMIFS($M$6:$M$73,$I$6:$I$73,"Вышло",$D$6:$D$73,"Vk",$E$6:$E$73,"сайт",$V$6:$V$73,"&gt;0")+SUMIFS($M$6:$M$73,$I$6:$I$73,"Вышло",$D$6:$D$73,"ВК",$E$6:$E$73,"Сайт",$V$6:$V$73,"&gt;0")+SUMIFS($M$6:$M$73,$I$6:$I$73,"Вышло",$D$6:$D$73,"ВК",$E$6:$E$73,"сайт",$V$6:$V$73,"&gt;0")+SUMIFS($M$6:$M$73,$I$6:$I$73,"Вышло",$D$6:$D$73,"VK",$E$6:$E$73,"Сайт",$V$6:$V$73,"&lt;=0",$P$6:$P$73,"&lt;&gt;")+SUMIFS($M$6:$M$73,$I$6:$I$73,"Вышло",$D$6:$D$73,"VK",$E$6:$E$73,"сайт",$V$6:$V$73,"&lt;=0",$P$6:$P$73,"&lt;&gt;")+SUMIFS($M$6:$M$73,$I$6:$I$73,"Вышло",$D$6:$D$73,"Vk",$E$6:$E$73,"Сайт",$V$6:$V$73,"&lt;=0",$P$6:$P$73,"&lt;&gt;")+SUMIFS($M$6:$M$73,$I$6:$I$73,"Вышло",$D$6:$D$73,"Vk",$E$6:$E$73,"сайт",$V$6:$V$73,"&lt;=0",$P$6:$P$73,"&lt;&gt;")+SUMIFS($M$6:$M$73,$I$6:$I$73,"Вышло",$D$6:$D$73,"ВК",$E$6:$E$73,"Сайт",$V$6:$V$73,"&lt;=0",$P$6:$P$73,"&lt;&gt;")+SUMIFS($M$6:$M$73,$I$6:$I$73,"Вышло",$D$6:$D$73,"ВК",$E$6:$E$73,"сайт",$V$6:$V$73,"&lt;=0",$P$6:$P$73,"&lt;&gt;")+SUMIFS($M$6:$M$73,$I$6:$I$73,"Вышло",$D$6:$D$73,"VK",$E$6:$E$73,"Ozon",$V$6:$V$73,"&gt;0")+SUMIFS($M$6:$M$73,$I$6:$I$73,"Вышло",$D$6:$D$73,"VK",$E$6:$E$73,"OZON",$V$6:$V$73,"&gt;0")+SUMIFS($M$6:$M$73,$I$6:$I$73,"Вышло",$D$6:$D$73,"VK",$E$6:$E$73,"Озон",$V$6:$V$73,"&gt;0")+SUMIFS($M$6:$M$73,$I$6:$I$73,"Вышло",$D$6:$D$73,"VK",$E$6:$E$73,"озон",$V$6:$V$73,"&gt;0")+SUMIFS($M$6:$M$73,$I$6:$I$73,"Вышло",$D$6:$D$73,"Vk",$E$6:$E$73,"Ozon",$V$6:$V$73,"&gt;0")+SUMIFS($M$6:$M$73,$I$6:$I$73,"Вышло",$D$6:$D$73,"Vk",$E$6:$E$73,"OZON",$V$6:$V$73,"&gt;0")+SUMIFS($M$6:$M$73,$I$6:$I$73,"Вышло",$D$6:$D$73,"Vk",$E$6:$E$73,"Озон",$V$6:$V$73,"&gt;0")+SUMIFS($M$6:$M$73,$I$6:$I$73,"Вышло",$D$6:$D$73,"Vk",$E$6:$E$73,"озон",$V$6:$V$73,"&gt;0")+SUMIFS($M$6:$M$73,$I$6:$I$73,"Вышло",$D$6:$D$73,"ВК",$E$6:$E$73,"Ozon",$V$6:$V$73,"&gt;0")+SUMIFS($M$6:$M$73,$I$6:$I$73,"Вышло",$D$6:$D$73,"ВК",$E$6:$E$73,"OZON",$V$6:$V$73,"&gt;0")+SUMIFS($M$6:$M$73,$I$6:$I$73,"Вышло",$D$6:$D$73,"ВК",$E$6:$E$73,"Озон",$V$6:$V$73,"&gt;0")+SUMIFS($M$6:$M$73,$I$6:$I$73,"Вышло",$D$6:$D$73,"ВК",$E$6:$E$73,"озон",$V$6:$V$73,"&gt;0")+SUMIFS($M$6:$M$73,$I$6:$I$73,"Вышло",$D$6:$D$73,"VK",$E$6:$E$73,"Ozon",$V$6:$V$73,"&lt;=0",$P$6:$P$73,"&lt;&gt;")+SUMIFS($M$6:$M$73,$I$6:$I$73,"Вышло",$D$6:$D$73,"VK",$E$6:$E$73,"OZON",$V$6:$V$73,"&lt;=0",$P$6:$P$73,"&lt;&gt;")+SUMIFS($M$6:$M$73,$I$6:$I$73,"Вышло",$D$6:$D$73,"VK",$E$6:$E$73,"Озон",$V$6:$V$73,"&lt;=0",$P$6:$P$73,"&lt;&gt;")+SUMIFS($M$6:$M$73,$I$6:$I$73,"Вышло",$D$6:$D$73,"VK",$E$6:$E$73,"озон",$V$6:$V$73,"&lt;=0",$P$6:$P$73,"&lt;&gt;")+SUMIFS($M$6:$M$73,$I$6:$I$73,"Вышло",$D$6:$D$73,"Vk",$E$6:$E$73,"Ozon",$V$6:$V$73,"&lt;=0",$P$6:$P$73,"&lt;&gt;")+SUMIFS($M$6:$M$73,$I$6:$I$73,"Вышло",$D$6:$D$73,"Vk",$E$6:$E$73,"OZON",$V$6:$V$73,"&lt;=0",$P$6:$P$73,"&lt;&gt;")+SUMIFS($M$6:$M$73,$I$6:$I$73,"Вышло",$D$6:$D$73,"Vk",$E$6:$E$73,"Озон",$V$6:$V$73,"&lt;=0",$P$6:$P$73,"&lt;&gt;")+SUMIFS($M$6:$M$73,$I$6:$I$73,"Вышло",$D$6:$D$73,"Vk",$E$6:$E$73,"озон",$V$6:$V$73,"&lt;=0",$P$6:$P$73,"&lt;&gt;")+SUMIFS($M$6:$M$73,$I$6:$I$73,"Вышло",$D$6:$D$73,"ВК",$E$6:$E$73,"Ozon",$V$6:$V$73,"&lt;=0",$P$6:$P$73,"&lt;&gt;")+SUMIFS($M$6:$M$73,$I$6:$I$73,"Вышло",$D$6:$D$73,"ВК",$E$6:$E$73,"OZON",$V$6:$V$73,"&lt;=0",$P$6:$P$73,"&lt;&gt;")+SUMIFS($M$6:$M$73,$I$6:$I$73,"Вышло",$D$6:$D$73,"ВК",$E$6:$E$73,"Озон",$V$6:$V$73,"&lt;=0",$P$6:$P$73,"&lt;&gt;")+SUMIFS($M$6:$M$73,$I$6:$I$73,"Вышло",$D$6:$D$73,"ВК",$E$6:$E$73,"озон",$V$6:$V$73,"&lt;=0",$P$6:$P$73,"&lt;&gt;"))/(SUMIFS($V$6:$V$73,$I$6:$I$73,"Вышло",$D$6:$D$73,"VK",$E$6:$E$73,"Сайт")+SUMIFS($V$6:$V$73,$I$6:$I$73,"Вышло",$D$6:$D$73,"VK",$E$6:$E$73,"сайт")+SUMIFS($V$6:$V$73,$I$6:$I$73,"Вышло",$D$6:$D$73,"Vk",$E$6:$E$73,"Сайт")+SUMIFS($V$6:$V$73,$I$6:$I$73,"Вышло",$D$6:$D$73,"Vk",$E$6:$E$73,"сайт")+SUMIFS($V$6:$V$73,$I$6:$I$73,"Вышло",$D$6:$D$73,"ВК",$E$6:$E$73,"Сайт")+SUMIFS($V$6:$V$73,$I$6:$I$73,"Вышло",$D$6:$D$73,"ВК",$E$6:$E$73,"сайт")+SUMIFS($V$6:$V$73,$I$6:$I$73,"Вышло",$D$6:$D$73,"VK",$E$6:$E$73,"Ozon")+SUMIFS($V$6:$V$73,$I$6:$I$73,"Вышло",$D$6:$D$73,"VK",$E$6:$E$73,"OZON")+SUMIFS($V$6:$V$73,$I$6:$I$73,"Вышло",$D$6:$D$73,"VK",$E$6:$E$73,"Озон")+SUMIFS($V$6:$V$73,$I$6:$I$73,"Вышло",$D$6:$D$73,"VK",$E$6:$E$73,"озон")+SUMIFS($V$6:$V$73,$I$6:$I$73,"Вышло",$D$6:$D$73,"Vk",$E$6:$E$73,"Ozon")+SUMIFS($V$6:$V$73,$I$6:$I$73,"Вышло",$D$6:$D$73,"Vk",$E$6:$E$73,"OZON")+SUMIFS($V$6:$V$73,$I$6:$I$73,"Вышло",$D$6:$D$73,"Vk",$E$6:$E$73,"Озон")+SUMIFS($V$6:$V$73,$I$6:$I$73,"Вышло",$D$6:$D$73,"Vk",$E$6:$E$73,"озон")+SUMIFS($V$6:$V$73,$I$6:$I$73,"Вышло",$D$6:$D$73,"ВК",$E$6:$E$73,"Ozon")+SUMIFS($V$6:$V$73,$I$6:$I$73,"Вышло",$D$6:$D$73,"ВК",$E$6:$E$73,"OZON")+SUMIFS($V$6:$V$73,$I$6:$I$73,"Вышло",$D$6:$D$73,"ВК",$E$6:$E$73,"Озон")+SUMIFS($V$6:$V$73,$I$6:$I$73,"Вышло",$D$6:$D$73,"ВК",$E$6:$E$73,"озон")),0))</f>
        <v>—</v>
      </c>
      <c r="M79" s="140" t="str">
        <f>IF((SUMIFS($W$6:$W$73,$I$6:$I$73,"Вышло",$D$6:$D$73,"VK",$E$6:$E$73,"WB")+SUMIFS($W$6:$W$73,$I$6:$I$73,"Вышло",$D$6:$D$73,"VK",$E$6:$E$73,"ВБ")+SUMIFS($W$6:$W$73,$I$6:$I$73,"Вышло",$D$6:$D$73,"Vk",$E$6:$E$73,"WB")+SUMIFS($W$6:$W$73,$I$6:$I$73,"Вышло",$D$6:$D$73,"Vk",$E$6:$E$73,"ВБ")+SUMIFS($W$6:$W$73,$I$6:$I$73,"Вышло",$D$6:$D$73,"ВК",$E$6:$E$73,"WB")+SUMIFS($W$6:$W$73,$I$6:$I$73,"Вышло",$D$6:$D$73,"ВК",$E$6:$E$73,"ВБ"))=0,"—",ROUND((SUMIFS($M$6:$M$73,$I$6:$I$73,"Вышло",$D$6:$D$73,"VK",$E$6:$E$73,"WB")+SUMIFS($M$6:$M$73,$I$6:$I$73,"Вышло",$D$6:$D$73,"VK",$E$6:$E$73,"ВБ")+SUMIFS($M$6:$M$73,$I$6:$I$73,"Вышло",$D$6:$D$73,"Vk",$E$6:$E$73,"WB")+SUMIFS($M$6:$M$73,$I$6:$I$73,"Вышло",$D$6:$D$73,"Vk",$E$6:$E$73,"ВБ")+SUMIFS($M$6:$M$73,$I$6:$I$73,"Вышло",$D$6:$D$73,"ВК",$E$6:$E$73,"WB")+SUMIFS($M$6:$M$73,$I$6:$I$73,"Вышло",$D$6:$D$73,"ВК",$E$6:$E$73,"ВБ")-(SUMIFS($M$6:$M$73,$I$6:$I$73,"Вышло",$D$6:$D$73,"VK",$E$6:$E$73,"WB",$W$6:$W$73,"&lt;=0",$V$6:$V$73,"&gt;0")+SUMIFS($M$6:$M$73,$I$6:$I$73,"Вышло",$D$6:$D$73,"VK",$E$6:$E$73,"ВБ",$W$6:$W$73,"&lt;=0",$V$6:$V$73,"&gt;0")+SUMIFS($M$6:$M$73,$I$6:$I$73,"Вышло",$D$6:$D$73,"Vk",$E$6:$E$73,"WB",$W$6:$W$73,"&lt;=0",$V$6:$V$73,"&gt;0")+SUMIFS($M$6:$M$73,$I$6:$I$73,"Вышло",$D$6:$D$73,"Vk",$E$6:$E$73,"ВБ",$W$6:$W$73,"&lt;=0",$V$6:$V$73,"&gt;0")+SUMIFS($M$6:$M$73,$I$6:$I$73,"Вышло",$D$6:$D$73,"ВК",$E$6:$E$73,"WB",$W$6:$W$73,"&lt;=0",$V$6:$V$73,"&gt;0")+SUMIFS($M$6:$M$73,$I$6:$I$73,"Вышло",$D$6:$D$73,"ВК",$E$6:$E$73,"ВБ",$W$6:$W$73,"&lt;=0",$V$6:$V$73,"&gt;0")))/(SUMIFS($W$6:$W$73,$I$6:$I$73,"Вышло",$D$6:$D$73,"VK",$E$6:$E$73,"WB")+SUMIFS($W$6:$W$73,$I$6:$I$73,"Вышло",$D$6:$D$73,"VK",$E$6:$E$73,"ВБ")+SUMIFS($W$6:$W$73,$I$6:$I$73,"Вышло",$D$6:$D$73,"Vk",$E$6:$E$73,"WB")+SUMIFS($W$6:$W$73,$I$6:$I$73,"Вышло",$D$6:$D$73,"Vk",$E$6:$E$73,"ВБ")+SUMIFS($W$6:$W$73,$I$6:$I$73,"Вышло",$D$6:$D$73,"ВК",$E$6:$E$73,"WB")+SUMIFS($W$6:$W$73,$I$6:$I$73,"Вышло",$D$6:$D$73,"ВК",$E$6:$E$73,"ВБ")),0))</f>
        <v>—</v>
      </c>
      <c r="N79" s="140" t="str">
        <f t="shared" si="62"/>
        <v>—</v>
      </c>
      <c r="O79" s="140" t="str">
        <f>IF((SUMIFS($Z$6:$Z$73,$I$6:$I$73,"Вышло",$D$6:$D$73,"VK")+SUMIFS($Z$6:$Z$73,$I$6:$I$73,"Вышло",$D$6:$D$73,"Vk")+SUMIFS($Z$6:$Z$73,$I$6:$I$73,"Вышло",$D$6:$D$73,"ВК"))=0,"—",ROUND((SUMIFS($M$6:$M$73,$I$6:$I$73,"Вышло",$D$6:$D$73,"VK")+SUMIFS($M$6:$M$73,$I$6:$I$73,"Вышло",$D$6:$D$73,"Vk")+SUMIFS($M$6:$M$73,$I$6:$I$73,"Вышло",$D$6:$D$73,"ВК"))/(SUMIFS($Z$6:$Z$73,$I$6:$I$73,"Вышло",$D$6:$D$73,"VK")+SUMIFS($Z$6:$Z$73,$I$6:$I$73,"Вышло",$D$6:$D$73,"Vk")+SUMIFS($Z$6:$Z$73,$I$6:$I$73,"Вышло",$D$6:$D$73,"ВК")),0))</f>
        <v>—</v>
      </c>
      <c r="P79" s="3"/>
      <c r="Q79" s="3"/>
      <c r="R79" s="3"/>
      <c r="S79" s="3"/>
      <c r="T79" s="3"/>
      <c r="U79" s="155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</row>
    <row r="80" ht="15.75" customHeight="1">
      <c r="A80" s="139" t="s">
        <v>24</v>
      </c>
      <c r="B80" s="140">
        <f>SUMIFS($M$6:$M$73,$D$6:$D$73,"YouTube")+SUMIFS($M$6:$M$73,$D$6:$D$73,"Youtube")</f>
        <v>84080</v>
      </c>
      <c r="C80" s="140">
        <f>SUMIFS($M$6:$M$73,$I$6:$I$73,"Вышло",$D$6:$D$73,"YouTube")+SUMIFS($M$6:$M$73,$I$6:$I$73,"Вышло",$D$6:$D$73,"Youtube")</f>
        <v>0</v>
      </c>
      <c r="D80" s="141">
        <f>COUNTIFS($I$6:$I$73,"Вышло",$D$6:$D$73,"YouTube")</f>
        <v>0</v>
      </c>
      <c r="E80" s="141">
        <f>SUMIFS($T$6:$T$73,$I$6:$I$73,"Вышло",$D$6:$D$73,"YouTube")+SUMIFS($T$6:$T$73,$I$6:$I$73,"Вышло",$D$6:$D$73,"Youtube")</f>
        <v>0</v>
      </c>
      <c r="F80" s="141">
        <f>SUMIFS($V$6:$V$73,$I$6:$I$73,"Вышло",$D$6:$D$73,"YouTube")+SUMIFS($V$6:$V$73,$I$6:$I$73,"Вышло",$D$6:$D$73,"Youtube")</f>
        <v>0</v>
      </c>
      <c r="G80" s="141">
        <f>SUMIFS($W$6:$W$73,$I$6:$I$73,"Вышло",$D$6:$D$73,"YouTube")+SUMIFS($W$6:$W$73,$I$6:$I$73,"Вышло",$D$6:$D$73,"Youtube")</f>
        <v>0</v>
      </c>
      <c r="H80" s="141">
        <f t="shared" si="61"/>
        <v>0</v>
      </c>
      <c r="I80" s="141">
        <f>SUMIFS($Y$6:$Y$73,$I$6:$I$73,"Вышло",$D$6:$D$73,"YouTube")+SUMIFS($Y$6:$Y$73,$I$6:$I$73,"Вышло",$D$6:$D$73,"Youtube")</f>
        <v>0</v>
      </c>
      <c r="J80" s="141">
        <f>SUMIFS($Z$6:$Z$73,$I$6:$I$73,"Вышло",$D$6:$D$73,"YouTube")+SUMIFS($Z$6:$Z$73,$I$6:$I$73,"Вышло",$D$6:$D$73,"Youtube")</f>
        <v>0</v>
      </c>
      <c r="K80" s="140">
        <f>SUMIFS($AA$6:$AA$73,$I$6:$I$73,"Вышло",$D$6:$D$73,"YouTube")+SUMIFS($AA$6:$AA$73,$I$6:$I$73,"Вышло",$D$6:$D$73,"Youtube")</f>
        <v>0</v>
      </c>
      <c r="L80" s="140" t="str">
        <f>IF((SUMIFS($V$6:$V$73,$I$6:$I$73,"Вышло",$D$6:$D$73,"YouTube",$E$6:$E$73,"Сайт")+SUMIFS($V$6:$V$73,$I$6:$I$73,"Вышло",$D$6:$D$73,"YouTube",$E$6:$E$73,"сайт")+SUMIFS($V$6:$V$73,$I$6:$I$73,"Вышло",$D$6:$D$73,"Youtube",$E$6:$E$73,"Сайт")+SUMIFS($V$6:$V$73,$I$6:$I$73,"Вышло",$D$6:$D$73,"Youtube",$E$6:$E$73,"сайт")+SUMIFS($V$6:$V$73,$I$6:$I$73,"Вышло",$D$6:$D$73,"YouTube",$E$6:$E$73,"Ozon")+SUMIFS($V$6:$V$73,$I$6:$I$73,"Вышло",$D$6:$D$73,"YouTube",$E$6:$E$73,"OZON")+SUMIFS($V$6:$V$73,$I$6:$I$73,"Вышло",$D$6:$D$73,"YouTube",$E$6:$E$73,"Озон")+SUMIFS($V$6:$V$73,$I$6:$I$73,"Вышло",$D$6:$D$73,"YouTube",$E$6:$E$73,"озон")+SUMIFS($V$6:$V$73,$I$6:$I$73,"Вышло",$D$6:$D$73,"Youtube",$E$6:$E$73,"Ozon")+SUMIFS($V$6:$V$73,$I$6:$I$73,"Вышло",$D$6:$D$73,"Youtube",$E$6:$E$73,"OZON")+SUMIFS($V$6:$V$73,$I$6:$I$73,"Вышло",$D$6:$D$73,"Youtube",$E$6:$E$73,"Озон")+SUMIFS($V$6:$V$73,$I$6:$I$73,"Вышло",$D$6:$D$73,"Youtube",$E$6:$E$73,"озон"))=0,"—",ROUND((SUMIFS($M$6:$M$73,$I$6:$I$73,"Вышло",$D$6:$D$73,"YouTube",$E$6:$E$73,"Сайт",$V$6:$V$73,"&gt;0")+SUMIFS($M$6:$M$73,$I$6:$I$73,"Вышло",$D$6:$D$73,"YouTube",$E$6:$E$73,"сайт",$V$6:$V$73,"&gt;0")+SUMIFS($M$6:$M$73,$I$6:$I$73,"Вышло",$D$6:$D$73,"Youtube",$E$6:$E$73,"Сайт",$V$6:$V$73,"&gt;0")+SUMIFS($M$6:$M$73,$I$6:$I$73,"Вышло",$D$6:$D$73,"Youtube",$E$6:$E$73,"сайт",$V$6:$V$73,"&gt;0")+SUMIFS($M$6:$M$73,$I$6:$I$73,"Вышло",$D$6:$D$73,"YouTube",$E$6:$E$73,"Сайт",$V$6:$V$73,"&lt;=0",$P$6:$P$73,"&lt;&gt;")+SUMIFS($M$6:$M$73,$I$6:$I$73,"Вышло",$D$6:$D$73,"YouTube",$E$6:$E$73,"сайт",$V$6:$V$73,"&lt;=0",$P$6:$P$73,"&lt;&gt;")+SUMIFS($M$6:$M$73,$I$6:$I$73,"Вышло",$D$6:$D$73,"Youtube",$E$6:$E$73,"Сайт",$V$6:$V$73,"&lt;=0",$P$6:$P$73,"&lt;&gt;")+SUMIFS($M$6:$M$73,$I$6:$I$73,"Вышло",$D$6:$D$73,"Youtube",$E$6:$E$73,"сайт",$V$6:$V$73,"&lt;=0",$P$6:$P$73,"&lt;&gt;")+SUMIFS($M$6:$M$73,$I$6:$I$73,"Вышло",$D$6:$D$73,"YouTube",$E$6:$E$73,"Ozon",$V$6:$V$73,"&gt;0")+SUMIFS($M$6:$M$73,$I$6:$I$73,"Вышло",$D$6:$D$73,"YouTube",$E$6:$E$73,"OZON",$V$6:$V$73,"&gt;0")+SUMIFS($M$6:$M$73,$I$6:$I$73,"Вышло",$D$6:$D$73,"YouTube",$E$6:$E$73,"Озон",$V$6:$V$73,"&gt;0")+SUMIFS($M$6:$M$73,$I$6:$I$73,"Вышло",$D$6:$D$73,"YouTube",$E$6:$E$73,"озон",$V$6:$V$73,"&gt;0")+SUMIFS($M$6:$M$73,$I$6:$I$73,"Вышло",$D$6:$D$73,"Youtube",$E$6:$E$73,"Ozon",$V$6:$V$73,"&gt;0")+SUMIFS($M$6:$M$73,$I$6:$I$73,"Вышло",$D$6:$D$73,"Youtube",$E$6:$E$73,"OZON",$V$6:$V$73,"&gt;0")+SUMIFS($M$6:$M$73,$I$6:$I$73,"Вышло",$D$6:$D$73,"Youtube",$E$6:$E$73,"Озон",$V$6:$V$73,"&gt;0")+SUMIFS($M$6:$M$73,$I$6:$I$73,"Вышло",$D$6:$D$73,"Youtube",$E$6:$E$73,"озон",$V$6:$V$73,"&gt;0")+SUMIFS($M$6:$M$73,$I$6:$I$73,"Вышло",$D$6:$D$73,"YouTube",$E$6:$E$73,"Ozon",$V$6:$V$73,"&lt;=0",$P$6:$P$73,"&lt;&gt;")+SUMIFS($M$6:$M$73,$I$6:$I$73,"Вышло",$D$6:$D$73,"YouTube",$E$6:$E$73,"OZON",$V$6:$V$73,"&lt;=0",$P$6:$P$73,"&lt;&gt;")+SUMIFS($M$6:$M$73,$I$6:$I$73,"Вышло",$D$6:$D$73,"YouTube",$E$6:$E$73,"Озон",$V$6:$V$73,"&lt;=0",$P$6:$P$73,"&lt;&gt;")+SUMIFS($M$6:$M$73,$I$6:$I$73,"Вышло",$D$6:$D$73,"YouTube",$E$6:$E$73,"озон",$V$6:$V$73,"&lt;=0",$P$6:$P$73,"&lt;&gt;")+SUMIFS($M$6:$M$73,$I$6:$I$73,"Вышло",$D$6:$D$73,"Youtube",$E$6:$E$73,"Ozon",$V$6:$V$73,"&lt;=0",$P$6:$P$73,"&lt;&gt;")+SUMIFS($M$6:$M$73,$I$6:$I$73,"Вышло",$D$6:$D$73,"Youtube",$E$6:$E$73,"OZON",$V$6:$V$73,"&lt;=0",$P$6:$P$73,"&lt;&gt;")+SUMIFS($M$6:$M$73,$I$6:$I$73,"Вышло",$D$6:$D$73,"Youtube",$E$6:$E$73,"Озон",$V$6:$V$73,"&lt;=0",$P$6:$P$73,"&lt;&gt;")+SUMIFS($M$6:$M$73,$I$6:$I$73,"Вышло",$D$6:$D$73,"Youtube",$E$6:$E$73,"озон",$V$6:$V$73,"&lt;=0",$P$6:$P$73,"&lt;&gt;"))/(SUMIFS($V$6:$V$73,$I$6:$I$73,"Вышло",$D$6:$D$73,"YouTube",$E$6:$E$73,"Сайт")+SUMIFS($V$6:$V$73,$I$6:$I$73,"Вышло",$D$6:$D$73,"YouTube",$E$6:$E$73,"сайт")+SUMIFS($V$6:$V$73,$I$6:$I$73,"Вышло",$D$6:$D$73,"Youtube",$E$6:$E$73,"Сайт")+SUMIFS($V$6:$V$73,$I$6:$I$73,"Вышло",$D$6:$D$73,"Youtube",$E$6:$E$73,"сайт")+SUMIFS($V$6:$V$73,$I$6:$I$73,"Вышло",$D$6:$D$73,"YouTube",$E$6:$E$73,"Ozon")+SUMIFS($V$6:$V$73,$I$6:$I$73,"Вышло",$D$6:$D$73,"YouTube",$E$6:$E$73,"OZON")+SUMIFS($V$6:$V$73,$I$6:$I$73,"Вышло",$D$6:$D$73,"YouTube",$E$6:$E$73,"Озон")+SUMIFS($V$6:$V$73,$I$6:$I$73,"Вышло",$D$6:$D$73,"YouTube",$E$6:$E$73,"озон")+SUMIFS($V$6:$V$73,$I$6:$I$73,"Вышло",$D$6:$D$73,"Youtube",$E$6:$E$73,"Ozon")+SUMIFS($V$6:$V$73,$I$6:$I$73,"Вышло",$D$6:$D$73,"Youtube",$E$6:$E$73,"OZON")+SUMIFS($V$6:$V$73,$I$6:$I$73,"Вышло",$D$6:$D$73,"Youtube",$E$6:$E$73,"Озон")+SUMIFS($V$6:$V$73,$I$6:$I$73,"Вышло",$D$6:$D$73,"Youtube",$E$6:$E$73,"озон")),0))</f>
        <v>—</v>
      </c>
      <c r="M80" s="140" t="str">
        <f>IF((SUMIFS($W$6:$W$73,$I$6:$I$73,"Вышло",$D$6:$D$73,"YouTube",$E$6:$E$73,"WB")+SUMIFS($W$6:$W$73,$I$6:$I$73,"Вышло",$D$6:$D$73,"YouTube",$E$6:$E$73,"ВБ")+SUMIFS($W$6:$W$73,$I$6:$I$73,"Вышло",$D$6:$D$73,"Youtube",$E$6:$E$73,"WB")+SUMIFS($W$6:$W$73,$I$6:$I$73,"Вышло",$D$6:$D$73,"Youtube",$E$6:$E$73,"ВБ"))=0,"—",ROUND((SUMIFS($M$6:$M$73,$I$6:$I$73,"Вышло",$D$6:$D$73,"YouTube",$E$6:$E$73,"WB")+SUMIFS($M$6:$M$73,$I$6:$I$73,"Вышло",$D$6:$D$73,"YouTube",$E$6:$E$73,"ВБ")+SUMIFS($M$6:$M$73,$I$6:$I$73,"Вышло",$D$6:$D$73,"Youtube",$E$6:$E$73,"WB")+SUMIFS($M$6:$M$73,$I$6:$I$73,"Вышло",$D$6:$D$73,"Youtube",$E$6:$E$73,"ВБ")-(SUMIFS($M$6:$M$73,$I$6:$I$73,"Вышло",$D$6:$D$73,"YouTube",$E$6:$E$73,"WB",$W$6:$W$73,"&lt;=0",$V$6:$V$73,"&gt;0")+SUMIFS($M$6:$M$73,$I$6:$I$73,"Вышло",$D$6:$D$73,"YouTube",$E$6:$E$73,"ВБ",$W$6:$W$73,"&lt;=0",$V$6:$V$73,"&gt;0")+SUMIFS($M$6:$M$73,$I$6:$I$73,"Вышло",$D$6:$D$73,"Youtube",$E$6:$E$73,"WB",$W$6:$W$73,"&lt;=0",$V$6:$V$73,"&gt;0")+SUMIFS($M$6:$M$73,$I$6:$I$73,"Вышло",$D$6:$D$73,"Youtube",$E$6:$E$73,"ВБ",$W$6:$W$73,"&lt;=0",$V$6:$V$73,"&gt;0")))/(SUMIFS($W$6:$W$73,$I$6:$I$73,"Вышло",$D$6:$D$73,"YouTube",$E$6:$E$73,"WB")+SUMIFS($W$6:$W$73,$I$6:$I$73,"Вышло",$D$6:$D$73,"YouTube",$E$6:$E$73,"ВБ")+SUMIFS($W$6:$W$73,$I$6:$I$73,"Вышло",$D$6:$D$73,"Youtube",$E$6:$E$73,"WB")+SUMIFS($W$6:$W$73,$I$6:$I$73,"Вышло",$D$6:$D$73,"Youtube",$E$6:$E$73,"ВБ")),0))</f>
        <v>—</v>
      </c>
      <c r="N80" s="140" t="str">
        <f t="shared" si="62"/>
        <v>—</v>
      </c>
      <c r="O80" s="140" t="str">
        <f>IF((SUMIFS($Z$6:$Z$73,$I$6:$I$73,"Вышло",$D$6:$D$73,"YouTube")+SUMIFS($Z$6:$Z$73,$I$6:$I$73,"Вышло",$D$6:$D$73,"Youtube"))=0,"—",ROUND((SUMIFS($M$6:$M$73,$I$6:$I$73,"Вышло",$D$6:$D$73,"YouTube")+SUMIFS($M$6:$M$73,$I$6:$I$73,"Вышло",$D$6:$D$73,"Youtube"))/(SUMIFS($Z$6:$Z$73,$I$6:$I$73,"Вышло",$D$6:$D$73,"YouTube")+SUMIFS($Z$6:$Z$73,$I$6:$I$73,"Вышло",$D$6:$D$73,"Youtube")),0))</f>
        <v>—</v>
      </c>
      <c r="P80" s="3"/>
      <c r="Q80" s="3"/>
      <c r="R80" s="3"/>
      <c r="S80" s="3"/>
      <c r="T80" s="3"/>
      <c r="U80" s="155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</row>
    <row r="81" ht="15.75" customHeight="1">
      <c r="A81" s="139" t="s">
        <v>120</v>
      </c>
      <c r="B81" s="140">
        <f>SUMIFS($M$6:$M$73,$D$6:$D$73,"TikTok")+SUMIFS($M$6:$M$73,$D$6:$D$73,"Tiktok")</f>
        <v>169600</v>
      </c>
      <c r="C81" s="140">
        <f>SUMIFS($M$6:$M$73,$I$6:$I$73,"Вышло",$D$6:$D$73,"TikTok")+SUMIFS($M$6:$M$73,$I$6:$I$73,"Вышло",$D$6:$D$73,"Tiktok")</f>
        <v>0</v>
      </c>
      <c r="D81" s="141">
        <f>COUNTIFS($I$6:$I$73,"Вышло",$D$6:$D$73,"TikTok")</f>
        <v>0</v>
      </c>
      <c r="E81" s="141">
        <f>SUMIFS($T$6:$T$73,$I$6:$I$73,"Вышло",$D$6:$D$73,"TikTok")+SUMIFS($T$6:$T$73,$I$6:$I$73,"Вышло",$D$6:$D$73,"Tiktok")</f>
        <v>0</v>
      </c>
      <c r="F81" s="141">
        <f>SUMIFS($V$6:$V$73,$I$6:$I$73,"Вышло",$D$6:$D$73,"TikTok")+SUMIFS($V$6:$V$73,$I$6:$I$73,"Вышло",$D$6:$D$73,"Tiktok")</f>
        <v>0</v>
      </c>
      <c r="G81" s="141">
        <f>SUMIFS($W$6:$W$73,$I$6:$I$73,"Вышло",$D$6:$D$73,"TikTok")+SUMIFS($W$6:$W$73,$I$6:$I$73,"Вышло",$D$6:$D$73,"Tiktok")</f>
        <v>0</v>
      </c>
      <c r="H81" s="141">
        <f t="shared" si="61"/>
        <v>0</v>
      </c>
      <c r="I81" s="141">
        <f>SUMIFS($Y$6:$Y$73,$I$6:$I$73,"Вышло",$D$6:$D$73,"TikTok")+SUMIFS($Y$6:$Y$73,$I$6:$I$73,"Вышло",$D$6:$D$73,"Tiktok")</f>
        <v>0</v>
      </c>
      <c r="J81" s="141">
        <f>SUMIFS($Z$6:$Z$73,$I$6:$I$73,"Вышло",$D$6:$D$73,"TikTok")+SUMIFS($Z$6:$Z$73,$I$6:$I$73,"Вышло",$D$6:$D$73,"Tiktok")</f>
        <v>0</v>
      </c>
      <c r="K81" s="140">
        <f>SUMIFS($AA$6:$AA$73,$I$6:$I$73,"Вышло",$D$6:$D$73,"TikTok")+SUMIFS($AA$6:$AA$73,$I$6:$I$73,"Вышло",$D$6:$D$73,"Tiktok")</f>
        <v>0</v>
      </c>
      <c r="L81" s="140" t="str">
        <f>IF((SUMIFS($V$6:$V$73,$I$6:$I$73,"Вышло",$D$6:$D$73,"TikTok",$E$6:$E$73,"Сайт")+SUMIFS($V$6:$V$73,$I$6:$I$73,"Вышло",$D$6:$D$73,"TikTok",$E$6:$E$73,"сайт")+SUMIFS($V$6:$V$73,$I$6:$I$73,"Вышло",$D$6:$D$73,"Tiktok",$E$6:$E$73,"Сайт")+SUMIFS($V$6:$V$73,$I$6:$I$73,"Вышло",$D$6:$D$73,"Tiktok",$E$6:$E$73,"сайт")+SUMIFS($V$6:$V$73,$I$6:$I$73,"Вышло",$D$6:$D$73,"TikTok",$E$6:$E$73,"Ozon")+SUMIFS($V$6:$V$73,$I$6:$I$73,"Вышло",$D$6:$D$73,"TikTok",$E$6:$E$73,"OZON")+SUMIFS($V$6:$V$73,$I$6:$I$73,"Вышло",$D$6:$D$73,"TikTok",$E$6:$E$73,"Озон")+SUMIFS($V$6:$V$73,$I$6:$I$73,"Вышло",$D$6:$D$73,"TikTok",$E$6:$E$73,"озон")+SUMIFS($V$6:$V$73,$I$6:$I$73,"Вышло",$D$6:$D$73,"Tiktok",$E$6:$E$73,"Ozon")+SUMIFS($V$6:$V$73,$I$6:$I$73,"Вышло",$D$6:$D$73,"Tiktok",$E$6:$E$73,"OZON")+SUMIFS($V$6:$V$73,$I$6:$I$73,"Вышло",$D$6:$D$73,"Tiktok",$E$6:$E$73,"Озон")+SUMIFS($V$6:$V$73,$I$6:$I$73,"Вышло",$D$6:$D$73,"Tiktok",$E$6:$E$73,"озон"))=0,"—",ROUND((SUMIFS($M$6:$M$73,$I$6:$I$73,"Вышло",$D$6:$D$73,"TikTok",$E$6:$E$73,"Сайт",$V$6:$V$73,"&gt;0")+SUMIFS($M$6:$M$73,$I$6:$I$73,"Вышло",$D$6:$D$73,"TikTok",$E$6:$E$73,"сайт",$V$6:$V$73,"&gt;0")+SUMIFS($M$6:$M$73,$I$6:$I$73,"Вышло",$D$6:$D$73,"Tiktok",$E$6:$E$73,"Сайт",$V$6:$V$73,"&gt;0")+SUMIFS($M$6:$M$73,$I$6:$I$73,"Вышло",$D$6:$D$73,"Tiktok",$E$6:$E$73,"сайт",$V$6:$V$73,"&gt;0")+SUMIFS($M$6:$M$73,$I$6:$I$73,"Вышло",$D$6:$D$73,"TikTok",$E$6:$E$73,"Сайт",$V$6:$V$73,"&lt;=0",$P$6:$P$73,"&lt;&gt;")+SUMIFS($M$6:$M$73,$I$6:$I$73,"Вышло",$D$6:$D$73,"TikTok",$E$6:$E$73,"сайт",$V$6:$V$73,"&lt;=0",$P$6:$P$73,"&lt;&gt;")+SUMIFS($M$6:$M$73,$I$6:$I$73,"Вышло",$D$6:$D$73,"Tiktok",$E$6:$E$73,"Сайт",$V$6:$V$73,"&lt;=0",$P$6:$P$73,"&lt;&gt;")+SUMIFS($M$6:$M$73,$I$6:$I$73,"Вышло",$D$6:$D$73,"Tiktok",$E$6:$E$73,"сайт",$V$6:$V$73,"&lt;=0",$P$6:$P$73,"&lt;&gt;")+SUMIFS($M$6:$M$73,$I$6:$I$73,"Вышло",$D$6:$D$73,"TikTok",$E$6:$E$73,"Ozon",$V$6:$V$73,"&gt;0")+SUMIFS($M$6:$M$73,$I$6:$I$73,"Вышло",$D$6:$D$73,"TikTok",$E$6:$E$73,"OZON",$V$6:$V$73,"&gt;0")+SUMIFS($M$6:$M$73,$I$6:$I$73,"Вышло",$D$6:$D$73,"TikTok",$E$6:$E$73,"Озон",$V$6:$V$73,"&gt;0")+SUMIFS($M$6:$M$73,$I$6:$I$73,"Вышло",$D$6:$D$73,"TikTok",$E$6:$E$73,"озон",$V$6:$V$73,"&gt;0")+SUMIFS($M$6:$M$73,$I$6:$I$73,"Вышло",$D$6:$D$73,"Tiktok",$E$6:$E$73,"Ozon",$V$6:$V$73,"&gt;0")+SUMIFS($M$6:$M$73,$I$6:$I$73,"Вышло",$D$6:$D$73,"Tiktok",$E$6:$E$73,"OZON",$V$6:$V$73,"&gt;0")+SUMIFS($M$6:$M$73,$I$6:$I$73,"Вышло",$D$6:$D$73,"Tiktok",$E$6:$E$73,"Озон",$V$6:$V$73,"&gt;0")+SUMIFS($M$6:$M$73,$I$6:$I$73,"Вышло",$D$6:$D$73,"Tiktok",$E$6:$E$73,"озон",$V$6:$V$73,"&gt;0")+SUMIFS($M$6:$M$73,$I$6:$I$73,"Вышло",$D$6:$D$73,"TikTok",$E$6:$E$73,"Ozon",$V$6:$V$73,"&lt;=0",$P$6:$P$73,"&lt;&gt;")+SUMIFS($M$6:$M$73,$I$6:$I$73,"Вышло",$D$6:$D$73,"TikTok",$E$6:$E$73,"OZON",$V$6:$V$73,"&lt;=0",$P$6:$P$73,"&lt;&gt;")+SUMIFS($M$6:$M$73,$I$6:$I$73,"Вышло",$D$6:$D$73,"TikTok",$E$6:$E$73,"Озон",$V$6:$V$73,"&lt;=0",$P$6:$P$73,"&lt;&gt;")+SUMIFS($M$6:$M$73,$I$6:$I$73,"Вышло",$D$6:$D$73,"TikTok",$E$6:$E$73,"озон",$V$6:$V$73,"&lt;=0",$P$6:$P$73,"&lt;&gt;")+SUMIFS($M$6:$M$73,$I$6:$I$73,"Вышло",$D$6:$D$73,"Tiktok",$E$6:$E$73,"Ozon",$V$6:$V$73,"&lt;=0",$P$6:$P$73,"&lt;&gt;")+SUMIFS($M$6:$M$73,$I$6:$I$73,"Вышло",$D$6:$D$73,"Tiktok",$E$6:$E$73,"OZON",$V$6:$V$73,"&lt;=0",$P$6:$P$73,"&lt;&gt;")+SUMIFS($M$6:$M$73,$I$6:$I$73,"Вышло",$D$6:$D$73,"Tiktok",$E$6:$E$73,"Озон",$V$6:$V$73,"&lt;=0",$P$6:$P$73,"&lt;&gt;")+SUMIFS($M$6:$M$73,$I$6:$I$73,"Вышло",$D$6:$D$73,"Tiktok",$E$6:$E$73,"озон",$V$6:$V$73,"&lt;=0",$P$6:$P$73,"&lt;&gt;"))/(SUMIFS($V$6:$V$73,$I$6:$I$73,"Вышло",$D$6:$D$73,"TikTok",$E$6:$E$73,"Сайт")+SUMIFS($V$6:$V$73,$I$6:$I$73,"Вышло",$D$6:$D$73,"TikTok",$E$6:$E$73,"сайт")+SUMIFS($V$6:$V$73,$I$6:$I$73,"Вышло",$D$6:$D$73,"Tiktok",$E$6:$E$73,"Сайт")+SUMIFS($V$6:$V$73,$I$6:$I$73,"Вышло",$D$6:$D$73,"Tiktok",$E$6:$E$73,"сайт")+SUMIFS($V$6:$V$73,$I$6:$I$73,"Вышло",$D$6:$D$73,"TikTok",$E$6:$E$73,"Ozon")+SUMIFS($V$6:$V$73,$I$6:$I$73,"Вышло",$D$6:$D$73,"TikTok",$E$6:$E$73,"OZON")+SUMIFS($V$6:$V$73,$I$6:$I$73,"Вышло",$D$6:$D$73,"TikTok",$E$6:$E$73,"Озон")+SUMIFS($V$6:$V$73,$I$6:$I$73,"Вышло",$D$6:$D$73,"TikTok",$E$6:$E$73,"озон")+SUMIFS($V$6:$V$73,$I$6:$I$73,"Вышло",$D$6:$D$73,"Tiktok",$E$6:$E$73,"Ozon")+SUMIFS($V$6:$V$73,$I$6:$I$73,"Вышло",$D$6:$D$73,"Tiktok",$E$6:$E$73,"OZON")+SUMIFS($V$6:$V$73,$I$6:$I$73,"Вышло",$D$6:$D$73,"Tiktok",$E$6:$E$73,"Озон")+SUMIFS($V$6:$V$73,$I$6:$I$73,"Вышло",$D$6:$D$73,"Tiktok",$E$6:$E$73,"озон")),0))</f>
        <v>—</v>
      </c>
      <c r="M81" s="140" t="str">
        <f>IF((SUMIFS($W$6:$W$73,$I$6:$I$73,"Вышло",$D$6:$D$73,"TikTok",$E$6:$E$73,"WB")+SUMIFS($W$6:$W$73,$I$6:$I$73,"Вышло",$D$6:$D$73,"TikTok",$E$6:$E$73,"ВБ")+SUMIFS($W$6:$W$73,$I$6:$I$73,"Вышло",$D$6:$D$73,"Tiktok",$E$6:$E$73,"WB")+SUMIFS($W$6:$W$73,$I$6:$I$73,"Вышло",$D$6:$D$73,"Tiktok",$E$6:$E$73,"ВБ"))=0,"—",ROUND((SUMIFS($M$6:$M$73,$I$6:$I$73,"Вышло",$D$6:$D$73,"TikTok",$E$6:$E$73,"WB")+SUMIFS($M$6:$M$73,$I$6:$I$73,"Вышло",$D$6:$D$73,"TikTok",$E$6:$E$73,"ВБ")+SUMIFS($M$6:$M$73,$I$6:$I$73,"Вышло",$D$6:$D$73,"Tiktok",$E$6:$E$73,"WB")+SUMIFS($M$6:$M$73,$I$6:$I$73,"Вышло",$D$6:$D$73,"Tiktok",$E$6:$E$73,"ВБ")-(SUMIFS($M$6:$M$73,$I$6:$I$73,"Вышло",$D$6:$D$73,"TikTok",$E$6:$E$73,"WB",$W$6:$W$73,"&lt;=0",$V$6:$V$73,"&gt;0")+SUMIFS($M$6:$M$73,$I$6:$I$73,"Вышло",$D$6:$D$73,"TikTok",$E$6:$E$73,"ВБ",$W$6:$W$73,"&lt;=0",$V$6:$V$73,"&gt;0")+SUMIFS($M$6:$M$73,$I$6:$I$73,"Вышло",$D$6:$D$73,"Tiktok",$E$6:$E$73,"WB",$W$6:$W$73,"&lt;=0",$V$6:$V$73,"&gt;0")+SUMIFS($M$6:$M$73,$I$6:$I$73,"Вышло",$D$6:$D$73,"Tiktok",$E$6:$E$73,"ВБ",$W$6:$W$73,"&lt;=0",$V$6:$V$73,"&gt;0")))/(SUMIFS($W$6:$W$73,$I$6:$I$73,"Вышло",$D$6:$D$73,"TikTok",$E$6:$E$73,"WB")+SUMIFS($W$6:$W$73,$I$6:$I$73,"Вышло",$D$6:$D$73,"TikTok",$E$6:$E$73,"ВБ")+SUMIFS($W$6:$W$73,$I$6:$I$73,"Вышло",$D$6:$D$73,"Tiktok",$E$6:$E$73,"WB")+SUMIFS($W$6:$W$73,$I$6:$I$73,"Вышло",$D$6:$D$73,"Tiktok",$E$6:$E$73,"ВБ")),0))</f>
        <v>—</v>
      </c>
      <c r="N81" s="140" t="str">
        <f t="shared" si="62"/>
        <v>—</v>
      </c>
      <c r="O81" s="140" t="str">
        <f>IF((SUMIFS($Z$6:$Z$73,$I$6:$I$73,"Вышло",$D$6:$D$73,"TikTok")+SUMIFS($Z$6:$Z$73,$I$6:$I$73,"Вышло",$D$6:$D$73,"Tiktok"))=0,"—",ROUND((SUMIFS($M$6:$M$73,$I$6:$I$73,"Вышло",$D$6:$D$73,"TikTok")+SUMIFS($M$6:$M$73,$I$6:$I$73,"Вышло",$D$6:$D$73,"Tiktok"))/(SUMIFS($Z$6:$Z$73,$I$6:$I$73,"Вышло",$D$6:$D$73,"TikTok")+SUMIFS($Z$6:$Z$73,$I$6:$I$73,"Вышло",$D$6:$D$73,"Tiktok")),0))</f>
        <v>—</v>
      </c>
      <c r="P81" s="3"/>
      <c r="Q81" s="3"/>
      <c r="R81" s="3"/>
      <c r="S81" s="3"/>
      <c r="T81" s="3"/>
      <c r="U81" s="155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</row>
    <row r="82" ht="15.75" customHeight="1">
      <c r="A82" s="139" t="s">
        <v>297</v>
      </c>
      <c r="B82" s="140">
        <f>SUMIFS($M$6:$M$73,$D$6:$D$73,"Rutube")</f>
        <v>11660</v>
      </c>
      <c r="C82" s="140">
        <f>SUMIFS($M$6:$M$73,$I$6:$I$73,"Вышло",$D$6:$D$73,"Rutube")</f>
        <v>0</v>
      </c>
      <c r="D82" s="141">
        <f>COUNTIFS($I$6:$I$73,"Вышло",$D$6:$D$73,"Rutube")</f>
        <v>0</v>
      </c>
      <c r="E82" s="141">
        <f>SUMIFS($T$6:$T$73,$I$6:$I$73,"Вышло",$D$6:$D$73,"Rutube")</f>
        <v>0</v>
      </c>
      <c r="F82" s="141">
        <f>SUMIFS($V$6:$V$73,$I$6:$I$73,"Вышло",$D$6:$D$73,"Rutube")</f>
        <v>0</v>
      </c>
      <c r="G82" s="141">
        <f>SUMIFS($W$6:$W$73,$I$6:$I$73,"Вышло",$D$6:$D$73,"Rutube")</f>
        <v>0</v>
      </c>
      <c r="H82" s="141">
        <f t="shared" si="61"/>
        <v>0</v>
      </c>
      <c r="I82" s="141">
        <f>SUMIFS($Y$6:$Y$73,$I$6:$I$73,"Вышло",$D$6:$D$73,"Rutube")</f>
        <v>0</v>
      </c>
      <c r="J82" s="141">
        <f>SUMIFS($Z$6:$Z$73,$I$6:$I$73,"Вышло",$D$6:$D$73,"Rutube")</f>
        <v>0</v>
      </c>
      <c r="K82" s="140">
        <f>SUMIFS($AA$6:$AA$73,$I$6:$I$73,"Вышло",$D$6:$D$73,"Rutube")</f>
        <v>0</v>
      </c>
      <c r="L82" s="140" t="str">
        <f>IF((SUMIFS($V$6:$V$73,$I$6:$I$73,"Вышло",$D$6:$D$73,"Rutube",$E$6:$E$73,"Сайт")+SUMIFS($V$6:$V$73,$I$6:$I$73,"Вышло",$D$6:$D$73,"Rutube",$E$6:$E$73,"сайт")+SUMIFS($V$6:$V$73,$I$6:$I$73,"Вышло",$D$6:$D$73,"Rutube",$E$6:$E$73,"Ozon")+SUMIFS($V$6:$V$73,$I$6:$I$73,"Вышло",$D$6:$D$73,"Rutube",$E$6:$E$73,"OZON")+SUMIFS($V$6:$V$73,$I$6:$I$73,"Вышло",$D$6:$D$73,"Rutube",$E$6:$E$73,"Озон")+SUMIFS($V$6:$V$73,$I$6:$I$73,"Вышло",$D$6:$D$73,"Rutube",$E$6:$E$73,"озон"))=0,"—",ROUND((SUMIFS($M$6:$M$73,$I$6:$I$73,"Вышло",$D$6:$D$73,"Rutube",$E$6:$E$73,"Сайт",$V$6:$V$73,"&gt;0")+SUMIFS($M$6:$M$73,$I$6:$I$73,"Вышло",$D$6:$D$73,"Rutube",$E$6:$E$73,"сайт",$V$6:$V$73,"&gt;0")+SUMIFS($M$6:$M$73,$I$6:$I$73,"Вышло",$D$6:$D$73,"Rutube",$E$6:$E$73,"Сайт",$V$6:$V$73,"&lt;=0",$P$6:$P$73,"&lt;&gt;")+SUMIFS($M$6:$M$73,$I$6:$I$73,"Вышло",$D$6:$D$73,"Rutube",$E$6:$E$73,"сайт",$V$6:$V$73,"&lt;=0",$P$6:$P$73,"&lt;&gt;")+SUMIFS($M$6:$M$73,$I$6:$I$73,"Вышло",$D$6:$D$73,"Rutube",$E$6:$E$73,"Ozon",$V$6:$V$73,"&gt;0")+SUMIFS($M$6:$M$73,$I$6:$I$73,"Вышло",$D$6:$D$73,"Rutube",$E$6:$E$73,"OZON",$V$6:$V$73,"&gt;0")+SUMIFS($M$6:$M$73,$I$6:$I$73,"Вышло",$D$6:$D$73,"Rutube",$E$6:$E$73,"Озон",$V$6:$V$73,"&gt;0")+SUMIFS($M$6:$M$73,$I$6:$I$73,"Вышло",$D$6:$D$73,"Rutube",$E$6:$E$73,"озон",$V$6:$V$73,"&gt;0")+SUMIFS($M$6:$M$73,$I$6:$I$73,"Вышло",$D$6:$D$73,"Rutube",$E$6:$E$73,"Ozon",$V$6:$V$73,"&lt;=0",$P$6:$P$73,"&lt;&gt;")+SUMIFS($M$6:$M$73,$I$6:$I$73,"Вышло",$D$6:$D$73,"Rutube",$E$6:$E$73,"OZON",$V$6:$V$73,"&lt;=0",$P$6:$P$73,"&lt;&gt;")+SUMIFS($M$6:$M$73,$I$6:$I$73,"Вышло",$D$6:$D$73,"Rutube",$E$6:$E$73,"Озон",$V$6:$V$73,"&lt;=0",$P$6:$P$73,"&lt;&gt;")+SUMIFS($M$6:$M$73,$I$6:$I$73,"Вышло",$D$6:$D$73,"Rutube",$E$6:$E$73,"озон",$V$6:$V$73,"&lt;=0",$P$6:$P$73,"&lt;&gt;"))/(SUMIFS($V$6:$V$73,$I$6:$I$73,"Вышло",$D$6:$D$73,"Rutube",$E$6:$E$73,"Сайт")+SUMIFS($V$6:$V$73,$I$6:$I$73,"Вышло",$D$6:$D$73,"Rutube",$E$6:$E$73,"сайт")+SUMIFS($V$6:$V$73,$I$6:$I$73,"Вышло",$D$6:$D$73,"Rutube",$E$6:$E$73,"Ozon")+SUMIFS($V$6:$V$73,$I$6:$I$73,"Вышло",$D$6:$D$73,"Rutube",$E$6:$E$73,"OZON")+SUMIFS($V$6:$V$73,$I$6:$I$73,"Вышло",$D$6:$D$73,"Rutube",$E$6:$E$73,"Озон")+SUMIFS($V$6:$V$73,$I$6:$I$73,"Вышло",$D$6:$D$73,"Rutube",$E$6:$E$73,"озон")),0))</f>
        <v>—</v>
      </c>
      <c r="M82" s="140" t="str">
        <f>IF((SUMIFS($W$6:$W$73,$I$6:$I$73,"Вышло",$D$6:$D$73,"Rutube",$E$6:$E$73,"WB")+SUMIFS($W$6:$W$73,$I$6:$I$73,"Вышло",$D$6:$D$73,"Rutube",$E$6:$E$73,"ВБ"))=0,"—",ROUND((SUMIFS($M$6:$M$73,$I$6:$I$73,"Вышло",$D$6:$D$73,"Rutube",$E$6:$E$73,"WB")+SUMIFS($M$6:$M$73,$I$6:$I$73,"Вышло",$D$6:$D$73,"Rutube",$E$6:$E$73,"ВБ")-(SUMIFS($M$6:$M$73,$I$6:$I$73,"Вышло",$D$6:$D$73,"Rutube",$E$6:$E$73,"WB",$W$6:$W$73,"&lt;=0",$V$6:$V$73,"&gt;0")+SUMIFS($M$6:$M$73,$I$6:$I$73,"Вышло",$D$6:$D$73,"Rutube",$E$6:$E$73,"ВБ",$W$6:$W$73,"&lt;=0",$V$6:$V$73,"&gt;0")))/(SUMIFS($W$6:$W$73,$I$6:$I$73,"Вышло",$D$6:$D$73,"Rutube",$E$6:$E$73,"WB")+SUMIFS($W$6:$W$73,$I$6:$I$73,"Вышло",$D$6:$D$73,"Rutube",$E$6:$E$73,"ВБ")),0))</f>
        <v>—</v>
      </c>
      <c r="N82" s="140" t="str">
        <f t="shared" si="62"/>
        <v>—</v>
      </c>
      <c r="O82" s="140" t="str">
        <f>IF((SUMIFS($Z$6:$Z$73,$I$6:$I$73,"Вышло",$D$6:$D$73,"Rutube"))=0,"—",ROUND((SUMIFS($M$6:$M$73,$I$6:$I$73,"Вышло",$D$6:$D$73,"Rutube"))/(SUMIFS($Z$6:$Z$73,$I$6:$I$73,"Вышло",$D$6:$D$73,"Rutube")),0))</f>
        <v>—</v>
      </c>
      <c r="P82" s="3"/>
      <c r="Q82" s="3"/>
      <c r="R82" s="3"/>
      <c r="S82" s="3"/>
      <c r="T82" s="3"/>
      <c r="U82" s="155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</row>
    <row r="83" ht="15.75" customHeight="1">
      <c r="A83" s="139" t="s">
        <v>665</v>
      </c>
      <c r="B83" s="140">
        <f>SUMIFS($M$6:$M$73,$D$6:$D$73,"Instagram")+SUMIFS($M$6:$M$73,$D$6:$D$73,"Inst")</f>
        <v>0</v>
      </c>
      <c r="C83" s="140">
        <f>SUMIFS($M$6:$M$73,$I$6:$I$73,"Вышло",$D$6:$D$73,"Instagram")+SUMIFS($M$6:$M$73,$I$6:$I$73,"Вышло",$D$6:$D$73,"Inst")</f>
        <v>0</v>
      </c>
      <c r="D83" s="141">
        <f>COUNTIFS($I$6:$I$73,"Вышло",$D$6:$D$73,"Instagram")+COUNTIFS($I$6:$I$73,"Вышло",$D$6:$D$73,"Inst")</f>
        <v>0</v>
      </c>
      <c r="E83" s="141">
        <f>SUMIFS($T$6:$T$73,$I$6:$I$73,"Вышло",$D$6:$D$73,"Instagram")+SUMIFS($T$6:$T$73,$I$6:$I$73,"Вышло",$D$6:$D$73,"Inst")</f>
        <v>0</v>
      </c>
      <c r="F83" s="141">
        <f>SUMIFS($V$6:$V$73,$I$6:$I$73,"Вышло",$D$6:$D$73,"Instagram")+SUMIFS($V$6:$V$73,$I$6:$I$73,"Вышло",$D$6:$D$73,"Inst")</f>
        <v>0</v>
      </c>
      <c r="G83" s="141">
        <f>SUMIFS($W$6:$W$73,$I$6:$I$73,"Вышло",$D$6:$D$73,"Instagram")+SUMIFS($W$6:$W$73,$I$6:$I$73,"Вышло",$D$6:$D$73,"Inst")</f>
        <v>0</v>
      </c>
      <c r="H83" s="141">
        <f t="shared" si="61"/>
        <v>0</v>
      </c>
      <c r="I83" s="141">
        <f>SUMIFS($Y$6:$Y$73,$I$6:$I$73,"Вышло",$D$6:$D$73,"Instagram")+SUMIFS($Y$6:$Y$73,$I$6:$I$73,"Вышло",$D$6:$D$73,"Inst")</f>
        <v>0</v>
      </c>
      <c r="J83" s="141">
        <f>SUMIFS($Z$6:$Z$73,$I$6:$I$73,"Вышло",$D$6:$D$73,"Instagram")+SUMIFS($Z$6:$Z$73,$I$6:$I$73,"Вышло",$D$6:$D$73,"Inst")</f>
        <v>0</v>
      </c>
      <c r="K83" s="140">
        <f>SUMIFS($AA$6:$AA$73,$I$6:$I$73,"Вышло",$D$6:$D$73,"Instagram")+SUMIFS($AA$6:$AA$73,$I$6:$I$73,"Вышло",$D$6:$D$73,"Inst")</f>
        <v>0</v>
      </c>
      <c r="L83" s="140" t="str">
        <f>IF((SUMIFS($V$6:$V$73,$I$6:$I$73,"Вышло",$D$6:$D$73,"Instagram",$E$6:$E$73,"Сайт")+SUMIFS($V$6:$V$73,$I$6:$I$73,"Вышло",$D$6:$D$73,"Instagram",$E$6:$E$73,"сайт")+SUMIFS($V$6:$V$73,$I$6:$I$73,"Вышло",$D$6:$D$73,"Inst",$E$6:$E$73,"Сайт")+SUMIFS($V$6:$V$73,$I$6:$I$73,"Вышло",$D$6:$D$73,"Inst",$E$6:$E$73,"сайт")+SUMIFS($V$6:$V$73,$I$6:$I$73,"Вышло",$D$6:$D$73,"Instagram",$E$6:$E$73,"Ozon")+SUMIFS($V$6:$V$73,$I$6:$I$73,"Вышло",$D$6:$D$73,"Instagram",$E$6:$E$73,"OZON")+SUMIFS($V$6:$V$73,$I$6:$I$73,"Вышло",$D$6:$D$73,"Instagram",$E$6:$E$73,"Озон")+SUMIFS($V$6:$V$73,$I$6:$I$73,"Вышло",$D$6:$D$73,"Instagram",$E$6:$E$73,"озон")+SUMIFS($V$6:$V$73,$I$6:$I$73,"Вышло",$D$6:$D$73,"Inst",$E$6:$E$73,"Ozon")+SUMIFS($V$6:$V$73,$I$6:$I$73,"Вышло",$D$6:$D$73,"Inst",$E$6:$E$73,"OZON")+SUMIFS($V$6:$V$73,$I$6:$I$73,"Вышло",$D$6:$D$73,"Inst",$E$6:$E$73,"Озон")+SUMIFS($V$6:$V$73,$I$6:$I$73,"Вышло",$D$6:$D$73,"Inst",$E$6:$E$73,"озон"))=0,"—",ROUND((SUMIFS($M$6:$M$73,$I$6:$I$73,"Вышло",$D$6:$D$73,"Instagram",$E$6:$E$73,"Сайт",$V$6:$V$73,"&gt;0")+SUMIFS($M$6:$M$73,$I$6:$I$73,"Вышло",$D$6:$D$73,"Instagram",$E$6:$E$73,"сайт",$V$6:$V$73,"&gt;0")+SUMIFS($M$6:$M$73,$I$6:$I$73,"Вышло",$D$6:$D$73,"Inst",$E$6:$E$73,"Сайт",$V$6:$V$73,"&gt;0")+SUMIFS($M$6:$M$73,$I$6:$I$73,"Вышло",$D$6:$D$73,"Inst",$E$6:$E$73,"сайт",$V$6:$V$73,"&gt;0")+SUMIFS($M$6:$M$73,$I$6:$I$73,"Вышло",$D$6:$D$73,"Instagram",$E$6:$E$73,"Сайт",$V$6:$V$73,"&lt;=0",$P$6:$P$73,"&lt;&gt;")+SUMIFS($M$6:$M$73,$I$6:$I$73,"Вышло",$D$6:$D$73,"Instagram",$E$6:$E$73,"сайт",$V$6:$V$73,"&lt;=0",$P$6:$P$73,"&lt;&gt;")+SUMIFS($M$6:$M$73,$I$6:$I$73,"Вышло",$D$6:$D$73,"Inst",$E$6:$E$73,"Сайт",$V$6:$V$73,"&lt;=0",$P$6:$P$73,"&lt;&gt;")+SUMIFS($M$6:$M$73,$I$6:$I$73,"Вышло",$D$6:$D$73,"Inst",$E$6:$E$73,"сайт",$V$6:$V$73,"&lt;=0",$P$6:$P$73,"&lt;&gt;")+SUMIFS($M$6:$M$73,$I$6:$I$73,"Вышло",$D$6:$D$73,"Instagram",$E$6:$E$73,"Ozon",$V$6:$V$73,"&gt;0")+SUMIFS($M$6:$M$73,$I$6:$I$73,"Вышло",$D$6:$D$73,"Instagram",$E$6:$E$73,"OZON",$V$6:$V$73,"&gt;0")+SUMIFS($M$6:$M$73,$I$6:$I$73,"Вышло",$D$6:$D$73,"Instagram",$E$6:$E$73,"Озон",$V$6:$V$73,"&gt;0")+SUMIFS($M$6:$M$73,$I$6:$I$73,"Вышло",$D$6:$D$73,"Instagram",$E$6:$E$73,"озон",$V$6:$V$73,"&gt;0")+SUMIFS($M$6:$M$73,$I$6:$I$73,"Вышло",$D$6:$D$73,"Inst",$E$6:$E$73,"Ozon",$V$6:$V$73,"&gt;0")+SUMIFS($M$6:$M$73,$I$6:$I$73,"Вышло",$D$6:$D$73,"Inst",$E$6:$E$73,"OZON",$V$6:$V$73,"&gt;0")+SUMIFS($M$6:$M$73,$I$6:$I$73,"Вышло",$D$6:$D$73,"Inst",$E$6:$E$73,"Озон",$V$6:$V$73,"&gt;0")+SUMIFS($M$6:$M$73,$I$6:$I$73,"Вышло",$D$6:$D$73,"Inst",$E$6:$E$73,"озон",$V$6:$V$73,"&gt;0")+SUMIFS($M$6:$M$73,$I$6:$I$73,"Вышло",$D$6:$D$73,"Instagram",$E$6:$E$73,"Ozon",$V$6:$V$73,"&lt;=0",$P$6:$P$73,"&lt;&gt;")+SUMIFS($M$6:$M$73,$I$6:$I$73,"Вышло",$D$6:$D$73,"Instagram",$E$6:$E$73,"OZON",$V$6:$V$73,"&lt;=0",$P$6:$P$73,"&lt;&gt;")+SUMIFS($M$6:$M$73,$I$6:$I$73,"Вышло",$D$6:$D$73,"Instagram",$E$6:$E$73,"Озон",$V$6:$V$73,"&lt;=0",$P$6:$P$73,"&lt;&gt;")+SUMIFS($M$6:$M$73,$I$6:$I$73,"Вышло",$D$6:$D$73,"Instagram",$E$6:$E$73,"озон",$V$6:$V$73,"&lt;=0",$P$6:$P$73,"&lt;&gt;")+SUMIFS($M$6:$M$73,$I$6:$I$73,"Вышло",$D$6:$D$73,"Inst",$E$6:$E$73,"Ozon",$V$6:$V$73,"&lt;=0",$P$6:$P$73,"&lt;&gt;")+SUMIFS($M$6:$M$73,$I$6:$I$73,"Вышло",$D$6:$D$73,"Inst",$E$6:$E$73,"OZON",$V$6:$V$73,"&lt;=0",$P$6:$P$73,"&lt;&gt;")+SUMIFS($M$6:$M$73,$I$6:$I$73,"Вышло",$D$6:$D$73,"Inst",$E$6:$E$73,"Озон",$V$6:$V$73,"&lt;=0",$P$6:$P$73,"&lt;&gt;")+SUMIFS($M$6:$M$73,$I$6:$I$73,"Вышло",$D$6:$D$73,"Inst",$E$6:$E$73,"озон",$V$6:$V$73,"&lt;=0",$P$6:$P$73,"&lt;&gt;"))/(SUMIFS($V$6:$V$73,$I$6:$I$73,"Вышло",$D$6:$D$73,"Instagram",$E$6:$E$73,"Сайт")+SUMIFS($V$6:$V$73,$I$6:$I$73,"Вышло",$D$6:$D$73,"Instagram",$E$6:$E$73,"сайт")+SUMIFS($V$6:$V$73,$I$6:$I$73,"Вышло",$D$6:$D$73,"Inst",$E$6:$E$73,"Сайт")+SUMIFS($V$6:$V$73,$I$6:$I$73,"Вышло",$D$6:$D$73,"Inst",$E$6:$E$73,"сайт")+SUMIFS($V$6:$V$73,$I$6:$I$73,"Вышло",$D$6:$D$73,"Instagram",$E$6:$E$73,"Ozon")+SUMIFS($V$6:$V$73,$I$6:$I$73,"Вышло",$D$6:$D$73,"Instagram",$E$6:$E$73,"OZON")+SUMIFS($V$6:$V$73,$I$6:$I$73,"Вышло",$D$6:$D$73,"Instagram",$E$6:$E$73,"Озон")+SUMIFS($V$6:$V$73,$I$6:$I$73,"Вышло",$D$6:$D$73,"Instagram",$E$6:$E$73,"озон")+SUMIFS($V$6:$V$73,$I$6:$I$73,"Вышло",$D$6:$D$73,"Inst",$E$6:$E$73,"Ozon")+SUMIFS($V$6:$V$73,$I$6:$I$73,"Вышло",$D$6:$D$73,"Inst",$E$6:$E$73,"OZON")+SUMIFS($V$6:$V$73,$I$6:$I$73,"Вышло",$D$6:$D$73,"Inst",$E$6:$E$73,"Озон")+SUMIFS($V$6:$V$73,$I$6:$I$73,"Вышло",$D$6:$D$73,"Inst",$E$6:$E$73,"озон")),0))</f>
        <v>—</v>
      </c>
      <c r="M83" s="140" t="str">
        <f>IF((SUMIFS($W$6:$W$73,$I$6:$I$73,"Вышло",$D$6:$D$73,"Instagram",$E$6:$E$73,"WB")+SUMIFS($W$6:$W$73,$I$6:$I$73,"Вышло",$D$6:$D$73,"Instagram",$E$6:$E$73,"ВБ")+SUMIFS($W$6:$W$73,$I$6:$I$73,"Вышло",$D$6:$D$73,"Inst",$E$6:$E$73,"WB")+SUMIFS($W$6:$W$73,$I$6:$I$73,"Вышло",$D$6:$D$73,"Inst",$E$6:$E$73,"ВБ"))=0,"—",ROUND((SUMIFS($M$6:$M$73,$I$6:$I$73,"Вышло",$D$6:$D$73,"Instagram",$E$6:$E$73,"WB")+SUMIFS($M$6:$M$73,$I$6:$I$73,"Вышло",$D$6:$D$73,"Instagram",$E$6:$E$73,"ВБ")+SUMIFS($M$6:$M$73,$I$6:$I$73,"Вышло",$D$6:$D$73,"Inst",$E$6:$E$73,"WB")+SUMIFS($M$6:$M$73,$I$6:$I$73,"Вышло",$D$6:$D$73,"Inst",$E$6:$E$73,"ВБ")-(SUMIFS($M$6:$M$73,$I$6:$I$73,"Вышло",$D$6:$D$73,"Instagram",$E$6:$E$73,"WB",$W$6:$W$73,"&lt;=0",$V$6:$V$73,"&gt;0")+SUMIFS($M$6:$M$73,$I$6:$I$73,"Вышло",$D$6:$D$73,"Instagram",$E$6:$E$73,"ВБ",$W$6:$W$73,"&lt;=0",$V$6:$V$73,"&gt;0")+SUMIFS($M$6:$M$73,$I$6:$I$73,"Вышло",$D$6:$D$73,"Inst",$E$6:$E$73,"WB",$W$6:$W$73,"&lt;=0",$V$6:$V$73,"&gt;0")+SUMIFS($M$6:$M$73,$I$6:$I$73,"Вышло",$D$6:$D$73,"Inst",$E$6:$E$73,"ВБ",$W$6:$W$73,"&lt;=0",$V$6:$V$73,"&gt;0")))/(SUMIFS($W$6:$W$73,$I$6:$I$73,"Вышло",$D$6:$D$73,"Instagram",$E$6:$E$73,"WB")+SUMIFS($W$6:$W$73,$I$6:$I$73,"Вышло",$D$6:$D$73,"Instagram",$E$6:$E$73,"ВБ")+SUMIFS($W$6:$W$73,$I$6:$I$73,"Вышло",$D$6:$D$73,"Inst",$E$6:$E$73,"WB")+SUMIFS($W$6:$W$73,$I$6:$I$73,"Вышло",$D$6:$D$73,"Inst",$E$6:$E$73,"ВБ")),0))</f>
        <v>—</v>
      </c>
      <c r="N83" s="140" t="str">
        <f t="shared" si="62"/>
        <v>—</v>
      </c>
      <c r="O83" s="140" t="str">
        <f>IF((SUMIFS($Z$6:$Z$73,$I$6:$I$73,"Вышло",$D$6:$D$73,"Instagram")+SUMIFS($Z$6:$Z$73,$I$6:$I$73,"Вышло",$D$6:$D$73,"Inst"))=0,"—",ROUND((SUMIFS($M$6:$M$73,$I$6:$I$73,"Вышло",$D$6:$D$73,"Instagram")+SUMIFS($M$6:$M$73,$I$6:$I$73,"Вышло",$D$6:$D$73,"Inst"))/(SUMIFS($Z$6:$Z$73,$I$6:$I$73,"Вышло",$D$6:$D$73,"Instagram")+SUMIFS($Z$6:$Z$73,$I$6:$I$73,"Вышло",$D$6:$D$73,"Inst")),0))</f>
        <v>—</v>
      </c>
      <c r="P83" s="3"/>
      <c r="Q83" s="3"/>
      <c r="R83" s="3"/>
      <c r="S83" s="3"/>
      <c r="T83" s="3"/>
      <c r="U83" s="155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</row>
    <row r="84" ht="15.75" customHeight="1">
      <c r="A84" s="139" t="s">
        <v>860</v>
      </c>
      <c r="B84" s="140">
        <f>SUMIFS($M$6:$M$73,$D$6:$D$73,"WB")</f>
        <v>0</v>
      </c>
      <c r="C84" s="140">
        <f>SUMIFS($M$6:$M$73,$I$6:$I$73,"Вышло",$D$6:$D$73,"WB")</f>
        <v>0</v>
      </c>
      <c r="D84" s="141">
        <f>COUNTIFS($I$6:$I$73,"Вышло",$D$6:$D$73,"WB")</f>
        <v>0</v>
      </c>
      <c r="E84" s="141">
        <f>SUMIFS($T$6:$T$73,$I$6:$I$73,"Вышло",$D$6:$D$73,"WB")</f>
        <v>0</v>
      </c>
      <c r="F84" s="141">
        <f>SUMIFS($V$6:$V$73,$I$6:$I$73,"Вышло",$D$6:$D$73,"WB")</f>
        <v>0</v>
      </c>
      <c r="G84" s="141">
        <f>SUMIFS($W$6:$W$73,$I$6:$I$73,"Вышло",$D$6:$D$73,"WB")</f>
        <v>0</v>
      </c>
      <c r="H84" s="141">
        <f t="shared" si="61"/>
        <v>0</v>
      </c>
      <c r="I84" s="141">
        <f>SUMIFS($Y$6:$Y$73,$I$6:$I$73,"Вышло",$D$6:$D$73,"WB")</f>
        <v>0</v>
      </c>
      <c r="J84" s="141">
        <f>SUMIFS($Z$6:$Z$73,$I$6:$I$73,"Вышло",$D$6:$D$73,"WB")</f>
        <v>0</v>
      </c>
      <c r="K84" s="140">
        <f>SUMIFS($AA$6:$AA$73,$I$6:$I$73,"Вышло",$D$6:$D$73,"WB")</f>
        <v>0</v>
      </c>
      <c r="L84" s="140" t="str">
        <f>IF((SUMIFS($V$6:$V$73,$I$6:$I$73,"Вышло",$D$6:$D$73,"WB",$E$6:$E$73,"Сайт")+SUMIFS($V$6:$V$73,$I$6:$I$73,"Вышло",$D$6:$D$73,"WB",$E$6:$E$73,"сайт")+SUMIFS($V$6:$V$73,$I$6:$I$73,"Вышло",$D$6:$D$73,"WB",$E$6:$E$73,"Ozon")+SUMIFS($V$6:$V$73,$I$6:$I$73,"Вышло",$D$6:$D$73,"WB",$E$6:$E$73,"OZON")+SUMIFS($V$6:$V$73,$I$6:$I$73,"Вышло",$D$6:$D$73,"WB",$E$6:$E$73,"Озон")+SUMIFS($V$6:$V$73,$I$6:$I$73,"Вышло",$D$6:$D$73,"WB",$E$6:$E$73,"озон"))=0,"—",ROUND((SUMIFS($M$6:$M$73,$I$6:$I$73,"Вышло",$D$6:$D$73,"WB",$E$6:$E$73,"Сайт",$V$6:$V$73,"&gt;0")+SUMIFS($M$6:$M$73,$I$6:$I$73,"Вышло",$D$6:$D$73,"WB",$E$6:$E$73,"сайт",$V$6:$V$73,"&gt;0")+SUMIFS($M$6:$M$73,$I$6:$I$73,"Вышло",$D$6:$D$73,"WB",$E$6:$E$73,"Сайт",$V$6:$V$73,"&lt;=0",$P$6:$P$73,"&lt;&gt;")+SUMIFS($M$6:$M$73,$I$6:$I$73,"Вышло",$D$6:$D$73,"WB",$E$6:$E$73,"сайт",$V$6:$V$73,"&lt;=0",$P$6:$P$73,"&lt;&gt;")+SUMIFS($M$6:$M$73,$I$6:$I$73,"Вышло",$D$6:$D$73,"WB",$E$6:$E$73,"Ozon",$V$6:$V$73,"&gt;0")+SUMIFS($M$6:$M$73,$I$6:$I$73,"Вышло",$D$6:$D$73,"WB",$E$6:$E$73,"OZON",$V$6:$V$73,"&gt;0")+SUMIFS($M$6:$M$73,$I$6:$I$73,"Вышло",$D$6:$D$73,"WB",$E$6:$E$73,"Озон",$V$6:$V$73,"&gt;0")+SUMIFS($M$6:$M$73,$I$6:$I$73,"Вышло",$D$6:$D$73,"WB",$E$6:$E$73,"озон",$V$6:$V$73,"&gt;0")+SUMIFS($M$6:$M$73,$I$6:$I$73,"Вышло",$D$6:$D$73,"WB",$E$6:$E$73,"Ozon",$V$6:$V$73,"&lt;=0",$P$6:$P$73,"&lt;&gt;")+SUMIFS($M$6:$M$73,$I$6:$I$73,"Вышло",$D$6:$D$73,"WB",$E$6:$E$73,"OZON",$V$6:$V$73,"&lt;=0",$P$6:$P$73,"&lt;&gt;")+SUMIFS($M$6:$M$73,$I$6:$I$73,"Вышло",$D$6:$D$73,"WB",$E$6:$E$73,"Озон",$V$6:$V$73,"&lt;=0",$P$6:$P$73,"&lt;&gt;")+SUMIFS($M$6:$M$73,$I$6:$I$73,"Вышло",$D$6:$D$73,"WB",$E$6:$E$73,"озон",$V$6:$V$73,"&lt;=0",$P$6:$P$73,"&lt;&gt;"))/(SUMIFS($V$6:$V$73,$I$6:$I$73,"Вышло",$D$6:$D$73,"WB",$E$6:$E$73,"Сайт")+SUMIFS($V$6:$V$73,$I$6:$I$73,"Вышло",$D$6:$D$73,"WB",$E$6:$E$73,"сайт")+SUMIFS($V$6:$V$73,$I$6:$I$73,"Вышло",$D$6:$D$73,"WB",$E$6:$E$73,"Ozon")+SUMIFS($V$6:$V$73,$I$6:$I$73,"Вышло",$D$6:$D$73,"WB",$E$6:$E$73,"OZON")+SUMIFS($V$6:$V$73,$I$6:$I$73,"Вышло",$D$6:$D$73,"WB",$E$6:$E$73,"Озон")+SUMIFS($V$6:$V$73,$I$6:$I$73,"Вышло",$D$6:$D$73,"WB",$E$6:$E$73,"озон")),0))</f>
        <v>—</v>
      </c>
      <c r="M84" s="140" t="str">
        <f>IF((SUMIFS($W$6:$W$73,$I$6:$I$73,"Вышло",$D$6:$D$73,"WB",$E$6:$E$73,"WB")+SUMIFS($W$6:$W$73,$I$6:$I$73,"Вышло",$D$6:$D$73,"WB",$E$6:$E$73,"ВБ"))=0,"—",ROUND((SUMIFS($M$6:$M$73,$I$6:$I$73,"Вышло",$D$6:$D$73,"WB",$E$6:$E$73,"WB")+SUMIFS($M$6:$M$73,$I$6:$I$73,"Вышло",$D$6:$D$73,"WB",$E$6:$E$73,"ВБ")-(SUMIFS($M$6:$M$73,$I$6:$I$73,"Вышло",$D$6:$D$73,"WB",$E$6:$E$73,"WB",$W$6:$W$73,"&lt;=0",$V$6:$V$73,"&gt;0")+SUMIFS($M$6:$M$73,$I$6:$I$73,"Вышло",$D$6:$D$73,"WB",$E$6:$E$73,"ВБ",$W$6:$W$73,"&lt;=0",$V$6:$V$73,"&gt;0")))/(SUMIFS($W$6:$W$73,$I$6:$I$73,"Вышло",$D$6:$D$73,"WB",$E$6:$E$73,"WB")+SUMIFS($W$6:$W$73,$I$6:$I$73,"Вышло",$D$6:$D$73,"WB",$E$6:$E$73,"ВБ")),0))</f>
        <v>—</v>
      </c>
      <c r="N84" s="140" t="str">
        <f t="shared" si="62"/>
        <v>—</v>
      </c>
      <c r="O84" s="140" t="str">
        <f>IF((SUMIFS($Z$6:$Z$73,$I$6:$I$73,"Вышло",$D$6:$D$73,"WB"))=0,"—",ROUND((SUMIFS($M$6:$M$73,$I$6:$I$73,"Вышло",$D$6:$D$73,"WB"))/(SUMIFS($Z$6:$Z$73,$I$6:$I$73,"Вышло",$D$6:$D$73,"WB")),0))</f>
        <v>—</v>
      </c>
      <c r="P84" s="3"/>
      <c r="Q84" s="3"/>
      <c r="R84" s="3"/>
      <c r="S84" s="3"/>
      <c r="T84" s="3"/>
      <c r="U84" s="155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</row>
    <row r="85" ht="15.75" customHeight="1">
      <c r="A85" s="142" t="s">
        <v>877</v>
      </c>
      <c r="B85" s="143">
        <f t="shared" ref="B85:K85" si="63">SUM(B77:B84)</f>
        <v>328540</v>
      </c>
      <c r="C85" s="143">
        <f t="shared" si="63"/>
        <v>0</v>
      </c>
      <c r="D85" s="144">
        <f t="shared" si="63"/>
        <v>0</v>
      </c>
      <c r="E85" s="144">
        <f t="shared" si="63"/>
        <v>0</v>
      </c>
      <c r="F85" s="144">
        <f t="shared" si="63"/>
        <v>0</v>
      </c>
      <c r="G85" s="144">
        <f t="shared" si="63"/>
        <v>0</v>
      </c>
      <c r="H85" s="144">
        <f t="shared" si="63"/>
        <v>0</v>
      </c>
      <c r="I85" s="144">
        <f t="shared" si="63"/>
        <v>0</v>
      </c>
      <c r="J85" s="144">
        <f t="shared" si="63"/>
        <v>0</v>
      </c>
      <c r="K85" s="143">
        <f t="shared" si="63"/>
        <v>0</v>
      </c>
      <c r="L85" s="143" t="str">
        <f>IF((SUMIFS($V$6:$V$73,$I$6:$I$73,"Вышло",$E$6:$E$73,"Сайт")+SUMIFS($V$6:$V$73,$I$6:$I$73,"Вышло",$E$6:$E$73,"сайт")+SUMIFS($V$6:$V$73,$I$6:$I$73,"Вышло",$E$6:$E$73,"Ozon")+SUMIFS($V$6:$V$73,$I$6:$I$73,"Вышло",$E$6:$E$73,"OZON")+SUMIFS($V$6:$V$73,$I$6:$I$73,"Вышло",$E$6:$E$73,"Озон")+SUMIFS($V$6:$V$73,$I$6:$I$73,"Вышло",$E$6:$E$73,"озон"))=0,"—",ROUND((SUMIFS($M$6:$M$73,$I$6:$I$73,"Вышло",$E$6:$E$73,"Сайт",$V$6:$V$73,"&gt;0")+SUMIFS($M$6:$M$73,$I$6:$I$73,"Вышло",$E$6:$E$73,"сайт",$V$6:$V$73,"&gt;0")+SUMIFS($M$6:$M$73,$I$6:$I$73,"Вышло",$E$6:$E$73,"Сайт",$V$6:$V$73,"&lt;=0",$P$6:$P$73,"&lt;&gt;")+SUMIFS($M$6:$M$73,$I$6:$I$73,"Вышло",$E$6:$E$73,"сайт",$V$6:$V$73,"&lt;=0",$P$6:$P$73,"&lt;&gt;")+SUMIFS($M$6:$M$73,$I$6:$I$73,"Вышло",$E$6:$E$73,"Ozon",$V$6:$V$73,"&gt;0")+SUMIFS($M$6:$M$73,$I$6:$I$73,"Вышло",$E$6:$E$73,"OZON",$V$6:$V$73,"&gt;0")+SUMIFS($M$6:$M$73,$I$6:$I$73,"Вышло",$E$6:$E$73,"Озон",$V$6:$V$73,"&gt;0")+SUMIFS($M$6:$M$73,$I$6:$I$73,"Вышло",$E$6:$E$73,"озон",$V$6:$V$73,"&gt;0")+SUMIFS($M$6:$M$73,$I$6:$I$73,"Вышло",$E$6:$E$73,"Ozon",$V$6:$V$73,"&lt;=0",$P$6:$P$73,"&lt;&gt;")+SUMIFS($M$6:$M$73,$I$6:$I$73,"Вышло",$E$6:$E$73,"OZON",$V$6:$V$73,"&lt;=0",$P$6:$P$73,"&lt;&gt;")+SUMIFS($M$6:$M$73,$I$6:$I$73,"Вышло",$E$6:$E$73,"Озон",$V$6:$V$73,"&lt;=0",$P$6:$P$73,"&lt;&gt;")+SUMIFS($M$6:$M$73,$I$6:$I$73,"Вышло",$E$6:$E$73,"озон",$V$6:$V$73,"&lt;=0",$P$6:$P$73,"&lt;&gt;"))/(SUMIFS($V$6:$V$73,$I$6:$I$73,"Вышло",$E$6:$E$73,"Сайт")+SUMIFS($V$6:$V$73,$I$6:$I$73,"Вышло",$E$6:$E$73,"сайт")+SUMIFS($V$6:$V$73,$I$6:$I$73,"Вышло",$E$6:$E$73,"Ozon")+SUMIFS($V$6:$V$73,$I$6:$I$73,"Вышло",$E$6:$E$73,"OZON")+SUMIFS($V$6:$V$73,$I$6:$I$73,"Вышло",$E$6:$E$73,"Озон")+SUMIFS($V$6:$V$73,$I$6:$I$73,"Вышло",$E$6:$E$73,"озон")),0))</f>
        <v>—</v>
      </c>
      <c r="M85" s="143" t="str">
        <f>IF((SUMIFS($W$6:$W$73,$I$6:$I$73,"Вышло",$E$6:$E$73,"WB")+SUMIFS($W$6:$W$73,$I$6:$I$73,"Вышло",$E$6:$E$73,"ВБ"))=0,"—",ROUND((SUMIFS($M$6:$M$73,$I$6:$I$73,"Вышло",$E$6:$E$73,"WB")+SUMIFS($M$6:$M$73,$I$6:$I$73,"Вышло",$E$6:$E$73,"ВБ")-(SUMIFS($M$6:$M$73,$I$6:$I$73,"Вышло",$E$6:$E$73,"WB",$W$6:$W$73,"&lt;=0",$V$6:$V$73,"&gt;0")+SUMIFS($M$6:$M$73,$I$6:$I$73,"Вышло",$E$6:$E$73,"ВБ",$W$6:$W$73,"&lt;=0",$V$6:$V$73,"&gt;0")))/(SUMIFS($W$6:$W$73,$I$6:$I$73,"Вышло",$E$6:$E$73,"WB")+SUMIFS($W$6:$W$73,$I$6:$I$73,"Вышло",$E$6:$E$73,"ВБ")),0))</f>
        <v>—</v>
      </c>
      <c r="N85" s="143" t="str">
        <f t="shared" si="62"/>
        <v>—</v>
      </c>
      <c r="O85" s="143" t="str">
        <f>IF((SUMIFS($Z$6:$Z$73,$I$6:$I$73,"Вышло"))=0,"—",ROUND((SUMIFS($M$6:$M$73,$I$6:$I$73,"Вышло"))/(SUMIFS($Z$6:$Z$73,$I$6:$I$73,"Вышло")),0))</f>
        <v>—</v>
      </c>
      <c r="P85" s="3"/>
      <c r="Q85" s="3"/>
      <c r="R85" s="3"/>
      <c r="S85" s="3"/>
      <c r="T85" s="3"/>
      <c r="U85" s="155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</row>
    <row r="86" ht="15.75" customHeight="1">
      <c r="A86" s="145"/>
      <c r="B86" s="145"/>
      <c r="C86" s="145"/>
      <c r="D86" s="145"/>
      <c r="E86" s="145"/>
      <c r="F86" s="145"/>
      <c r="G86" s="145"/>
      <c r="H86" s="145"/>
      <c r="I86" s="145"/>
      <c r="J86" s="145"/>
      <c r="K86" s="145"/>
      <c r="L86" s="145"/>
      <c r="M86" s="145"/>
      <c r="N86" s="145"/>
      <c r="O86" s="145"/>
      <c r="P86" s="3"/>
      <c r="Q86" s="3"/>
      <c r="R86" s="3"/>
      <c r="S86" s="3"/>
      <c r="T86" s="3"/>
      <c r="U86" s="155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</row>
    <row r="87" ht="15.75" customHeight="1">
      <c r="A87" s="137" t="s">
        <v>1706</v>
      </c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3"/>
      <c r="Q87" s="3"/>
      <c r="R87" s="3"/>
      <c r="S87" s="3"/>
      <c r="T87" s="3"/>
      <c r="U87" s="155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</row>
    <row r="88" ht="36.0" customHeight="1">
      <c r="A88" s="138" t="s">
        <v>726</v>
      </c>
      <c r="B88" s="138" t="s">
        <v>872</v>
      </c>
      <c r="C88" s="138" t="s">
        <v>873</v>
      </c>
      <c r="D88" s="138" t="s">
        <v>859</v>
      </c>
      <c r="E88" s="138" t="s">
        <v>729</v>
      </c>
      <c r="F88" s="138" t="s">
        <v>730</v>
      </c>
      <c r="G88" s="138" t="s">
        <v>851</v>
      </c>
      <c r="H88" s="138" t="s">
        <v>731</v>
      </c>
      <c r="I88" s="138" t="s">
        <v>853</v>
      </c>
      <c r="J88" s="138" t="s">
        <v>656</v>
      </c>
      <c r="K88" s="138" t="s">
        <v>854</v>
      </c>
      <c r="L88" s="138" t="s">
        <v>874</v>
      </c>
      <c r="M88" s="138" t="s">
        <v>875</v>
      </c>
      <c r="N88" s="138" t="s">
        <v>876</v>
      </c>
      <c r="O88" s="138" t="s">
        <v>657</v>
      </c>
      <c r="P88" s="3"/>
      <c r="Q88" s="3"/>
      <c r="R88" s="3"/>
      <c r="S88" s="3"/>
      <c r="T88" s="3"/>
      <c r="U88" s="155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</row>
    <row r="89" ht="15.75" customHeight="1">
      <c r="A89" s="139" t="s">
        <v>735</v>
      </c>
      <c r="B89" s="140">
        <f>SUMIFS($M$6:$M$73,$D$6:$D$73,"Telegram")+SUMIFS($M$6:$M$73,$D$6:$D$73,"Telegram ")+SUMIFS($M$6:$M$73,$D$6:$D$73,"Телеграм")+SUMIFS($M$6:$M$73,$D$6:$D$73,"ТГ")+SUMIFS($M$6:$M$73,$D$6:$D$73,"MAX")+SUMIFS($M$6:$M$73,$D$6:$D$73,"Макс")+SUMIFS($M$6:$M$73,$D$6:$D$73,"МАКС")+SUMIFS($M$6:$M$73,$D$6:$D$73,"VK")+SUMIFS($M$6:$M$73,$D$6:$D$73,"Vk")+SUMIFS($M$6:$M$73,$D$6:$D$73,"ВК")+SUMIFS($M$6:$M$73,$D$6:$D$73,"YouTube")+SUMIFS($M$6:$M$73,$D$6:$D$73,"Youtube")+SUMIFS($M$6:$M$73,$D$6:$D$73,"TikTok")+SUMIFS($M$6:$M$73,$D$6:$D$73,"Tiktok")+SUMIFS($M$6:$M$73,$D$6:$D$73,"Rutube")+SUMIFS($M$6:$M$73,$D$6:$D$73,"Instagram")+SUMIFS($M$6:$M$73,$D$6:$D$73,"Inst")+SUMIFS($M$6:$M$73,$D$6:$D$73,"WB")</f>
        <v>328540</v>
      </c>
      <c r="C89" s="140">
        <f>SUMIFS($M$6:$M$73,$I$6:$I$73,"Вышло")</f>
        <v>0</v>
      </c>
      <c r="D89" s="141">
        <f>COUNTIFS($I$6:$I$73,"Вышло")</f>
        <v>0</v>
      </c>
      <c r="E89" s="141">
        <f>SUMIFS($T$6:$T$73,$I$6:$I$73,"Вышло")</f>
        <v>0</v>
      </c>
      <c r="F89" s="141">
        <f>SUMIFS($V$6:$V$73,$I$6:$I$73,"Вышло")</f>
        <v>0</v>
      </c>
      <c r="G89" s="141">
        <f>SUMIFS($W$6:$W$73,$I$6:$I$73,"Вышло")</f>
        <v>0</v>
      </c>
      <c r="H89" s="141">
        <f>0</f>
        <v>0</v>
      </c>
      <c r="I89" s="141">
        <f>SUMIFS($Y$6:$Y$73,$I$6:$I$73,"Вышло")</f>
        <v>0</v>
      </c>
      <c r="J89" s="141">
        <f>SUMIFS($Z$6:$Z$73,$I$6:$I$73,"Вышло")</f>
        <v>0</v>
      </c>
      <c r="K89" s="140">
        <f>SUMIFS($AA$6:$AA$73,$I$6:$I$73,"Вышло")</f>
        <v>0</v>
      </c>
      <c r="L89" s="140" t="str">
        <f>IF((SUMIFS($V$6:$V$73,$I$6:$I$73,"Вышло",$E$6:$E$73,"Сайт")+SUMIFS($V$6:$V$73,$I$6:$I$73,"Вышло",$E$6:$E$73,"сайт")+SUMIFS($V$6:$V$73,$I$6:$I$73,"Вышло",$E$6:$E$73,"Ozon")+SUMIFS($V$6:$V$73,$I$6:$I$73,"Вышло",$E$6:$E$73,"OZON")+SUMIFS($V$6:$V$73,$I$6:$I$73,"Вышло",$E$6:$E$73,"Озон")+SUMIFS($V$6:$V$73,$I$6:$I$73,"Вышло",$E$6:$E$73,"озон"))=0,"—",ROUND((SUMIFS($M$6:$M$73,$I$6:$I$73,"Вышло",$E$6:$E$73,"Сайт",$V$6:$V$73,"&gt;0")+SUMIFS($M$6:$M$73,$I$6:$I$73,"Вышло",$E$6:$E$73,"сайт",$V$6:$V$73,"&gt;0")+SUMIFS($M$6:$M$73,$I$6:$I$73,"Вышло",$E$6:$E$73,"Сайт",$V$6:$V$73,"&lt;=0",$P$6:$P$73,"&lt;&gt;")+SUMIFS($M$6:$M$73,$I$6:$I$73,"Вышло",$E$6:$E$73,"сайт",$V$6:$V$73,"&lt;=0",$P$6:$P$73,"&lt;&gt;")+SUMIFS($M$6:$M$73,$I$6:$I$73,"Вышло",$E$6:$E$73,"Ozon",$V$6:$V$73,"&gt;0")+SUMIFS($M$6:$M$73,$I$6:$I$73,"Вышло",$E$6:$E$73,"OZON",$V$6:$V$73,"&gt;0")+SUMIFS($M$6:$M$73,$I$6:$I$73,"Вышло",$E$6:$E$73,"Озон",$V$6:$V$73,"&gt;0")+SUMIFS($M$6:$M$73,$I$6:$I$73,"Вышло",$E$6:$E$73,"озон",$V$6:$V$73,"&gt;0")+SUMIFS($M$6:$M$73,$I$6:$I$73,"Вышло",$E$6:$E$73,"Ozon",$V$6:$V$73,"&lt;=0",$P$6:$P$73,"&lt;&gt;")+SUMIFS($M$6:$M$73,$I$6:$I$73,"Вышло",$E$6:$E$73,"OZON",$V$6:$V$73,"&lt;=0",$P$6:$P$73,"&lt;&gt;")+SUMIFS($M$6:$M$73,$I$6:$I$73,"Вышло",$E$6:$E$73,"Озон",$V$6:$V$73,"&lt;=0",$P$6:$P$73,"&lt;&gt;")+SUMIFS($M$6:$M$73,$I$6:$I$73,"Вышло",$E$6:$E$73,"озон",$V$6:$V$73,"&lt;=0",$P$6:$P$73,"&lt;&gt;"))/(SUMIFS($V$6:$V$73,$I$6:$I$73,"Вышло",$E$6:$E$73,"Сайт")+SUMIFS($V$6:$V$73,$I$6:$I$73,"Вышло",$E$6:$E$73,"сайт")+SUMIFS($V$6:$V$73,$I$6:$I$73,"Вышло",$E$6:$E$73,"Ozon")+SUMIFS($V$6:$V$73,$I$6:$I$73,"Вышло",$E$6:$E$73,"OZON")+SUMIFS($V$6:$V$73,$I$6:$I$73,"Вышло",$E$6:$E$73,"Озон")+SUMIFS($V$6:$V$73,$I$6:$I$73,"Вышло",$E$6:$E$73,"озон")),0))</f>
        <v>—</v>
      </c>
      <c r="M89" s="140" t="str">
        <f>IF((SUMIFS($W$6:$W$73,$I$6:$I$73,"Вышло",$E$6:$E$73,"WB")+SUMIFS($W$6:$W$73,$I$6:$I$73,"Вышло",$E$6:$E$73,"ВБ"))=0,"—",ROUND((SUMIFS($M$6:$M$73,$I$6:$I$73,"Вышло",$E$6:$E$73,"WB")+SUMIFS($M$6:$M$73,$I$6:$I$73,"Вышло",$E$6:$E$73,"ВБ")-(SUMIFS($M$6:$M$73,$I$6:$I$73,"Вышло",$E$6:$E$73,"WB",$W$6:$W$73,"&lt;=0",$V$6:$V$73,"&gt;0")+SUMIFS($M$6:$M$73,$I$6:$I$73,"Вышло",$E$6:$E$73,"ВБ",$W$6:$W$73,"&lt;=0",$V$6:$V$73,"&gt;0")))/(SUMIFS($W$6:$W$73,$I$6:$I$73,"Вышло",$E$6:$E$73,"WB")+SUMIFS($W$6:$W$73,$I$6:$I$73,"Вышло",$E$6:$E$73,"ВБ")),0))</f>
        <v>—</v>
      </c>
      <c r="N89" s="140" t="str">
        <f>"—"</f>
        <v>—</v>
      </c>
      <c r="O89" s="140" t="str">
        <f>IF((SUMIFS($Z$6:$Z$73,$I$6:$I$73,"Вышло"))=0,"—",ROUND((SUMIFS($M$6:$M$73,$I$6:$I$73,"Вышло"))/(SUMIFS($Z$6:$Z$73,$I$6:$I$73,"Вышло")),0))</f>
        <v>—</v>
      </c>
      <c r="P89" s="3"/>
      <c r="Q89" s="3"/>
      <c r="R89" s="3"/>
      <c r="S89" s="3"/>
      <c r="T89" s="3"/>
      <c r="U89" s="155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</row>
    <row r="90" ht="15.75" customHeight="1">
      <c r="A90" s="139" t="s">
        <v>736</v>
      </c>
      <c r="B90" s="140">
        <f t="shared" ref="B90:K90" si="64">0</f>
        <v>0</v>
      </c>
      <c r="C90" s="140">
        <f t="shared" si="64"/>
        <v>0</v>
      </c>
      <c r="D90" s="141">
        <f t="shared" si="64"/>
        <v>0</v>
      </c>
      <c r="E90" s="141">
        <f t="shared" si="64"/>
        <v>0</v>
      </c>
      <c r="F90" s="141">
        <f t="shared" si="64"/>
        <v>0</v>
      </c>
      <c r="G90" s="141">
        <f t="shared" si="64"/>
        <v>0</v>
      </c>
      <c r="H90" s="141">
        <f t="shared" si="64"/>
        <v>0</v>
      </c>
      <c r="I90" s="141">
        <f t="shared" si="64"/>
        <v>0</v>
      </c>
      <c r="J90" s="141">
        <f t="shared" si="64"/>
        <v>0</v>
      </c>
      <c r="K90" s="140">
        <f t="shared" si="64"/>
        <v>0</v>
      </c>
      <c r="L90" s="140" t="s">
        <v>879</v>
      </c>
      <c r="M90" s="140" t="s">
        <v>879</v>
      </c>
      <c r="N90" s="140" t="s">
        <v>879</v>
      </c>
      <c r="O90" s="140" t="s">
        <v>879</v>
      </c>
      <c r="P90" s="3"/>
      <c r="Q90" s="3"/>
      <c r="R90" s="3"/>
      <c r="S90" s="3"/>
      <c r="T90" s="3"/>
      <c r="U90" s="155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</row>
    <row r="91" ht="15.75" customHeight="1">
      <c r="A91" s="139" t="s">
        <v>737</v>
      </c>
      <c r="B91" s="140">
        <f t="shared" ref="B91:K91" si="65">0</f>
        <v>0</v>
      </c>
      <c r="C91" s="140">
        <f t="shared" si="65"/>
        <v>0</v>
      </c>
      <c r="D91" s="141">
        <f t="shared" si="65"/>
        <v>0</v>
      </c>
      <c r="E91" s="141">
        <f t="shared" si="65"/>
        <v>0</v>
      </c>
      <c r="F91" s="141">
        <f t="shared" si="65"/>
        <v>0</v>
      </c>
      <c r="G91" s="141">
        <f t="shared" si="65"/>
        <v>0</v>
      </c>
      <c r="H91" s="141">
        <f t="shared" si="65"/>
        <v>0</v>
      </c>
      <c r="I91" s="141">
        <f t="shared" si="65"/>
        <v>0</v>
      </c>
      <c r="J91" s="141">
        <f t="shared" si="65"/>
        <v>0</v>
      </c>
      <c r="K91" s="140">
        <f t="shared" si="65"/>
        <v>0</v>
      </c>
      <c r="L91" s="140" t="s">
        <v>879</v>
      </c>
      <c r="M91" s="140" t="s">
        <v>879</v>
      </c>
      <c r="N91" s="140" t="s">
        <v>879</v>
      </c>
      <c r="O91" s="140" t="s">
        <v>879</v>
      </c>
      <c r="P91" s="3"/>
      <c r="Q91" s="3"/>
      <c r="R91" s="3"/>
      <c r="S91" s="3"/>
      <c r="T91" s="3"/>
      <c r="U91" s="155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</row>
    <row r="92" ht="15.75" customHeight="1">
      <c r="A92" s="142" t="s">
        <v>877</v>
      </c>
      <c r="B92" s="143">
        <f t="shared" ref="B92:K92" si="66">SUM(B89:B91)</f>
        <v>328540</v>
      </c>
      <c r="C92" s="143">
        <f t="shared" si="66"/>
        <v>0</v>
      </c>
      <c r="D92" s="144">
        <f t="shared" si="66"/>
        <v>0</v>
      </c>
      <c r="E92" s="144">
        <f t="shared" si="66"/>
        <v>0</v>
      </c>
      <c r="F92" s="144">
        <f t="shared" si="66"/>
        <v>0</v>
      </c>
      <c r="G92" s="144">
        <f t="shared" si="66"/>
        <v>0</v>
      </c>
      <c r="H92" s="144">
        <f t="shared" si="66"/>
        <v>0</v>
      </c>
      <c r="I92" s="144">
        <f t="shared" si="66"/>
        <v>0</v>
      </c>
      <c r="J92" s="144">
        <f t="shared" si="66"/>
        <v>0</v>
      </c>
      <c r="K92" s="143">
        <f t="shared" si="66"/>
        <v>0</v>
      </c>
      <c r="L92" s="143" t="str">
        <f>IF((SUMIFS($V$6:$V$73,$I$6:$I$73,"Вышло",$E$6:$E$73,"Сайт")+SUMIFS($V$6:$V$73,$I$6:$I$73,"Вышло",$E$6:$E$73,"сайт")+SUMIFS($V$6:$V$73,$I$6:$I$73,"Вышло",$E$6:$E$73,"Ozon")+SUMIFS($V$6:$V$73,$I$6:$I$73,"Вышло",$E$6:$E$73,"OZON")+SUMIFS($V$6:$V$73,$I$6:$I$73,"Вышло",$E$6:$E$73,"Озон")+SUMIFS($V$6:$V$73,$I$6:$I$73,"Вышло",$E$6:$E$73,"озон"))=0,"—",ROUND((SUMIFS($M$6:$M$73,$I$6:$I$73,"Вышло",$E$6:$E$73,"Сайт",$V$6:$V$73,"&gt;0")+SUMIFS($M$6:$M$73,$I$6:$I$73,"Вышло",$E$6:$E$73,"сайт",$V$6:$V$73,"&gt;0")+SUMIFS($M$6:$M$73,$I$6:$I$73,"Вышло",$E$6:$E$73,"Сайт",$V$6:$V$73,"&lt;=0",$P$6:$P$73,"&lt;&gt;")+SUMIFS($M$6:$M$73,$I$6:$I$73,"Вышло",$E$6:$E$73,"сайт",$V$6:$V$73,"&lt;=0",$P$6:$P$73,"&lt;&gt;")+SUMIFS($M$6:$M$73,$I$6:$I$73,"Вышло",$E$6:$E$73,"Ozon",$V$6:$V$73,"&gt;0")+SUMIFS($M$6:$M$73,$I$6:$I$73,"Вышло",$E$6:$E$73,"OZON",$V$6:$V$73,"&gt;0")+SUMIFS($M$6:$M$73,$I$6:$I$73,"Вышло",$E$6:$E$73,"Озон",$V$6:$V$73,"&gt;0")+SUMIFS($M$6:$M$73,$I$6:$I$73,"Вышло",$E$6:$E$73,"озон",$V$6:$V$73,"&gt;0")+SUMIFS($M$6:$M$73,$I$6:$I$73,"Вышло",$E$6:$E$73,"Ozon",$V$6:$V$73,"&lt;=0",$P$6:$P$73,"&lt;&gt;")+SUMIFS($M$6:$M$73,$I$6:$I$73,"Вышло",$E$6:$E$73,"OZON",$V$6:$V$73,"&lt;=0",$P$6:$P$73,"&lt;&gt;")+SUMIFS($M$6:$M$73,$I$6:$I$73,"Вышло",$E$6:$E$73,"Озон",$V$6:$V$73,"&lt;=0",$P$6:$P$73,"&lt;&gt;")+SUMIFS($M$6:$M$73,$I$6:$I$73,"Вышло",$E$6:$E$73,"озон",$V$6:$V$73,"&lt;=0",$P$6:$P$73,"&lt;&gt;"))/(SUMIFS($V$6:$V$73,$I$6:$I$73,"Вышло",$E$6:$E$73,"Сайт")+SUMIFS($V$6:$V$73,$I$6:$I$73,"Вышло",$E$6:$E$73,"сайт")+SUMIFS($V$6:$V$73,$I$6:$I$73,"Вышло",$E$6:$E$73,"Ozon")+SUMIFS($V$6:$V$73,$I$6:$I$73,"Вышло",$E$6:$E$73,"OZON")+SUMIFS($V$6:$V$73,$I$6:$I$73,"Вышло",$E$6:$E$73,"Озон")+SUMIFS($V$6:$V$73,$I$6:$I$73,"Вышло",$E$6:$E$73,"озон")),0))</f>
        <v>—</v>
      </c>
      <c r="M92" s="143" t="str">
        <f>IF((SUMIFS($W$6:$W$73,$I$6:$I$73,"Вышло",$E$6:$E$73,"WB")+SUMIFS($W$6:$W$73,$I$6:$I$73,"Вышло",$E$6:$E$73,"ВБ"))=0,"—",ROUND((SUMIFS($M$6:$M$73,$I$6:$I$73,"Вышло",$E$6:$E$73,"WB")+SUMIFS($M$6:$M$73,$I$6:$I$73,"Вышло",$E$6:$E$73,"ВБ")-(SUMIFS($M$6:$M$73,$I$6:$I$73,"Вышло",$E$6:$E$73,"WB",$W$6:$W$73,"&lt;=0",$V$6:$V$73,"&gt;0")+SUMIFS($M$6:$M$73,$I$6:$I$73,"Вышло",$E$6:$E$73,"ВБ",$W$6:$W$73,"&lt;=0",$V$6:$V$73,"&gt;0")))/(SUMIFS($W$6:$W$73,$I$6:$I$73,"Вышло",$E$6:$E$73,"WB")+SUMIFS($W$6:$W$73,$I$6:$I$73,"Вышло",$E$6:$E$73,"ВБ")),0))</f>
        <v>—</v>
      </c>
      <c r="N92" s="143" t="str">
        <f>"—"</f>
        <v>—</v>
      </c>
      <c r="O92" s="143" t="str">
        <f>IF((SUMIFS($Z$6:$Z$73,$I$6:$I$73,"Вышло"))=0,"—",ROUND((SUMIFS($M$6:$M$73,$I$6:$I$73,"Вышло"))/(SUMIFS($Z$6:$Z$73,$I$6:$I$73,"Вышло")),0))</f>
        <v>—</v>
      </c>
      <c r="P92" s="3"/>
      <c r="Q92" s="3"/>
      <c r="R92" s="3"/>
      <c r="S92" s="3"/>
      <c r="T92" s="3"/>
      <c r="U92" s="155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</row>
    <row r="93" ht="15.75" customHeight="1">
      <c r="A93" s="145"/>
      <c r="B93" s="145"/>
      <c r="C93" s="145"/>
      <c r="D93" s="145"/>
      <c r="E93" s="145"/>
      <c r="F93" s="145"/>
      <c r="G93" s="145"/>
      <c r="H93" s="145"/>
      <c r="I93" s="145"/>
      <c r="J93" s="145"/>
      <c r="K93" s="145"/>
      <c r="L93" s="145"/>
      <c r="M93" s="145"/>
      <c r="N93" s="145"/>
      <c r="O93" s="145"/>
      <c r="P93" s="3"/>
      <c r="Q93" s="3"/>
      <c r="R93" s="3"/>
      <c r="S93" s="3"/>
      <c r="T93" s="3"/>
      <c r="U93" s="155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</row>
    <row r="94" ht="15.75" customHeight="1">
      <c r="A94" s="137" t="s">
        <v>1707</v>
      </c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3"/>
      <c r="Q94" s="3"/>
      <c r="R94" s="3"/>
      <c r="S94" s="3"/>
      <c r="T94" s="3"/>
      <c r="U94" s="155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</row>
    <row r="95" ht="33.75" customHeight="1">
      <c r="A95" s="138" t="s">
        <v>881</v>
      </c>
      <c r="B95" s="138" t="s">
        <v>873</v>
      </c>
      <c r="C95" s="138" t="s">
        <v>882</v>
      </c>
      <c r="D95" s="138" t="s">
        <v>883</v>
      </c>
      <c r="E95" s="138" t="s">
        <v>884</v>
      </c>
      <c r="F95" s="138" t="s">
        <v>859</v>
      </c>
      <c r="G95" s="138" t="s">
        <v>729</v>
      </c>
      <c r="H95" s="138" t="s">
        <v>885</v>
      </c>
      <c r="I95" s="145"/>
      <c r="J95" s="145"/>
      <c r="K95" s="145"/>
      <c r="L95" s="145"/>
      <c r="M95" s="145"/>
      <c r="N95" s="145"/>
      <c r="O95" s="145"/>
      <c r="P95" s="3"/>
      <c r="Q95" s="3"/>
      <c r="R95" s="3"/>
      <c r="S95" s="3"/>
      <c r="T95" s="3"/>
      <c r="U95" s="155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</row>
    <row r="96" ht="27.75" customHeight="1">
      <c r="A96" s="146" t="s">
        <v>886</v>
      </c>
      <c r="B96" s="147">
        <f>SUMIFS($M$6:$M$73,$I$6:$I$73,"Вышло",$E$6:$E$73,"БОТ")+SUMIFS($M$6:$M$73,$I$6:$I$73,"Вышло",$E$6:$E$73,"Бот")+SUMIFS($M$6:$M$73,$I$6:$I$73,"Вышло",$E$6:$E$73,"бот")</f>
        <v>0</v>
      </c>
      <c r="C96" s="146" t="s">
        <v>731</v>
      </c>
      <c r="D96" s="148">
        <f>0</f>
        <v>0</v>
      </c>
      <c r="E96" s="147" t="str">
        <f>IF((0)=0,"—",ROUND((SUMIFS($M$6:$M$73,$I$6:$I$73,"Вышло",$E$6:$E$73,"БОТ")+SUMIFS($M$6:$M$73,$I$6:$I$73,"Вышло",$E$6:$E$73,"Бот")+SUMIFS($M$6:$M$73,$I$6:$I$73,"Вышло",$E$6:$E$73,"бот"))/(0),0))</f>
        <v>—</v>
      </c>
      <c r="F96" s="148">
        <f>COUNTIFS($I$6:$I$73,"Вышло",$E$6:$E$73,"БОТ")</f>
        <v>0</v>
      </c>
      <c r="G96" s="148">
        <f>SUMIFS($T$6:$T$73,$I$6:$I$73,"Вышло",$E$6:$E$73,"БОТ")+SUMIFS($T$6:$T$73,$I$6:$I$73,"Вышло",$E$6:$E$73,"Бот")+SUMIFS($T$6:$T$73,$I$6:$I$73,"Вышло",$E$6:$E$73,"бот")</f>
        <v>0</v>
      </c>
      <c r="H96" s="146" t="s">
        <v>887</v>
      </c>
      <c r="I96" s="145"/>
      <c r="J96" s="145"/>
      <c r="K96" s="145"/>
      <c r="L96" s="145"/>
      <c r="M96" s="145"/>
      <c r="N96" s="145"/>
      <c r="O96" s="145"/>
      <c r="P96" s="3"/>
      <c r="Q96" s="3"/>
      <c r="R96" s="3"/>
      <c r="S96" s="3"/>
      <c r="T96" s="3"/>
      <c r="U96" s="155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</row>
    <row r="97" ht="27.75" customHeight="1">
      <c r="A97" s="146" t="s">
        <v>888</v>
      </c>
      <c r="B97" s="147">
        <f>SUMIFS($M$6:$M$73,$I$6:$I$73,"Вышло",$E$6:$E$73,"Сайт",$V$6:$V$73,"&gt;0")+SUMIFS($M$6:$M$73,$I$6:$I$73,"Вышло",$E$6:$E$73,"сайт",$V$6:$V$73,"&gt;0")+SUMIFS($M$6:$M$73,$I$6:$I$73,"Вышло",$E$6:$E$73,"Сайт",$V$6:$V$73,"&lt;=0",$P$6:$P$73,"&lt;&gt;")+SUMIFS($M$6:$M$73,$I$6:$I$73,"Вышло",$E$6:$E$73,"сайт",$V$6:$V$73,"&lt;=0",$P$6:$P$73,"&lt;&gt;")</f>
        <v>0</v>
      </c>
      <c r="C97" s="146" t="s">
        <v>730</v>
      </c>
      <c r="D97" s="148">
        <f>SUMIFS($V$6:$V$73,$I$6:$I$73,"Вышло",$E$6:$E$73,"Сайт")+SUMIFS($V$6:$V$73,$I$6:$I$73,"Вышло",$E$6:$E$73,"сайт")</f>
        <v>0</v>
      </c>
      <c r="E97" s="147" t="str">
        <f>IF((SUMIFS($V$6:$V$73,$I$6:$I$73,"Вышло",$E$6:$E$73,"Сайт")+SUMIFS($V$6:$V$73,$I$6:$I$73,"Вышло",$E$6:$E$73,"сайт"))=0,"—",ROUND((SUMIFS($M$6:$M$73,$I$6:$I$73,"Вышло",$E$6:$E$73,"Сайт",$V$6:$V$73,"&gt;0")+SUMIFS($M$6:$M$73,$I$6:$I$73,"Вышло",$E$6:$E$73,"сайт",$V$6:$V$73,"&gt;0")+SUMIFS($M$6:$M$73,$I$6:$I$73,"Вышло",$E$6:$E$73,"Сайт",$V$6:$V$73,"&lt;=0",$P$6:$P$73,"&lt;&gt;")+SUMIFS($M$6:$M$73,$I$6:$I$73,"Вышло",$E$6:$E$73,"сайт",$V$6:$V$73,"&lt;=0",$P$6:$P$73,"&lt;&gt;"))/(SUMIFS($V$6:$V$73,$I$6:$I$73,"Вышло",$E$6:$E$73,"Сайт")+SUMIFS($V$6:$V$73,$I$6:$I$73,"Вышло",$E$6:$E$73,"сайт")),0))</f>
        <v>—</v>
      </c>
      <c r="F97" s="148">
        <f>COUNTIFS($I$6:$I$73,"Вышло",$E$6:$E$73,"Сайт",$V$6:$V$73,"&gt;0")+COUNTIFS($I$6:$I$73,"Вышло",$E$6:$E$73,"Сайт",$V$6:$V$73,"&lt;=0",$P$6:$P$73,"&lt;&gt;")</f>
        <v>0</v>
      </c>
      <c r="G97" s="148">
        <f>SUMIFS($T$6:$T$73,$I$6:$I$73,"Вышло",$E$6:$E$73,"Сайт")+SUMIFS($T$6:$T$73,$I$6:$I$73,"Вышло",$E$6:$E$73,"сайт")</f>
        <v>0</v>
      </c>
      <c r="H97" s="146" t="s">
        <v>889</v>
      </c>
      <c r="I97" s="145"/>
      <c r="J97" s="145"/>
      <c r="K97" s="145"/>
      <c r="L97" s="145"/>
      <c r="M97" s="145"/>
      <c r="N97" s="145"/>
      <c r="O97" s="145"/>
      <c r="P97" s="3"/>
      <c r="Q97" s="3"/>
      <c r="R97" s="3"/>
      <c r="S97" s="3"/>
      <c r="T97" s="3"/>
      <c r="U97" s="155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</row>
    <row r="98" ht="27.75" customHeight="1">
      <c r="A98" s="146" t="s">
        <v>890</v>
      </c>
      <c r="B98" s="147">
        <f>SUMIFS($M$6:$M$73,$I$6:$I$73,"Вышло",$E$6:$E$73,"Ozon",$V$6:$V$73,"&gt;0")+SUMIFS($M$6:$M$73,$I$6:$I$73,"Вышло",$E$6:$E$73,"OZON",$V$6:$V$73,"&gt;0")+SUMIFS($M$6:$M$73,$I$6:$I$73,"Вышло",$E$6:$E$73,"Озон",$V$6:$V$73,"&gt;0")+SUMIFS($M$6:$M$73,$I$6:$I$73,"Вышло",$E$6:$E$73,"озон",$V$6:$V$73,"&gt;0")+SUMIFS($M$6:$M$73,$I$6:$I$73,"Вышло",$E$6:$E$73,"Ozon",$V$6:$V$73,"&lt;=0",$P$6:$P$73,"&lt;&gt;")+SUMIFS($M$6:$M$73,$I$6:$I$73,"Вышло",$E$6:$E$73,"OZON",$V$6:$V$73,"&lt;=0",$P$6:$P$73,"&lt;&gt;")+SUMIFS($M$6:$M$73,$I$6:$I$73,"Вышло",$E$6:$E$73,"Озон",$V$6:$V$73,"&lt;=0",$P$6:$P$73,"&lt;&gt;")+SUMIFS($M$6:$M$73,$I$6:$I$73,"Вышло",$E$6:$E$73,"озон",$V$6:$V$73,"&lt;=0",$P$6:$P$73,"&lt;&gt;")</f>
        <v>0</v>
      </c>
      <c r="C98" s="146" t="s">
        <v>730</v>
      </c>
      <c r="D98" s="148">
        <f>SUMIFS($V$6:$V$73,$I$6:$I$73,"Вышло",$E$6:$E$73,"Ozon")+SUMIFS($V$6:$V$73,$I$6:$I$73,"Вышло",$E$6:$E$73,"OZON")+SUMIFS($V$6:$V$73,$I$6:$I$73,"Вышло",$E$6:$E$73,"Озон")+SUMIFS($V$6:$V$73,$I$6:$I$73,"Вышло",$E$6:$E$73,"озон")</f>
        <v>0</v>
      </c>
      <c r="E98" s="147" t="str">
        <f>IF((SUMIFS($V$6:$V$73,$I$6:$I$73,"Вышло",$E$6:$E$73,"Ozon")+SUMIFS($V$6:$V$73,$I$6:$I$73,"Вышло",$E$6:$E$73,"OZON")+SUMIFS($V$6:$V$73,$I$6:$I$73,"Вышло",$E$6:$E$73,"Озон")+SUMIFS($V$6:$V$73,$I$6:$I$73,"Вышло",$E$6:$E$73,"озон"))=0,"—",ROUND((SUMIFS($M$6:$M$73,$I$6:$I$73,"Вышло",$E$6:$E$73,"Ozon",$V$6:$V$73,"&gt;0")+SUMIFS($M$6:$M$73,$I$6:$I$73,"Вышло",$E$6:$E$73,"OZON",$V$6:$V$73,"&gt;0")+SUMIFS($M$6:$M$73,$I$6:$I$73,"Вышло",$E$6:$E$73,"Озон",$V$6:$V$73,"&gt;0")+SUMIFS($M$6:$M$73,$I$6:$I$73,"Вышло",$E$6:$E$73,"озон",$V$6:$V$73,"&gt;0")+SUMIFS($M$6:$M$73,$I$6:$I$73,"Вышло",$E$6:$E$73,"Ozon",$V$6:$V$73,"&lt;=0",$P$6:$P$73,"&lt;&gt;")+SUMIFS($M$6:$M$73,$I$6:$I$73,"Вышло",$E$6:$E$73,"OZON",$V$6:$V$73,"&lt;=0",$P$6:$P$73,"&lt;&gt;")+SUMIFS($M$6:$M$73,$I$6:$I$73,"Вышло",$E$6:$E$73,"Озон",$V$6:$V$73,"&lt;=0",$P$6:$P$73,"&lt;&gt;")+SUMIFS($M$6:$M$73,$I$6:$I$73,"Вышло",$E$6:$E$73,"озон",$V$6:$V$73,"&lt;=0",$P$6:$P$73,"&lt;&gt;"))/(SUMIFS($V$6:$V$73,$I$6:$I$73,"Вышло",$E$6:$E$73,"Ozon")+SUMIFS($V$6:$V$73,$I$6:$I$73,"Вышло",$E$6:$E$73,"OZON")+SUMIFS($V$6:$V$73,$I$6:$I$73,"Вышло",$E$6:$E$73,"Озон")+SUMIFS($V$6:$V$73,$I$6:$I$73,"Вышло",$E$6:$E$73,"озон")),0))</f>
        <v>—</v>
      </c>
      <c r="F98" s="148">
        <f>COUNTIFS($I$6:$I$73,"Вышло",$E$6:$E$73,"Ozon",$V$6:$V$73,"&gt;0")+COUNTIFS($I$6:$I$73,"Вышло",$E$6:$E$73,"Озон",$V$6:$V$73,"&gt;0")+COUNTIFS($I$6:$I$73,"Вышло",$E$6:$E$73,"Ozon",$V$6:$V$73,"&lt;=0",$P$6:$P$73,"&lt;&gt;")+COUNTIFS($I$6:$I$73,"Вышло",$E$6:$E$73,"Озон",$V$6:$V$73,"&lt;=0",$P$6:$P$73,"&lt;&gt;")</f>
        <v>0</v>
      </c>
      <c r="G98" s="148">
        <f>SUMIFS($T$6:$T$73,$I$6:$I$73,"Вышло",$E$6:$E$73,"Ozon")+SUMIFS($T$6:$T$73,$I$6:$I$73,"Вышло",$E$6:$E$73,"OZON")+SUMIFS($T$6:$T$73,$I$6:$I$73,"Вышло",$E$6:$E$73,"Озон")+SUMIFS($T$6:$T$73,$I$6:$I$73,"Вышло",$E$6:$E$73,"озон")</f>
        <v>0</v>
      </c>
      <c r="H98" s="146" t="s">
        <v>891</v>
      </c>
      <c r="I98" s="145"/>
      <c r="J98" s="145"/>
      <c r="K98" s="145"/>
      <c r="L98" s="145"/>
      <c r="M98" s="145"/>
      <c r="N98" s="145"/>
      <c r="O98" s="145"/>
      <c r="P98" s="3"/>
      <c r="Q98" s="3"/>
      <c r="R98" s="3"/>
      <c r="S98" s="3"/>
      <c r="T98" s="3"/>
      <c r="U98" s="155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</row>
    <row r="99" ht="27.75" customHeight="1">
      <c r="A99" s="146" t="s">
        <v>892</v>
      </c>
      <c r="B99" s="147">
        <f>SUMIFS($M$6:$M$73,$I$6:$I$73,"Вышло",$E$6:$E$73,"WB")+SUMIFS($M$6:$M$73,$I$6:$I$73,"Вышло",$E$6:$E$73,"ВБ")-(SUMIFS($M$6:$M$73,$I$6:$I$73,"Вышло",$E$6:$E$73,"WB",$W$6:$W$73,"&lt;=0",$V$6:$V$73,"&gt;0")+SUMIFS($M$6:$M$73,$I$6:$I$73,"Вышло",$E$6:$E$73,"ВБ",$W$6:$W$73,"&lt;=0",$V$6:$V$73,"&gt;0"))</f>
        <v>0</v>
      </c>
      <c r="C99" s="146" t="s">
        <v>851</v>
      </c>
      <c r="D99" s="148">
        <f>SUMIFS($W$6:$W$73,$I$6:$I$73,"Вышло",$E$6:$E$73,"WB")+SUMIFS($W$6:$W$73,$I$6:$I$73,"Вышло",$E$6:$E$73,"ВБ")</f>
        <v>0</v>
      </c>
      <c r="E99" s="147" t="str">
        <f>IF((SUMIFS($W$6:$W$73,$I$6:$I$73,"Вышло",$E$6:$E$73,"WB")+SUMIFS($W$6:$W$73,$I$6:$I$73,"Вышло",$E$6:$E$73,"ВБ"))=0,"—",ROUND((SUMIFS($M$6:$M$73,$I$6:$I$73,"Вышло",$E$6:$E$73,"WB")+SUMIFS($M$6:$M$73,$I$6:$I$73,"Вышло",$E$6:$E$73,"ВБ")-(SUMIFS($M$6:$M$73,$I$6:$I$73,"Вышло",$E$6:$E$73,"WB",$W$6:$W$73,"&lt;=0",$V$6:$V$73,"&gt;0")+SUMIFS($M$6:$M$73,$I$6:$I$73,"Вышло",$E$6:$E$73,"ВБ",$W$6:$W$73,"&lt;=0",$V$6:$V$73,"&gt;0")))/(SUMIFS($W$6:$W$73,$I$6:$I$73,"Вышло",$E$6:$E$73,"WB")+SUMIFS($W$6:$W$73,$I$6:$I$73,"Вышло",$E$6:$E$73,"ВБ")),0))</f>
        <v>—</v>
      </c>
      <c r="F99" s="148">
        <f>COUNTIFS($I$6:$I$73,"Вышло",$E$6:$E$73,"WB")+COUNTIFS($I$6:$I$73,"Вышло",$E$6:$E$73,"ВБ")-(COUNTIFS($I$6:$I$73,"Вышло",$E$6:$E$73,"WB",$W$6:$W$73,"&lt;=0",$V$6:$V$73,"&gt;0")+COUNTIFS($I$6:$I$73,"Вышло",$E$6:$E$73,"ВБ",$W$6:$W$73,"&lt;=0",$V$6:$V$73,"&gt;0"))</f>
        <v>0</v>
      </c>
      <c r="G99" s="148">
        <f>SUMIFS($T$6:$T$73,$I$6:$I$73,"Вышло",$E$6:$E$73,"WB")+SUMIFS($T$6:$T$73,$I$6:$I$73,"Вышло",$E$6:$E$73,"ВБ")-(SUMIFS($T$6:$T$73,$I$6:$I$73,"Вышло",$E$6:$E$73,"WB",$W$6:$W$73,"&lt;=0",$V$6:$V$73,"&gt;0")+SUMIFS($T$6:$T$73,$I$6:$I$73,"Вышло",$E$6:$E$73,"ВБ",$W$6:$W$73,"&lt;=0",$V$6:$V$73,"&gt;0"))</f>
        <v>0</v>
      </c>
      <c r="H99" s="146" t="s">
        <v>893</v>
      </c>
      <c r="I99" s="145"/>
      <c r="J99" s="145"/>
      <c r="K99" s="145"/>
      <c r="L99" s="145"/>
      <c r="M99" s="145"/>
      <c r="N99" s="145"/>
      <c r="O99" s="145"/>
      <c r="P99" s="3"/>
      <c r="Q99" s="3"/>
      <c r="R99" s="3"/>
      <c r="S99" s="3"/>
      <c r="T99" s="3"/>
      <c r="U99" s="155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</row>
    <row r="100" ht="27.75" customHeight="1">
      <c r="A100" s="146" t="s">
        <v>894</v>
      </c>
      <c r="B100" s="147">
        <f>SUMIFS($M$6:$M$73,$I$6:$I$73,"Вышло",$E$6:$E$73,"Сайт")+SUMIFS($M$6:$M$73,$I$6:$I$73,"Вышло",$E$6:$E$73,"сайт")-(SUMIFS($M$6:$M$73,$I$6:$I$73,"Вышло",$E$6:$E$73,"Сайт",$V$6:$V$73,"&gt;0")+SUMIFS($M$6:$M$73,$I$6:$I$73,"Вышло",$E$6:$E$73,"сайт",$V$6:$V$73,"&gt;0")+SUMIFS($M$6:$M$73,$I$6:$I$73,"Вышло",$E$6:$E$73,"Сайт",$V$6:$V$73,"&lt;=0",$P$6:$P$73,"&lt;&gt;")+SUMIFS($M$6:$M$73,$I$6:$I$73,"Вышло",$E$6:$E$73,"сайт",$V$6:$V$73,"&lt;=0",$P$6:$P$73,"&lt;&gt;"))-(SUMIFS($M$6:$M$73,$I$6:$I$73,"Вышло",$E$6:$E$73,"Сайт",$V$6:$V$73,"&lt;=0",$W$6:$W$73,"&gt;0")+SUMIFS($M$6:$M$73,$I$6:$I$73,"Вышло",$E$6:$E$73,"сайт",$V$6:$V$73,"&lt;=0",$W$6:$W$73,"&gt;0")-(SUMIFS($M$6:$M$73,$I$6:$I$73,"Вышло",$E$6:$E$73,"Сайт",$V$6:$V$73,"&lt;=0",$W$6:$W$73,"&gt;0",$P$6:$P$73,"&lt;&gt;")+SUMIFS($M$6:$M$73,$I$6:$I$73,"Вышло",$E$6:$E$73,"сайт",$V$6:$V$73,"&lt;=0",$W$6:$W$73,"&gt;0",$P$6:$P$73,"&lt;&gt;")))+SUMIFS($M$6:$M$73,$I$6:$I$73,"Вышло",$E$6:$E$73,"Ozon")+SUMIFS($M$6:$M$73,$I$6:$I$73,"Вышло",$E$6:$E$73,"OZON")+SUMIFS($M$6:$M$73,$I$6:$I$73,"Вышло",$E$6:$E$73,"Озон")+SUMIFS($M$6:$M$73,$I$6:$I$73,"Вышло",$E$6:$E$73,"озон")-(SUMIFS($M$6:$M$73,$I$6:$I$73,"Вышло",$E$6:$E$73,"Ozon",$V$6:$V$73,"&gt;0")+SUMIFS($M$6:$M$73,$I$6:$I$73,"Вышло",$E$6:$E$73,"OZON",$V$6:$V$73,"&gt;0")+SUMIFS($M$6:$M$73,$I$6:$I$73,"Вышло",$E$6:$E$73,"Озон",$V$6:$V$73,"&gt;0")+SUMIFS($M$6:$M$73,$I$6:$I$73,"Вышло",$E$6:$E$73,"озон",$V$6:$V$73,"&gt;0")+SUMIFS($M$6:$M$73,$I$6:$I$73,"Вышло",$E$6:$E$73,"Ozon",$V$6:$V$73,"&lt;=0",$P$6:$P$73,"&lt;&gt;")+SUMIFS($M$6:$M$73,$I$6:$I$73,"Вышло",$E$6:$E$73,"OZON",$V$6:$V$73,"&lt;=0",$P$6:$P$73,"&lt;&gt;")+SUMIFS($M$6:$M$73,$I$6:$I$73,"Вышло",$E$6:$E$73,"Озон",$V$6:$V$73,"&lt;=0",$P$6:$P$73,"&lt;&gt;")+SUMIFS($M$6:$M$73,$I$6:$I$73,"Вышло",$E$6:$E$73,"озон",$V$6:$V$73,"&lt;=0",$P$6:$P$73,"&lt;&gt;"))-(SUMIFS($M$6:$M$73,$I$6:$I$73,"Вышло",$E$6:$E$73,"Ozon",$V$6:$V$73,"&lt;=0",$W$6:$W$73,"&gt;0")+SUMIFS($M$6:$M$73,$I$6:$I$73,"Вышло",$E$6:$E$73,"OZON",$V$6:$V$73,"&lt;=0",$W$6:$W$73,"&gt;0")+SUMIFS($M$6:$M$73,$I$6:$I$73,"Вышло",$E$6:$E$73,"Озон",$V$6:$V$73,"&lt;=0",$W$6:$W$73,"&gt;0")+SUMIFS($M$6:$M$73,$I$6:$I$73,"Вышло",$E$6:$E$73,"озон",$V$6:$V$73,"&lt;=0",$W$6:$W$73,"&gt;0")-(SUMIFS($M$6:$M$73,$I$6:$I$73,"Вышло",$E$6:$E$73,"Ozon",$V$6:$V$73,"&lt;=0",$W$6:$W$73,"&gt;0",$P$6:$P$73,"&lt;&gt;")+SUMIFS($M$6:$M$73,$I$6:$I$73,"Вышло",$E$6:$E$73,"OZON",$V$6:$V$73,"&lt;=0",$W$6:$W$73,"&gt;0",$P$6:$P$73,"&lt;&gt;")+SUMIFS($M$6:$M$73,$I$6:$I$73,"Вышло",$E$6:$E$73,"Озон",$V$6:$V$73,"&lt;=0",$W$6:$W$73,"&gt;0",$P$6:$P$73,"&lt;&gt;")+SUMIFS($M$6:$M$73,$I$6:$I$73,"Вышло",$E$6:$E$73,"озон",$V$6:$V$73,"&lt;=0",$W$6:$W$73,"&gt;0",$P$6:$P$73,"&lt;&gt;")))</f>
        <v>0</v>
      </c>
      <c r="C100" s="146" t="s">
        <v>656</v>
      </c>
      <c r="D100" s="148">
        <f>SUMIFS($Z$6:$Z$73,$I$6:$I$73,"Вышло",$E$6:$E$73,"Сайт")+SUMIFS($Z$6:$Z$73,$I$6:$I$73,"Вышло",$E$6:$E$73,"сайт")-(SUMIFS($Z$6:$Z$73,$I$6:$I$73,"Вышло",$E$6:$E$73,"Сайт")+SUMIFS($Z$6:$Z$73,$I$6:$I$73,"Вышло",$E$6:$E$73,"сайт"))-(SUMIFS($Z$6:$Z$73,$I$6:$I$73,"Вышло",$E$6:$E$73,"Сайт",$V$6:$V$73,"&lt;=0",$W$6:$W$73,"&gt;0")+SUMIFS($Z$6:$Z$73,$I$6:$I$73,"Вышло",$E$6:$E$73,"сайт",$V$6:$V$73,"&lt;=0",$W$6:$W$73,"&gt;0")-(SUMIFS($Z$6:$Z$73,$I$6:$I$73,"Вышло",$E$6:$E$73,"Сайт",$V$6:$V$73,"&lt;=0",$W$6:$W$73,"&gt;0",$P$6:$P$73,"&lt;&gt;")+SUMIFS($Z$6:$Z$73,$I$6:$I$73,"Вышло",$E$6:$E$73,"сайт",$V$6:$V$73,"&lt;=0",$W$6:$W$73,"&gt;0",$P$6:$P$73,"&lt;&gt;")))+SUMIFS($Z$6:$Z$73,$I$6:$I$73,"Вышло",$E$6:$E$73,"Ozon")+SUMIFS($Z$6:$Z$73,$I$6:$I$73,"Вышло",$E$6:$E$73,"OZON")+SUMIFS($Z$6:$Z$73,$I$6:$I$73,"Вышло",$E$6:$E$73,"Озон")+SUMIFS($Z$6:$Z$73,$I$6:$I$73,"Вышло",$E$6:$E$73,"озон")-(SUMIFS($Z$6:$Z$73,$I$6:$I$73,"Вышло",$E$6:$E$73,"Ozon")+SUMIFS($Z$6:$Z$73,$I$6:$I$73,"Вышло",$E$6:$E$73,"OZON")+SUMIFS($Z$6:$Z$73,$I$6:$I$73,"Вышло",$E$6:$E$73,"Озон")+SUMIFS($Z$6:$Z$73,$I$6:$I$73,"Вышло",$E$6:$E$73,"озон"))-(SUMIFS($Z$6:$Z$73,$I$6:$I$73,"Вышло",$E$6:$E$73,"Ozon",$V$6:$V$73,"&lt;=0",$W$6:$W$73,"&gt;0")+SUMIFS($Z$6:$Z$73,$I$6:$I$73,"Вышло",$E$6:$E$73,"OZON",$V$6:$V$73,"&lt;=0",$W$6:$W$73,"&gt;0")+SUMIFS($Z$6:$Z$73,$I$6:$I$73,"Вышло",$E$6:$E$73,"Озон",$V$6:$V$73,"&lt;=0",$W$6:$W$73,"&gt;0")+SUMIFS($Z$6:$Z$73,$I$6:$I$73,"Вышло",$E$6:$E$73,"озон",$V$6:$V$73,"&lt;=0",$W$6:$W$73,"&gt;0")-(SUMIFS($Z$6:$Z$73,$I$6:$I$73,"Вышло",$E$6:$E$73,"Ozon",$V$6:$V$73,"&lt;=0",$W$6:$W$73,"&gt;0",$P$6:$P$73,"&lt;&gt;")+SUMIFS($Z$6:$Z$73,$I$6:$I$73,"Вышло",$E$6:$E$73,"OZON",$V$6:$V$73,"&lt;=0",$W$6:$W$73,"&gt;0",$P$6:$P$73,"&lt;&gt;")+SUMIFS($Z$6:$Z$73,$I$6:$I$73,"Вышло",$E$6:$E$73,"Озон",$V$6:$V$73,"&lt;=0",$W$6:$W$73,"&gt;0",$P$6:$P$73,"&lt;&gt;")+SUMIFS($Z$6:$Z$73,$I$6:$I$73,"Вышло",$E$6:$E$73,"озон",$V$6:$V$73,"&lt;=0",$W$6:$W$73,"&gt;0",$P$6:$P$73,"&lt;&gt;")))</f>
        <v>0</v>
      </c>
      <c r="E100" s="147" t="str">
        <f>IF((SUMIFS($Z$6:$Z$73,$I$6:$I$73,"Вышло",$E$6:$E$73,"Сайт")+SUMIFS($Z$6:$Z$73,$I$6:$I$73,"Вышло",$E$6:$E$73,"сайт")-(SUMIFS($Z$6:$Z$73,$I$6:$I$73,"Вышло",$E$6:$E$73,"Сайт")+SUMIFS($Z$6:$Z$73,$I$6:$I$73,"Вышло",$E$6:$E$73,"сайт"))-(SUMIFS($Z$6:$Z$73,$I$6:$I$73,"Вышло",$E$6:$E$73,"Сайт",$V$6:$V$73,"&lt;=0",$W$6:$W$73,"&gt;0")+SUMIFS($Z$6:$Z$73,$I$6:$I$73,"Вышло",$E$6:$E$73,"сайт",$V$6:$V$73,"&lt;=0",$W$6:$W$73,"&gt;0")-(SUMIFS($Z$6:$Z$73,$I$6:$I$73,"Вышло",$E$6:$E$73,"Сайт",$V$6:$V$73,"&lt;=0",$W$6:$W$73,"&gt;0",$P$6:$P$73,"&lt;&gt;")+SUMIFS($Z$6:$Z$73,$I$6:$I$73,"Вышло",$E$6:$E$73,"сайт",$V$6:$V$73,"&lt;=0",$W$6:$W$73,"&gt;0",$P$6:$P$73,"&lt;&gt;")))+SUMIFS($Z$6:$Z$73,$I$6:$I$73,"Вышло",$E$6:$E$73,"Ozon")+SUMIFS($Z$6:$Z$73,$I$6:$I$73,"Вышло",$E$6:$E$73,"OZON")+SUMIFS($Z$6:$Z$73,$I$6:$I$73,"Вышло",$E$6:$E$73,"Озон")+SUMIFS($Z$6:$Z$73,$I$6:$I$73,"Вышло",$E$6:$E$73,"озон")-(SUMIFS($Z$6:$Z$73,$I$6:$I$73,"Вышло",$E$6:$E$73,"Ozon")+SUMIFS($Z$6:$Z$73,$I$6:$I$73,"Вышло",$E$6:$E$73,"OZON")+SUMIFS($Z$6:$Z$73,$I$6:$I$73,"Вышло",$E$6:$E$73,"Озон")+SUMIFS($Z$6:$Z$73,$I$6:$I$73,"Вышло",$E$6:$E$73,"озон"))-(SUMIFS($Z$6:$Z$73,$I$6:$I$73,"Вышло",$E$6:$E$73,"Ozon",$V$6:$V$73,"&lt;=0",$W$6:$W$73,"&gt;0")+SUMIFS($Z$6:$Z$73,$I$6:$I$73,"Вышло",$E$6:$E$73,"OZON",$V$6:$V$73,"&lt;=0",$W$6:$W$73,"&gt;0")+SUMIFS($Z$6:$Z$73,$I$6:$I$73,"Вышло",$E$6:$E$73,"Озон",$V$6:$V$73,"&lt;=0",$W$6:$W$73,"&gt;0")+SUMIFS($Z$6:$Z$73,$I$6:$I$73,"Вышло",$E$6:$E$73,"озон",$V$6:$V$73,"&lt;=0",$W$6:$W$73,"&gt;0")-(SUMIFS($Z$6:$Z$73,$I$6:$I$73,"Вышло",$E$6:$E$73,"Ozon",$V$6:$V$73,"&lt;=0",$W$6:$W$73,"&gt;0",$P$6:$P$73,"&lt;&gt;")+SUMIFS($Z$6:$Z$73,$I$6:$I$73,"Вышло",$E$6:$E$73,"OZON",$V$6:$V$73,"&lt;=0",$W$6:$W$73,"&gt;0",$P$6:$P$73,"&lt;&gt;")+SUMIFS($Z$6:$Z$73,$I$6:$I$73,"Вышло",$E$6:$E$73,"Озон",$V$6:$V$73,"&lt;=0",$W$6:$W$73,"&gt;0",$P$6:$P$73,"&lt;&gt;")+SUMIFS($Z$6:$Z$73,$I$6:$I$73,"Вышло",$E$6:$E$73,"озон",$V$6:$V$73,"&lt;=0",$W$6:$W$73,"&gt;0",$P$6:$P$73,"&lt;&gt;"))))=0,"—",ROUND((SUMIFS($M$6:$M$73,$I$6:$I$73,"Вышло",$E$6:$E$73,"Сайт")+SUMIFS($M$6:$M$73,$I$6:$I$73,"Вышло",$E$6:$E$73,"сайт")-(SUMIFS($M$6:$M$73,$I$6:$I$73,"Вышло",$E$6:$E$73,"Сайт",$V$6:$V$73,"&gt;0")+SUMIFS($M$6:$M$73,$I$6:$I$73,"Вышло",$E$6:$E$73,"сайт",$V$6:$V$73,"&gt;0")+SUMIFS($M$6:$M$73,$I$6:$I$73,"Вышло",$E$6:$E$73,"Сайт",$V$6:$V$73,"&lt;=0",$P$6:$P$73,"&lt;&gt;")+SUMIFS($M$6:$M$73,$I$6:$I$73,"Вышло",$E$6:$E$73,"сайт",$V$6:$V$73,"&lt;=0",$P$6:$P$73,"&lt;&gt;"))-(SUMIFS($M$6:$M$73,$I$6:$I$73,"Вышло",$E$6:$E$73,"Сайт",$V$6:$V$73,"&lt;=0",$W$6:$W$73,"&gt;0")+SUMIFS($M$6:$M$73,$I$6:$I$73,"Вышло",$E$6:$E$73,"сайт",$V$6:$V$73,"&lt;=0",$W$6:$W$73,"&gt;0")-(SUMIFS($M$6:$M$73,$I$6:$I$73,"Вышло",$E$6:$E$73,"Сайт",$V$6:$V$73,"&lt;=0",$W$6:$W$73,"&gt;0",$P$6:$P$73,"&lt;&gt;")+SUMIFS($M$6:$M$73,$I$6:$I$73,"Вышло",$E$6:$E$73,"сайт",$V$6:$V$73,"&lt;=0",$W$6:$W$73,"&gt;0",$P$6:$P$73,"&lt;&gt;")))+SUMIFS($M$6:$M$73,$I$6:$I$73,"Вышло",$E$6:$E$73,"Ozon")+SUMIFS($M$6:$M$73,$I$6:$I$73,"Вышло",$E$6:$E$73,"OZON")+SUMIFS($M$6:$M$73,$I$6:$I$73,"Вышло",$E$6:$E$73,"Озон")+SUMIFS($M$6:$M$73,$I$6:$I$73,"Вышло",$E$6:$E$73,"озон")-(SUMIFS($M$6:$M$73,$I$6:$I$73,"Вышло",$E$6:$E$73,"Ozon",$V$6:$V$73,"&gt;0")+SUMIFS($M$6:$M$73,$I$6:$I$73,"Вышло",$E$6:$E$73,"OZON",$V$6:$V$73,"&gt;0")+SUMIFS($M$6:$M$73,$I$6:$I$73,"Вышло",$E$6:$E$73,"Озон",$V$6:$V$73,"&gt;0")+SUMIFS($M$6:$M$73,$I$6:$I$73,"Вышло",$E$6:$E$73,"озон",$V$6:$V$73,"&gt;0")+SUMIFS($M$6:$M$73,$I$6:$I$73,"Вышло",$E$6:$E$73,"Ozon",$V$6:$V$73,"&lt;=0",$P$6:$P$73,"&lt;&gt;")+SUMIFS($M$6:$M$73,$I$6:$I$73,"Вышло",$E$6:$E$73,"OZON",$V$6:$V$73,"&lt;=0",$P$6:$P$73,"&lt;&gt;")+SUMIFS($M$6:$M$73,$I$6:$I$73,"Вышло",$E$6:$E$73,"Озон",$V$6:$V$73,"&lt;=0",$P$6:$P$73,"&lt;&gt;")+SUMIFS($M$6:$M$73,$I$6:$I$73,"Вышло",$E$6:$E$73,"озон",$V$6:$V$73,"&lt;=0",$P$6:$P$73,"&lt;&gt;"))-(SUMIFS($M$6:$M$73,$I$6:$I$73,"Вышло",$E$6:$E$73,"Ozon",$V$6:$V$73,"&lt;=0",$W$6:$W$73,"&gt;0")+SUMIFS($M$6:$M$73,$I$6:$I$73,"Вышло",$E$6:$E$73,"OZON",$V$6:$V$73,"&lt;=0",$W$6:$W$73,"&gt;0")+SUMIFS($M$6:$M$73,$I$6:$I$73,"Вышло",$E$6:$E$73,"Озон",$V$6:$V$73,"&lt;=0",$W$6:$W$73,"&gt;0")+SUMIFS($M$6:$M$73,$I$6:$I$73,"Вышло",$E$6:$E$73,"озон",$V$6:$V$73,"&lt;=0",$W$6:$W$73,"&gt;0")-(SUMIFS($M$6:$M$73,$I$6:$I$73,"Вышло",$E$6:$E$73,"Ozon",$V$6:$V$73,"&lt;=0",$W$6:$W$73,"&gt;0",$P$6:$P$73,"&lt;&gt;")+SUMIFS($M$6:$M$73,$I$6:$I$73,"Вышло",$E$6:$E$73,"OZON",$V$6:$V$73,"&lt;=0",$W$6:$W$73,"&gt;0",$P$6:$P$73,"&lt;&gt;")+SUMIFS($M$6:$M$73,$I$6:$I$73,"Вышло",$E$6:$E$73,"Озон",$V$6:$V$73,"&lt;=0",$W$6:$W$73,"&gt;0",$P$6:$P$73,"&lt;&gt;")+SUMIFS($M$6:$M$73,$I$6:$I$73,"Вышло",$E$6:$E$73,"озон",$V$6:$V$73,"&lt;=0",$W$6:$W$73,"&gt;0",$P$6:$P$73,"&lt;&gt;"))))/(SUMIFS($Z$6:$Z$73,$I$6:$I$73,"Вышло",$E$6:$E$73,"Сайт")+SUMIFS($Z$6:$Z$73,$I$6:$I$73,"Вышло",$E$6:$E$73,"сайт")-(SUMIFS($Z$6:$Z$73,$I$6:$I$73,"Вышло",$E$6:$E$73,"Сайт")+SUMIFS($Z$6:$Z$73,$I$6:$I$73,"Вышло",$E$6:$E$73,"сайт"))-(SUMIFS($Z$6:$Z$73,$I$6:$I$73,"Вышло",$E$6:$E$73,"Сайт",$V$6:$V$73,"&lt;=0",$W$6:$W$73,"&gt;0")+SUMIFS($Z$6:$Z$73,$I$6:$I$73,"Вышло",$E$6:$E$73,"сайт",$V$6:$V$73,"&lt;=0",$W$6:$W$73,"&gt;0")-(SUMIFS($Z$6:$Z$73,$I$6:$I$73,"Вышло",$E$6:$E$73,"Сайт",$V$6:$V$73,"&lt;=0",$W$6:$W$73,"&gt;0",$P$6:$P$73,"&lt;&gt;")+SUMIFS($Z$6:$Z$73,$I$6:$I$73,"Вышло",$E$6:$E$73,"сайт",$V$6:$V$73,"&lt;=0",$W$6:$W$73,"&gt;0",$P$6:$P$73,"&lt;&gt;")))+SUMIFS($Z$6:$Z$73,$I$6:$I$73,"Вышло",$E$6:$E$73,"Ozon")+SUMIFS($Z$6:$Z$73,$I$6:$I$73,"Вышло",$E$6:$E$73,"OZON")+SUMIFS($Z$6:$Z$73,$I$6:$I$73,"Вышло",$E$6:$E$73,"Озон")+SUMIFS($Z$6:$Z$73,$I$6:$I$73,"Вышло",$E$6:$E$73,"озон")-(SUMIFS($Z$6:$Z$73,$I$6:$I$73,"Вышло",$E$6:$E$73,"Ozon")+SUMIFS($Z$6:$Z$73,$I$6:$I$73,"Вышло",$E$6:$E$73,"OZON")+SUMIFS($Z$6:$Z$73,$I$6:$I$73,"Вышло",$E$6:$E$73,"Озон")+SUMIFS($Z$6:$Z$73,$I$6:$I$73,"Вышло",$E$6:$E$73,"озон"))-(SUMIFS($Z$6:$Z$73,$I$6:$I$73,"Вышло",$E$6:$E$73,"Ozon",$V$6:$V$73,"&lt;=0",$W$6:$W$73,"&gt;0")+SUMIFS($Z$6:$Z$73,$I$6:$I$73,"Вышло",$E$6:$E$73,"OZON",$V$6:$V$73,"&lt;=0",$W$6:$W$73,"&gt;0")+SUMIFS($Z$6:$Z$73,$I$6:$I$73,"Вышло",$E$6:$E$73,"Озон",$V$6:$V$73,"&lt;=0",$W$6:$W$73,"&gt;0")+SUMIFS($Z$6:$Z$73,$I$6:$I$73,"Вышло",$E$6:$E$73,"озон",$V$6:$V$73,"&lt;=0",$W$6:$W$73,"&gt;0")-(SUMIFS($Z$6:$Z$73,$I$6:$I$73,"Вышло",$E$6:$E$73,"Ozon",$V$6:$V$73,"&lt;=0",$W$6:$W$73,"&gt;0",$P$6:$P$73,"&lt;&gt;")+SUMIFS($Z$6:$Z$73,$I$6:$I$73,"Вышло",$E$6:$E$73,"OZON",$V$6:$V$73,"&lt;=0",$W$6:$W$73,"&gt;0",$P$6:$P$73,"&lt;&gt;")+SUMIFS($Z$6:$Z$73,$I$6:$I$73,"Вышло",$E$6:$E$73,"Озон",$V$6:$V$73,"&lt;=0",$W$6:$W$73,"&gt;0",$P$6:$P$73,"&lt;&gt;")+SUMIFS($Z$6:$Z$73,$I$6:$I$73,"Вышло",$E$6:$E$73,"озон",$V$6:$V$73,"&lt;=0",$W$6:$W$73,"&gt;0",$P$6:$P$73,"&lt;&gt;")))),0))</f>
        <v>—</v>
      </c>
      <c r="F100" s="148">
        <f>COUNTIFS($I$6:$I$73,"Вышло",$E$6:$E$73,"Сайт")-(COUNTIFS($I$6:$I$73,"Вышло",$E$6:$E$73,"Сайт",$V$6:$V$73,"&gt;0")+COUNTIFS($I$6:$I$73,"Вышло",$E$6:$E$73,"Сайт",$V$6:$V$73,"&lt;=0",$P$6:$P$73,"&lt;&gt;"))-(COUNTIFS($I$6:$I$73,"Вышло",$E$6:$E$73,"Сайт",$V$6:$V$73,"&lt;=0",$W$6:$W$73,"&gt;0")-(COUNTIFS($I$6:$I$73,"Вышло",$E$6:$E$73,"Сайт",$V$6:$V$73,"&lt;=0",$W$6:$W$73,"&gt;0",$P$6:$P$73,"&lt;&gt;")))+COUNTIFS($I$6:$I$73,"Вышло",$E$6:$E$73,"Ozon")+COUNTIFS($I$6:$I$73,"Вышло",$E$6:$E$73,"Озон")-(COUNTIFS($I$6:$I$73,"Вышло",$E$6:$E$73,"Ozon",$V$6:$V$73,"&gt;0")+COUNTIFS($I$6:$I$73,"Вышло",$E$6:$E$73,"Озон",$V$6:$V$73,"&gt;0")+COUNTIFS($I$6:$I$73,"Вышло",$E$6:$E$73,"Ozon",$V$6:$V$73,"&lt;=0",$P$6:$P$73,"&lt;&gt;")+COUNTIFS($I$6:$I$73,"Вышло",$E$6:$E$73,"Озон",$V$6:$V$73,"&lt;=0",$P$6:$P$73,"&lt;&gt;"))-(COUNTIFS($I$6:$I$73,"Вышло",$E$6:$E$73,"Ozon",$V$6:$V$73,"&lt;=0",$W$6:$W$73,"&gt;0")+COUNTIFS($I$6:$I$73,"Вышло",$E$6:$E$73,"Озон",$V$6:$V$73,"&lt;=0",$W$6:$W$73,"&gt;0")-(COUNTIFS($I$6:$I$73,"Вышло",$E$6:$E$73,"Ozon",$V$6:$V$73,"&lt;=0",$W$6:$W$73,"&gt;0",$P$6:$P$73,"&lt;&gt;")+COUNTIFS($I$6:$I$73,"Вышло",$E$6:$E$73,"Озон",$V$6:$V$73,"&lt;=0",$W$6:$W$73,"&gt;0",$P$6:$P$73,"&lt;&gt;")))</f>
        <v>0</v>
      </c>
      <c r="G100" s="148">
        <f>SUMIFS($T$6:$T$73,$I$6:$I$73,"Вышло",$E$6:$E$73,"Сайт")+SUMIFS($T$6:$T$73,$I$6:$I$73,"Вышло",$E$6:$E$73,"сайт")-(SUMIFS($T$6:$T$73,$I$6:$I$73,"Вышло",$E$6:$E$73,"Сайт")+SUMIFS($T$6:$T$73,$I$6:$I$73,"Вышло",$E$6:$E$73,"сайт"))-(SUMIFS($T$6:$T$73,$I$6:$I$73,"Вышло",$E$6:$E$73,"Сайт",$V$6:$V$73,"&lt;=0",$W$6:$W$73,"&gt;0")+SUMIFS($T$6:$T$73,$I$6:$I$73,"Вышло",$E$6:$E$73,"сайт",$V$6:$V$73,"&lt;=0",$W$6:$W$73,"&gt;0")-(SUMIFS($T$6:$T$73,$I$6:$I$73,"Вышло",$E$6:$E$73,"Сайт",$V$6:$V$73,"&lt;=0",$W$6:$W$73,"&gt;0",$P$6:$P$73,"&lt;&gt;")+SUMIFS($T$6:$T$73,$I$6:$I$73,"Вышло",$E$6:$E$73,"сайт",$V$6:$V$73,"&lt;=0",$W$6:$W$73,"&gt;0",$P$6:$P$73,"&lt;&gt;")))+SUMIFS($T$6:$T$73,$I$6:$I$73,"Вышло",$E$6:$E$73,"Ozon")+SUMIFS($T$6:$T$73,$I$6:$I$73,"Вышло",$E$6:$E$73,"OZON")+SUMIFS($T$6:$T$73,$I$6:$I$73,"Вышло",$E$6:$E$73,"Озон")+SUMIFS($T$6:$T$73,$I$6:$I$73,"Вышло",$E$6:$E$73,"озон")-(SUMIFS($T$6:$T$73,$I$6:$I$73,"Вышло",$E$6:$E$73,"Ozon")+SUMIFS($T$6:$T$73,$I$6:$I$73,"Вышло",$E$6:$E$73,"OZON")+SUMIFS($T$6:$T$73,$I$6:$I$73,"Вышло",$E$6:$E$73,"Озон")+SUMIFS($T$6:$T$73,$I$6:$I$73,"Вышло",$E$6:$E$73,"озон"))-(SUMIFS($T$6:$T$73,$I$6:$I$73,"Вышло",$E$6:$E$73,"Ozon",$V$6:$V$73,"&lt;=0",$W$6:$W$73,"&gt;0")+SUMIFS($T$6:$T$73,$I$6:$I$73,"Вышло",$E$6:$E$73,"OZON",$V$6:$V$73,"&lt;=0",$W$6:$W$73,"&gt;0")+SUMIFS($T$6:$T$73,$I$6:$I$73,"Вышло",$E$6:$E$73,"Озон",$V$6:$V$73,"&lt;=0",$W$6:$W$73,"&gt;0")+SUMIFS($T$6:$T$73,$I$6:$I$73,"Вышло",$E$6:$E$73,"озон",$V$6:$V$73,"&lt;=0",$W$6:$W$73,"&gt;0")-(SUMIFS($T$6:$T$73,$I$6:$I$73,"Вышло",$E$6:$E$73,"Ozon",$V$6:$V$73,"&lt;=0",$W$6:$W$73,"&gt;0",$P$6:$P$73,"&lt;&gt;")+SUMIFS($T$6:$T$73,$I$6:$I$73,"Вышло",$E$6:$E$73,"OZON",$V$6:$V$73,"&lt;=0",$W$6:$W$73,"&gt;0",$P$6:$P$73,"&lt;&gt;")+SUMIFS($T$6:$T$73,$I$6:$I$73,"Вышло",$E$6:$E$73,"Озон",$V$6:$V$73,"&lt;=0",$W$6:$W$73,"&gt;0",$P$6:$P$73,"&lt;&gt;")+SUMIFS($T$6:$T$73,$I$6:$I$73,"Вышло",$E$6:$E$73,"озон",$V$6:$V$73,"&lt;=0",$W$6:$W$73,"&gt;0",$P$6:$P$73,"&lt;&gt;")))</f>
        <v>0</v>
      </c>
      <c r="H100" s="146" t="s">
        <v>895</v>
      </c>
      <c r="I100" s="145"/>
      <c r="J100" s="145"/>
      <c r="K100" s="145"/>
      <c r="L100" s="145"/>
      <c r="M100" s="145"/>
      <c r="N100" s="145"/>
      <c r="O100" s="145"/>
      <c r="P100" s="3"/>
      <c r="Q100" s="3"/>
      <c r="R100" s="3"/>
      <c r="S100" s="3"/>
      <c r="T100" s="3"/>
      <c r="U100" s="155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</row>
    <row r="101" ht="27.75" customHeight="1">
      <c r="A101" s="146" t="s">
        <v>896</v>
      </c>
      <c r="B101" s="147">
        <f>SUMIFS($M$6:$M$73,$I$6:$I$73,"Вышло")-(SUMIFS($M$6:$M$73,$I$6:$I$73,"Вышло",$E$6:$E$73,"БОТ")+SUMIFS($M$6:$M$73,$I$6:$I$73,"Вышло",$E$6:$E$73,"Бот")+SUMIFS($M$6:$M$73,$I$6:$I$73,"Вышло",$E$6:$E$73,"бот")+SUMIFS($M$6:$M$73,$I$6:$I$73,"Вышло",$E$6:$E$73,"WB")+SUMIFS($M$6:$M$73,$I$6:$I$73,"Вышло",$E$6:$E$73,"ВБ")+SUMIFS($M$6:$M$73,$I$6:$I$73,"Вышло",$E$6:$E$73,"Сайт")+SUMIFS($M$6:$M$73,$I$6:$I$73,"Вышло",$E$6:$E$73,"сайт")+SUMIFS($M$6:$M$73,$I$6:$I$73,"Вышло",$E$6:$E$73,"Ozon")+SUMIFS($M$6:$M$73,$I$6:$I$73,"Вышло",$E$6:$E$73,"OZON")+SUMIFS($M$6:$M$73,$I$6:$I$73,"Вышло",$E$6:$E$73,"Озон")+SUMIFS($M$6:$M$73,$I$6:$I$73,"Вышло",$E$6:$E$73,"озон"))+SUMIFS($M$6:$M$73,$I$6:$I$73,"Вышло",$E$6:$E$73,"WB",$W$6:$W$73,"&lt;=0",$V$6:$V$73,"&gt;0")+SUMIFS($M$6:$M$73,$I$6:$I$73,"Вышло",$E$6:$E$73,"ВБ",$W$6:$W$73,"&lt;=0",$V$6:$V$73,"&gt;0")+SUMIFS($M$6:$M$73,$I$6:$I$73,"Вышло",$E$6:$E$73,"Сайт",$V$6:$V$73,"&lt;=0",$W$6:$W$73,"&gt;0")+SUMIFS($M$6:$M$73,$I$6:$I$73,"Вышло",$E$6:$E$73,"сайт",$V$6:$V$73,"&lt;=0",$W$6:$W$73,"&gt;0")-(SUMIFS($M$6:$M$73,$I$6:$I$73,"Вышло",$E$6:$E$73,"Сайт",$V$6:$V$73,"&lt;=0",$W$6:$W$73,"&gt;0",$P$6:$P$73,"&lt;&gt;")+SUMIFS($M$6:$M$73,$I$6:$I$73,"Вышло",$E$6:$E$73,"сайт",$V$6:$V$73,"&lt;=0",$W$6:$W$73,"&gt;0",$P$6:$P$73,"&lt;&gt;"))+SUMIFS($M$6:$M$73,$I$6:$I$73,"Вышло",$E$6:$E$73,"Ozon",$V$6:$V$73,"&lt;=0",$W$6:$W$73,"&gt;0")+SUMIFS($M$6:$M$73,$I$6:$I$73,"Вышло",$E$6:$E$73,"OZON",$V$6:$V$73,"&lt;=0",$W$6:$W$73,"&gt;0")+SUMIFS($M$6:$M$73,$I$6:$I$73,"Вышло",$E$6:$E$73,"Озон",$V$6:$V$73,"&lt;=0",$W$6:$W$73,"&gt;0")+SUMIFS($M$6:$M$73,$I$6:$I$73,"Вышло",$E$6:$E$73,"озон",$V$6:$V$73,"&lt;=0",$W$6:$W$73,"&gt;0")-(SUMIFS($M$6:$M$73,$I$6:$I$73,"Вышло",$E$6:$E$73,"Ozon",$V$6:$V$73,"&lt;=0",$W$6:$W$73,"&gt;0",$P$6:$P$73,"&lt;&gt;")+SUMIFS($M$6:$M$73,$I$6:$I$73,"Вышло",$E$6:$E$73,"OZON",$V$6:$V$73,"&lt;=0",$W$6:$W$73,"&gt;0",$P$6:$P$73,"&lt;&gt;")+SUMIFS($M$6:$M$73,$I$6:$I$73,"Вышло",$E$6:$E$73,"Озон",$V$6:$V$73,"&lt;=0",$W$6:$W$73,"&gt;0",$P$6:$P$73,"&lt;&gt;")+SUMIFS($M$6:$M$73,$I$6:$I$73,"Вышло",$E$6:$E$73,"озон",$V$6:$V$73,"&lt;=0",$W$6:$W$73,"&gt;0",$P$6:$P$73,"&lt;&gt;"))</f>
        <v>0</v>
      </c>
      <c r="C101" s="146" t="s">
        <v>879</v>
      </c>
      <c r="D101" s="148" t="str">
        <f t="shared" ref="D101:E101" si="67">"—"</f>
        <v>—</v>
      </c>
      <c r="E101" s="147" t="str">
        <f t="shared" si="67"/>
        <v>—</v>
      </c>
      <c r="F101" s="148">
        <f>COUNTIFS($I$6:$I$73,"Вышло")-(COUNTIFS($I$6:$I$73,"Вышло",$E$6:$E$73,"БОТ")+COUNTIFS($I$6:$I$73,"Вышло",$E$6:$E$73,"WB")+COUNTIFS($I$6:$I$73,"Вышло",$E$6:$E$73,"ВБ")+COUNTIFS($I$6:$I$73,"Вышло",$E$6:$E$73,"Сайт")+COUNTIFS($I$6:$I$73,"Вышло",$E$6:$E$73,"Ozon")+COUNTIFS($I$6:$I$73,"Вышло",$E$6:$E$73,"Озон"))+COUNTIFS($I$6:$I$73,"Вышло",$E$6:$E$73,"WB",$W$6:$W$73,"&lt;=0",$V$6:$V$73,"&gt;0")+COUNTIFS($I$6:$I$73,"Вышло",$E$6:$E$73,"ВБ",$W$6:$W$73,"&lt;=0",$V$6:$V$73,"&gt;0")+COUNTIFS($I$6:$I$73,"Вышло",$E$6:$E$73,"Сайт",$V$6:$V$73,"&lt;=0",$W$6:$W$73,"&gt;0")-(COUNTIFS($I$6:$I$73,"Вышло",$E$6:$E$73,"Сайт",$V$6:$V$73,"&lt;=0",$W$6:$W$73,"&gt;0",$P$6:$P$73,"&lt;&gt;"))+COUNTIFS($I$6:$I$73,"Вышло",$E$6:$E$73,"Ozon",$V$6:$V$73,"&lt;=0",$W$6:$W$73,"&gt;0")+COUNTIFS($I$6:$I$73,"Вышло",$E$6:$E$73,"Озон",$V$6:$V$73,"&lt;=0",$W$6:$W$73,"&gt;0")-(COUNTIFS($I$6:$I$73,"Вышло",$E$6:$E$73,"Ozon",$V$6:$V$73,"&lt;=0",$W$6:$W$73,"&gt;0",$P$6:$P$73,"&lt;&gt;")+COUNTIFS($I$6:$I$73,"Вышло",$E$6:$E$73,"Озон",$V$6:$V$73,"&lt;=0",$W$6:$W$73,"&gt;0",$P$6:$P$73,"&lt;&gt;"))</f>
        <v>0</v>
      </c>
      <c r="G101" s="148">
        <f>SUMIFS($T$6:$T$73,$I$6:$I$73,"Вышло")-(SUMIFS($T$6:$T$73,$I$6:$I$73,"Вышло",$E$6:$E$73,"БОТ")+SUMIFS($T$6:$T$73,$I$6:$I$73,"Вышло",$E$6:$E$73,"Бот")+SUMIFS($T$6:$T$73,$I$6:$I$73,"Вышло",$E$6:$E$73,"бот")+SUMIFS($T$6:$T$73,$I$6:$I$73,"Вышло",$E$6:$E$73,"WB")+SUMIFS($T$6:$T$73,$I$6:$I$73,"Вышло",$E$6:$E$73,"ВБ")+SUMIFS($T$6:$T$73,$I$6:$I$73,"Вышло",$E$6:$E$73,"Сайт")+SUMIFS($T$6:$T$73,$I$6:$I$73,"Вышло",$E$6:$E$73,"сайт")+SUMIFS($T$6:$T$73,$I$6:$I$73,"Вышло",$E$6:$E$73,"Ozon")+SUMIFS($T$6:$T$73,$I$6:$I$73,"Вышло",$E$6:$E$73,"OZON")+SUMIFS($T$6:$T$73,$I$6:$I$73,"Вышло",$E$6:$E$73,"Озон")+SUMIFS($T$6:$T$73,$I$6:$I$73,"Вышло",$E$6:$E$73,"озон"))+SUMIFS($T$6:$T$73,$I$6:$I$73,"Вышло",$E$6:$E$73,"WB",$W$6:$W$73,"&lt;=0",$V$6:$V$73,"&gt;0")+SUMIFS($T$6:$T$73,$I$6:$I$73,"Вышло",$E$6:$E$73,"ВБ",$W$6:$W$73,"&lt;=0",$V$6:$V$73,"&gt;0")+SUMIFS($T$6:$T$73,$I$6:$I$73,"Вышло",$E$6:$E$73,"Сайт",$V$6:$V$73,"&lt;=0",$W$6:$W$73,"&gt;0")+SUMIFS($T$6:$T$73,$I$6:$I$73,"Вышло",$E$6:$E$73,"сайт",$V$6:$V$73,"&lt;=0",$W$6:$W$73,"&gt;0")-(SUMIFS($T$6:$T$73,$I$6:$I$73,"Вышло",$E$6:$E$73,"Сайт",$V$6:$V$73,"&lt;=0",$W$6:$W$73,"&gt;0",$P$6:$P$73,"&lt;&gt;")+SUMIFS($T$6:$T$73,$I$6:$I$73,"Вышло",$E$6:$E$73,"сайт",$V$6:$V$73,"&lt;=0",$W$6:$W$73,"&gt;0",$P$6:$P$73,"&lt;&gt;"))+SUMIFS($T$6:$T$73,$I$6:$I$73,"Вышло",$E$6:$E$73,"Ozon",$V$6:$V$73,"&lt;=0",$W$6:$W$73,"&gt;0")+SUMIFS($T$6:$T$73,$I$6:$I$73,"Вышло",$E$6:$E$73,"OZON",$V$6:$V$73,"&lt;=0",$W$6:$W$73,"&gt;0")+SUMIFS($T$6:$T$73,$I$6:$I$73,"Вышло",$E$6:$E$73,"Озон",$V$6:$V$73,"&lt;=0",$W$6:$W$73,"&gt;0")+SUMIFS($T$6:$T$73,$I$6:$I$73,"Вышло",$E$6:$E$73,"озон",$V$6:$V$73,"&lt;=0",$W$6:$W$73,"&gt;0")-(SUMIFS($T$6:$T$73,$I$6:$I$73,"Вышло",$E$6:$E$73,"Ozon",$V$6:$V$73,"&lt;=0",$W$6:$W$73,"&gt;0",$P$6:$P$73,"&lt;&gt;")+SUMIFS($T$6:$T$73,$I$6:$I$73,"Вышло",$E$6:$E$73,"OZON",$V$6:$V$73,"&lt;=0",$W$6:$W$73,"&gt;0",$P$6:$P$73,"&lt;&gt;")+SUMIFS($T$6:$T$73,$I$6:$I$73,"Вышло",$E$6:$E$73,"Озон",$V$6:$V$73,"&lt;=0",$W$6:$W$73,"&gt;0",$P$6:$P$73,"&lt;&gt;")+SUMIFS($T$6:$T$73,$I$6:$I$73,"Вышло",$E$6:$E$73,"озон",$V$6:$V$73,"&lt;=0",$W$6:$W$73,"&gt;0",$P$6:$P$73,"&lt;&gt;"))</f>
        <v>0</v>
      </c>
      <c r="H101" s="146" t="s">
        <v>897</v>
      </c>
      <c r="I101" s="145"/>
      <c r="J101" s="145"/>
      <c r="K101" s="145"/>
      <c r="L101" s="145"/>
      <c r="M101" s="145"/>
      <c r="N101" s="145"/>
      <c r="O101" s="145"/>
      <c r="P101" s="3"/>
      <c r="Q101" s="3"/>
      <c r="R101" s="3"/>
      <c r="S101" s="3"/>
      <c r="T101" s="3"/>
      <c r="U101" s="155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</row>
    <row r="102" ht="15.75" customHeight="1">
      <c r="A102" s="142" t="s">
        <v>877</v>
      </c>
      <c r="B102" s="143">
        <f>SUM(B96:B101)</f>
        <v>0</v>
      </c>
      <c r="C102" s="142" t="s">
        <v>879</v>
      </c>
      <c r="D102" s="144" t="s">
        <v>879</v>
      </c>
      <c r="E102" s="143" t="s">
        <v>879</v>
      </c>
      <c r="F102" s="144">
        <f t="shared" ref="F102:G102" si="68">SUM(F96:F101)</f>
        <v>0</v>
      </c>
      <c r="G102" s="144">
        <f t="shared" si="68"/>
        <v>0</v>
      </c>
      <c r="H102" s="142"/>
      <c r="I102" s="145"/>
      <c r="J102" s="145"/>
      <c r="K102" s="145"/>
      <c r="L102" s="145"/>
      <c r="M102" s="145"/>
      <c r="N102" s="145"/>
      <c r="O102" s="145"/>
      <c r="P102" s="3"/>
      <c r="Q102" s="3"/>
      <c r="R102" s="3"/>
      <c r="S102" s="3"/>
      <c r="T102" s="3"/>
      <c r="U102" s="155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</row>
    <row r="103" ht="15.75" customHeight="1">
      <c r="A103" s="145"/>
      <c r="B103" s="145"/>
      <c r="C103" s="145"/>
      <c r="D103" s="145"/>
      <c r="E103" s="145"/>
      <c r="F103" s="145"/>
      <c r="G103" s="145"/>
      <c r="H103" s="145"/>
      <c r="I103" s="145"/>
      <c r="J103" s="145"/>
      <c r="K103" s="145"/>
      <c r="L103" s="145"/>
      <c r="M103" s="145"/>
      <c r="N103" s="145"/>
      <c r="O103" s="145"/>
      <c r="P103" s="3"/>
      <c r="Q103" s="3"/>
      <c r="R103" s="3"/>
      <c r="S103" s="3"/>
      <c r="T103" s="3"/>
      <c r="U103" s="155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</row>
    <row r="104" ht="15.75" customHeight="1">
      <c r="A104" s="137" t="s">
        <v>1708</v>
      </c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3"/>
      <c r="Q104" s="3"/>
      <c r="R104" s="3"/>
      <c r="S104" s="3"/>
      <c r="T104" s="3"/>
      <c r="U104" s="155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</row>
    <row r="105" ht="15.75" customHeight="1">
      <c r="A105" s="138" t="s">
        <v>899</v>
      </c>
      <c r="B105" s="138" t="s">
        <v>780</v>
      </c>
      <c r="C105" s="138" t="s">
        <v>12</v>
      </c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  <c r="P105" s="3"/>
      <c r="Q105" s="3"/>
      <c r="R105" s="3"/>
      <c r="S105" s="3"/>
      <c r="T105" s="3"/>
      <c r="U105" s="155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</row>
    <row r="106" ht="15.75" customHeight="1">
      <c r="A106" s="139" t="str">
        <f>"Площадки = фактический расход"</f>
        <v>Площадки = фактический расход</v>
      </c>
      <c r="B106" s="139" t="str">
        <f>IF(ABS(C85-B102)&lt;0.01,"OK","ПРОВЕРИТЬ")</f>
        <v>OK</v>
      </c>
      <c r="C106" s="140">
        <f>C85-B102</f>
        <v>0</v>
      </c>
      <c r="D106" s="145"/>
      <c r="E106" s="145"/>
      <c r="F106" s="145"/>
      <c r="G106" s="145"/>
      <c r="H106" s="145"/>
      <c r="I106" s="145"/>
      <c r="J106" s="145"/>
      <c r="K106" s="145"/>
      <c r="L106" s="145"/>
      <c r="M106" s="145"/>
      <c r="N106" s="145"/>
      <c r="O106" s="145"/>
      <c r="P106" s="3"/>
      <c r="Q106" s="3"/>
      <c r="R106" s="3"/>
      <c r="S106" s="3"/>
      <c r="T106" s="3"/>
      <c r="U106" s="155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</row>
    <row r="107" ht="15.75" customHeight="1">
      <c r="A107" s="139" t="str">
        <f>"Продукты = фактический расход"</f>
        <v>Продукты = фактический расход</v>
      </c>
      <c r="B107" s="139" t="str">
        <f>IF(ABS(C92-B102)&lt;0.01,"OK","ПРОВЕРИТЬ")</f>
        <v>OK</v>
      </c>
      <c r="C107" s="140">
        <f>C92-B102</f>
        <v>0</v>
      </c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3"/>
      <c r="Q107" s="3"/>
      <c r="R107" s="3"/>
      <c r="S107" s="3"/>
      <c r="T107" s="3"/>
      <c r="U107" s="155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</row>
    <row r="108" ht="15.75" customHeight="1">
      <c r="A108" s="139" t="str">
        <f>"Воронки без двойного учёта"</f>
        <v>Воронки без двойного учёта</v>
      </c>
      <c r="B108" s="139" t="str">
        <f>IF(ABS(B102-(SUMIFS($M$6:$M$73,$I$6:$I$73,"Вышло")))&lt;0.01,"OK","ПРОВЕРИТЬ")</f>
        <v>OK</v>
      </c>
      <c r="C108" s="140">
        <f>B102-(SUMIFS($M$6:$M$73,$I$6:$I$73,"Вышло"))</f>
        <v>0</v>
      </c>
      <c r="D108" s="145"/>
      <c r="E108" s="145"/>
      <c r="F108" s="145"/>
      <c r="G108" s="145"/>
      <c r="H108" s="145"/>
      <c r="I108" s="145"/>
      <c r="J108" s="145"/>
      <c r="K108" s="145"/>
      <c r="L108" s="145"/>
      <c r="M108" s="145"/>
      <c r="N108" s="145"/>
      <c r="O108" s="145"/>
      <c r="P108" s="3"/>
      <c r="Q108" s="3"/>
      <c r="R108" s="3"/>
      <c r="S108" s="3"/>
      <c r="T108" s="3"/>
      <c r="U108" s="155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</row>
    <row r="109" ht="15.75" customHeight="1">
      <c r="A109" s="139" t="str">
        <f>"Неоднозначные строки"</f>
        <v>Неоднозначные строки</v>
      </c>
      <c r="B109" s="139" t="str">
        <f>IF(B101=0,"OK","ТРЕБУЕТ УТОЧНЕНИЯ")</f>
        <v>OK</v>
      </c>
      <c r="C109" s="140">
        <f>B101</f>
        <v>0</v>
      </c>
      <c r="D109" s="145"/>
      <c r="E109" s="145"/>
      <c r="F109" s="145"/>
      <c r="G109" s="145"/>
      <c r="H109" s="145"/>
      <c r="I109" s="145"/>
      <c r="J109" s="145"/>
      <c r="K109" s="145"/>
      <c r="L109" s="145"/>
      <c r="M109" s="145"/>
      <c r="N109" s="145"/>
      <c r="O109" s="145"/>
      <c r="P109" s="3"/>
      <c r="Q109" s="3"/>
      <c r="R109" s="3"/>
      <c r="S109" s="3"/>
      <c r="T109" s="3"/>
      <c r="U109" s="155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</row>
    <row r="110" ht="15.75" customHeight="1">
      <c r="A110" s="145"/>
      <c r="B110" s="145"/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  <c r="M110" s="145"/>
      <c r="N110" s="145"/>
      <c r="O110" s="145"/>
      <c r="P110" s="3"/>
      <c r="Q110" s="3"/>
      <c r="R110" s="3"/>
      <c r="S110" s="3"/>
      <c r="T110" s="3"/>
      <c r="U110" s="155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</row>
    <row r="111" ht="15.75" customHeight="1">
      <c r="A111" s="137" t="s">
        <v>900</v>
      </c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3"/>
      <c r="Q111" s="3"/>
      <c r="R111" s="3"/>
      <c r="S111" s="3"/>
      <c r="T111" s="3"/>
      <c r="U111" s="155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</row>
    <row r="112" ht="15.75" customHeight="1">
      <c r="A112" s="138" t="s">
        <v>901</v>
      </c>
      <c r="B112" s="138" t="s">
        <v>778</v>
      </c>
      <c r="C112" s="138" t="s">
        <v>835</v>
      </c>
      <c r="D112" s="138" t="s">
        <v>728</v>
      </c>
      <c r="E112" s="138" t="s">
        <v>902</v>
      </c>
      <c r="F112" s="145"/>
      <c r="G112" s="145"/>
      <c r="H112" s="145"/>
      <c r="I112" s="145"/>
      <c r="J112" s="145"/>
      <c r="K112" s="145"/>
      <c r="L112" s="145"/>
      <c r="M112" s="145"/>
      <c r="N112" s="145"/>
      <c r="O112" s="145"/>
      <c r="P112" s="3"/>
      <c r="Q112" s="3"/>
      <c r="R112" s="3"/>
      <c r="S112" s="3"/>
      <c r="T112" s="3"/>
      <c r="U112" s="155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</row>
    <row r="113" ht="36.0" customHeight="1">
      <c r="A113" s="146" t="s">
        <v>879</v>
      </c>
      <c r="B113" s="146" t="s">
        <v>1017</v>
      </c>
      <c r="C113" s="146" t="s">
        <v>879</v>
      </c>
      <c r="D113" s="147">
        <v>0.0</v>
      </c>
      <c r="E113" s="146" t="s">
        <v>879</v>
      </c>
      <c r="F113" s="145"/>
      <c r="G113" s="145"/>
      <c r="H113" s="145"/>
      <c r="I113" s="145"/>
      <c r="J113" s="145"/>
      <c r="K113" s="145"/>
      <c r="L113" s="145"/>
      <c r="M113" s="145"/>
      <c r="N113" s="145"/>
      <c r="O113" s="145"/>
      <c r="P113" s="3"/>
      <c r="Q113" s="3"/>
      <c r="R113" s="3"/>
      <c r="S113" s="3"/>
      <c r="T113" s="3"/>
      <c r="U113" s="155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</row>
    <row r="114" ht="15.75" customHeight="1">
      <c r="A114" s="145"/>
      <c r="B114" s="145"/>
      <c r="C114" s="145"/>
      <c r="D114" s="145"/>
      <c r="E114" s="145"/>
      <c r="F114" s="145"/>
      <c r="G114" s="145"/>
      <c r="H114" s="145"/>
      <c r="I114" s="145"/>
      <c r="J114" s="145"/>
      <c r="K114" s="145"/>
      <c r="L114" s="145"/>
      <c r="M114" s="145"/>
      <c r="N114" s="145"/>
      <c r="O114" s="145"/>
      <c r="P114" s="3"/>
      <c r="Q114" s="3"/>
      <c r="R114" s="3"/>
      <c r="S114" s="3"/>
      <c r="T114" s="3"/>
      <c r="U114" s="155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</row>
    <row r="115" ht="15.75" customHeight="1">
      <c r="A115" s="145"/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5"/>
      <c r="P115" s="3"/>
      <c r="Q115" s="3"/>
      <c r="R115" s="3"/>
      <c r="S115" s="3"/>
      <c r="T115" s="3"/>
      <c r="U115" s="155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</row>
    <row r="116" ht="15.75" customHeight="1">
      <c r="A116" s="145"/>
      <c r="B116" s="145"/>
      <c r="C116" s="145"/>
      <c r="D116" s="145"/>
      <c r="E116" s="145"/>
      <c r="F116" s="145"/>
      <c r="G116" s="145"/>
      <c r="H116" s="145"/>
      <c r="I116" s="145"/>
      <c r="J116" s="145"/>
      <c r="K116" s="145"/>
      <c r="L116" s="145"/>
      <c r="M116" s="145"/>
      <c r="N116" s="145"/>
      <c r="O116" s="145"/>
      <c r="P116" s="3"/>
      <c r="Q116" s="3"/>
      <c r="R116" s="3"/>
      <c r="S116" s="3"/>
      <c r="T116" s="3"/>
      <c r="U116" s="155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</row>
    <row r="117" ht="15.75" customHeight="1">
      <c r="A117" s="145"/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M117" s="145"/>
      <c r="N117" s="145"/>
      <c r="O117" s="145"/>
      <c r="P117" s="3"/>
      <c r="Q117" s="3"/>
      <c r="R117" s="3"/>
      <c r="S117" s="3"/>
      <c r="T117" s="3"/>
      <c r="U117" s="155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</row>
    <row r="118" ht="15.75" customHeight="1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M118" s="145"/>
      <c r="N118" s="145"/>
      <c r="O118" s="145"/>
      <c r="P118" s="3"/>
      <c r="Q118" s="3"/>
      <c r="R118" s="3"/>
      <c r="S118" s="3"/>
      <c r="T118" s="3"/>
      <c r="U118" s="155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</row>
    <row r="119" ht="15.75" customHeight="1">
      <c r="A119" s="145"/>
      <c r="B119" s="145"/>
      <c r="C119" s="145"/>
      <c r="D119" s="145"/>
      <c r="E119" s="145"/>
      <c r="F119" s="145"/>
      <c r="G119" s="145"/>
      <c r="H119" s="145"/>
      <c r="I119" s="145"/>
      <c r="J119" s="145"/>
      <c r="K119" s="145"/>
      <c r="L119" s="145"/>
      <c r="M119" s="145"/>
      <c r="N119" s="145"/>
      <c r="O119" s="145"/>
      <c r="P119" s="3"/>
      <c r="Q119" s="3"/>
      <c r="R119" s="3"/>
      <c r="S119" s="3"/>
      <c r="T119" s="3"/>
      <c r="U119" s="155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</row>
    <row r="120" ht="15.75" customHeight="1">
      <c r="A120" s="145"/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3"/>
      <c r="Q120" s="3"/>
      <c r="R120" s="3"/>
      <c r="S120" s="3"/>
      <c r="T120" s="3"/>
      <c r="U120" s="155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</row>
    <row r="121" ht="15.75" customHeight="1">
      <c r="A121" s="145"/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 s="3"/>
      <c r="Q121" s="3"/>
      <c r="R121" s="3"/>
      <c r="S121" s="3"/>
      <c r="T121" s="3"/>
      <c r="U121" s="155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</row>
    <row r="122" ht="15.75" customHeight="1">
      <c r="A122" s="145"/>
      <c r="B122" s="145"/>
      <c r="C122" s="145"/>
      <c r="D122" s="145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 s="3"/>
      <c r="Q122" s="3"/>
      <c r="R122" s="3"/>
      <c r="S122" s="3"/>
      <c r="T122" s="3"/>
      <c r="U122" s="155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</row>
    <row r="123" ht="15.75" customHeight="1">
      <c r="A123" s="145"/>
      <c r="B123" s="145"/>
      <c r="C123" s="145"/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 s="3"/>
      <c r="Q123" s="3"/>
      <c r="R123" s="3"/>
      <c r="S123" s="3"/>
      <c r="T123" s="3"/>
      <c r="U123" s="155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</row>
    <row r="124" ht="15.75" customHeight="1">
      <c r="A124" s="145"/>
      <c r="B124" s="145"/>
      <c r="C124" s="145"/>
      <c r="D124" s="145"/>
      <c r="E124" s="145"/>
      <c r="F124" s="145"/>
      <c r="G124" s="145"/>
      <c r="H124" s="145"/>
      <c r="I124" s="145"/>
      <c r="J124" s="145"/>
      <c r="K124" s="145"/>
      <c r="L124" s="145"/>
      <c r="M124" s="145"/>
      <c r="N124" s="145"/>
      <c r="O124" s="145"/>
      <c r="P124" s="3"/>
      <c r="Q124" s="3"/>
      <c r="R124" s="3"/>
      <c r="S124" s="3"/>
      <c r="T124" s="3"/>
      <c r="U124" s="155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</row>
    <row r="125" ht="15.75" customHeight="1">
      <c r="A125" s="145"/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3"/>
      <c r="Q125" s="3"/>
      <c r="R125" s="3"/>
      <c r="S125" s="3"/>
      <c r="T125" s="3"/>
      <c r="U125" s="155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</row>
    <row r="126" ht="15.75" customHeight="1">
      <c r="A126" s="145"/>
      <c r="B126" s="145"/>
      <c r="C126" s="145"/>
      <c r="D126" s="145"/>
      <c r="E126" s="145"/>
      <c r="F126" s="145"/>
      <c r="G126" s="145"/>
      <c r="H126" s="145"/>
      <c r="I126" s="145"/>
      <c r="J126" s="145"/>
      <c r="K126" s="145"/>
      <c r="L126" s="145"/>
      <c r="M126" s="145"/>
      <c r="N126" s="145"/>
      <c r="O126" s="145"/>
      <c r="P126" s="3"/>
      <c r="Q126" s="3"/>
      <c r="R126" s="3"/>
      <c r="S126" s="3"/>
      <c r="T126" s="3"/>
      <c r="U126" s="155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</row>
    <row r="127" ht="15.75" customHeight="1">
      <c r="A127" s="145"/>
      <c r="B127" s="145"/>
      <c r="C127" s="145"/>
      <c r="D127" s="145"/>
      <c r="E127" s="145"/>
      <c r="F127" s="145"/>
      <c r="G127" s="145"/>
      <c r="H127" s="145"/>
      <c r="I127" s="145"/>
      <c r="J127" s="145"/>
      <c r="K127" s="145"/>
      <c r="L127" s="145"/>
      <c r="M127" s="145"/>
      <c r="N127" s="145"/>
      <c r="O127" s="145"/>
      <c r="P127" s="3"/>
      <c r="Q127" s="3"/>
      <c r="R127" s="3"/>
      <c r="S127" s="3"/>
      <c r="T127" s="3"/>
      <c r="U127" s="155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</row>
    <row r="128" ht="15.75" customHeight="1">
      <c r="A128" s="145"/>
      <c r="B128" s="145"/>
      <c r="C128" s="145"/>
      <c r="D128" s="145"/>
      <c r="E128" s="145"/>
      <c r="F128" s="145"/>
      <c r="G128" s="145"/>
      <c r="H128" s="145"/>
      <c r="I128" s="145"/>
      <c r="J128" s="145"/>
      <c r="K128" s="145"/>
      <c r="L128" s="145"/>
      <c r="M128" s="145"/>
      <c r="N128" s="145"/>
      <c r="O128" s="145"/>
      <c r="P128" s="3"/>
      <c r="Q128" s="3"/>
      <c r="R128" s="3"/>
      <c r="S128" s="3"/>
      <c r="T128" s="3"/>
      <c r="U128" s="155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</row>
    <row r="129" ht="15.75" customHeight="1">
      <c r="A129" s="145"/>
      <c r="B129" s="145"/>
      <c r="C129" s="145"/>
      <c r="D129" s="145"/>
      <c r="E129" s="145"/>
      <c r="F129" s="145"/>
      <c r="G129" s="145"/>
      <c r="H129" s="145"/>
      <c r="I129" s="145"/>
      <c r="J129" s="145"/>
      <c r="K129" s="145"/>
      <c r="L129" s="145"/>
      <c r="M129" s="145"/>
      <c r="N129" s="145"/>
      <c r="O129" s="145"/>
      <c r="P129" s="3"/>
      <c r="Q129" s="3"/>
      <c r="R129" s="3"/>
      <c r="S129" s="3"/>
      <c r="T129" s="3"/>
      <c r="U129" s="155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</row>
    <row r="130" ht="15.75" customHeight="1">
      <c r="A130" s="145"/>
      <c r="B130" s="145"/>
      <c r="C130" s="145"/>
      <c r="D130" s="145"/>
      <c r="E130" s="145"/>
      <c r="F130" s="145"/>
      <c r="G130" s="145"/>
      <c r="H130" s="145"/>
      <c r="I130" s="145"/>
      <c r="J130" s="145"/>
      <c r="K130" s="145"/>
      <c r="L130" s="145"/>
      <c r="M130" s="145"/>
      <c r="N130" s="145"/>
      <c r="O130" s="145"/>
      <c r="P130" s="3"/>
      <c r="Q130" s="3"/>
      <c r="R130" s="3"/>
      <c r="S130" s="3"/>
      <c r="T130" s="3"/>
      <c r="U130" s="155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55"/>
      <c r="P131" s="3"/>
      <c r="Q131" s="3"/>
      <c r="R131" s="3"/>
      <c r="S131" s="3"/>
      <c r="T131" s="3"/>
      <c r="U131" s="155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55"/>
      <c r="P132" s="3"/>
      <c r="Q132" s="3"/>
      <c r="R132" s="3"/>
      <c r="S132" s="3"/>
      <c r="T132" s="3"/>
      <c r="U132" s="155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55"/>
      <c r="P133" s="3"/>
      <c r="Q133" s="3"/>
      <c r="R133" s="3"/>
      <c r="S133" s="3"/>
      <c r="T133" s="3"/>
      <c r="U133" s="155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55"/>
      <c r="P134" s="3"/>
      <c r="Q134" s="3"/>
      <c r="R134" s="3"/>
      <c r="S134" s="3"/>
      <c r="T134" s="3"/>
      <c r="U134" s="155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55"/>
      <c r="P135" s="3"/>
      <c r="Q135" s="3"/>
      <c r="R135" s="3"/>
      <c r="S135" s="3"/>
      <c r="T135" s="3"/>
      <c r="U135" s="155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55"/>
      <c r="P136" s="3"/>
      <c r="Q136" s="3"/>
      <c r="R136" s="3"/>
      <c r="S136" s="3"/>
      <c r="T136" s="3"/>
      <c r="U136" s="155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55"/>
      <c r="P137" s="3"/>
      <c r="Q137" s="3"/>
      <c r="R137" s="3"/>
      <c r="S137" s="3"/>
      <c r="T137" s="3"/>
      <c r="U137" s="155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55"/>
      <c r="P138" s="3"/>
      <c r="Q138" s="3"/>
      <c r="R138" s="3"/>
      <c r="S138" s="3"/>
      <c r="T138" s="3"/>
      <c r="U138" s="155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55"/>
      <c r="P139" s="3"/>
      <c r="Q139" s="3"/>
      <c r="R139" s="3"/>
      <c r="S139" s="3"/>
      <c r="T139" s="3"/>
      <c r="U139" s="155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55"/>
      <c r="P140" s="3"/>
      <c r="Q140" s="3"/>
      <c r="R140" s="3"/>
      <c r="S140" s="3"/>
      <c r="T140" s="3"/>
      <c r="U140" s="155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55"/>
      <c r="P141" s="3"/>
      <c r="Q141" s="3"/>
      <c r="R141" s="3"/>
      <c r="S141" s="3"/>
      <c r="T141" s="3"/>
      <c r="U141" s="155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55"/>
      <c r="P142" s="3"/>
      <c r="Q142" s="3"/>
      <c r="R142" s="3"/>
      <c r="S142" s="3"/>
      <c r="T142" s="3"/>
      <c r="U142" s="155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55"/>
      <c r="P143" s="3"/>
      <c r="Q143" s="3"/>
      <c r="R143" s="3"/>
      <c r="S143" s="3"/>
      <c r="T143" s="3"/>
      <c r="U143" s="155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55"/>
      <c r="P144" s="3"/>
      <c r="Q144" s="3"/>
      <c r="R144" s="3"/>
      <c r="S144" s="3"/>
      <c r="T144" s="3"/>
      <c r="U144" s="155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55"/>
      <c r="P145" s="3"/>
      <c r="Q145" s="3"/>
      <c r="R145" s="3"/>
      <c r="S145" s="3"/>
      <c r="T145" s="3"/>
      <c r="U145" s="155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55"/>
      <c r="P146" s="3"/>
      <c r="Q146" s="3"/>
      <c r="R146" s="3"/>
      <c r="S146" s="3"/>
      <c r="T146" s="3"/>
      <c r="U146" s="155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55"/>
      <c r="P147" s="3"/>
      <c r="Q147" s="3"/>
      <c r="R147" s="3"/>
      <c r="S147" s="3"/>
      <c r="T147" s="3"/>
      <c r="U147" s="155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55"/>
      <c r="P148" s="3"/>
      <c r="Q148" s="3"/>
      <c r="R148" s="3"/>
      <c r="S148" s="3"/>
      <c r="T148" s="3"/>
      <c r="U148" s="155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55"/>
      <c r="P149" s="3"/>
      <c r="Q149" s="3"/>
      <c r="R149" s="3"/>
      <c r="S149" s="3"/>
      <c r="T149" s="3"/>
      <c r="U149" s="155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55"/>
      <c r="P150" s="3"/>
      <c r="Q150" s="3"/>
      <c r="R150" s="3"/>
      <c r="S150" s="3"/>
      <c r="T150" s="3"/>
      <c r="U150" s="155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55"/>
      <c r="P151" s="3"/>
      <c r="Q151" s="3"/>
      <c r="R151" s="3"/>
      <c r="S151" s="3"/>
      <c r="T151" s="3"/>
      <c r="U151" s="155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55"/>
      <c r="P152" s="3"/>
      <c r="Q152" s="3"/>
      <c r="R152" s="3"/>
      <c r="S152" s="3"/>
      <c r="T152" s="3"/>
      <c r="U152" s="155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55"/>
      <c r="P153" s="3"/>
      <c r="Q153" s="3"/>
      <c r="R153" s="3"/>
      <c r="S153" s="3"/>
      <c r="T153" s="3"/>
      <c r="U153" s="155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55"/>
      <c r="P154" s="3"/>
      <c r="Q154" s="3"/>
      <c r="R154" s="3"/>
      <c r="S154" s="3"/>
      <c r="T154" s="3"/>
      <c r="U154" s="155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55"/>
      <c r="P155" s="3"/>
      <c r="Q155" s="3"/>
      <c r="R155" s="3"/>
      <c r="S155" s="3"/>
      <c r="T155" s="3"/>
      <c r="U155" s="155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55"/>
      <c r="P156" s="3"/>
      <c r="Q156" s="3"/>
      <c r="R156" s="3"/>
      <c r="S156" s="3"/>
      <c r="T156" s="3"/>
      <c r="U156" s="155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55"/>
      <c r="P157" s="3"/>
      <c r="Q157" s="3"/>
      <c r="R157" s="3"/>
      <c r="S157" s="3"/>
      <c r="T157" s="3"/>
      <c r="U157" s="155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55"/>
      <c r="P158" s="3"/>
      <c r="Q158" s="3"/>
      <c r="R158" s="3"/>
      <c r="S158" s="3"/>
      <c r="T158" s="3"/>
      <c r="U158" s="155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55"/>
      <c r="P159" s="3"/>
      <c r="Q159" s="3"/>
      <c r="R159" s="3"/>
      <c r="S159" s="3"/>
      <c r="T159" s="3"/>
      <c r="U159" s="155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55"/>
      <c r="P160" s="3"/>
      <c r="Q160" s="3"/>
      <c r="R160" s="3"/>
      <c r="S160" s="3"/>
      <c r="T160" s="3"/>
      <c r="U160" s="155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55"/>
      <c r="P161" s="3"/>
      <c r="Q161" s="3"/>
      <c r="R161" s="3"/>
      <c r="S161" s="3"/>
      <c r="T161" s="3"/>
      <c r="U161" s="155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55"/>
      <c r="P162" s="3"/>
      <c r="Q162" s="3"/>
      <c r="R162" s="3"/>
      <c r="S162" s="3"/>
      <c r="T162" s="3"/>
      <c r="U162" s="155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55"/>
      <c r="P163" s="3"/>
      <c r="Q163" s="3"/>
      <c r="R163" s="3"/>
      <c r="S163" s="3"/>
      <c r="T163" s="3"/>
      <c r="U163" s="155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55"/>
      <c r="P164" s="3"/>
      <c r="Q164" s="3"/>
      <c r="R164" s="3"/>
      <c r="S164" s="3"/>
      <c r="T164" s="3"/>
      <c r="U164" s="155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55"/>
      <c r="P165" s="3"/>
      <c r="Q165" s="3"/>
      <c r="R165" s="3"/>
      <c r="S165" s="3"/>
      <c r="T165" s="3"/>
      <c r="U165" s="155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55"/>
      <c r="P166" s="3"/>
      <c r="Q166" s="3"/>
      <c r="R166" s="3"/>
      <c r="S166" s="3"/>
      <c r="T166" s="3"/>
      <c r="U166" s="155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55"/>
      <c r="P167" s="3"/>
      <c r="Q167" s="3"/>
      <c r="R167" s="3"/>
      <c r="S167" s="3"/>
      <c r="T167" s="3"/>
      <c r="U167" s="155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55"/>
      <c r="P168" s="3"/>
      <c r="Q168" s="3"/>
      <c r="R168" s="3"/>
      <c r="S168" s="3"/>
      <c r="T168" s="3"/>
      <c r="U168" s="155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55"/>
      <c r="P169" s="3"/>
      <c r="Q169" s="3"/>
      <c r="R169" s="3"/>
      <c r="S169" s="3"/>
      <c r="T169" s="3"/>
      <c r="U169" s="155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55"/>
      <c r="P170" s="3"/>
      <c r="Q170" s="3"/>
      <c r="R170" s="3"/>
      <c r="S170" s="3"/>
      <c r="T170" s="3"/>
      <c r="U170" s="155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55"/>
      <c r="P171" s="3"/>
      <c r="Q171" s="3"/>
      <c r="R171" s="3"/>
      <c r="S171" s="3"/>
      <c r="T171" s="3"/>
      <c r="U171" s="155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55"/>
      <c r="P172" s="3"/>
      <c r="Q172" s="3"/>
      <c r="R172" s="3"/>
      <c r="S172" s="3"/>
      <c r="T172" s="3"/>
      <c r="U172" s="155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55"/>
      <c r="P173" s="3"/>
      <c r="Q173" s="3"/>
      <c r="R173" s="3"/>
      <c r="S173" s="3"/>
      <c r="T173" s="3"/>
      <c r="U173" s="155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55"/>
      <c r="P174" s="3"/>
      <c r="Q174" s="3"/>
      <c r="R174" s="3"/>
      <c r="S174" s="3"/>
      <c r="T174" s="3"/>
      <c r="U174" s="155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55"/>
      <c r="P175" s="3"/>
      <c r="Q175" s="3"/>
      <c r="R175" s="3"/>
      <c r="S175" s="3"/>
      <c r="T175" s="3"/>
      <c r="U175" s="155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55"/>
      <c r="P176" s="3"/>
      <c r="Q176" s="3"/>
      <c r="R176" s="3"/>
      <c r="S176" s="3"/>
      <c r="T176" s="3"/>
      <c r="U176" s="155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55"/>
      <c r="P177" s="3"/>
      <c r="Q177" s="3"/>
      <c r="R177" s="3"/>
      <c r="S177" s="3"/>
      <c r="T177" s="3"/>
      <c r="U177" s="155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55"/>
      <c r="P178" s="3"/>
      <c r="Q178" s="3"/>
      <c r="R178" s="3"/>
      <c r="S178" s="3"/>
      <c r="T178" s="3"/>
      <c r="U178" s="155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55"/>
      <c r="P179" s="3"/>
      <c r="Q179" s="3"/>
      <c r="R179" s="3"/>
      <c r="S179" s="3"/>
      <c r="T179" s="3"/>
      <c r="U179" s="155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55"/>
      <c r="P180" s="3"/>
      <c r="Q180" s="3"/>
      <c r="R180" s="3"/>
      <c r="S180" s="3"/>
      <c r="T180" s="3"/>
      <c r="U180" s="155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55"/>
      <c r="P181" s="3"/>
      <c r="Q181" s="3"/>
      <c r="R181" s="3"/>
      <c r="S181" s="3"/>
      <c r="T181" s="3"/>
      <c r="U181" s="155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55"/>
      <c r="P182" s="3"/>
      <c r="Q182" s="3"/>
      <c r="R182" s="3"/>
      <c r="S182" s="3"/>
      <c r="T182" s="3"/>
      <c r="U182" s="155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55"/>
      <c r="P183" s="3"/>
      <c r="Q183" s="3"/>
      <c r="R183" s="3"/>
      <c r="S183" s="3"/>
      <c r="T183" s="3"/>
      <c r="U183" s="155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55"/>
      <c r="P184" s="3"/>
      <c r="Q184" s="3"/>
      <c r="R184" s="3"/>
      <c r="S184" s="3"/>
      <c r="T184" s="3"/>
      <c r="U184" s="155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55"/>
      <c r="P185" s="3"/>
      <c r="Q185" s="3"/>
      <c r="R185" s="3"/>
      <c r="S185" s="3"/>
      <c r="T185" s="3"/>
      <c r="U185" s="155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55"/>
      <c r="P186" s="3"/>
      <c r="Q186" s="3"/>
      <c r="R186" s="3"/>
      <c r="S186" s="3"/>
      <c r="T186" s="3"/>
      <c r="U186" s="155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55"/>
      <c r="P187" s="3"/>
      <c r="Q187" s="3"/>
      <c r="R187" s="3"/>
      <c r="S187" s="3"/>
      <c r="T187" s="3"/>
      <c r="U187" s="155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55"/>
      <c r="P188" s="3"/>
      <c r="Q188" s="3"/>
      <c r="R188" s="3"/>
      <c r="S188" s="3"/>
      <c r="T188" s="3"/>
      <c r="U188" s="155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55"/>
      <c r="P189" s="3"/>
      <c r="Q189" s="3"/>
      <c r="R189" s="3"/>
      <c r="S189" s="3"/>
      <c r="T189" s="3"/>
      <c r="U189" s="155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55"/>
      <c r="P190" s="3"/>
      <c r="Q190" s="3"/>
      <c r="R190" s="3"/>
      <c r="S190" s="3"/>
      <c r="T190" s="3"/>
      <c r="U190" s="155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55"/>
      <c r="P191" s="3"/>
      <c r="Q191" s="3"/>
      <c r="R191" s="3"/>
      <c r="S191" s="3"/>
      <c r="T191" s="3"/>
      <c r="U191" s="155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55"/>
      <c r="P192" s="3"/>
      <c r="Q192" s="3"/>
      <c r="R192" s="3"/>
      <c r="S192" s="3"/>
      <c r="T192" s="3"/>
      <c r="U192" s="155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55"/>
      <c r="P193" s="3"/>
      <c r="Q193" s="3"/>
      <c r="R193" s="3"/>
      <c r="S193" s="3"/>
      <c r="T193" s="3"/>
      <c r="U193" s="155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55"/>
      <c r="P194" s="3"/>
      <c r="Q194" s="3"/>
      <c r="R194" s="3"/>
      <c r="S194" s="3"/>
      <c r="T194" s="3"/>
      <c r="U194" s="155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55"/>
      <c r="P195" s="3"/>
      <c r="Q195" s="3"/>
      <c r="R195" s="3"/>
      <c r="S195" s="3"/>
      <c r="T195" s="3"/>
      <c r="U195" s="155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55"/>
      <c r="P196" s="3"/>
      <c r="Q196" s="3"/>
      <c r="R196" s="3"/>
      <c r="S196" s="3"/>
      <c r="T196" s="3"/>
      <c r="U196" s="155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55"/>
      <c r="P197" s="3"/>
      <c r="Q197" s="3"/>
      <c r="R197" s="3"/>
      <c r="S197" s="3"/>
      <c r="T197" s="3"/>
      <c r="U197" s="155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55"/>
      <c r="P198" s="3"/>
      <c r="Q198" s="3"/>
      <c r="R198" s="3"/>
      <c r="S198" s="3"/>
      <c r="T198" s="3"/>
      <c r="U198" s="155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55"/>
      <c r="P199" s="3"/>
      <c r="Q199" s="3"/>
      <c r="R199" s="3"/>
      <c r="S199" s="3"/>
      <c r="T199" s="3"/>
      <c r="U199" s="155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55"/>
      <c r="P200" s="3"/>
      <c r="Q200" s="3"/>
      <c r="R200" s="3"/>
      <c r="S200" s="3"/>
      <c r="T200" s="3"/>
      <c r="U200" s="155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55"/>
      <c r="P201" s="3"/>
      <c r="Q201" s="3"/>
      <c r="R201" s="3"/>
      <c r="S201" s="3"/>
      <c r="T201" s="3"/>
      <c r="U201" s="155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55"/>
      <c r="P202" s="3"/>
      <c r="Q202" s="3"/>
      <c r="R202" s="3"/>
      <c r="S202" s="3"/>
      <c r="T202" s="3"/>
      <c r="U202" s="155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55"/>
      <c r="P203" s="3"/>
      <c r="Q203" s="3"/>
      <c r="R203" s="3"/>
      <c r="S203" s="3"/>
      <c r="T203" s="3"/>
      <c r="U203" s="155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55"/>
      <c r="P204" s="3"/>
      <c r="Q204" s="3"/>
      <c r="R204" s="3"/>
      <c r="S204" s="3"/>
      <c r="T204" s="3"/>
      <c r="U204" s="155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55"/>
      <c r="P205" s="3"/>
      <c r="Q205" s="3"/>
      <c r="R205" s="3"/>
      <c r="S205" s="3"/>
      <c r="T205" s="3"/>
      <c r="U205" s="155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55"/>
      <c r="P206" s="3"/>
      <c r="Q206" s="3"/>
      <c r="R206" s="3"/>
      <c r="S206" s="3"/>
      <c r="T206" s="3"/>
      <c r="U206" s="155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55"/>
      <c r="P207" s="3"/>
      <c r="Q207" s="3"/>
      <c r="R207" s="3"/>
      <c r="S207" s="3"/>
      <c r="T207" s="3"/>
      <c r="U207" s="155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55"/>
      <c r="P208" s="3"/>
      <c r="Q208" s="3"/>
      <c r="R208" s="3"/>
      <c r="S208" s="3"/>
      <c r="T208" s="3"/>
      <c r="U208" s="155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55"/>
      <c r="P209" s="3"/>
      <c r="Q209" s="3"/>
      <c r="R209" s="3"/>
      <c r="S209" s="3"/>
      <c r="T209" s="3"/>
      <c r="U209" s="155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55"/>
      <c r="P210" s="3"/>
      <c r="Q210" s="3"/>
      <c r="R210" s="3"/>
      <c r="S210" s="3"/>
      <c r="T210" s="3"/>
      <c r="U210" s="155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55"/>
      <c r="P211" s="3"/>
      <c r="Q211" s="3"/>
      <c r="R211" s="3"/>
      <c r="S211" s="3"/>
      <c r="T211" s="3"/>
      <c r="U211" s="155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55"/>
      <c r="P212" s="3"/>
      <c r="Q212" s="3"/>
      <c r="R212" s="3"/>
      <c r="S212" s="3"/>
      <c r="T212" s="3"/>
      <c r="U212" s="155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55"/>
      <c r="P213" s="3"/>
      <c r="Q213" s="3"/>
      <c r="R213" s="3"/>
      <c r="S213" s="3"/>
      <c r="T213" s="3"/>
      <c r="U213" s="155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55"/>
      <c r="P214" s="3"/>
      <c r="Q214" s="3"/>
      <c r="R214" s="3"/>
      <c r="S214" s="3"/>
      <c r="T214" s="3"/>
      <c r="U214" s="155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55"/>
      <c r="P215" s="3"/>
      <c r="Q215" s="3"/>
      <c r="R215" s="3"/>
      <c r="S215" s="3"/>
      <c r="T215" s="3"/>
      <c r="U215" s="155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55"/>
      <c r="P216" s="3"/>
      <c r="Q216" s="3"/>
      <c r="R216" s="3"/>
      <c r="S216" s="3"/>
      <c r="T216" s="3"/>
      <c r="U216" s="155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55"/>
      <c r="P217" s="3"/>
      <c r="Q217" s="3"/>
      <c r="R217" s="3"/>
      <c r="S217" s="3"/>
      <c r="T217" s="3"/>
      <c r="U217" s="155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55"/>
      <c r="P218" s="3"/>
      <c r="Q218" s="3"/>
      <c r="R218" s="3"/>
      <c r="S218" s="3"/>
      <c r="T218" s="3"/>
      <c r="U218" s="155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55"/>
      <c r="P219" s="3"/>
      <c r="Q219" s="3"/>
      <c r="R219" s="3"/>
      <c r="S219" s="3"/>
      <c r="T219" s="3"/>
      <c r="U219" s="155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55"/>
      <c r="P220" s="3"/>
      <c r="Q220" s="3"/>
      <c r="R220" s="3"/>
      <c r="S220" s="3"/>
      <c r="T220" s="3"/>
      <c r="U220" s="155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55"/>
      <c r="P221" s="3"/>
      <c r="Q221" s="3"/>
      <c r="R221" s="3"/>
      <c r="S221" s="3"/>
      <c r="T221" s="3"/>
      <c r="U221" s="155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55"/>
      <c r="P222" s="3"/>
      <c r="Q222" s="3"/>
      <c r="R222" s="3"/>
      <c r="S222" s="3"/>
      <c r="T222" s="3"/>
      <c r="U222" s="155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55"/>
      <c r="P223" s="3"/>
      <c r="Q223" s="3"/>
      <c r="R223" s="3"/>
      <c r="S223" s="3"/>
      <c r="T223" s="3"/>
      <c r="U223" s="155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55"/>
      <c r="P224" s="3"/>
      <c r="Q224" s="3"/>
      <c r="R224" s="3"/>
      <c r="S224" s="3"/>
      <c r="T224" s="3"/>
      <c r="U224" s="155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55"/>
      <c r="P225" s="3"/>
      <c r="Q225" s="3"/>
      <c r="R225" s="3"/>
      <c r="S225" s="3"/>
      <c r="T225" s="3"/>
      <c r="U225" s="155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55"/>
      <c r="P226" s="3"/>
      <c r="Q226" s="3"/>
      <c r="R226" s="3"/>
      <c r="S226" s="3"/>
      <c r="T226" s="3"/>
      <c r="U226" s="155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55"/>
      <c r="P227" s="3"/>
      <c r="Q227" s="3"/>
      <c r="R227" s="3"/>
      <c r="S227" s="3"/>
      <c r="T227" s="3"/>
      <c r="U227" s="155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55"/>
      <c r="P228" s="3"/>
      <c r="Q228" s="3"/>
      <c r="R228" s="3"/>
      <c r="S228" s="3"/>
      <c r="T228" s="3"/>
      <c r="U228" s="155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55"/>
      <c r="P229" s="3"/>
      <c r="Q229" s="3"/>
      <c r="R229" s="3"/>
      <c r="S229" s="3"/>
      <c r="T229" s="3"/>
      <c r="U229" s="155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55"/>
      <c r="P230" s="3"/>
      <c r="Q230" s="3"/>
      <c r="R230" s="3"/>
      <c r="S230" s="3"/>
      <c r="T230" s="3"/>
      <c r="U230" s="155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55"/>
      <c r="P231" s="3"/>
      <c r="Q231" s="3"/>
      <c r="R231" s="3"/>
      <c r="S231" s="3"/>
      <c r="T231" s="3"/>
      <c r="U231" s="155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55"/>
      <c r="P232" s="3"/>
      <c r="Q232" s="3"/>
      <c r="R232" s="3"/>
      <c r="S232" s="3"/>
      <c r="T232" s="3"/>
      <c r="U232" s="155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55"/>
      <c r="P233" s="3"/>
      <c r="Q233" s="3"/>
      <c r="R233" s="3"/>
      <c r="S233" s="3"/>
      <c r="T233" s="3"/>
      <c r="U233" s="155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55"/>
      <c r="P234" s="3"/>
      <c r="Q234" s="3"/>
      <c r="R234" s="3"/>
      <c r="S234" s="3"/>
      <c r="T234" s="3"/>
      <c r="U234" s="155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55"/>
      <c r="P235" s="3"/>
      <c r="Q235" s="3"/>
      <c r="R235" s="3"/>
      <c r="S235" s="3"/>
      <c r="T235" s="3"/>
      <c r="U235" s="155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55"/>
      <c r="P236" s="3"/>
      <c r="Q236" s="3"/>
      <c r="R236" s="3"/>
      <c r="S236" s="3"/>
      <c r="T236" s="3"/>
      <c r="U236" s="155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55"/>
      <c r="P237" s="3"/>
      <c r="Q237" s="3"/>
      <c r="R237" s="3"/>
      <c r="S237" s="3"/>
      <c r="T237" s="3"/>
      <c r="U237" s="155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55"/>
      <c r="P238" s="3"/>
      <c r="Q238" s="3"/>
      <c r="R238" s="3"/>
      <c r="S238" s="3"/>
      <c r="T238" s="3"/>
      <c r="U238" s="155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55"/>
      <c r="P239" s="3"/>
      <c r="Q239" s="3"/>
      <c r="R239" s="3"/>
      <c r="S239" s="3"/>
      <c r="T239" s="3"/>
      <c r="U239" s="155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55"/>
      <c r="P240" s="3"/>
      <c r="Q240" s="3"/>
      <c r="R240" s="3"/>
      <c r="S240" s="3"/>
      <c r="T240" s="3"/>
      <c r="U240" s="155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55"/>
      <c r="P241" s="3"/>
      <c r="Q241" s="3"/>
      <c r="R241" s="3"/>
      <c r="S241" s="3"/>
      <c r="T241" s="3"/>
      <c r="U241" s="155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55"/>
      <c r="P242" s="3"/>
      <c r="Q242" s="3"/>
      <c r="R242" s="3"/>
      <c r="S242" s="3"/>
      <c r="T242" s="3"/>
      <c r="U242" s="155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55"/>
      <c r="P243" s="3"/>
      <c r="Q243" s="3"/>
      <c r="R243" s="3"/>
      <c r="S243" s="3"/>
      <c r="T243" s="3"/>
      <c r="U243" s="155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55"/>
      <c r="P244" s="3"/>
      <c r="Q244" s="3"/>
      <c r="R244" s="3"/>
      <c r="S244" s="3"/>
      <c r="T244" s="3"/>
      <c r="U244" s="155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55"/>
      <c r="P245" s="3"/>
      <c r="Q245" s="3"/>
      <c r="R245" s="3"/>
      <c r="S245" s="3"/>
      <c r="T245" s="3"/>
      <c r="U245" s="155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55"/>
      <c r="P246" s="3"/>
      <c r="Q246" s="3"/>
      <c r="R246" s="3"/>
      <c r="S246" s="3"/>
      <c r="T246" s="3"/>
      <c r="U246" s="155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55"/>
      <c r="P247" s="3"/>
      <c r="Q247" s="3"/>
      <c r="R247" s="3"/>
      <c r="S247" s="3"/>
      <c r="T247" s="3"/>
      <c r="U247" s="155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55"/>
      <c r="P248" s="3"/>
      <c r="Q248" s="3"/>
      <c r="R248" s="3"/>
      <c r="S248" s="3"/>
      <c r="T248" s="3"/>
      <c r="U248" s="155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55"/>
      <c r="P249" s="3"/>
      <c r="Q249" s="3"/>
      <c r="R249" s="3"/>
      <c r="S249" s="3"/>
      <c r="T249" s="3"/>
      <c r="U249" s="155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55"/>
      <c r="P250" s="3"/>
      <c r="Q250" s="3"/>
      <c r="R250" s="3"/>
      <c r="S250" s="3"/>
      <c r="T250" s="3"/>
      <c r="U250" s="155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55"/>
      <c r="P251" s="3"/>
      <c r="Q251" s="3"/>
      <c r="R251" s="3"/>
      <c r="S251" s="3"/>
      <c r="T251" s="3"/>
      <c r="U251" s="155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55"/>
      <c r="P252" s="3"/>
      <c r="Q252" s="3"/>
      <c r="R252" s="3"/>
      <c r="S252" s="3"/>
      <c r="T252" s="3"/>
      <c r="U252" s="155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55"/>
      <c r="P253" s="3"/>
      <c r="Q253" s="3"/>
      <c r="R253" s="3"/>
      <c r="S253" s="3"/>
      <c r="T253" s="3"/>
      <c r="U253" s="155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55"/>
      <c r="P254" s="3"/>
      <c r="Q254" s="3"/>
      <c r="R254" s="3"/>
      <c r="S254" s="3"/>
      <c r="T254" s="3"/>
      <c r="U254" s="155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55"/>
      <c r="P255" s="3"/>
      <c r="Q255" s="3"/>
      <c r="R255" s="3"/>
      <c r="S255" s="3"/>
      <c r="T255" s="3"/>
      <c r="U255" s="155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55"/>
      <c r="P256" s="3"/>
      <c r="Q256" s="3"/>
      <c r="R256" s="3"/>
      <c r="S256" s="3"/>
      <c r="T256" s="3"/>
      <c r="U256" s="155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55"/>
      <c r="P257" s="3"/>
      <c r="Q257" s="3"/>
      <c r="R257" s="3"/>
      <c r="S257" s="3"/>
      <c r="T257" s="3"/>
      <c r="U257" s="155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55"/>
      <c r="P258" s="3"/>
      <c r="Q258" s="3"/>
      <c r="R258" s="3"/>
      <c r="S258" s="3"/>
      <c r="T258" s="3"/>
      <c r="U258" s="155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55"/>
      <c r="P259" s="3"/>
      <c r="Q259" s="3"/>
      <c r="R259" s="3"/>
      <c r="S259" s="3"/>
      <c r="T259" s="3"/>
      <c r="U259" s="155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55"/>
      <c r="P260" s="3"/>
      <c r="Q260" s="3"/>
      <c r="R260" s="3"/>
      <c r="S260" s="3"/>
      <c r="T260" s="3"/>
      <c r="U260" s="155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55"/>
      <c r="P261" s="3"/>
      <c r="Q261" s="3"/>
      <c r="R261" s="3"/>
      <c r="S261" s="3"/>
      <c r="T261" s="3"/>
      <c r="U261" s="155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55"/>
      <c r="P262" s="3"/>
      <c r="Q262" s="3"/>
      <c r="R262" s="3"/>
      <c r="S262" s="3"/>
      <c r="T262" s="3"/>
      <c r="U262" s="155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55"/>
      <c r="P263" s="3"/>
      <c r="Q263" s="3"/>
      <c r="R263" s="3"/>
      <c r="S263" s="3"/>
      <c r="T263" s="3"/>
      <c r="U263" s="155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55"/>
      <c r="P264" s="3"/>
      <c r="Q264" s="3"/>
      <c r="R264" s="3"/>
      <c r="S264" s="3"/>
      <c r="T264" s="3"/>
      <c r="U264" s="155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55"/>
      <c r="P265" s="3"/>
      <c r="Q265" s="3"/>
      <c r="R265" s="3"/>
      <c r="S265" s="3"/>
      <c r="T265" s="3"/>
      <c r="U265" s="155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55"/>
      <c r="P266" s="3"/>
      <c r="Q266" s="3"/>
      <c r="R266" s="3"/>
      <c r="S266" s="3"/>
      <c r="T266" s="3"/>
      <c r="U266" s="155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55"/>
      <c r="P267" s="3"/>
      <c r="Q267" s="3"/>
      <c r="R267" s="3"/>
      <c r="S267" s="3"/>
      <c r="T267" s="3"/>
      <c r="U267" s="155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55"/>
      <c r="P268" s="3"/>
      <c r="Q268" s="3"/>
      <c r="R268" s="3"/>
      <c r="S268" s="3"/>
      <c r="T268" s="3"/>
      <c r="U268" s="155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55"/>
      <c r="P269" s="3"/>
      <c r="Q269" s="3"/>
      <c r="R269" s="3"/>
      <c r="S269" s="3"/>
      <c r="T269" s="3"/>
      <c r="U269" s="155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55"/>
      <c r="P270" s="3"/>
      <c r="Q270" s="3"/>
      <c r="R270" s="3"/>
      <c r="S270" s="3"/>
      <c r="T270" s="3"/>
      <c r="U270" s="155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55"/>
      <c r="P271" s="3"/>
      <c r="Q271" s="3"/>
      <c r="R271" s="3"/>
      <c r="S271" s="3"/>
      <c r="T271" s="3"/>
      <c r="U271" s="155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55"/>
      <c r="P272" s="3"/>
      <c r="Q272" s="3"/>
      <c r="R272" s="3"/>
      <c r="S272" s="3"/>
      <c r="T272" s="3"/>
      <c r="U272" s="155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55"/>
      <c r="P273" s="3"/>
      <c r="Q273" s="3"/>
      <c r="R273" s="3"/>
      <c r="S273" s="3"/>
      <c r="T273" s="3"/>
      <c r="U273" s="155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55"/>
      <c r="P274" s="3"/>
      <c r="Q274" s="3"/>
      <c r="R274" s="3"/>
      <c r="S274" s="3"/>
      <c r="T274" s="3"/>
      <c r="U274" s="155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</row>
    <row r="1001" ht="15.75" customHeight="1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</row>
    <row r="1002" ht="15.75" customHeight="1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</row>
    <row r="1003" ht="15.75" customHeight="1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</row>
    <row r="1004" ht="15.75" customHeight="1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</row>
    <row r="1005" ht="15.75" customHeight="1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</row>
  </sheetData>
  <conditionalFormatting sqref="B17:AI20">
    <cfRule type="expression" dxfId="1" priority="1">
      <formula>AND(#REF!="Вышло",N(#REF!)=0,N(#REF!)=0)</formula>
    </cfRule>
  </conditionalFormatting>
  <conditionalFormatting sqref="B17:AI20">
    <cfRule type="expression" dxfId="0" priority="2">
      <formula>AND(#REF!="Вышло",#REF!="")</formula>
    </cfRule>
  </conditionalFormatting>
  <conditionalFormatting sqref="B17:AI20">
    <cfRule type="expression" dxfId="1" priority="3">
      <formula>AND(#REF!="Вышло",N(#REF!)=0,N(#REF!)=0)</formula>
    </cfRule>
  </conditionalFormatting>
  <conditionalFormatting sqref="B17:AI20">
    <cfRule type="expression" dxfId="0" priority="4">
      <formula>AND(#REF!="Вышло",#REF!="")</formula>
    </cfRule>
  </conditionalFormatting>
  <conditionalFormatting sqref="B17:AD20">
    <cfRule type="expression" dxfId="1" priority="5">
      <formula>AND(#REF!="Вышло",N(#REF!)=0,N(#REF!)=0)</formula>
    </cfRule>
  </conditionalFormatting>
  <conditionalFormatting sqref="B17:AD20">
    <cfRule type="expression" dxfId="0" priority="6">
      <formula>AND(#REF!="Вышло",#REF!="")</formula>
    </cfRule>
  </conditionalFormatting>
  <conditionalFormatting sqref="B17:AD20">
    <cfRule type="expression" dxfId="1" priority="7">
      <formula>AND(#REF!="Вышло",N(#REF!)=0,N(#REF!)=0)</formula>
    </cfRule>
  </conditionalFormatting>
  <conditionalFormatting sqref="B17:AD20">
    <cfRule type="expression" dxfId="0" priority="8">
      <formula>AND(#REF!="Вышло",#REF!="")</formula>
    </cfRule>
  </conditionalFormatting>
  <conditionalFormatting sqref="B17:AD20">
    <cfRule type="expression" dxfId="3" priority="9">
      <formula>AND(#REF!="Вышло",N(#REF!)=0,N(#REF!)=0)</formula>
    </cfRule>
  </conditionalFormatting>
  <conditionalFormatting sqref="B17:AD20">
    <cfRule type="expression" dxfId="0" priority="10">
      <formula>AND(#REF!="Вышло",#REF!="")</formula>
    </cfRule>
  </conditionalFormatting>
  <conditionalFormatting sqref="A17:AD20">
    <cfRule type="expression" dxfId="1" priority="11">
      <formula>AND(#REF!="Вышло",N(#REF!)=0,N(#REF!)=0)</formula>
    </cfRule>
  </conditionalFormatting>
  <conditionalFormatting sqref="A17:AD20">
    <cfRule type="expression" dxfId="0" priority="12">
      <formula>AND(#REF!="Вышло",#REF!="")</formula>
    </cfRule>
  </conditionalFormatting>
  <conditionalFormatting sqref="A17:AD20">
    <cfRule type="expression" dxfId="1" priority="13">
      <formula>AND(#REF!="Вышло",N(#REF!)=0,N(#REF!)=0)</formula>
    </cfRule>
  </conditionalFormatting>
  <conditionalFormatting sqref="A17:AD20">
    <cfRule type="expression" dxfId="0" priority="14">
      <formula>AND(#REF!="Вышло",#REF!="")</formula>
    </cfRule>
  </conditionalFormatting>
  <conditionalFormatting sqref="D17">
    <cfRule type="expression" dxfId="1" priority="15">
      <formula>AND(#REF!="Вышло",N(#REF!)=0,N(#REF!)=0)</formula>
    </cfRule>
  </conditionalFormatting>
  <conditionalFormatting sqref="D17">
    <cfRule type="expression" dxfId="0" priority="16">
      <formula>AND(#REF!="Вышло",#REF!="")</formula>
    </cfRule>
  </conditionalFormatting>
  <conditionalFormatting sqref="D17">
    <cfRule type="expression" dxfId="3" priority="17">
      <formula>AND(#REF!="Вышло",N(#REF!)=0,N(#REF!)=0)</formula>
    </cfRule>
  </conditionalFormatting>
  <conditionalFormatting sqref="D17">
    <cfRule type="expression" dxfId="0" priority="18">
      <formula>AND(#REF!="Вышло",#REF!="")</formula>
    </cfRule>
  </conditionalFormatting>
  <conditionalFormatting sqref="A17:AI20">
    <cfRule type="expression" dxfId="1" priority="19">
      <formula>AND(#REF!="Вышло",N(#REF!)=0,N(#REF!)=0)</formula>
    </cfRule>
  </conditionalFormatting>
  <conditionalFormatting sqref="A17:AI20">
    <cfRule type="expression" dxfId="0" priority="20">
      <formula>AND(#REF!="Вышло",#REF!="")</formula>
    </cfRule>
  </conditionalFormatting>
  <conditionalFormatting sqref="A17:AI20">
    <cfRule type="expression" dxfId="1" priority="21">
      <formula>AND(#REF!="Вышло",N(#REF!)=0,N(#REF!)=0)</formula>
    </cfRule>
  </conditionalFormatting>
  <conditionalFormatting sqref="A17:AI20">
    <cfRule type="expression" dxfId="0" priority="22">
      <formula>AND(#REF!="Вышло",#REF!="")</formula>
    </cfRule>
  </conditionalFormatting>
  <conditionalFormatting sqref="A14:G16 H14:H20 I14:AD16">
    <cfRule type="expression" dxfId="3" priority="23">
      <formula>AND(#REF!="Вышло",N(#REF!)=0,N(#REF!)=0)</formula>
    </cfRule>
  </conditionalFormatting>
  <conditionalFormatting sqref="A14:G16 H14:H20 I14:AD16">
    <cfRule type="expression" dxfId="0" priority="24">
      <formula>AND(#REF!="Вышло",#REF!="")</formula>
    </cfRule>
  </conditionalFormatting>
  <conditionalFormatting sqref="C14:C16 F14:F16 M15 P14:Q16 Y14:Z16">
    <cfRule type="expression" dxfId="1" priority="25">
      <formula>AND(#REF!="Вышло",N(#REF!)=0,N(#REF!)=0)</formula>
    </cfRule>
  </conditionalFormatting>
  <conditionalFormatting sqref="C14:C16 F14:F16 M15 P14:Q16 Y14:Z16">
    <cfRule type="expression" dxfId="0" priority="26">
      <formula>AND(#REF!="Вышло",#REF!="")</formula>
    </cfRule>
  </conditionalFormatting>
  <conditionalFormatting sqref="C14:C16 F14:F16 M15 P14:Q16 Y14:Z16">
    <cfRule type="expression" dxfId="1" priority="27">
      <formula>AND(#REF!="Вышло",N(#REF!)=0,N(#REF!)=0)</formula>
    </cfRule>
  </conditionalFormatting>
  <conditionalFormatting sqref="C14:C16 F14:F16 M15 P14:Q16 Y14:Z16">
    <cfRule type="expression" dxfId="0" priority="28">
      <formula>AND(#REF!="Вышло",#REF!="")</formula>
    </cfRule>
  </conditionalFormatting>
  <conditionalFormatting sqref="C14:C16 F14:F16 M15 P14:Q16 Y14:Z16">
    <cfRule type="expression" dxfId="1" priority="29">
      <formula>AND(#REF!="Вышло",N(#REF!)=0,N(#REF!)=0)</formula>
    </cfRule>
  </conditionalFormatting>
  <conditionalFormatting sqref="C14:C16 F14:F16 M15 P14:Q16 Y14:Z16">
    <cfRule type="expression" dxfId="0" priority="30">
      <formula>AND(#REF!="Вышло",#REF!="")</formula>
    </cfRule>
  </conditionalFormatting>
  <conditionalFormatting sqref="B14:F16 M15 P14:Q16 Y14:Z16">
    <cfRule type="expression" dxfId="1" priority="31">
      <formula>AND(#REF!="Вышло",N(#REF!)=0,N(#REF!)=0)</formula>
    </cfRule>
  </conditionalFormatting>
  <conditionalFormatting sqref="B14:F16 M15 P14:Q16 Y14:Z16">
    <cfRule type="expression" dxfId="0" priority="32">
      <formula>AND(#REF!="Вышло",#REF!="")</formula>
    </cfRule>
  </conditionalFormatting>
  <conditionalFormatting sqref="B14:C16 D16 M14:M16 P14:Q16 Y14:Z16">
    <cfRule type="expression" dxfId="1" priority="33">
      <formula>AND(#REF!="Вышло",N(#REF!)=0,N(#REF!)=0)</formula>
    </cfRule>
  </conditionalFormatting>
  <conditionalFormatting sqref="B14:C16 D16 M14:M16 P14:Q16 Y14:Z16">
    <cfRule type="expression" dxfId="0" priority="34">
      <formula>AND(#REF!="Вышло",#REF!="")</formula>
    </cfRule>
  </conditionalFormatting>
  <conditionalFormatting sqref="A14:G16 H14:H20 I14:AD16">
    <cfRule type="expression" dxfId="1" priority="35">
      <formula>AND(#REF!="Вышло",N(#REF!)=0,N(#REF!)=0)</formula>
    </cfRule>
  </conditionalFormatting>
  <conditionalFormatting sqref="A14:G16 H14:H20 I14:AI16">
    <cfRule type="expression" dxfId="1" priority="36">
      <formula>AND(#REF!="Вышло",N(#REF!)=0,N(#REF!)=0)</formula>
    </cfRule>
  </conditionalFormatting>
  <conditionalFormatting sqref="A14:G16 H14:H20 I14:AI16">
    <cfRule type="expression" dxfId="0" priority="37">
      <formula>AND(#REF!="Вышло",#REF!="")</formula>
    </cfRule>
  </conditionalFormatting>
  <conditionalFormatting sqref="A14:G16 H14:H20 I14:AI16">
    <cfRule type="expression" dxfId="1" priority="38">
      <formula>AND(#REF!="Вышло",N(#REF!)=0,N(#REF!)=0)</formula>
    </cfRule>
  </conditionalFormatting>
  <conditionalFormatting sqref="A14:G16 H14:H20 I14:AI16">
    <cfRule type="expression" dxfId="0" priority="39">
      <formula>AND(#REF!="Вышло",#REF!="")</formula>
    </cfRule>
  </conditionalFormatting>
  <conditionalFormatting sqref="A14:G16 H14:H20 I14:AD16">
    <cfRule type="expression" dxfId="1" priority="40">
      <formula>AND(#REF!="Вышло",N(#REF!)=0,N(#REF!)=0)</formula>
    </cfRule>
  </conditionalFormatting>
  <conditionalFormatting sqref="A14:G16 H14:H20 I14:AD16">
    <cfRule type="expression" dxfId="0" priority="41">
      <formula>AND(#REF!="Вышло",#REF!="")</formula>
    </cfRule>
  </conditionalFormatting>
  <conditionalFormatting sqref="A14:G16 H14:H20 I14:AD16">
    <cfRule type="expression" dxfId="1" priority="42">
      <formula>AND(#REF!="Вышло",N(#REF!)=0,N(#REF!)=0)</formula>
    </cfRule>
  </conditionalFormatting>
  <conditionalFormatting sqref="A14:G16 H14:H20 I14:AD16">
    <cfRule type="expression" dxfId="0" priority="43">
      <formula>AND(#REF!="Вышло",#REF!="")</formula>
    </cfRule>
  </conditionalFormatting>
  <conditionalFormatting sqref="A14:G16 H14:H20 I14:AD16">
    <cfRule type="expression" dxfId="3" priority="44">
      <formula>AND(#REF!="Вышло",N(#REF!)=0,N(#REF!)=0)</formula>
    </cfRule>
  </conditionalFormatting>
  <conditionalFormatting sqref="A14:G16 H14:H20 I14:AD16">
    <cfRule type="expression" dxfId="0" priority="45">
      <formula>AND(#REF!="Вышло",#REF!="")</formula>
    </cfRule>
  </conditionalFormatting>
  <conditionalFormatting sqref="C14:C16 P14:Q16 Y14:Z16">
    <cfRule type="expression" dxfId="0" priority="46">
      <formula>AND(#REF!="Вышло",#REF!="")</formula>
    </cfRule>
  </conditionalFormatting>
  <conditionalFormatting sqref="C14:C16 P14:Q16 Y14:Z16">
    <cfRule type="expression" dxfId="3" priority="47">
      <formula>AND($G14="Вышло",N($AA14)=0,N($U14)=0)</formula>
    </cfRule>
  </conditionalFormatting>
  <conditionalFormatting sqref="Q14:Q16">
    <cfRule type="expression" dxfId="3" priority="48">
      <formula>AND(#REF!="Вышло",N(#REF!)=0,N(#REF!)=0)</formula>
    </cfRule>
  </conditionalFormatting>
  <conditionalFormatting sqref="Q14:Q16">
    <cfRule type="expression" dxfId="0" priority="49">
      <formula>AND(#REF!="Вышло",#REF!="")</formula>
    </cfRule>
  </conditionalFormatting>
  <conditionalFormatting sqref="Q14:Q16">
    <cfRule type="expression" dxfId="1" priority="50">
      <formula>AND(#REF!="Вышло",N(#REF!)=0,N(#REF!)=0)</formula>
    </cfRule>
  </conditionalFormatting>
  <conditionalFormatting sqref="Q14:Q16">
    <cfRule type="expression" dxfId="0" priority="51">
      <formula>AND(#REF!="Вышло",#REF!="")</formula>
    </cfRule>
  </conditionalFormatting>
  <conditionalFormatting sqref="Q14:Q16">
    <cfRule type="expression" dxfId="1" priority="52">
      <formula>AND(#REF!="Вышло",N(#REF!)=0,N(#REF!)=0)</formula>
    </cfRule>
  </conditionalFormatting>
  <conditionalFormatting sqref="Q14:Q16">
    <cfRule type="expression" dxfId="0" priority="53">
      <formula>AND(#REF!="Вышло",#REF!="")</formula>
    </cfRule>
  </conditionalFormatting>
  <conditionalFormatting sqref="Q14:Q16">
    <cfRule type="expression" dxfId="1" priority="54">
      <formula>AND(#REF!="Вышло",N(#REF!)=0,N(#REF!)=0)</formula>
    </cfRule>
  </conditionalFormatting>
  <conditionalFormatting sqref="Q14:Q16">
    <cfRule type="expression" dxfId="0" priority="55">
      <formula>AND(#REF!="Вышло",#REF!="")</formula>
    </cfRule>
  </conditionalFormatting>
  <conditionalFormatting sqref="Q14:Q16">
    <cfRule type="expression" dxfId="0" priority="56">
      <formula>AND(#REF!="Вышло",#REF!="")</formula>
    </cfRule>
  </conditionalFormatting>
  <conditionalFormatting sqref="Q14:Q16">
    <cfRule type="expression" dxfId="1" priority="57">
      <formula>AND(#REF!="Вышло",N(#REF!)=0,N(#REF!)=0)</formula>
    </cfRule>
  </conditionalFormatting>
  <conditionalFormatting sqref="M14:M16">
    <cfRule type="expression" dxfId="0" priority="58">
      <formula>AND(#REF!="Вышло",#REF!="")</formula>
    </cfRule>
  </conditionalFormatting>
  <conditionalFormatting sqref="A14:G16 H14:H20 I14:AD16">
    <cfRule type="expression" dxfId="1" priority="59">
      <formula>AND(#REF!="Вышло",N(#REF!)=0,N(#REF!)=0)</formula>
    </cfRule>
  </conditionalFormatting>
  <conditionalFormatting sqref="A14:G16 H14:H20 I14:AD16">
    <cfRule type="expression" dxfId="0" priority="60">
      <formula>AND(#REF!="Вышло",#REF!="")</formula>
    </cfRule>
  </conditionalFormatting>
  <conditionalFormatting sqref="A14:G16 H14:H20 I14:AD16">
    <cfRule type="expression" dxfId="1" priority="61">
      <formula>AND(#REF!="Вышло",N(#REF!)=0,N(#REF!)=0)</formula>
    </cfRule>
  </conditionalFormatting>
  <conditionalFormatting sqref="A14:G16 H14:H20 I14:AD16">
    <cfRule type="expression" dxfId="0" priority="62">
      <formula>AND(#REF!="Вышло",#REF!="")</formula>
    </cfRule>
  </conditionalFormatting>
  <conditionalFormatting sqref="C14:C16">
    <cfRule type="expression" dxfId="3" priority="63">
      <formula>AND(#REF!="Вышло",N(#REF!)=0,N(#REF!)=0)</formula>
    </cfRule>
  </conditionalFormatting>
  <conditionalFormatting sqref="A14:G16 H14:H20 I14:AI16">
    <cfRule type="expression" dxfId="1" priority="64">
      <formula>AND(#REF!="Вышло",N(#REF!)=0,N(#REF!)=0)</formula>
    </cfRule>
  </conditionalFormatting>
  <conditionalFormatting sqref="A14:G16 H14:H20 I14:AI16">
    <cfRule type="expression" dxfId="0" priority="65">
      <formula>AND(#REF!="Вышло",#REF!="")</formula>
    </cfRule>
  </conditionalFormatting>
  <conditionalFormatting sqref="A14:G16 H14:H20 I14:AI16">
    <cfRule type="expression" dxfId="1" priority="66">
      <formula>AND(#REF!="Вышло",N(#REF!)=0,N(#REF!)=0)</formula>
    </cfRule>
  </conditionalFormatting>
  <conditionalFormatting sqref="A14:G16 H14:H20 I14:AI16">
    <cfRule type="expression" dxfId="0" priority="67">
      <formula>AND(#REF!="Вышло",#REF!="")</formula>
    </cfRule>
  </conditionalFormatting>
  <conditionalFormatting sqref="Q13 Q21:Q22">
    <cfRule type="expression" dxfId="1" priority="68">
      <formula>AND(#REF!="Вышло",N(#REF!)=0,N(#REF!)=0)</formula>
    </cfRule>
  </conditionalFormatting>
  <conditionalFormatting sqref="Q13 Q21:Q22">
    <cfRule type="expression" dxfId="0" priority="69">
      <formula>AND(#REF!="Вышло",#REF!="")</formula>
    </cfRule>
  </conditionalFormatting>
  <conditionalFormatting sqref="Q13 Q21:Q22">
    <cfRule type="expression" dxfId="0" priority="70">
      <formula>AND(#REF!="Вышло",#REF!="")</formula>
    </cfRule>
  </conditionalFormatting>
  <conditionalFormatting sqref="Q13 Q21:Q22">
    <cfRule type="expression" dxfId="1" priority="71">
      <formula>AND(#REF!="Вышло",N(#REF!)=0,N(#REF!)=0)</formula>
    </cfRule>
  </conditionalFormatting>
  <conditionalFormatting sqref="Q13 Q21:Q22">
    <cfRule type="expression" dxfId="0" priority="72">
      <formula>AND(#REF!="Вышло",#REF!="")</formula>
    </cfRule>
  </conditionalFormatting>
  <conditionalFormatting sqref="Q13 Q21:Q22">
    <cfRule type="expression" dxfId="0" priority="73">
      <formula>AND(#REF!="Вышло",#REF!="")</formula>
    </cfRule>
  </conditionalFormatting>
  <conditionalFormatting sqref="Q13 Q21:Q22">
    <cfRule type="expression" dxfId="1" priority="74">
      <formula>AND(#REF!="Вышло",N(#REF!)=0,N(#REF!)=0)</formula>
    </cfRule>
  </conditionalFormatting>
  <conditionalFormatting sqref="Q13 Q21:Q22">
    <cfRule type="expression" dxfId="1" priority="75">
      <formula>AND(#REF!="Вышло",N(#REF!)=0,N(#REF!)=0)</formula>
    </cfRule>
  </conditionalFormatting>
  <conditionalFormatting sqref="Q13 Q21:Q22">
    <cfRule type="expression" dxfId="0" priority="76">
      <formula>AND(#REF!="Вышло",#REF!="")</formula>
    </cfRule>
  </conditionalFormatting>
  <conditionalFormatting sqref="Q13 Q21:Q22">
    <cfRule type="expression" dxfId="3" priority="77">
      <formula>AND(#REF!="Вышло",N(#REF!)=0,N(#REF!)=0)</formula>
    </cfRule>
  </conditionalFormatting>
  <conditionalFormatting sqref="P13:Q13 P21:Q22">
    <cfRule type="expression" dxfId="3" priority="78">
      <formula>AND($G13="Вышло",N($AA13)=0,N($U13)=0)</formula>
    </cfRule>
  </conditionalFormatting>
  <conditionalFormatting sqref="A13 A21:A22 B13:B22 C13:AD13 C21:AD22">
    <cfRule type="expression" dxfId="0" priority="79">
      <formula>AND($G4="Вышло",$F4="")</formula>
    </cfRule>
  </conditionalFormatting>
  <conditionalFormatting sqref="A13 A21:A22 B13:B22 C13:AD13 C21:AD22">
    <cfRule type="expression" dxfId="1" priority="80">
      <formula>AND($G4="Вышло",N($AA4)=0,N($U4)=0)</formula>
    </cfRule>
  </conditionalFormatting>
  <conditionalFormatting sqref="A13 A21:A22 B13:B22 C13:AD13 C21:AD22">
    <cfRule type="expression" dxfId="0" priority="81">
      <formula>AND($G4="Вышло",$F4="")</formula>
    </cfRule>
  </conditionalFormatting>
  <conditionalFormatting sqref="A13 A21:A22 B13:B22 C13:AD13 C21:AD22">
    <cfRule type="expression" dxfId="1" priority="82">
      <formula>AND($G4="Вышло",N($AA4)=0,N($U4)=0)</formula>
    </cfRule>
  </conditionalFormatting>
  <conditionalFormatting sqref="A13 A21:A22 B13:B22 C13:AI13 C21:AI22">
    <cfRule type="expression" dxfId="0" priority="83">
      <formula>AND($G4="Вышло",$F4="")</formula>
    </cfRule>
  </conditionalFormatting>
  <conditionalFormatting sqref="A13 A21:A22 B13:B22 C13:AI13 C21:AI22">
    <cfRule type="expression" dxfId="1" priority="84">
      <formula>AND($G4="Вышло",N($AA4)=0,N($U4)=0)</formula>
    </cfRule>
  </conditionalFormatting>
  <conditionalFormatting sqref="A7 L13 L21:L22 P13:Q13 P21:Q22">
    <cfRule type="expression" dxfId="3" priority="85">
      <formula>AND(#REF!="Вышло",N(#REF!)=0,N(#REF!)=0)</formula>
    </cfRule>
  </conditionalFormatting>
  <conditionalFormatting sqref="A7">
    <cfRule type="expression" dxfId="3" priority="86">
      <formula>AND(#REF!="Вышло",N(#REF!)=0,N(#REF!)=0)</formula>
    </cfRule>
  </conditionalFormatting>
  <conditionalFormatting sqref="A7:AB7 A25:A26 A29:D29 A40:A41 A53:A54 B26:D26 B41:D41 B54:D54 F25:F26 F29:H29 F40:F41 F53:F54 G26:H26 G41:H41 G54:H54 J26:AB26 J29:AB29 J41:AB41 J54:AB54 M67">
    <cfRule type="expression" dxfId="0" priority="87">
      <formula>AND($H7="Вышло",$G7="")</formula>
    </cfRule>
  </conditionalFormatting>
  <conditionalFormatting sqref="A7:AB7 A25:A26 A29:D29 A40:A41 A53:A54 B26:D26 B41:D41 B54:D54 F25:F26 F29:H29 F40:F41 F53:F54 G26:H26 G41:H41 G54:H54 J26:AB26 J29:AB29 J41:AB41 J54:AB54 M67">
    <cfRule type="expression" dxfId="3" priority="88">
      <formula>AND($H7="Вышло",N($Y7)=0,N($U7)=0)</formula>
    </cfRule>
  </conditionalFormatting>
  <conditionalFormatting sqref="A8:A13 A21:A23 A25:A38 A40:A65 A73:C73 B10:B64 C10:G13 C21:D64 D66:D73 E21:E24 E29:E39 E41:E64 E73:H73 F21:G64 H10:H64 I10:AB13 I21:AB64 I66:J73 K73 L66:M73 N73:O73 P66:Q73 R73:S73 T66:U73 V73 W66:X73 Y73:AA73 AB66:AB73">
    <cfRule type="expression" dxfId="0" priority="89">
      <formula>AND($H3="Вышло",$G3="")</formula>
    </cfRule>
  </conditionalFormatting>
  <conditionalFormatting sqref="A8:A13 A21:A23 A25:A38 A40:A65 A73:C73 B10:B64 C10:G13 C21:D64 D66:D73 E21:E24 E29:E39 E41:E64 E73:H73 F21:G64 H10:H64 I10:AB13 I21:AB64 I66:J73 K73 L66:M73 N73:O73 P66:Q73 R73:S73 T66:U73 V73 W66:X73 Y73:AA73 AB66:AB73">
    <cfRule type="expression" dxfId="3" priority="90">
      <formula>AND($H3="Вышло",N($Y3)=0,N($U3)=0)</formula>
    </cfRule>
  </conditionalFormatting>
  <conditionalFormatting sqref="A40:AB40">
    <cfRule type="expression" dxfId="0" priority="91">
      <formula>AND($H40="Вышло",$G40="")</formula>
    </cfRule>
  </conditionalFormatting>
  <conditionalFormatting sqref="A40:AB40">
    <cfRule type="expression" dxfId="3" priority="92">
      <formula>AND($H40="Вышло",N($Y40)=0,N($U40)=0)</formula>
    </cfRule>
  </conditionalFormatting>
  <conditionalFormatting sqref="A43:AB55 A65 I66 L66:L67 M66:M68">
    <cfRule type="expression" dxfId="0" priority="93">
      <formula>AND($H43="Вышло",$G43="")</formula>
    </cfRule>
  </conditionalFormatting>
  <conditionalFormatting sqref="A43:AB55 A65 I66 L66:L67 M66:M68">
    <cfRule type="expression" dxfId="3" priority="94">
      <formula>AND($H43="Вышло",N($Y43)=0,N($U43)=0)</formula>
    </cfRule>
  </conditionalFormatting>
  <conditionalFormatting sqref="A7:A13 A21:A23 A25:A26 A29:D29 A38:AB38 A40:A41 A51:AB51 A53:A54 A64:AB64 A73:AB73 B7:B23 B26:D26 B41:D41 B54:D54 C7:G13 C21:G23 F25:F26 F29:H29 F40:F41 F53:F54 G26:H26 G41:H41 G54:H54 H7:H23 I7:AB13 I21:AB23 J26:AB26 J29:AB29 J41:AB41 J54:AB54 M67">
    <cfRule type="expression" dxfId="0" priority="95">
      <formula>AND($H7="Вышло",$G7="")</formula>
    </cfRule>
  </conditionalFormatting>
  <conditionalFormatting sqref="A7:A13 A21:A23 A25:A26 A29:D29 A38:AB38 A40:A41 A51:AB51 A53:A54 A64:AB64 A73:AB73 B7:B23 B26:D26 B41:D41 B54:D54 C7:G13 C21:G23 F25:F26 F29:H29 F40:F41 F53:F54 G26:H26 G41:H41 G54:H54 H7:H23 I7:AB13 I21:AB23 J26:AB26 J29:AB29 J41:AB41 J54:AB54 M67">
    <cfRule type="expression" dxfId="1" priority="96">
      <formula>AND($H7="Вышло",N($Y7)=0,N($U7)=0)</formula>
    </cfRule>
  </conditionalFormatting>
  <conditionalFormatting sqref="A7:A13 A21:A23 A25:A26 A29:D29 A38:AB38 A40:A41 A51:AB51 A53:A54 A64:AB64 A73:AB73 B7:B23 B26:D26 B41:D41 B54:D54 C7:G13 C21:G23 F25:F26 F29:H29 F40:F41 F53:F54 G26:H26 G41:H41 G54:H54 H7:H23 I7:AB13 I21:AB23 J26:AB26 J29:AB29 J41:AB41 J54:AB54 M67">
    <cfRule type="expression" dxfId="0" priority="97">
      <formula>AND($H7="Вышло",$G7="")</formula>
    </cfRule>
  </conditionalFormatting>
  <conditionalFormatting sqref="A7:A13 A21:A23 A25:A26 A29:D29 A38:AB38 A40:A41 A51:AB51 A53:A54 A64:AB64 A73:AB73 B7:B23 B26:D26 B41:D41 B54:D54 C7:G13 C21:G23 F25:F26 F29:H29 F40:F41 F53:F54 G26:H26 G41:H41 G54:H54 H7:H23 I7:AB13 I21:AB23 J26:AB26 J29:AB29 J41:AB41 J54:AB54 M67">
    <cfRule type="expression" dxfId="1" priority="98">
      <formula>AND($H7="Вышло",N($Y7)=0,N($U7)=0)</formula>
    </cfRule>
  </conditionalFormatting>
  <conditionalFormatting sqref="A23 A25:A38 A40:A65 A73 B28:D38 B41:H64 D66:D72 E29:E38 F28:H38 H73 I25:I38 I40:I64 I66:J72 J28:AB38 J41:AB64 L66:M72 P66:Q72 T66:T73 U66:U72 W66:X72 AB66:AB72">
    <cfRule type="expression" dxfId="0" priority="99">
      <formula>AND($H3="Вышло",$G3="")</formula>
    </cfRule>
  </conditionalFormatting>
  <conditionalFormatting sqref="A23 A25:A38 A40:A65 A73 B28:D38 B41:H64 D66:D72 E29:E38 F28:H38 H73 I25:I38 I40:I64 I66:J72 J28:AB38 J41:AB64 L66:M72 P66:Q72 T66:T73 U66:U72 W66:X72 AB66:AB72">
    <cfRule type="expression" dxfId="1" priority="100">
      <formula>AND($H3="Вышло",N($Y3)=0,N($U3)=0)</formula>
    </cfRule>
  </conditionalFormatting>
  <conditionalFormatting sqref="A23 A25:A38 A40:A65 A73 B28:D38 B41:H64 D66:D72 E29:E38 F28:H38 H73 I25:I38 I40:I64 I66:J72 J28:AB38 J41:AB64 L66:M72 P66:Q72 T66:T73 U66:U72 W66:X72 AB66:AB72">
    <cfRule type="expression" dxfId="0" priority="101">
      <formula>AND($H3="Вышло",$G3="")</formula>
    </cfRule>
  </conditionalFormatting>
  <conditionalFormatting sqref="A23 A25:A38 A40:A65 A73 B28:D38 B41:H64 D66:D72 E29:E38 F28:H38 H73 I25:I38 I40:I64 I66:J72 J28:AB38 J41:AB64 L66:M72 P66:Q72 T66:T73 U66:U72 W66:X72 AB66:AB72">
    <cfRule type="expression" dxfId="1" priority="102">
      <formula>AND($H3="Вышло",N($Y3)=0,N($U3)=0)</formula>
    </cfRule>
  </conditionalFormatting>
  <conditionalFormatting sqref="A7 A13 A21:A22 A40:AB42 B13:B22 C13:AI13 C21:AI22 E25:E29 E53:E55">
    <cfRule type="expression" dxfId="0" priority="103">
      <formula>AND(#REF!="Вышло",#REF!="")</formula>
    </cfRule>
  </conditionalFormatting>
  <conditionalFormatting sqref="A7 A13 A21:A22 A40:AB42 B13:B22 C13:AI13 C21:AI22 E25:E29 E53:E55">
    <cfRule type="expression" dxfId="1" priority="104">
      <formula>AND(#REF!="Вышло",N(#REF!)=0,N(#REF!)=0)</formula>
    </cfRule>
  </conditionalFormatting>
  <conditionalFormatting sqref="A40:AB42 E25:E29 E53:E55">
    <cfRule type="expression" dxfId="0" priority="105">
      <formula>AND(#REF!="Вышло",#REF!="")</formula>
    </cfRule>
  </conditionalFormatting>
  <conditionalFormatting sqref="A40:AB42 E25:E29 E53:E55">
    <cfRule type="expression" dxfId="1" priority="106">
      <formula>AND(#REF!="Вышло",N(#REF!)=0,N(#REF!)=0)</formula>
    </cfRule>
  </conditionalFormatting>
  <conditionalFormatting sqref="J38 J51 J64">
    <cfRule type="expression" dxfId="0" priority="107">
      <formula>AND($H38="Вышло",$G38="")</formula>
    </cfRule>
  </conditionalFormatting>
  <conditionalFormatting sqref="J38 J51 J64">
    <cfRule type="expression" dxfId="1" priority="108">
      <formula>AND($H38="Вышло",N($Y38)=0,N($U38)=0)</formula>
    </cfRule>
  </conditionalFormatting>
  <conditionalFormatting sqref="J38 J51 J64">
    <cfRule type="expression" dxfId="0" priority="109">
      <formula>AND($H38="Вышло",$G38="")</formula>
    </cfRule>
  </conditionalFormatting>
  <conditionalFormatting sqref="J38 J51 J64">
    <cfRule type="expression" dxfId="1" priority="110">
      <formula>AND($H38="Вышло",N($Y38)=0,N($U38)=0)</formula>
    </cfRule>
  </conditionalFormatting>
  <conditionalFormatting sqref="J38 J51 J64">
    <cfRule type="expression" dxfId="0" priority="111">
      <formula>AND($H38="Вышло",$G38="")</formula>
    </cfRule>
  </conditionalFormatting>
  <conditionalFormatting sqref="J38 J51 J64">
    <cfRule type="expression" dxfId="1" priority="112">
      <formula>AND($H38="Вышло",N($Y38)=0,N($U38)=0)</formula>
    </cfRule>
  </conditionalFormatting>
  <conditionalFormatting sqref="A56:AB73">
    <cfRule type="expression" dxfId="0" priority="113">
      <formula>AND($H56="Вышло",$G56="")</formula>
    </cfRule>
  </conditionalFormatting>
  <conditionalFormatting sqref="A56:AB73">
    <cfRule type="expression" dxfId="1" priority="114">
      <formula>AND($H56="Вышло",N($Y56)=0,N($U56)=0)</formula>
    </cfRule>
  </conditionalFormatting>
  <conditionalFormatting sqref="A56:AB73">
    <cfRule type="expression" dxfId="0" priority="115">
      <formula>AND($H56="Вышло",$G56="")</formula>
    </cfRule>
  </conditionalFormatting>
  <conditionalFormatting sqref="A56:AB73">
    <cfRule type="expression" dxfId="1" priority="116">
      <formula>AND($H56="Вышло",N($Y56)=0,N($U56)=0)</formula>
    </cfRule>
  </conditionalFormatting>
  <conditionalFormatting sqref="A7:A13 A21:A23 A25:A26 A29:D29 A38:AG38 A40:A41 A51:AG51 A53:A54 A64:AG64 A73:AG73 B7:B23 B26:D26 B41:D41 B54:D54 C7:G13 C21:G23 F25:F26 F29:H29 F40:F41 F53:F54 G26:H26 G41:H41 G54:H54 H7:H23 I7:AG13 I21:AG23 J26:AG26 J29:AG29 J41:AG41 J54:AG54 M67">
    <cfRule type="expression" dxfId="0" priority="117">
      <formula>AND($H7="Вышло",$G7="")</formula>
    </cfRule>
  </conditionalFormatting>
  <conditionalFormatting sqref="A7:A13 A21:A23 A25:A26 A29:D29 A38:AG38 A40:A41 A51:AG51 A53:A54 A64:AG64 A73:AG73 B7:B23 B26:D26 B41:D41 B54:D54 C7:G13 C21:G23 F25:F26 F29:H29 F40:F41 F53:F54 G26:H26 G41:H41 G54:H54 H7:H23 I7:AG13 I21:AG23 J26:AG26 J29:AG29 J41:AG41 J54:AG54 M67">
    <cfRule type="expression" dxfId="1" priority="118">
      <formula>AND($H7="Вышло",N($Y7)=0,N($U7)=0)</formula>
    </cfRule>
  </conditionalFormatting>
  <conditionalFormatting sqref="A23 A25:A38 A40:A65 A73 B28:D38 B41:H64 D66:D72 E29:E38 F28:H38 H73 I25:I38 I40:I64 I66:J72 J28:AG38 J41:AG64 L66:M72 P66:Q72 T66:T73 U66:U72 W66:X72 AB66:AD72 AG66:AG72">
    <cfRule type="expression" dxfId="0" priority="119">
      <formula>AND($H3="Вышло",$G3="")</formula>
    </cfRule>
  </conditionalFormatting>
  <conditionalFormatting sqref="A23 A25:A38 A40:A65 A73 B28:D38 B41:H64 D66:D72 E29:E38 F28:H38 H73 I25:I38 I40:I64 I66:J72 J28:AG38 J41:AG64 L66:M72 P66:Q72 T66:T73 U66:U72 W66:X72 AB66:AD72 AG66:AG72">
    <cfRule type="expression" dxfId="1" priority="120">
      <formula>AND($H3="Вышло",N($Y3)=0,N($U3)=0)</formula>
    </cfRule>
  </conditionalFormatting>
  <conditionalFormatting sqref="A40:AG42 E25:E29 E53:E55">
    <cfRule type="expression" dxfId="0" priority="121">
      <formula>AND(#REF!="Вышло",#REF!="")</formula>
    </cfRule>
  </conditionalFormatting>
  <conditionalFormatting sqref="A40:AG42 E25:E29 E53:E55">
    <cfRule type="expression" dxfId="1" priority="122">
      <formula>AND(#REF!="Вышло",N(#REF!)=0,N(#REF!)=0)</formula>
    </cfRule>
  </conditionalFormatting>
  <conditionalFormatting sqref="A56:AG73">
    <cfRule type="expression" dxfId="0" priority="123">
      <formula>AND($H56="Вышло",$G56="")</formula>
    </cfRule>
  </conditionalFormatting>
  <conditionalFormatting sqref="A56:AG73">
    <cfRule type="expression" dxfId="1" priority="124">
      <formula>AND($H56="Вышло",N($Y56)=0,N($U56)=0)</formula>
    </cfRule>
  </conditionalFormatting>
  <conditionalFormatting sqref="A7:A13 A21:A22 A25:D26 A29:D29 A40:D41 A53:D54 B7:B22 C7:G13 C21:G22 F25:H26 F29:H29 F40:H41 F53:H54 H7:H22 I7:AJ13 I21:AJ22 J25:AJ26 J29:AJ29 J40:AJ41 J53:AJ54 M66:M67">
    <cfRule type="expression" dxfId="0" priority="125">
      <formula>AND($I7="Вышло",$H7="")</formula>
    </cfRule>
  </conditionalFormatting>
  <conditionalFormatting sqref="A7:A13 A21:A22 A25:D26 A29:D29 A40:D41 A53:D54 B7:B22 C7:G13 C21:G22 F25:H26 F29:H29 F40:H41 F53:H54 H7:H22 I7:AJ13 I21:AJ22 J25:AJ26 J29:AJ29 J40:AJ41 J53:AJ54 M66:M67">
    <cfRule type="expression" dxfId="1" priority="126">
      <formula>AND($I7="Вышло",N($Z7)=0,N($V7)=0)</formula>
    </cfRule>
  </conditionalFormatting>
  <conditionalFormatting sqref="A25:D37 A40:D63 A65 D66:D72 E29:E37 E41:E63 F25:AJ37 F40:AJ63 I66:J72 L66:M72 P66:Q72 T66:U72 W66:X72 AB66:AD72 AG66:AG72">
    <cfRule type="expression" dxfId="0" priority="127">
      <formula>AND($I5="Вышло",$H5="")</formula>
    </cfRule>
  </conditionalFormatting>
  <conditionalFormatting sqref="A25:D37 A40:D63 A65 D66:D72 E29:E37 E41:E63 F25:AJ37 F40:AJ63 I66:J72 L66:M72 P66:Q72 T66:U72 W66:X72 AB66:AD72 AG66:AG72">
    <cfRule type="expression" dxfId="1" priority="128">
      <formula>AND($I5="Вышло",N($Z5)=0,N($V5)=0)</formula>
    </cfRule>
  </conditionalFormatting>
  <conditionalFormatting sqref="A40:AJ42 E25:E29 E53:E55">
    <cfRule type="expression" dxfId="0" priority="129">
      <formula>AND(#REF!="Вышло",#REF!="")</formula>
    </cfRule>
  </conditionalFormatting>
  <conditionalFormatting sqref="A40:AJ42 E25:E29 E53:E55">
    <cfRule type="expression" dxfId="1" priority="130">
      <formula>AND(#REF!="Вышло",N(#REF!)=0,N(#REF!)=0)</formula>
    </cfRule>
  </conditionalFormatting>
  <conditionalFormatting sqref="A56:AJ73">
    <cfRule type="expression" dxfId="0" priority="131">
      <formula>AND($I56="Вышло",$H56="")</formula>
    </cfRule>
  </conditionalFormatting>
  <conditionalFormatting sqref="A56:AJ73">
    <cfRule type="expression" dxfId="1" priority="132">
      <formula>AND($I56="Вышло",N($Z56)=0,N($V56)=0)</formula>
    </cfRule>
  </conditionalFormatting>
  <dataValidations>
    <dataValidation type="list" allowBlank="1" sqref="I7:I20 I25:I37 I40:I50 I53:I63 I65:I72">
      <formula1>"Ожидаем выхода,Вышло,Перенос,Отказ"</formula1>
    </dataValidation>
    <dataValidation type="list" allowBlank="1" showErrorMessage="1" sqref="Q13:Q22">
      <formula1>"Тригггер,Клевая карта,Зеленый доктор,триггер,зеленый доктор"</formula1>
    </dataValidation>
    <dataValidation type="date" allowBlank="1" showInputMessage="1" showErrorMessage="1" prompt="Только дата - Введи дату, например 14.07.2026" sqref="G24 G27 G39 G42 G52 G55">
      <formula1>DATE(2026,1,1)</formula1>
      <formula2>DATE(2027,12,31)</formula2>
    </dataValidation>
    <dataValidation type="list" allowBlank="1" sqref="D7:E12 E13 E21:E22 D24 E25 D26:E37 D39 E40 D41:E50 D52 E53 D54:E63 D65:E72">
      <formula1>"WB,Ozon,Сайт"</formula1>
    </dataValidation>
    <dataValidation type="list" allowBlank="1" sqref="A11 A13 A21:A22 A25:A37 A40:A50 A53:A63 A66:A72">
      <formula1>bloggers_list</formula1>
    </dataValidation>
    <dataValidation type="list" allowBlank="1" showErrorMessage="1" sqref="F14:F20">
      <formula1>"VK,телегаин,Консоль,18,Консоль,20,вк,1,3"</formula1>
    </dataValidation>
    <dataValidation type="list" allowBlank="1" sqref="C13:D13 D14:E17 E18:E20 C21:D22">
      <formula1>"Ozon,Телеграм,WB,сайт,Макс,БОТ,VK"</formula1>
    </dataValidation>
    <dataValidation type="list" allowBlank="1" showErrorMessage="1" sqref="H24 H39 H52">
      <formula1>"Ожидаем выхода,Вышло,Перенос,Отказ"</formula1>
    </dataValidation>
    <dataValidation type="date" allowBlank="1" sqref="G7:H12 F13:H13 G14:H20 F21:H22 H25 G26:H26 H27 G28:H37 H40 G41:H41 H42 G43:H50 H53 G54:H54 H55 G56:H63 G65:H72">
      <formula1>DATE(2026,1,1)</formula1>
      <formula2>0.0</formula2>
    </dataValidation>
  </dataValidations>
  <hyperlinks>
    <hyperlink r:id="rId1" ref="A7"/>
    <hyperlink r:id="rId2" ref="A8"/>
    <hyperlink r:id="rId3" ref="A9"/>
    <hyperlink r:id="rId4" ref="A10"/>
    <hyperlink r:id="rId5" ref="A11"/>
    <hyperlink r:id="rId6" ref="A12"/>
    <hyperlink r:id="rId7" ref="N13"/>
    <hyperlink r:id="rId8" ref="O13"/>
    <hyperlink r:id="rId9" ref="A14"/>
    <hyperlink r:id="rId10" ref="A15"/>
    <hyperlink r:id="rId11" ref="A16"/>
    <hyperlink r:id="rId12" ref="A17"/>
    <hyperlink r:id="rId13" ref="A18"/>
    <hyperlink r:id="rId14" ref="A19"/>
  </hyperlinks>
  <printOptions/>
  <pageMargins bottom="0.75" footer="0.0" header="0.0" left="0.7" right="0.7" top="0.75"/>
  <pageSetup paperSize="9" orientation="portrait"/>
  <drawing r:id="rId15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0.0"/>
    <col customWidth="1" min="2" max="3" width="16.0"/>
    <col customWidth="1" min="4" max="10" width="13.0"/>
    <col customWidth="1" min="11" max="15" width="16.0"/>
    <col customWidth="1" min="16" max="18" width="12.0"/>
    <col customWidth="1" min="19" max="19" width="15.0"/>
    <col customWidth="1" min="20" max="20" width="9.0"/>
    <col customWidth="1" min="21" max="21" width="8.0"/>
    <col customWidth="1" min="22" max="22" width="10.0"/>
    <col customWidth="1" min="23" max="23" width="9.0"/>
    <col customWidth="1" min="24" max="25" width="10.0"/>
    <col customWidth="1" min="26" max="26" width="8.0"/>
    <col customWidth="1" min="27" max="28" width="11.0"/>
    <col customWidth="1" min="29" max="29" width="8.0"/>
    <col customWidth="1" min="30" max="30" width="10.0"/>
    <col customWidth="1" min="31" max="31" width="12.0"/>
    <col customWidth="1" min="32" max="32" width="11.0"/>
    <col customWidth="1" min="33" max="33" width="8.0"/>
    <col customWidth="1" min="34" max="34" width="16.0"/>
  </cols>
  <sheetData>
    <row r="1" ht="15.0" customHeight="1">
      <c r="A1" s="114" t="s">
        <v>1709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55"/>
      <c r="P1" s="3"/>
      <c r="Q1" s="3"/>
      <c r="R1" s="3"/>
      <c r="S1" s="3"/>
      <c r="T1" s="3"/>
      <c r="U1" s="155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ht="15.0" hidden="1" customHeight="1">
      <c r="A2" s="115" t="s">
        <v>832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55"/>
      <c r="P2" s="3"/>
      <c r="Q2" s="3"/>
      <c r="R2" s="3"/>
      <c r="S2" s="3"/>
      <c r="T2" s="3"/>
      <c r="U2" s="155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</row>
    <row r="3" ht="15.0" hidden="1" customHeight="1">
      <c r="A3" s="115" t="s">
        <v>833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55"/>
      <c r="P3" s="3"/>
      <c r="Q3" s="3"/>
      <c r="R3" s="3"/>
      <c r="S3" s="3"/>
      <c r="T3" s="3"/>
      <c r="U3" s="155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ht="15.0" hidden="1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55"/>
      <c r="P4" s="3"/>
      <c r="Q4" s="3"/>
      <c r="R4" s="3"/>
      <c r="S4" s="3"/>
      <c r="T4" s="3"/>
      <c r="U4" s="155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ht="31.5" customHeight="1">
      <c r="A5" s="116" t="s">
        <v>778</v>
      </c>
      <c r="B5" s="116" t="s">
        <v>834</v>
      </c>
      <c r="C5" s="116" t="s">
        <v>4</v>
      </c>
      <c r="D5" s="116" t="s">
        <v>1</v>
      </c>
      <c r="E5" s="116" t="s">
        <v>835</v>
      </c>
      <c r="F5" s="116" t="s">
        <v>836</v>
      </c>
      <c r="G5" s="116" t="s">
        <v>837</v>
      </c>
      <c r="H5" s="116" t="s">
        <v>838</v>
      </c>
      <c r="I5" s="116" t="s">
        <v>839</v>
      </c>
      <c r="J5" s="116" t="s">
        <v>840</v>
      </c>
      <c r="K5" s="116" t="s">
        <v>841</v>
      </c>
      <c r="L5" s="116" t="s">
        <v>842</v>
      </c>
      <c r="M5" s="116" t="s">
        <v>843</v>
      </c>
      <c r="N5" s="116" t="s">
        <v>844</v>
      </c>
      <c r="O5" s="116" t="s">
        <v>845</v>
      </c>
      <c r="P5" s="116" t="s">
        <v>846</v>
      </c>
      <c r="Q5" s="116" t="s">
        <v>847</v>
      </c>
      <c r="R5" s="116" t="s">
        <v>848</v>
      </c>
      <c r="S5" s="116" t="s">
        <v>779</v>
      </c>
      <c r="T5" s="116" t="s">
        <v>729</v>
      </c>
      <c r="U5" s="156" t="s">
        <v>849</v>
      </c>
      <c r="V5" s="116" t="s">
        <v>850</v>
      </c>
      <c r="W5" s="116" t="s">
        <v>851</v>
      </c>
      <c r="X5" s="116" t="s">
        <v>852</v>
      </c>
      <c r="Y5" s="116" t="s">
        <v>853</v>
      </c>
      <c r="Z5" s="116" t="s">
        <v>656</v>
      </c>
      <c r="AA5" s="116" t="s">
        <v>854</v>
      </c>
      <c r="AB5" s="116" t="s">
        <v>664</v>
      </c>
      <c r="AC5" s="116" t="s">
        <v>658</v>
      </c>
      <c r="AD5" s="116" t="s">
        <v>855</v>
      </c>
      <c r="AE5" s="116" t="s">
        <v>856</v>
      </c>
      <c r="AF5" s="116" t="s">
        <v>659</v>
      </c>
      <c r="AG5" s="116" t="s">
        <v>657</v>
      </c>
      <c r="AH5" s="116" t="s">
        <v>12</v>
      </c>
    </row>
    <row r="6" ht="33.75" customHeight="1">
      <c r="A6" s="117" t="s">
        <v>1710</v>
      </c>
      <c r="B6" s="117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57"/>
      <c r="P6" s="117"/>
      <c r="Q6" s="117"/>
      <c r="R6" s="117"/>
      <c r="S6" s="117"/>
      <c r="T6" s="117"/>
      <c r="U6" s="131"/>
      <c r="V6" s="117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</row>
    <row r="7" ht="15.0" customHeight="1">
      <c r="A7" s="21"/>
      <c r="B7" s="120" t="str">
        <f>IF($A7="","",IFERROR(HYPERLINK(VLOOKUP($A7,'Мои блогеры'!$A$2:$N$673,14,0),"🔗 открыть"),""))</f>
        <v/>
      </c>
      <c r="C7" s="11" t="str">
        <f>IFERROR(VLOOKUP($A7,'Мои блогеры'!$A:$N,5,0),"")</f>
        <v/>
      </c>
      <c r="D7" s="120" t="str">
        <f>IFERROR(VLOOKUP($A7,'Мои блогеры'!$A:$N,2,0),"")</f>
        <v/>
      </c>
      <c r="E7" s="21"/>
      <c r="F7" s="21"/>
      <c r="G7" s="21"/>
      <c r="H7" s="121"/>
      <c r="I7" s="21"/>
      <c r="J7" s="11" t="str">
        <f>IFERROR(VLOOKUP($A7,'Мои блогеры'!$A$2:$N$673,8,0),"")</f>
        <v/>
      </c>
      <c r="K7" s="122"/>
      <c r="L7" s="122"/>
      <c r="M7" s="11" t="str">
        <f t="shared" ref="M7:M17" si="1">IF(N($J7)+N($K7)+N($L7)=0,"",N($J7)+N($K7)+N($L7))</f>
        <v/>
      </c>
      <c r="N7" s="21"/>
      <c r="O7" s="153"/>
      <c r="P7" s="21"/>
      <c r="Q7" s="120" t="str">
        <f>IFERROR(VLOOKUP($A7,'Мои блогеры'!$A$2:$N$673,10,0)&amp;"-TRG","")</f>
        <v/>
      </c>
      <c r="R7" s="21"/>
      <c r="S7" s="21"/>
      <c r="T7" s="122"/>
      <c r="U7" s="123" t="str">
        <f t="shared" ref="U7:U18" si="2">IF(N($T7)=0,"",$M7/$T7)</f>
        <v/>
      </c>
      <c r="V7" s="122"/>
      <c r="W7" s="122"/>
      <c r="X7" s="123" t="str">
        <f t="shared" ref="X7:X17" si="3">IF(N($V7)=0,"",$M7/$V7)</f>
        <v/>
      </c>
      <c r="Y7" s="122"/>
      <c r="Z7" s="122"/>
      <c r="AA7" s="122"/>
      <c r="AB7" s="124"/>
      <c r="AC7" s="11" t="str">
        <f t="shared" ref="AC7:AC17" si="4">IF(OR(N($Z7)=0,$AB7=""),"",ROUND($Z7*$AB7,0))</f>
        <v/>
      </c>
      <c r="AD7" s="122"/>
      <c r="AE7" s="11" t="str">
        <f t="shared" ref="AE7:AE17" si="5">IF(OR(N($AC7)=0,$AD7=""),"",ROUND($AC7*$AD7,0))</f>
        <v/>
      </c>
      <c r="AF7" s="11" t="str">
        <f t="shared" ref="AF7:AF17" si="6">IF(N($AC7)=0,"",ROUND($M7/$AC7,0))</f>
        <v/>
      </c>
      <c r="AG7" s="11" t="str">
        <f t="shared" ref="AG7:AG17" si="7">IF(N($Z7)=0,"",ROUND($M7/$Z7,0))</f>
        <v/>
      </c>
      <c r="AH7" s="21"/>
    </row>
    <row r="8" ht="15.0" customHeight="1">
      <c r="A8" s="21"/>
      <c r="B8" s="120" t="str">
        <f>IF($A8="","",IFERROR(HYPERLINK(VLOOKUP($A8,'Мои блогеры'!$A$2:$N$673,14,0),"🔗 открыть"),""))</f>
        <v/>
      </c>
      <c r="C8" s="11" t="str">
        <f>IFERROR(VLOOKUP($A8,'Мои блогеры'!$A:$N,5,0),"")</f>
        <v/>
      </c>
      <c r="D8" s="120" t="str">
        <f>IFERROR(VLOOKUP($A8,'Мои блогеры'!$A:$N,2,0),"")</f>
        <v/>
      </c>
      <c r="E8" s="21"/>
      <c r="F8" s="21"/>
      <c r="G8" s="21"/>
      <c r="H8" s="121"/>
      <c r="I8" s="21"/>
      <c r="J8" s="11" t="str">
        <f>IFERROR(VLOOKUP($A8,'Мои блогеры'!$A$2:$N$673,8,0),"")</f>
        <v/>
      </c>
      <c r="K8" s="122"/>
      <c r="L8" s="122"/>
      <c r="M8" s="11" t="str">
        <f t="shared" si="1"/>
        <v/>
      </c>
      <c r="N8" s="21"/>
      <c r="O8" s="153"/>
      <c r="P8" s="21"/>
      <c r="Q8" s="120" t="str">
        <f>IFERROR(VLOOKUP($A8,'Мои блогеры'!$A$2:$N$673,10,0)&amp;"-TRG","")</f>
        <v/>
      </c>
      <c r="R8" s="21"/>
      <c r="S8" s="21"/>
      <c r="T8" s="122"/>
      <c r="U8" s="123" t="str">
        <f t="shared" si="2"/>
        <v/>
      </c>
      <c r="V8" s="122"/>
      <c r="W8" s="122"/>
      <c r="X8" s="123" t="str">
        <f t="shared" si="3"/>
        <v/>
      </c>
      <c r="Y8" s="122"/>
      <c r="Z8" s="122"/>
      <c r="AA8" s="122"/>
      <c r="AB8" s="124"/>
      <c r="AC8" s="11" t="str">
        <f t="shared" si="4"/>
        <v/>
      </c>
      <c r="AD8" s="122"/>
      <c r="AE8" s="11" t="str">
        <f t="shared" si="5"/>
        <v/>
      </c>
      <c r="AF8" s="11" t="str">
        <f t="shared" si="6"/>
        <v/>
      </c>
      <c r="AG8" s="11" t="str">
        <f t="shared" si="7"/>
        <v/>
      </c>
      <c r="AH8" s="21"/>
    </row>
    <row r="9" ht="15.0" customHeight="1">
      <c r="A9" s="21"/>
      <c r="B9" s="120" t="str">
        <f>IF($A9="","",IFERROR(HYPERLINK(VLOOKUP($A9,'Мои блогеры'!$A$2:$N$673,14,0),"🔗 открыть"),""))</f>
        <v/>
      </c>
      <c r="C9" s="11" t="str">
        <f>IFERROR(VLOOKUP($A9,'Мои блогеры'!$A:$N,5,0),"")</f>
        <v/>
      </c>
      <c r="D9" s="120" t="str">
        <f>IFERROR(VLOOKUP($A9,'Мои блогеры'!$A:$N,2,0),"")</f>
        <v/>
      </c>
      <c r="E9" s="21"/>
      <c r="F9" s="21"/>
      <c r="G9" s="21"/>
      <c r="H9" s="121"/>
      <c r="I9" s="21"/>
      <c r="J9" s="11" t="str">
        <f>IFERROR(VLOOKUP($A9,'Мои блогеры'!$A$2:$N$673,8,0),"")</f>
        <v/>
      </c>
      <c r="K9" s="122"/>
      <c r="L9" s="122"/>
      <c r="M9" s="11" t="str">
        <f t="shared" si="1"/>
        <v/>
      </c>
      <c r="N9" s="21"/>
      <c r="O9" s="153"/>
      <c r="P9" s="21"/>
      <c r="Q9" s="120" t="str">
        <f>IFERROR(VLOOKUP($A9,'Мои блогеры'!$A$2:$N$673,10,0)&amp;"-TRG","")</f>
        <v/>
      </c>
      <c r="R9" s="21"/>
      <c r="S9" s="21"/>
      <c r="T9" s="122"/>
      <c r="U9" s="123" t="str">
        <f t="shared" si="2"/>
        <v/>
      </c>
      <c r="V9" s="122"/>
      <c r="W9" s="122"/>
      <c r="X9" s="123" t="str">
        <f t="shared" si="3"/>
        <v/>
      </c>
      <c r="Y9" s="122"/>
      <c r="Z9" s="122"/>
      <c r="AA9" s="122"/>
      <c r="AB9" s="124"/>
      <c r="AC9" s="11" t="str">
        <f t="shared" si="4"/>
        <v/>
      </c>
      <c r="AD9" s="122"/>
      <c r="AE9" s="11" t="str">
        <f t="shared" si="5"/>
        <v/>
      </c>
      <c r="AF9" s="11" t="str">
        <f t="shared" si="6"/>
        <v/>
      </c>
      <c r="AG9" s="11" t="str">
        <f t="shared" si="7"/>
        <v/>
      </c>
      <c r="AH9" s="21"/>
    </row>
    <row r="10" ht="15.0" customHeight="1">
      <c r="A10" s="21"/>
      <c r="B10" s="120" t="str">
        <f>IF($A10="","",IFERROR(HYPERLINK(VLOOKUP($A10,'Мои блогеры'!$A$2:$N$673,14,0),"🔗 открыть"),""))</f>
        <v/>
      </c>
      <c r="C10" s="11" t="str">
        <f>IFERROR(VLOOKUP($A10,'Мои блогеры'!$A:$N,5,0),"")</f>
        <v/>
      </c>
      <c r="D10" s="120" t="str">
        <f>IFERROR(VLOOKUP($A10,'Мои блогеры'!$A:$N,2,0),"")</f>
        <v/>
      </c>
      <c r="E10" s="21"/>
      <c r="F10" s="21"/>
      <c r="G10" s="21"/>
      <c r="H10" s="121"/>
      <c r="I10" s="21"/>
      <c r="J10" s="11" t="str">
        <f>IFERROR(VLOOKUP($A10,'Мои блогеры'!$A$2:$N$673,8,0),"")</f>
        <v/>
      </c>
      <c r="K10" s="122"/>
      <c r="L10" s="122"/>
      <c r="M10" s="11" t="str">
        <f t="shared" si="1"/>
        <v/>
      </c>
      <c r="N10" s="21"/>
      <c r="O10" s="153"/>
      <c r="P10" s="21"/>
      <c r="Q10" s="120" t="str">
        <f>IFERROR(VLOOKUP($A10,'Мои блогеры'!$A$2:$N$673,10,0)&amp;"-TRG","")</f>
        <v/>
      </c>
      <c r="R10" s="21"/>
      <c r="S10" s="21"/>
      <c r="T10" s="122"/>
      <c r="U10" s="123" t="str">
        <f t="shared" si="2"/>
        <v/>
      </c>
      <c r="V10" s="122"/>
      <c r="W10" s="122"/>
      <c r="X10" s="123" t="str">
        <f t="shared" si="3"/>
        <v/>
      </c>
      <c r="Y10" s="122"/>
      <c r="Z10" s="122"/>
      <c r="AA10" s="122"/>
      <c r="AB10" s="124"/>
      <c r="AC10" s="11" t="str">
        <f t="shared" si="4"/>
        <v/>
      </c>
      <c r="AD10" s="122"/>
      <c r="AE10" s="11" t="str">
        <f t="shared" si="5"/>
        <v/>
      </c>
      <c r="AF10" s="11" t="str">
        <f t="shared" si="6"/>
        <v/>
      </c>
      <c r="AG10" s="11" t="str">
        <f t="shared" si="7"/>
        <v/>
      </c>
      <c r="AH10" s="21"/>
    </row>
    <row r="11" ht="15.0" customHeight="1">
      <c r="A11" s="21"/>
      <c r="B11" s="120" t="str">
        <f>IF($A11="","",IFERROR(HYPERLINK(VLOOKUP($A11,'Мои блогеры'!$A$2:$N$673,14,0),"🔗 открыть"),""))</f>
        <v/>
      </c>
      <c r="C11" s="11" t="str">
        <f>IFERROR(VLOOKUP($A11,'Мои блогеры'!$A:$N,5,0),"")</f>
        <v/>
      </c>
      <c r="D11" s="120" t="str">
        <f>IFERROR(VLOOKUP($A11,'Мои блогеры'!$A:$N,2,0),"")</f>
        <v/>
      </c>
      <c r="E11" s="21"/>
      <c r="F11" s="21"/>
      <c r="G11" s="21"/>
      <c r="H11" s="121"/>
      <c r="I11" s="21"/>
      <c r="J11" s="11" t="str">
        <f>IFERROR(VLOOKUP($A11,'Мои блогеры'!$A$2:$N$673,8,0),"")</f>
        <v/>
      </c>
      <c r="K11" s="122"/>
      <c r="L11" s="122"/>
      <c r="M11" s="11" t="str">
        <f t="shared" si="1"/>
        <v/>
      </c>
      <c r="N11" s="21"/>
      <c r="O11" s="153"/>
      <c r="P11" s="21"/>
      <c r="Q11" s="120" t="str">
        <f>IFERROR(VLOOKUP($A11,'Мои блогеры'!$A$2:$N$673,10,0)&amp;"-TRG","")</f>
        <v/>
      </c>
      <c r="R11" s="21"/>
      <c r="S11" s="21"/>
      <c r="T11" s="122"/>
      <c r="U11" s="123" t="str">
        <f t="shared" si="2"/>
        <v/>
      </c>
      <c r="V11" s="122"/>
      <c r="W11" s="122"/>
      <c r="X11" s="123" t="str">
        <f t="shared" si="3"/>
        <v/>
      </c>
      <c r="Y11" s="122"/>
      <c r="Z11" s="122"/>
      <c r="AA11" s="122"/>
      <c r="AB11" s="124"/>
      <c r="AC11" s="11" t="str">
        <f t="shared" si="4"/>
        <v/>
      </c>
      <c r="AD11" s="122"/>
      <c r="AE11" s="11" t="str">
        <f t="shared" si="5"/>
        <v/>
      </c>
      <c r="AF11" s="11" t="str">
        <f t="shared" si="6"/>
        <v/>
      </c>
      <c r="AG11" s="11" t="str">
        <f t="shared" si="7"/>
        <v/>
      </c>
      <c r="AH11" s="21"/>
    </row>
    <row r="12">
      <c r="A12" s="21"/>
      <c r="B12" s="120" t="str">
        <f>IF($A12="","",IFERROR(HYPERLINK(VLOOKUP($A12,'Мои блогеры'!$A$2:$N$673,14,0),"🔗 открыть"),""))</f>
        <v/>
      </c>
      <c r="C12" s="11" t="str">
        <f>IFERROR(VLOOKUP($A12,'Мои блогеры'!$A:$N,5,0),"")</f>
        <v/>
      </c>
      <c r="D12" s="120" t="str">
        <f>IFERROR(VLOOKUP($A12,'Мои блогеры'!$A:$N,2,0),"")</f>
        <v/>
      </c>
      <c r="E12" s="21"/>
      <c r="F12" s="21"/>
      <c r="G12" s="21"/>
      <c r="H12" s="121"/>
      <c r="I12" s="21"/>
      <c r="J12" s="11" t="str">
        <f>IFERROR(VLOOKUP($A12,'Мои блогеры'!$A$2:$N$673,8,0),"")</f>
        <v/>
      </c>
      <c r="K12" s="122"/>
      <c r="L12" s="122"/>
      <c r="M12" s="11" t="str">
        <f t="shared" si="1"/>
        <v/>
      </c>
      <c r="N12" s="21"/>
      <c r="O12" s="153"/>
      <c r="P12" s="21"/>
      <c r="Q12" s="120" t="str">
        <f>IFERROR(VLOOKUP($A12,'Мои блогеры'!$A$2:$N$673,10,0)&amp;"-TRG","")</f>
        <v/>
      </c>
      <c r="R12" s="21"/>
      <c r="S12" s="21"/>
      <c r="T12" s="122"/>
      <c r="U12" s="123" t="str">
        <f t="shared" si="2"/>
        <v/>
      </c>
      <c r="V12" s="122"/>
      <c r="W12" s="122"/>
      <c r="X12" s="123" t="str">
        <f t="shared" si="3"/>
        <v/>
      </c>
      <c r="Y12" s="122"/>
      <c r="Z12" s="122"/>
      <c r="AA12" s="122"/>
      <c r="AB12" s="124"/>
      <c r="AC12" s="11" t="str">
        <f t="shared" si="4"/>
        <v/>
      </c>
      <c r="AD12" s="122"/>
      <c r="AE12" s="11" t="str">
        <f t="shared" si="5"/>
        <v/>
      </c>
      <c r="AF12" s="11" t="str">
        <f t="shared" si="6"/>
        <v/>
      </c>
      <c r="AG12" s="11" t="str">
        <f t="shared" si="7"/>
        <v/>
      </c>
      <c r="AH12" s="21"/>
    </row>
    <row r="13" ht="15.0" customHeight="1">
      <c r="A13" s="21"/>
      <c r="B13" s="120" t="str">
        <f>IF($A13="","",IFERROR(HYPERLINK(VLOOKUP($A13,'Мои блогеры'!$A$2:$N$673,14,0),"🔗 открыть"),""))</f>
        <v/>
      </c>
      <c r="C13" s="11" t="str">
        <f>IFERROR(VLOOKUP($A13,'Мои блогеры'!$A:$N,5,0),"")</f>
        <v/>
      </c>
      <c r="D13" s="120" t="str">
        <f>IFERROR(VLOOKUP($A13,'Мои блогеры'!$A:$N,2,0),"")</f>
        <v/>
      </c>
      <c r="E13" s="21"/>
      <c r="F13" s="21"/>
      <c r="G13" s="21"/>
      <c r="H13" s="121"/>
      <c r="I13" s="21"/>
      <c r="J13" s="11" t="str">
        <f>IFERROR(VLOOKUP($A13,'Мои блогеры'!$A$2:$N$673,8,0),"")</f>
        <v/>
      </c>
      <c r="K13" s="122"/>
      <c r="L13" s="122"/>
      <c r="M13" s="11" t="str">
        <f t="shared" si="1"/>
        <v/>
      </c>
      <c r="N13" s="21"/>
      <c r="O13" s="153"/>
      <c r="P13" s="21"/>
      <c r="Q13" s="120" t="str">
        <f>IFERROR(VLOOKUP($A13,'Мои блогеры'!$A$2:$N$673,10,0)&amp;"-TRG","")</f>
        <v/>
      </c>
      <c r="R13" s="21"/>
      <c r="S13" s="21"/>
      <c r="T13" s="122"/>
      <c r="U13" s="123" t="str">
        <f t="shared" si="2"/>
        <v/>
      </c>
      <c r="V13" s="122"/>
      <c r="W13" s="122"/>
      <c r="X13" s="123" t="str">
        <f t="shared" si="3"/>
        <v/>
      </c>
      <c r="Y13" s="122"/>
      <c r="Z13" s="122"/>
      <c r="AA13" s="122"/>
      <c r="AB13" s="124"/>
      <c r="AC13" s="11" t="str">
        <f t="shared" si="4"/>
        <v/>
      </c>
      <c r="AD13" s="122"/>
      <c r="AE13" s="11" t="str">
        <f t="shared" si="5"/>
        <v/>
      </c>
      <c r="AF13" s="11" t="str">
        <f t="shared" si="6"/>
        <v/>
      </c>
      <c r="AG13" s="11" t="str">
        <f t="shared" si="7"/>
        <v/>
      </c>
      <c r="AH13" s="21"/>
    </row>
    <row r="14" ht="15.0" customHeight="1">
      <c r="A14" s="21"/>
      <c r="B14" s="120" t="str">
        <f>IF($A14="","",IFERROR(HYPERLINK(VLOOKUP($A14,'Мои блогеры'!$A$2:$N$673,14,0),"🔗 открыть"),""))</f>
        <v/>
      </c>
      <c r="C14" s="11" t="str">
        <f>IFERROR(VLOOKUP($A14,'Мои блогеры'!$A:$N,5,0),"")</f>
        <v/>
      </c>
      <c r="D14" s="120" t="str">
        <f>IFERROR(VLOOKUP($A14,'Мои блогеры'!$A:$N,2,0),"")</f>
        <v/>
      </c>
      <c r="E14" s="21"/>
      <c r="F14" s="21"/>
      <c r="G14" s="21"/>
      <c r="H14" s="121"/>
      <c r="I14" s="21"/>
      <c r="J14" s="11" t="str">
        <f>IFERROR(VLOOKUP($A14,'Мои блогеры'!$A$2:$N$673,8,0),"")</f>
        <v/>
      </c>
      <c r="K14" s="122"/>
      <c r="L14" s="122"/>
      <c r="M14" s="11" t="str">
        <f t="shared" si="1"/>
        <v/>
      </c>
      <c r="N14" s="21"/>
      <c r="O14" s="153"/>
      <c r="P14" s="21"/>
      <c r="Q14" s="120" t="str">
        <f>IFERROR(VLOOKUP($A14,'Мои блогеры'!$A$2:$N$673,10,0)&amp;"-TRG","")</f>
        <v/>
      </c>
      <c r="R14" s="21"/>
      <c r="S14" s="21"/>
      <c r="T14" s="122"/>
      <c r="U14" s="123" t="str">
        <f t="shared" si="2"/>
        <v/>
      </c>
      <c r="V14" s="122"/>
      <c r="W14" s="122"/>
      <c r="X14" s="123" t="str">
        <f t="shared" si="3"/>
        <v/>
      </c>
      <c r="Y14" s="122"/>
      <c r="Z14" s="122"/>
      <c r="AA14" s="122"/>
      <c r="AB14" s="124"/>
      <c r="AC14" s="11" t="str">
        <f t="shared" si="4"/>
        <v/>
      </c>
      <c r="AD14" s="122"/>
      <c r="AE14" s="11" t="str">
        <f t="shared" si="5"/>
        <v/>
      </c>
      <c r="AF14" s="11" t="str">
        <f t="shared" si="6"/>
        <v/>
      </c>
      <c r="AG14" s="11" t="str">
        <f t="shared" si="7"/>
        <v/>
      </c>
      <c r="AH14" s="21"/>
    </row>
    <row r="15" ht="15.0" customHeight="1">
      <c r="A15" s="21"/>
      <c r="B15" s="120" t="str">
        <f>IF($A15="","",IFERROR(HYPERLINK(VLOOKUP($A15,'Мои блогеры'!$A$2:$N$673,14,0),"🔗 открыть"),""))</f>
        <v/>
      </c>
      <c r="C15" s="11" t="str">
        <f>IFERROR(VLOOKUP($A15,'Мои блогеры'!$A:$N,5,0),"")</f>
        <v/>
      </c>
      <c r="D15" s="120" t="str">
        <f>IFERROR(VLOOKUP($A15,'Мои блогеры'!$A:$N,2,0),"")</f>
        <v/>
      </c>
      <c r="E15" s="21"/>
      <c r="F15" s="21"/>
      <c r="G15" s="21"/>
      <c r="H15" s="121"/>
      <c r="I15" s="21"/>
      <c r="J15" s="11" t="str">
        <f>IFERROR(VLOOKUP($A15,'Мои блогеры'!$A$2:$N$673,8,0),"")</f>
        <v/>
      </c>
      <c r="K15" s="122"/>
      <c r="L15" s="122"/>
      <c r="M15" s="11" t="str">
        <f t="shared" si="1"/>
        <v/>
      </c>
      <c r="N15" s="21"/>
      <c r="O15" s="153"/>
      <c r="P15" s="21"/>
      <c r="Q15" s="120" t="str">
        <f>IFERROR(VLOOKUP($A15,'Мои блогеры'!$A$2:$N$673,10,0)&amp;"-TRG","")</f>
        <v/>
      </c>
      <c r="R15" s="21"/>
      <c r="S15" s="21"/>
      <c r="T15" s="122"/>
      <c r="U15" s="123" t="str">
        <f t="shared" si="2"/>
        <v/>
      </c>
      <c r="V15" s="122"/>
      <c r="W15" s="122"/>
      <c r="X15" s="123" t="str">
        <f t="shared" si="3"/>
        <v/>
      </c>
      <c r="Y15" s="122"/>
      <c r="Z15" s="122"/>
      <c r="AA15" s="122"/>
      <c r="AB15" s="124"/>
      <c r="AC15" s="11" t="str">
        <f t="shared" si="4"/>
        <v/>
      </c>
      <c r="AD15" s="122"/>
      <c r="AE15" s="11" t="str">
        <f t="shared" si="5"/>
        <v/>
      </c>
      <c r="AF15" s="11" t="str">
        <f t="shared" si="6"/>
        <v/>
      </c>
      <c r="AG15" s="11" t="str">
        <f t="shared" si="7"/>
        <v/>
      </c>
      <c r="AH15" s="21"/>
    </row>
    <row r="16" ht="15.0" customHeight="1">
      <c r="A16" s="21"/>
      <c r="B16" s="120" t="str">
        <f>IF($A16="","",IFERROR(HYPERLINK(VLOOKUP($A16,'Мои блогеры'!$A$2:$N$673,14,0),"🔗 открыть"),""))</f>
        <v/>
      </c>
      <c r="C16" s="11" t="str">
        <f>IFERROR(VLOOKUP($A16,'Мои блогеры'!$A:$N,5,0),"")</f>
        <v/>
      </c>
      <c r="D16" s="120" t="str">
        <f>IFERROR(VLOOKUP($A16,'Мои блогеры'!$A:$N,2,0),"")</f>
        <v/>
      </c>
      <c r="E16" s="21"/>
      <c r="F16" s="21"/>
      <c r="G16" s="21"/>
      <c r="H16" s="121"/>
      <c r="I16" s="21"/>
      <c r="J16" s="11" t="str">
        <f>IFERROR(VLOOKUP($A16,'Мои блогеры'!$A$2:$N$673,8,0),"")</f>
        <v/>
      </c>
      <c r="K16" s="122"/>
      <c r="L16" s="122"/>
      <c r="M16" s="11" t="str">
        <f t="shared" si="1"/>
        <v/>
      </c>
      <c r="N16" s="21"/>
      <c r="O16" s="153"/>
      <c r="P16" s="21"/>
      <c r="Q16" s="120" t="str">
        <f>IFERROR(VLOOKUP($A16,'Мои блогеры'!$A$2:$N$673,10,0)&amp;"-TRG","")</f>
        <v/>
      </c>
      <c r="R16" s="21"/>
      <c r="S16" s="21"/>
      <c r="T16" s="122"/>
      <c r="U16" s="123" t="str">
        <f t="shared" si="2"/>
        <v/>
      </c>
      <c r="V16" s="122"/>
      <c r="W16" s="122"/>
      <c r="X16" s="123" t="str">
        <f t="shared" si="3"/>
        <v/>
      </c>
      <c r="Y16" s="122"/>
      <c r="Z16" s="122"/>
      <c r="AA16" s="122"/>
      <c r="AB16" s="124"/>
      <c r="AC16" s="11" t="str">
        <f t="shared" si="4"/>
        <v/>
      </c>
      <c r="AD16" s="122"/>
      <c r="AE16" s="11" t="str">
        <f t="shared" si="5"/>
        <v/>
      </c>
      <c r="AF16" s="11" t="str">
        <f t="shared" si="6"/>
        <v/>
      </c>
      <c r="AG16" s="11" t="str">
        <f t="shared" si="7"/>
        <v/>
      </c>
      <c r="AH16" s="21"/>
    </row>
    <row r="17" ht="15.0" customHeight="1">
      <c r="A17" s="21"/>
      <c r="B17" s="120" t="str">
        <f>IF($A17="","",IFERROR(HYPERLINK(VLOOKUP($A17,'Мои блогеры'!$A$2:$N$673,14,0),"🔗 открыть"),""))</f>
        <v/>
      </c>
      <c r="C17" s="11" t="str">
        <f>IFERROR(VLOOKUP($A17,'Мои блогеры'!$A:$N,5,0),"")</f>
        <v/>
      </c>
      <c r="D17" s="120" t="str">
        <f>IFERROR(VLOOKUP($A17,'Мои блогеры'!$A:$N,2,0),"")</f>
        <v/>
      </c>
      <c r="E17" s="21"/>
      <c r="F17" s="21"/>
      <c r="G17" s="21"/>
      <c r="H17" s="121"/>
      <c r="I17" s="21"/>
      <c r="J17" s="11" t="str">
        <f>IFERROR(VLOOKUP($A17,'Мои блогеры'!$A$2:$N$673,8,0),"")</f>
        <v/>
      </c>
      <c r="K17" s="122"/>
      <c r="L17" s="122"/>
      <c r="M17" s="11" t="str">
        <f t="shared" si="1"/>
        <v/>
      </c>
      <c r="N17" s="21"/>
      <c r="O17" s="153"/>
      <c r="P17" s="21"/>
      <c r="Q17" s="120" t="str">
        <f>IFERROR(VLOOKUP($A17,'Мои блогеры'!$A$2:$N$673,10,0)&amp;"-TRG","")</f>
        <v/>
      </c>
      <c r="R17" s="21"/>
      <c r="S17" s="21"/>
      <c r="T17" s="122"/>
      <c r="U17" s="123" t="str">
        <f t="shared" si="2"/>
        <v/>
      </c>
      <c r="V17" s="122"/>
      <c r="W17" s="122"/>
      <c r="X17" s="123" t="str">
        <f t="shared" si="3"/>
        <v/>
      </c>
      <c r="Y17" s="122"/>
      <c r="Z17" s="122"/>
      <c r="AA17" s="122"/>
      <c r="AB17" s="124"/>
      <c r="AC17" s="11" t="str">
        <f t="shared" si="4"/>
        <v/>
      </c>
      <c r="AD17" s="122"/>
      <c r="AE17" s="11" t="str">
        <f t="shared" si="5"/>
        <v/>
      </c>
      <c r="AF17" s="11" t="str">
        <f t="shared" si="6"/>
        <v/>
      </c>
      <c r="AG17" s="11" t="str">
        <f t="shared" si="7"/>
        <v/>
      </c>
      <c r="AH17" s="21"/>
    </row>
    <row r="18" ht="15.0" customHeight="1">
      <c r="A18" s="126" t="s">
        <v>1711</v>
      </c>
      <c r="B18" s="126"/>
      <c r="C18" s="127"/>
      <c r="D18" s="126"/>
      <c r="E18" s="126"/>
      <c r="F18" s="126"/>
      <c r="G18" s="126"/>
      <c r="H18" s="126"/>
      <c r="I18" s="126" t="str">
        <f>COUNTIF(I7:I17,"Вышло")&amp;" / "&amp;COUNTA(A7:A17)</f>
        <v>0 / 0</v>
      </c>
      <c r="J18" s="127">
        <f t="shared" ref="J18:M18" si="8">SUM(J7:J17)</f>
        <v>0</v>
      </c>
      <c r="K18" s="127">
        <f t="shared" si="8"/>
        <v>0</v>
      </c>
      <c r="L18" s="127">
        <f t="shared" si="8"/>
        <v>0</v>
      </c>
      <c r="M18" s="127">
        <f t="shared" si="8"/>
        <v>0</v>
      </c>
      <c r="N18" s="126"/>
      <c r="O18" s="163"/>
      <c r="P18" s="126"/>
      <c r="Q18" s="126"/>
      <c r="R18" s="126"/>
      <c r="S18" s="126"/>
      <c r="T18" s="127">
        <f>SUM(T7:T17)</f>
        <v>0</v>
      </c>
      <c r="U18" s="128" t="str">
        <f t="shared" si="2"/>
        <v/>
      </c>
      <c r="V18" s="127">
        <f t="shared" ref="V18:W18" si="9">SUM(V7:V17)</f>
        <v>0</v>
      </c>
      <c r="W18" s="127">
        <f t="shared" si="9"/>
        <v>0</v>
      </c>
      <c r="X18" s="128" t="str">
        <f>IF(N(V18)=0,"",M18/V18)</f>
        <v/>
      </c>
      <c r="Y18" s="127">
        <f t="shared" ref="Y18:AA18" si="10">SUM(Y7:Y17)</f>
        <v>0</v>
      </c>
      <c r="Z18" s="127">
        <f t="shared" si="10"/>
        <v>0</v>
      </c>
      <c r="AA18" s="127">
        <f t="shared" si="10"/>
        <v>0</v>
      </c>
      <c r="AB18" s="129"/>
      <c r="AC18" s="127">
        <f>SUM(AC7:AC17)</f>
        <v>0</v>
      </c>
      <c r="AD18" s="127"/>
      <c r="AE18" s="127">
        <f>SUM(AE7:AE17)</f>
        <v>0</v>
      </c>
      <c r="AF18" s="127" t="str">
        <f>IF(N(AC18)=0,"—",ROUND(M18/AC18,0))</f>
        <v>—</v>
      </c>
      <c r="AG18" s="127" t="str">
        <f>IF(N(Z18)=0,"—",ROUND(M18/Z18,0))</f>
        <v>—</v>
      </c>
      <c r="AH18" s="126"/>
    </row>
    <row r="19" ht="15.0" customHeight="1">
      <c r="A19" s="117" t="s">
        <v>1712</v>
      </c>
      <c r="B19" s="117"/>
      <c r="C19" s="130"/>
      <c r="D19" s="117"/>
      <c r="E19" s="117"/>
      <c r="F19" s="117"/>
      <c r="G19" s="117"/>
      <c r="H19" s="117"/>
      <c r="I19" s="117"/>
      <c r="J19" s="130"/>
      <c r="K19" s="130"/>
      <c r="L19" s="130"/>
      <c r="M19" s="130"/>
      <c r="N19" s="117"/>
      <c r="O19" s="157"/>
      <c r="P19" s="117"/>
      <c r="Q19" s="117"/>
      <c r="R19" s="117"/>
      <c r="S19" s="117"/>
      <c r="T19" s="130"/>
      <c r="U19" s="131"/>
      <c r="V19" s="130"/>
      <c r="W19" s="130"/>
      <c r="X19" s="131"/>
      <c r="Y19" s="130"/>
      <c r="Z19" s="130"/>
      <c r="AA19" s="130"/>
      <c r="AB19" s="132"/>
      <c r="AC19" s="130"/>
      <c r="AD19" s="130"/>
      <c r="AE19" s="130"/>
      <c r="AF19" s="130"/>
      <c r="AG19" s="130"/>
      <c r="AH19" s="117"/>
    </row>
    <row r="20" ht="15.0" customHeight="1">
      <c r="A20" s="256"/>
      <c r="B20" s="120" t="str">
        <f>IF($A20="","",IFERROR(HYPERLINK(VLOOKUP($A20,'Мои блогеры'!$A$2:$N$673,14,0),"🔗 открыть"),""))</f>
        <v/>
      </c>
      <c r="C20" s="11"/>
      <c r="D20" s="120"/>
      <c r="E20" s="21"/>
      <c r="F20" s="21"/>
      <c r="G20" s="21"/>
      <c r="H20" s="167"/>
      <c r="I20" s="21"/>
      <c r="J20" s="11" t="str">
        <f>IFERROR(VLOOKUP($A20,'Мои блогеры'!$A$2:$N$673,8,0),"")</f>
        <v/>
      </c>
      <c r="K20" s="122"/>
      <c r="L20" s="122"/>
      <c r="M20" s="11" t="str">
        <f t="shared" ref="M20:M32" si="11">IF(N($J20)+N($K20)+N($L20)=0,"",N($J20)+N($K20)+N($L20))</f>
        <v/>
      </c>
      <c r="N20" s="21"/>
      <c r="O20" s="153"/>
      <c r="P20" s="21"/>
      <c r="Q20" s="120" t="str">
        <f>IFERROR(VLOOKUP($A20,'Мои блогеры'!$A$2:$N$673,10,0)&amp;"-TRG","")</f>
        <v/>
      </c>
      <c r="R20" s="21"/>
      <c r="S20" s="21"/>
      <c r="T20" s="122"/>
      <c r="U20" s="123" t="str">
        <f t="shared" ref="U20:U33" si="12">IF(N($T20)=0,"",$M20/$T20)</f>
        <v/>
      </c>
      <c r="V20" s="122"/>
      <c r="W20" s="122"/>
      <c r="X20" s="123" t="str">
        <f t="shared" ref="X20:X32" si="13">IF(N($V20)=0,"",$M20/$V20)</f>
        <v/>
      </c>
      <c r="Y20" s="122"/>
      <c r="Z20" s="122"/>
      <c r="AA20" s="122"/>
      <c r="AB20" s="124"/>
      <c r="AC20" s="11" t="str">
        <f t="shared" ref="AC20:AC32" si="14">IF(OR(N($Z20)=0,$AB20=""),"",ROUND($Z20*$AB20,0))</f>
        <v/>
      </c>
      <c r="AD20" s="122"/>
      <c r="AE20" s="11" t="str">
        <f t="shared" ref="AE20:AE32" si="15">IF(OR(N($AC20)=0,$AD20=""),"",ROUND($AC20*$AD20,0))</f>
        <v/>
      </c>
      <c r="AF20" s="11" t="str">
        <f t="shared" ref="AF20:AF32" si="16">IF(N($AC20)=0,"",ROUND($M20/$AC20,0))</f>
        <v/>
      </c>
      <c r="AG20" s="11" t="str">
        <f t="shared" ref="AG20:AG32" si="17">IF(N($Z20)=0,"",ROUND($M20/$Z20,0))</f>
        <v/>
      </c>
      <c r="AH20" s="21"/>
    </row>
    <row r="21" ht="15.0" customHeight="1">
      <c r="A21" s="256"/>
      <c r="B21" s="120" t="str">
        <f>IF($A21="","",IFERROR(HYPERLINK(VLOOKUP($A21,'Мои блогеры'!$A$2:$N$673,14,0),"🔗 открыть"),""))</f>
        <v/>
      </c>
      <c r="C21" s="11"/>
      <c r="D21" s="120"/>
      <c r="E21" s="21"/>
      <c r="F21" s="21"/>
      <c r="G21" s="21"/>
      <c r="H21" s="121"/>
      <c r="I21" s="21"/>
      <c r="J21" s="11" t="str">
        <f>IFERROR(VLOOKUP($A21,'Мои блогеры'!$A$2:$N$673,8,0),"")</f>
        <v/>
      </c>
      <c r="K21" s="122"/>
      <c r="L21" s="122"/>
      <c r="M21" s="11" t="str">
        <f t="shared" si="11"/>
        <v/>
      </c>
      <c r="N21" s="21"/>
      <c r="O21" s="153"/>
      <c r="P21" s="21"/>
      <c r="Q21" s="120" t="str">
        <f>IFERROR(VLOOKUP($A21,'Мои блогеры'!$A$2:$N$673,10,0)&amp;"-TRG","")</f>
        <v/>
      </c>
      <c r="R21" s="21"/>
      <c r="S21" s="21"/>
      <c r="T21" s="122"/>
      <c r="U21" s="123" t="str">
        <f t="shared" si="12"/>
        <v/>
      </c>
      <c r="V21" s="122"/>
      <c r="W21" s="122"/>
      <c r="X21" s="123" t="str">
        <f t="shared" si="13"/>
        <v/>
      </c>
      <c r="Y21" s="122"/>
      <c r="Z21" s="122"/>
      <c r="AA21" s="122"/>
      <c r="AB21" s="124"/>
      <c r="AC21" s="11" t="str">
        <f t="shared" si="14"/>
        <v/>
      </c>
      <c r="AD21" s="122"/>
      <c r="AE21" s="11" t="str">
        <f t="shared" si="15"/>
        <v/>
      </c>
      <c r="AF21" s="11" t="str">
        <f t="shared" si="16"/>
        <v/>
      </c>
      <c r="AG21" s="11" t="str">
        <f t="shared" si="17"/>
        <v/>
      </c>
      <c r="AH21" s="21"/>
    </row>
    <row r="22" ht="15.0" customHeight="1">
      <c r="A22" s="21"/>
      <c r="B22" s="120" t="str">
        <f>IF($A22="","",IFERROR(HYPERLINK(VLOOKUP($A22,'Мои блогеры'!$A$2:$N$673,14,0),"🔗 открыть"),""))</f>
        <v/>
      </c>
      <c r="C22" s="11"/>
      <c r="D22" s="120"/>
      <c r="E22" s="21"/>
      <c r="F22" s="165"/>
      <c r="G22" s="21"/>
      <c r="H22" s="121"/>
      <c r="I22" s="21"/>
      <c r="J22" s="11" t="str">
        <f>IFERROR(VLOOKUP($A22,'Мои блогеры'!$A$2:$N$673,8,0),"")</f>
        <v/>
      </c>
      <c r="K22" s="122"/>
      <c r="L22" s="122"/>
      <c r="M22" s="11" t="str">
        <f t="shared" si="11"/>
        <v/>
      </c>
      <c r="N22" s="21"/>
      <c r="O22" s="153"/>
      <c r="P22" s="21"/>
      <c r="Q22" s="120" t="str">
        <f>IFERROR(VLOOKUP($A22,'Мои блогеры'!$A$2:$N$673,10,0)&amp;"-TRG","")</f>
        <v/>
      </c>
      <c r="R22" s="21"/>
      <c r="S22" s="21"/>
      <c r="T22" s="122"/>
      <c r="U22" s="123" t="str">
        <f t="shared" si="12"/>
        <v/>
      </c>
      <c r="V22" s="122"/>
      <c r="W22" s="122"/>
      <c r="X22" s="123" t="str">
        <f t="shared" si="13"/>
        <v/>
      </c>
      <c r="Y22" s="122"/>
      <c r="Z22" s="122"/>
      <c r="AA22" s="122"/>
      <c r="AB22" s="124"/>
      <c r="AC22" s="11" t="str">
        <f t="shared" si="14"/>
        <v/>
      </c>
      <c r="AD22" s="122"/>
      <c r="AE22" s="11" t="str">
        <f t="shared" si="15"/>
        <v/>
      </c>
      <c r="AF22" s="11" t="str">
        <f t="shared" si="16"/>
        <v/>
      </c>
      <c r="AG22" s="11" t="str">
        <f t="shared" si="17"/>
        <v/>
      </c>
      <c r="AH22" s="21"/>
    </row>
    <row r="23" ht="15.0" customHeight="1">
      <c r="A23" s="21"/>
      <c r="B23" s="120" t="str">
        <f>IF($A23="","",IFERROR(HYPERLINK(VLOOKUP($A23,'Мои блогеры'!$A$2:$N$673,14,0),"🔗 открыть"),""))</f>
        <v/>
      </c>
      <c r="C23" s="11"/>
      <c r="D23" s="120"/>
      <c r="E23" s="21"/>
      <c r="F23" s="165"/>
      <c r="G23" s="21"/>
      <c r="H23" s="167"/>
      <c r="I23" s="21"/>
      <c r="J23" s="11" t="str">
        <f>IFERROR(VLOOKUP($A23,'Мои блогеры'!$A$2:$N$673,8,0),"")</f>
        <v/>
      </c>
      <c r="K23" s="122"/>
      <c r="L23" s="122"/>
      <c r="M23" s="11" t="str">
        <f t="shared" si="11"/>
        <v/>
      </c>
      <c r="N23" s="21"/>
      <c r="O23" s="153"/>
      <c r="P23" s="21"/>
      <c r="Q23" s="120" t="str">
        <f>IFERROR(VLOOKUP($A23,'Мои блогеры'!$A$2:$N$673,10,0)&amp;"-TRG","")</f>
        <v/>
      </c>
      <c r="R23" s="21"/>
      <c r="S23" s="21"/>
      <c r="T23" s="122"/>
      <c r="U23" s="123" t="str">
        <f t="shared" si="12"/>
        <v/>
      </c>
      <c r="V23" s="122"/>
      <c r="W23" s="122"/>
      <c r="X23" s="123" t="str">
        <f t="shared" si="13"/>
        <v/>
      </c>
      <c r="Y23" s="122"/>
      <c r="Z23" s="122"/>
      <c r="AA23" s="122"/>
      <c r="AB23" s="124"/>
      <c r="AC23" s="11" t="str">
        <f t="shared" si="14"/>
        <v/>
      </c>
      <c r="AD23" s="122"/>
      <c r="AE23" s="11" t="str">
        <f t="shared" si="15"/>
        <v/>
      </c>
      <c r="AF23" s="11" t="str">
        <f t="shared" si="16"/>
        <v/>
      </c>
      <c r="AG23" s="11" t="str">
        <f t="shared" si="17"/>
        <v/>
      </c>
      <c r="AH23" s="21"/>
    </row>
    <row r="24" ht="15.0" customHeight="1">
      <c r="A24" s="21"/>
      <c r="B24" s="120" t="str">
        <f>IF($A24="","",IFERROR(HYPERLINK(VLOOKUP($A24,'Мои блогеры'!$A$2:$N$673,14,0),"🔗 открыть"),""))</f>
        <v/>
      </c>
      <c r="C24" s="11"/>
      <c r="D24" s="120"/>
      <c r="E24" s="21"/>
      <c r="F24" s="165"/>
      <c r="G24" s="21"/>
      <c r="H24" s="121"/>
      <c r="I24" s="21"/>
      <c r="J24" s="11" t="str">
        <f>IFERROR(VLOOKUP($A24,'Мои блогеры'!$A$2:$N$673,8,0),"")</f>
        <v/>
      </c>
      <c r="K24" s="122"/>
      <c r="L24" s="122"/>
      <c r="M24" s="11" t="str">
        <f t="shared" si="11"/>
        <v/>
      </c>
      <c r="N24" s="21"/>
      <c r="O24" s="153"/>
      <c r="P24" s="21"/>
      <c r="Q24" s="120" t="str">
        <f>IFERROR(VLOOKUP($A24,'Мои блогеры'!$A$2:$N$673,10,0)&amp;"-TRG","")</f>
        <v/>
      </c>
      <c r="R24" s="21"/>
      <c r="S24" s="21"/>
      <c r="T24" s="122"/>
      <c r="U24" s="123" t="str">
        <f t="shared" si="12"/>
        <v/>
      </c>
      <c r="V24" s="122"/>
      <c r="W24" s="122"/>
      <c r="X24" s="123" t="str">
        <f t="shared" si="13"/>
        <v/>
      </c>
      <c r="Y24" s="122"/>
      <c r="Z24" s="122"/>
      <c r="AA24" s="122"/>
      <c r="AB24" s="124"/>
      <c r="AC24" s="11" t="str">
        <f t="shared" si="14"/>
        <v/>
      </c>
      <c r="AD24" s="122"/>
      <c r="AE24" s="11" t="str">
        <f t="shared" si="15"/>
        <v/>
      </c>
      <c r="AF24" s="11" t="str">
        <f t="shared" si="16"/>
        <v/>
      </c>
      <c r="AG24" s="11" t="str">
        <f t="shared" si="17"/>
        <v/>
      </c>
      <c r="AH24" s="21"/>
    </row>
    <row r="25" ht="15.0" customHeight="1">
      <c r="A25" s="21"/>
      <c r="B25" s="120" t="str">
        <f>IF($A25="","",IFERROR(HYPERLINK(VLOOKUP($A25,'Мои блогеры'!$A$2:$N$673,14,0),"🔗 открыть"),""))</f>
        <v/>
      </c>
      <c r="C25" s="11" t="str">
        <f>IFERROR(VLOOKUP($A25,'Мои блогеры'!$A:$N,5,0),"")</f>
        <v/>
      </c>
      <c r="D25" s="120" t="str">
        <f>IFERROR(VLOOKUP($A25,'Мои блогеры'!$A:$N,2,0),"")</f>
        <v/>
      </c>
      <c r="E25" s="21"/>
      <c r="F25" s="21"/>
      <c r="G25" s="21"/>
      <c r="H25" s="121"/>
      <c r="I25" s="21"/>
      <c r="J25" s="11" t="str">
        <f>IFERROR(VLOOKUP($A25,'Мои блогеры'!$A$2:$N$673,8,0),"")</f>
        <v/>
      </c>
      <c r="K25" s="122"/>
      <c r="L25" s="122"/>
      <c r="M25" s="11" t="str">
        <f t="shared" si="11"/>
        <v/>
      </c>
      <c r="N25" s="21"/>
      <c r="O25" s="153"/>
      <c r="P25" s="21"/>
      <c r="Q25" s="120" t="str">
        <f>IFERROR(VLOOKUP($A25,'Мои блогеры'!$A$2:$N$673,10,0)&amp;"-TRG","")</f>
        <v/>
      </c>
      <c r="R25" s="21"/>
      <c r="S25" s="21"/>
      <c r="T25" s="122"/>
      <c r="U25" s="123" t="str">
        <f t="shared" si="12"/>
        <v/>
      </c>
      <c r="V25" s="122"/>
      <c r="W25" s="122"/>
      <c r="X25" s="123" t="str">
        <f t="shared" si="13"/>
        <v/>
      </c>
      <c r="Y25" s="122"/>
      <c r="Z25" s="122"/>
      <c r="AA25" s="122"/>
      <c r="AB25" s="124"/>
      <c r="AC25" s="11" t="str">
        <f t="shared" si="14"/>
        <v/>
      </c>
      <c r="AD25" s="122"/>
      <c r="AE25" s="11" t="str">
        <f t="shared" si="15"/>
        <v/>
      </c>
      <c r="AF25" s="11" t="str">
        <f t="shared" si="16"/>
        <v/>
      </c>
      <c r="AG25" s="11" t="str">
        <f t="shared" si="17"/>
        <v/>
      </c>
      <c r="AH25" s="21"/>
    </row>
    <row r="26" ht="15.0" customHeight="1">
      <c r="A26" s="21"/>
      <c r="B26" s="120" t="str">
        <f>IF($A26="","",IFERROR(HYPERLINK(VLOOKUP($A26,'Мои блогеры'!$A$2:$N$673,14,0),"🔗 открыть"),""))</f>
        <v/>
      </c>
      <c r="C26" s="11" t="str">
        <f>IFERROR(VLOOKUP($A26,'Мои блогеры'!$A:$N,5,0),"")</f>
        <v/>
      </c>
      <c r="D26" s="120" t="str">
        <f>IFERROR(VLOOKUP($A26,'Мои блогеры'!$A:$N,2,0),"")</f>
        <v/>
      </c>
      <c r="E26" s="21"/>
      <c r="F26" s="21"/>
      <c r="G26" s="21"/>
      <c r="H26" s="121"/>
      <c r="I26" s="21"/>
      <c r="J26" s="11" t="str">
        <f>IFERROR(VLOOKUP($A26,'Мои блогеры'!$A$2:$N$673,8,0),"")</f>
        <v/>
      </c>
      <c r="K26" s="122"/>
      <c r="L26" s="122"/>
      <c r="M26" s="11" t="str">
        <f t="shared" si="11"/>
        <v/>
      </c>
      <c r="N26" s="21"/>
      <c r="O26" s="153"/>
      <c r="P26" s="21"/>
      <c r="Q26" s="120" t="str">
        <f>IFERROR(VLOOKUP($A26,'Мои блогеры'!$A$2:$N$673,10,0)&amp;"-TRG","")</f>
        <v/>
      </c>
      <c r="R26" s="21"/>
      <c r="S26" s="21"/>
      <c r="T26" s="122"/>
      <c r="U26" s="123" t="str">
        <f t="shared" si="12"/>
        <v/>
      </c>
      <c r="V26" s="122"/>
      <c r="W26" s="122"/>
      <c r="X26" s="123" t="str">
        <f t="shared" si="13"/>
        <v/>
      </c>
      <c r="Y26" s="122"/>
      <c r="Z26" s="122"/>
      <c r="AA26" s="122"/>
      <c r="AB26" s="124"/>
      <c r="AC26" s="11" t="str">
        <f t="shared" si="14"/>
        <v/>
      </c>
      <c r="AD26" s="122"/>
      <c r="AE26" s="11" t="str">
        <f t="shared" si="15"/>
        <v/>
      </c>
      <c r="AF26" s="11" t="str">
        <f t="shared" si="16"/>
        <v/>
      </c>
      <c r="AG26" s="11" t="str">
        <f t="shared" si="17"/>
        <v/>
      </c>
      <c r="AH26" s="21"/>
    </row>
    <row r="27" ht="15.0" customHeight="1">
      <c r="A27" s="21"/>
      <c r="B27" s="120" t="str">
        <f>IF($A27="","",IFERROR(HYPERLINK(VLOOKUP($A27,'Мои блогеры'!$A$2:$N$673,14,0),"🔗 открыть"),""))</f>
        <v/>
      </c>
      <c r="C27" s="11" t="str">
        <f>IFERROR(VLOOKUP($A27,'Мои блогеры'!$A:$N,5,0),"")</f>
        <v/>
      </c>
      <c r="D27" s="120" t="str">
        <f>IFERROR(VLOOKUP($A27,'Мои блогеры'!$A:$N,2,0),"")</f>
        <v/>
      </c>
      <c r="E27" s="21"/>
      <c r="F27" s="21"/>
      <c r="G27" s="21"/>
      <c r="H27" s="121"/>
      <c r="I27" s="21"/>
      <c r="J27" s="11" t="str">
        <f>IFERROR(VLOOKUP($A27,'Мои блогеры'!$A$2:$N$673,8,0),"")</f>
        <v/>
      </c>
      <c r="K27" s="122"/>
      <c r="L27" s="122"/>
      <c r="M27" s="11" t="str">
        <f t="shared" si="11"/>
        <v/>
      </c>
      <c r="N27" s="21"/>
      <c r="O27" s="153"/>
      <c r="P27" s="21"/>
      <c r="Q27" s="120" t="str">
        <f>IFERROR(VLOOKUP($A27,'Мои блогеры'!$A$2:$N$673,10,0)&amp;"-TRG","")</f>
        <v/>
      </c>
      <c r="R27" s="21"/>
      <c r="S27" s="21"/>
      <c r="T27" s="122"/>
      <c r="U27" s="123" t="str">
        <f t="shared" si="12"/>
        <v/>
      </c>
      <c r="V27" s="122"/>
      <c r="W27" s="122"/>
      <c r="X27" s="123" t="str">
        <f t="shared" si="13"/>
        <v/>
      </c>
      <c r="Y27" s="122"/>
      <c r="Z27" s="122"/>
      <c r="AA27" s="122"/>
      <c r="AB27" s="124"/>
      <c r="AC27" s="11" t="str">
        <f t="shared" si="14"/>
        <v/>
      </c>
      <c r="AD27" s="122"/>
      <c r="AE27" s="11" t="str">
        <f t="shared" si="15"/>
        <v/>
      </c>
      <c r="AF27" s="11" t="str">
        <f t="shared" si="16"/>
        <v/>
      </c>
      <c r="AG27" s="11" t="str">
        <f t="shared" si="17"/>
        <v/>
      </c>
      <c r="AH27" s="21"/>
    </row>
    <row r="28" ht="15.0" customHeight="1">
      <c r="A28" s="21"/>
      <c r="B28" s="120" t="str">
        <f>IF($A28="","",IFERROR(HYPERLINK(VLOOKUP($A28,'Мои блогеры'!$A$2:$N$673,14,0),"🔗 открыть"),""))</f>
        <v/>
      </c>
      <c r="C28" s="11" t="str">
        <f>IFERROR(VLOOKUP($A28,'Мои блогеры'!$A:$N,5,0),"")</f>
        <v/>
      </c>
      <c r="D28" s="120" t="str">
        <f>IFERROR(VLOOKUP($A28,'Мои блогеры'!$A:$N,2,0),"")</f>
        <v/>
      </c>
      <c r="E28" s="21"/>
      <c r="F28" s="21"/>
      <c r="G28" s="21"/>
      <c r="H28" s="121"/>
      <c r="I28" s="21"/>
      <c r="J28" s="11" t="str">
        <f>IFERROR(VLOOKUP($A28,'Мои блогеры'!$A$2:$N$673,8,0),"")</f>
        <v/>
      </c>
      <c r="K28" s="122"/>
      <c r="L28" s="122"/>
      <c r="M28" s="11" t="str">
        <f t="shared" si="11"/>
        <v/>
      </c>
      <c r="N28" s="21"/>
      <c r="O28" s="153"/>
      <c r="P28" s="21"/>
      <c r="Q28" s="120" t="str">
        <f>IFERROR(VLOOKUP($A28,'Мои блогеры'!$A$2:$N$673,10,0)&amp;"-TRG","")</f>
        <v/>
      </c>
      <c r="R28" s="21"/>
      <c r="S28" s="21"/>
      <c r="T28" s="122"/>
      <c r="U28" s="123" t="str">
        <f t="shared" si="12"/>
        <v/>
      </c>
      <c r="V28" s="122"/>
      <c r="W28" s="122"/>
      <c r="X28" s="123" t="str">
        <f t="shared" si="13"/>
        <v/>
      </c>
      <c r="Y28" s="122"/>
      <c r="Z28" s="122"/>
      <c r="AA28" s="122"/>
      <c r="AB28" s="124"/>
      <c r="AC28" s="11" t="str">
        <f t="shared" si="14"/>
        <v/>
      </c>
      <c r="AD28" s="122"/>
      <c r="AE28" s="11" t="str">
        <f t="shared" si="15"/>
        <v/>
      </c>
      <c r="AF28" s="11" t="str">
        <f t="shared" si="16"/>
        <v/>
      </c>
      <c r="AG28" s="11" t="str">
        <f t="shared" si="17"/>
        <v/>
      </c>
      <c r="AH28" s="21"/>
    </row>
    <row r="29" ht="15.0" customHeight="1">
      <c r="A29" s="21"/>
      <c r="B29" s="120" t="str">
        <f>IF($A29="","",IFERROR(HYPERLINK(VLOOKUP($A29,'Мои блогеры'!$A$2:$N$673,14,0),"🔗 открыть"),""))</f>
        <v/>
      </c>
      <c r="C29" s="11" t="str">
        <f>IFERROR(VLOOKUP($A29,'Мои блогеры'!$A:$N,5,0),"")</f>
        <v/>
      </c>
      <c r="D29" s="120" t="str">
        <f>IFERROR(VLOOKUP($A29,'Мои блогеры'!$A:$N,2,0),"")</f>
        <v/>
      </c>
      <c r="E29" s="21"/>
      <c r="F29" s="21"/>
      <c r="G29" s="21"/>
      <c r="H29" s="121"/>
      <c r="I29" s="21"/>
      <c r="J29" s="11" t="str">
        <f>IFERROR(VLOOKUP($A29,'Мои блогеры'!$A$2:$N$673,8,0),"")</f>
        <v/>
      </c>
      <c r="K29" s="122"/>
      <c r="L29" s="122"/>
      <c r="M29" s="11" t="str">
        <f t="shared" si="11"/>
        <v/>
      </c>
      <c r="N29" s="21"/>
      <c r="O29" s="153"/>
      <c r="P29" s="21"/>
      <c r="Q29" s="120" t="str">
        <f>IFERROR(VLOOKUP($A29,'Мои блогеры'!$A$2:$N$673,10,0)&amp;"-TRG","")</f>
        <v/>
      </c>
      <c r="R29" s="21"/>
      <c r="S29" s="21"/>
      <c r="T29" s="122"/>
      <c r="U29" s="123" t="str">
        <f t="shared" si="12"/>
        <v/>
      </c>
      <c r="V29" s="122"/>
      <c r="W29" s="122"/>
      <c r="X29" s="123" t="str">
        <f t="shared" si="13"/>
        <v/>
      </c>
      <c r="Y29" s="122"/>
      <c r="Z29" s="122"/>
      <c r="AA29" s="122"/>
      <c r="AB29" s="124"/>
      <c r="AC29" s="11" t="str">
        <f t="shared" si="14"/>
        <v/>
      </c>
      <c r="AD29" s="122"/>
      <c r="AE29" s="11" t="str">
        <f t="shared" si="15"/>
        <v/>
      </c>
      <c r="AF29" s="11" t="str">
        <f t="shared" si="16"/>
        <v/>
      </c>
      <c r="AG29" s="11" t="str">
        <f t="shared" si="17"/>
        <v/>
      </c>
      <c r="AH29" s="21"/>
    </row>
    <row r="30" ht="15.0" customHeight="1">
      <c r="A30" s="21"/>
      <c r="B30" s="120" t="str">
        <f>IF($A30="","",IFERROR(HYPERLINK(VLOOKUP($A30,'Мои блогеры'!$A$2:$N$673,14,0),"🔗 открыть"),""))</f>
        <v/>
      </c>
      <c r="C30" s="11" t="str">
        <f>IFERROR(VLOOKUP($A30,'Мои блогеры'!$A:$N,5,0),"")</f>
        <v/>
      </c>
      <c r="D30" s="120" t="str">
        <f>IFERROR(VLOOKUP($A30,'Мои блогеры'!$A:$N,2,0),"")</f>
        <v/>
      </c>
      <c r="E30" s="21"/>
      <c r="F30" s="21"/>
      <c r="G30" s="21"/>
      <c r="H30" s="121"/>
      <c r="I30" s="21"/>
      <c r="J30" s="11" t="str">
        <f>IFERROR(VLOOKUP($A30,'Мои блогеры'!$A$2:$N$673,8,0),"")</f>
        <v/>
      </c>
      <c r="K30" s="122"/>
      <c r="L30" s="122"/>
      <c r="M30" s="11" t="str">
        <f t="shared" si="11"/>
        <v/>
      </c>
      <c r="N30" s="21"/>
      <c r="O30" s="153"/>
      <c r="P30" s="21"/>
      <c r="Q30" s="120" t="str">
        <f>IFERROR(VLOOKUP($A30,'Мои блогеры'!$A$2:$N$673,10,0)&amp;"-TRG","")</f>
        <v/>
      </c>
      <c r="R30" s="21"/>
      <c r="S30" s="21"/>
      <c r="T30" s="122"/>
      <c r="U30" s="123" t="str">
        <f t="shared" si="12"/>
        <v/>
      </c>
      <c r="V30" s="122"/>
      <c r="W30" s="122"/>
      <c r="X30" s="123" t="str">
        <f t="shared" si="13"/>
        <v/>
      </c>
      <c r="Y30" s="122"/>
      <c r="Z30" s="122"/>
      <c r="AA30" s="122"/>
      <c r="AB30" s="124"/>
      <c r="AC30" s="11" t="str">
        <f t="shared" si="14"/>
        <v/>
      </c>
      <c r="AD30" s="122"/>
      <c r="AE30" s="11" t="str">
        <f t="shared" si="15"/>
        <v/>
      </c>
      <c r="AF30" s="11" t="str">
        <f t="shared" si="16"/>
        <v/>
      </c>
      <c r="AG30" s="11" t="str">
        <f t="shared" si="17"/>
        <v/>
      </c>
      <c r="AH30" s="21"/>
    </row>
    <row r="31" ht="15.0" customHeight="1">
      <c r="A31" s="21"/>
      <c r="B31" s="120" t="str">
        <f>IF($A31="","",IFERROR(HYPERLINK(VLOOKUP($A31,'Мои блогеры'!$A$2:$N$673,14,0),"🔗 открыть"),""))</f>
        <v/>
      </c>
      <c r="C31" s="11" t="str">
        <f>IFERROR(VLOOKUP($A31,'Мои блогеры'!$A:$N,5,0),"")</f>
        <v/>
      </c>
      <c r="D31" s="120" t="str">
        <f>IFERROR(VLOOKUP($A31,'Мои блогеры'!$A:$N,2,0),"")</f>
        <v/>
      </c>
      <c r="E31" s="21"/>
      <c r="F31" s="21"/>
      <c r="G31" s="21"/>
      <c r="H31" s="121"/>
      <c r="I31" s="21"/>
      <c r="J31" s="11" t="str">
        <f>IFERROR(VLOOKUP($A31,'Мои блогеры'!$A$2:$N$673,8,0),"")</f>
        <v/>
      </c>
      <c r="K31" s="122"/>
      <c r="L31" s="122"/>
      <c r="M31" s="11" t="str">
        <f t="shared" si="11"/>
        <v/>
      </c>
      <c r="N31" s="21"/>
      <c r="O31" s="153"/>
      <c r="P31" s="21"/>
      <c r="Q31" s="120" t="str">
        <f>IFERROR(VLOOKUP($A31,'Мои блогеры'!$A$2:$N$673,10,0)&amp;"-TRG","")</f>
        <v/>
      </c>
      <c r="R31" s="21"/>
      <c r="S31" s="21"/>
      <c r="T31" s="122"/>
      <c r="U31" s="123" t="str">
        <f t="shared" si="12"/>
        <v/>
      </c>
      <c r="V31" s="122"/>
      <c r="W31" s="122"/>
      <c r="X31" s="123" t="str">
        <f t="shared" si="13"/>
        <v/>
      </c>
      <c r="Y31" s="122"/>
      <c r="Z31" s="122"/>
      <c r="AA31" s="122"/>
      <c r="AB31" s="124"/>
      <c r="AC31" s="11" t="str">
        <f t="shared" si="14"/>
        <v/>
      </c>
      <c r="AD31" s="122"/>
      <c r="AE31" s="11" t="str">
        <f t="shared" si="15"/>
        <v/>
      </c>
      <c r="AF31" s="11" t="str">
        <f t="shared" si="16"/>
        <v/>
      </c>
      <c r="AG31" s="11" t="str">
        <f t="shared" si="17"/>
        <v/>
      </c>
      <c r="AH31" s="21"/>
    </row>
    <row r="32" ht="15.0" customHeight="1">
      <c r="A32" s="21"/>
      <c r="B32" s="120" t="str">
        <f>IF($A32="","",IFERROR(HYPERLINK(VLOOKUP($A32,'Мои блогеры'!$A$2:$N$673,14,0),"🔗 открыть"),""))</f>
        <v/>
      </c>
      <c r="C32" s="11" t="str">
        <f>IFERROR(VLOOKUP($A32,'Мои блогеры'!$A:$N,5,0),"")</f>
        <v/>
      </c>
      <c r="D32" s="120" t="str">
        <f>IFERROR(VLOOKUP($A32,'Мои блогеры'!$A:$N,2,0),"")</f>
        <v/>
      </c>
      <c r="E32" s="21"/>
      <c r="F32" s="21"/>
      <c r="G32" s="21"/>
      <c r="H32" s="121"/>
      <c r="I32" s="21"/>
      <c r="J32" s="11" t="str">
        <f>IFERROR(VLOOKUP($A32,'Мои блогеры'!$A$2:$N$673,8,0),"")</f>
        <v/>
      </c>
      <c r="K32" s="122"/>
      <c r="L32" s="122"/>
      <c r="M32" s="11" t="str">
        <f t="shared" si="11"/>
        <v/>
      </c>
      <c r="N32" s="21"/>
      <c r="O32" s="153"/>
      <c r="P32" s="21"/>
      <c r="Q32" s="120" t="str">
        <f>IFERROR(VLOOKUP($A32,'Мои блогеры'!$A$2:$N$673,10,0)&amp;"-TRG","")</f>
        <v/>
      </c>
      <c r="R32" s="21"/>
      <c r="S32" s="21"/>
      <c r="T32" s="122"/>
      <c r="U32" s="123" t="str">
        <f t="shared" si="12"/>
        <v/>
      </c>
      <c r="V32" s="122"/>
      <c r="W32" s="122"/>
      <c r="X32" s="123" t="str">
        <f t="shared" si="13"/>
        <v/>
      </c>
      <c r="Y32" s="122"/>
      <c r="Z32" s="122"/>
      <c r="AA32" s="122"/>
      <c r="AB32" s="124"/>
      <c r="AC32" s="11" t="str">
        <f t="shared" si="14"/>
        <v/>
      </c>
      <c r="AD32" s="122"/>
      <c r="AE32" s="11" t="str">
        <f t="shared" si="15"/>
        <v/>
      </c>
      <c r="AF32" s="11" t="str">
        <f t="shared" si="16"/>
        <v/>
      </c>
      <c r="AG32" s="11" t="str">
        <f t="shared" si="17"/>
        <v/>
      </c>
      <c r="AH32" s="21"/>
    </row>
    <row r="33" ht="15.0" customHeight="1">
      <c r="A33" s="126" t="s">
        <v>1713</v>
      </c>
      <c r="B33" s="126"/>
      <c r="C33" s="127"/>
      <c r="D33" s="126"/>
      <c r="E33" s="126"/>
      <c r="F33" s="126"/>
      <c r="G33" s="126"/>
      <c r="H33" s="126"/>
      <c r="I33" s="126" t="str">
        <f>COUNTIF(I20:I32,"Вышло")&amp;" / "&amp;COUNTA(A20:A32)</f>
        <v>0 / 0</v>
      </c>
      <c r="J33" s="127">
        <f t="shared" ref="J33:M33" si="18">SUM(J20:J32)</f>
        <v>0</v>
      </c>
      <c r="K33" s="127">
        <f t="shared" si="18"/>
        <v>0</v>
      </c>
      <c r="L33" s="127">
        <f t="shared" si="18"/>
        <v>0</v>
      </c>
      <c r="M33" s="127">
        <f t="shared" si="18"/>
        <v>0</v>
      </c>
      <c r="N33" s="126"/>
      <c r="O33" s="163"/>
      <c r="P33" s="126"/>
      <c r="Q33" s="126"/>
      <c r="R33" s="126"/>
      <c r="S33" s="126"/>
      <c r="T33" s="127">
        <f>SUM(T20:T32)</f>
        <v>0</v>
      </c>
      <c r="U33" s="128" t="str">
        <f t="shared" si="12"/>
        <v/>
      </c>
      <c r="V33" s="127">
        <f t="shared" ref="V33:W33" si="19">SUM(V20:V32)</f>
        <v>0</v>
      </c>
      <c r="W33" s="127">
        <f t="shared" si="19"/>
        <v>0</v>
      </c>
      <c r="X33" s="128" t="str">
        <f>IF(N(V33)=0,"",M33/V33)</f>
        <v/>
      </c>
      <c r="Y33" s="127">
        <f t="shared" ref="Y33:AA33" si="20">SUM(Y20:Y32)</f>
        <v>0</v>
      </c>
      <c r="Z33" s="127">
        <f t="shared" si="20"/>
        <v>0</v>
      </c>
      <c r="AA33" s="127">
        <f t="shared" si="20"/>
        <v>0</v>
      </c>
      <c r="AB33" s="129"/>
      <c r="AC33" s="127">
        <f>SUM(AC20:AC32)</f>
        <v>0</v>
      </c>
      <c r="AD33" s="127"/>
      <c r="AE33" s="127">
        <f>SUM(AE20:AE32)</f>
        <v>0</v>
      </c>
      <c r="AF33" s="127" t="str">
        <f>IF(N(AC33)=0,"—",ROUND(M33/AC33,0))</f>
        <v>—</v>
      </c>
      <c r="AG33" s="127" t="str">
        <f>IF(N(Z33)=0,"—",ROUND(M33/Z33,0))</f>
        <v>—</v>
      </c>
      <c r="AH33" s="126"/>
    </row>
    <row r="34" ht="15.0" customHeight="1">
      <c r="A34" s="117" t="s">
        <v>1714</v>
      </c>
      <c r="B34" s="117"/>
      <c r="C34" s="130"/>
      <c r="D34" s="117"/>
      <c r="E34" s="117"/>
      <c r="F34" s="117"/>
      <c r="G34" s="117"/>
      <c r="H34" s="117"/>
      <c r="I34" s="117"/>
      <c r="J34" s="130"/>
      <c r="K34" s="130"/>
      <c r="L34" s="130"/>
      <c r="M34" s="130"/>
      <c r="N34" s="117"/>
      <c r="O34" s="157"/>
      <c r="P34" s="117"/>
      <c r="Q34" s="117"/>
      <c r="R34" s="117"/>
      <c r="S34" s="117"/>
      <c r="T34" s="130"/>
      <c r="U34" s="131"/>
      <c r="V34" s="130"/>
      <c r="W34" s="130"/>
      <c r="X34" s="131"/>
      <c r="Y34" s="130"/>
      <c r="Z34" s="130"/>
      <c r="AA34" s="130"/>
      <c r="AB34" s="132"/>
      <c r="AC34" s="130"/>
      <c r="AD34" s="130"/>
      <c r="AE34" s="130"/>
      <c r="AF34" s="130"/>
      <c r="AG34" s="130"/>
      <c r="AH34" s="117"/>
    </row>
    <row r="35" ht="15.0" customHeight="1">
      <c r="A35" s="256"/>
      <c r="B35" s="120" t="str">
        <f>IF($A35="","",IFERROR(HYPERLINK(VLOOKUP($A35,'Мои блогеры'!$A$2:$N$673,14,0),"🔗 открыть"),""))</f>
        <v/>
      </c>
      <c r="C35" s="11"/>
      <c r="D35" s="120"/>
      <c r="E35" s="21"/>
      <c r="F35" s="21"/>
      <c r="G35" s="21"/>
      <c r="H35" s="167"/>
      <c r="I35" s="21"/>
      <c r="J35" s="11" t="str">
        <f>IFERROR(VLOOKUP($A35,'Мои блогеры'!$A$2:$N$673,8,0),"")</f>
        <v/>
      </c>
      <c r="K35" s="122"/>
      <c r="L35" s="122"/>
      <c r="M35" s="11" t="str">
        <f t="shared" ref="M35:M45" si="21">IF(N($J35)+N($K35)+N($L35)=0,"",N($J35)+N($K35)+N($L35))</f>
        <v/>
      </c>
      <c r="N35" s="21"/>
      <c r="O35" s="153"/>
      <c r="P35" s="21"/>
      <c r="Q35" s="120" t="str">
        <f>IFERROR(VLOOKUP($A35,'Мои блогеры'!$A$2:$N$673,10,0)&amp;"-TRG","")</f>
        <v/>
      </c>
      <c r="R35" s="21"/>
      <c r="S35" s="21"/>
      <c r="T35" s="122"/>
      <c r="U35" s="123" t="str">
        <f t="shared" ref="U35:U46" si="22">IF(N($T35)=0,"",$M35/$T35)</f>
        <v/>
      </c>
      <c r="V35" s="122"/>
      <c r="W35" s="122"/>
      <c r="X35" s="123" t="str">
        <f t="shared" ref="X35:X45" si="23">IF(N($V35)=0,"",$M35/$V35)</f>
        <v/>
      </c>
      <c r="Y35" s="122"/>
      <c r="Z35" s="122"/>
      <c r="AA35" s="122"/>
      <c r="AB35" s="124"/>
      <c r="AC35" s="11" t="str">
        <f t="shared" ref="AC35:AC45" si="24">IF(OR(N($Z35)=0,$AB35=""),"",ROUND($Z35*$AB35,0))</f>
        <v/>
      </c>
      <c r="AD35" s="122"/>
      <c r="AE35" s="11" t="str">
        <f t="shared" ref="AE35:AE45" si="25">IF(OR(N($AC35)=0,$AD35=""),"",ROUND($AC35*$AD35,0))</f>
        <v/>
      </c>
      <c r="AF35" s="11" t="str">
        <f t="shared" ref="AF35:AF45" si="26">IF(N($AC35)=0,"",ROUND($M35/$AC35,0))</f>
        <v/>
      </c>
      <c r="AG35" s="11" t="str">
        <f t="shared" ref="AG35:AG45" si="27">IF(N($Z35)=0,"",ROUND($M35/$Z35,0))</f>
        <v/>
      </c>
      <c r="AH35" s="21"/>
    </row>
    <row r="36" ht="15.0" customHeight="1">
      <c r="A36" s="256"/>
      <c r="B36" s="120" t="str">
        <f>IF($A36="","",IFERROR(HYPERLINK(VLOOKUP($A36,'Мои блогеры'!$A$2:$N$673,14,0),"🔗 открыть"),""))</f>
        <v/>
      </c>
      <c r="C36" s="11"/>
      <c r="D36" s="120"/>
      <c r="E36" s="21"/>
      <c r="F36" s="21"/>
      <c r="G36" s="21"/>
      <c r="H36" s="121"/>
      <c r="I36" s="21"/>
      <c r="J36" s="11" t="str">
        <f>IFERROR(VLOOKUP($A36,'Мои блогеры'!$A$2:$N$673,8,0),"")</f>
        <v/>
      </c>
      <c r="K36" s="122"/>
      <c r="L36" s="122"/>
      <c r="M36" s="11" t="str">
        <f t="shared" si="21"/>
        <v/>
      </c>
      <c r="N36" s="21"/>
      <c r="O36" s="153"/>
      <c r="P36" s="21"/>
      <c r="Q36" s="120" t="str">
        <f>IFERROR(VLOOKUP($A36,'Мои блогеры'!$A$2:$N$673,10,0)&amp;"-TRG","")</f>
        <v/>
      </c>
      <c r="R36" s="21"/>
      <c r="S36" s="21"/>
      <c r="T36" s="122"/>
      <c r="U36" s="123" t="str">
        <f t="shared" si="22"/>
        <v/>
      </c>
      <c r="V36" s="122"/>
      <c r="W36" s="122"/>
      <c r="X36" s="123" t="str">
        <f t="shared" si="23"/>
        <v/>
      </c>
      <c r="Y36" s="122"/>
      <c r="Z36" s="122"/>
      <c r="AA36" s="122"/>
      <c r="AB36" s="124"/>
      <c r="AC36" s="11" t="str">
        <f t="shared" si="24"/>
        <v/>
      </c>
      <c r="AD36" s="122"/>
      <c r="AE36" s="11" t="str">
        <f t="shared" si="25"/>
        <v/>
      </c>
      <c r="AF36" s="11" t="str">
        <f t="shared" si="26"/>
        <v/>
      </c>
      <c r="AG36" s="11" t="str">
        <f t="shared" si="27"/>
        <v/>
      </c>
      <c r="AH36" s="21"/>
    </row>
    <row r="37" ht="15.75" customHeight="1">
      <c r="A37" s="21"/>
      <c r="B37" s="120" t="str">
        <f>IF($A37="","",IFERROR(HYPERLINK(VLOOKUP($A37,'Мои блогеры'!$A$2:$N$673,14,0),"🔗 открыть"),""))</f>
        <v/>
      </c>
      <c r="C37" s="11"/>
      <c r="D37" s="120"/>
      <c r="E37" s="21"/>
      <c r="F37" s="165"/>
      <c r="G37" s="21"/>
      <c r="H37" s="121"/>
      <c r="I37" s="21"/>
      <c r="J37" s="11" t="str">
        <f>IFERROR(VLOOKUP($A37,'Мои блогеры'!$A$2:$N$673,8,0),"")</f>
        <v/>
      </c>
      <c r="K37" s="122"/>
      <c r="L37" s="122"/>
      <c r="M37" s="11" t="str">
        <f t="shared" si="21"/>
        <v/>
      </c>
      <c r="N37" s="21"/>
      <c r="O37" s="153"/>
      <c r="P37" s="21"/>
      <c r="Q37" s="120" t="str">
        <f>IFERROR(VLOOKUP($A37,'Мои блогеры'!$A$2:$N$673,10,0)&amp;"-TRG","")</f>
        <v/>
      </c>
      <c r="R37" s="21"/>
      <c r="S37" s="21"/>
      <c r="T37" s="122"/>
      <c r="U37" s="123" t="str">
        <f t="shared" si="22"/>
        <v/>
      </c>
      <c r="V37" s="122"/>
      <c r="W37" s="122"/>
      <c r="X37" s="123" t="str">
        <f t="shared" si="23"/>
        <v/>
      </c>
      <c r="Y37" s="122"/>
      <c r="Z37" s="122"/>
      <c r="AA37" s="122"/>
      <c r="AB37" s="124"/>
      <c r="AC37" s="11" t="str">
        <f t="shared" si="24"/>
        <v/>
      </c>
      <c r="AD37" s="122"/>
      <c r="AE37" s="11" t="str">
        <f t="shared" si="25"/>
        <v/>
      </c>
      <c r="AF37" s="11" t="str">
        <f t="shared" si="26"/>
        <v/>
      </c>
      <c r="AG37" s="11" t="str">
        <f t="shared" si="27"/>
        <v/>
      </c>
      <c r="AH37" s="21"/>
    </row>
    <row r="38" ht="15.0" customHeight="1">
      <c r="A38" s="21"/>
      <c r="B38" s="120" t="str">
        <f>IF($A38="","",IFERROR(HYPERLINK(VLOOKUP($A38,'Мои блогеры'!$A$2:$N$673,14,0),"🔗 открыть"),""))</f>
        <v/>
      </c>
      <c r="C38" s="11" t="str">
        <f>IFERROR(VLOOKUP($A38,'Мои блогеры'!$A:$N,5,0),"")</f>
        <v/>
      </c>
      <c r="D38" s="120" t="str">
        <f>IFERROR(VLOOKUP($A38,'Мои блогеры'!$A:$N,2,0),"")</f>
        <v/>
      </c>
      <c r="E38" s="21"/>
      <c r="F38" s="21"/>
      <c r="G38" s="21"/>
      <c r="H38" s="121"/>
      <c r="I38" s="21"/>
      <c r="J38" s="11" t="str">
        <f>IFERROR(VLOOKUP($A38,'Мои блогеры'!$A$2:$N$673,8,0),"")</f>
        <v/>
      </c>
      <c r="K38" s="122"/>
      <c r="L38" s="122"/>
      <c r="M38" s="11" t="str">
        <f t="shared" si="21"/>
        <v/>
      </c>
      <c r="N38" s="21"/>
      <c r="O38" s="153"/>
      <c r="P38" s="21"/>
      <c r="Q38" s="120" t="str">
        <f>IFERROR(VLOOKUP($A38,'Мои блогеры'!$A$2:$N$673,10,0)&amp;"-TRG","")</f>
        <v/>
      </c>
      <c r="R38" s="21"/>
      <c r="S38" s="21"/>
      <c r="T38" s="122"/>
      <c r="U38" s="123" t="str">
        <f t="shared" si="22"/>
        <v/>
      </c>
      <c r="V38" s="122"/>
      <c r="W38" s="122"/>
      <c r="X38" s="123" t="str">
        <f t="shared" si="23"/>
        <v/>
      </c>
      <c r="Y38" s="122"/>
      <c r="Z38" s="122"/>
      <c r="AA38" s="122"/>
      <c r="AB38" s="124"/>
      <c r="AC38" s="11" t="str">
        <f t="shared" si="24"/>
        <v/>
      </c>
      <c r="AD38" s="122"/>
      <c r="AE38" s="11" t="str">
        <f t="shared" si="25"/>
        <v/>
      </c>
      <c r="AF38" s="11" t="str">
        <f t="shared" si="26"/>
        <v/>
      </c>
      <c r="AG38" s="11" t="str">
        <f t="shared" si="27"/>
        <v/>
      </c>
      <c r="AH38" s="21"/>
    </row>
    <row r="39" ht="15.0" customHeight="1">
      <c r="A39" s="21"/>
      <c r="B39" s="120" t="str">
        <f>IF($A39="","",IFERROR(HYPERLINK(VLOOKUP($A39,'Мои блогеры'!$A$2:$N$673,14,0),"🔗 открыть"),""))</f>
        <v/>
      </c>
      <c r="C39" s="11" t="str">
        <f>IFERROR(VLOOKUP($A39,'Мои блогеры'!$A:$N,5,0),"")</f>
        <v/>
      </c>
      <c r="D39" s="120" t="str">
        <f>IFERROR(VLOOKUP($A39,'Мои блогеры'!$A:$N,2,0),"")</f>
        <v/>
      </c>
      <c r="E39" s="21"/>
      <c r="F39" s="21"/>
      <c r="G39" s="21"/>
      <c r="H39" s="121"/>
      <c r="I39" s="21"/>
      <c r="J39" s="11" t="str">
        <f>IFERROR(VLOOKUP($A39,'Мои блогеры'!$A$2:$N$673,8,0),"")</f>
        <v/>
      </c>
      <c r="K39" s="122"/>
      <c r="L39" s="122"/>
      <c r="M39" s="11" t="str">
        <f t="shared" si="21"/>
        <v/>
      </c>
      <c r="N39" s="21"/>
      <c r="O39" s="153"/>
      <c r="P39" s="21"/>
      <c r="Q39" s="120" t="str">
        <f>IFERROR(VLOOKUP($A39,'Мои блогеры'!$A$2:$N$673,10,0)&amp;"-TRG","")</f>
        <v/>
      </c>
      <c r="R39" s="21"/>
      <c r="S39" s="21"/>
      <c r="T39" s="122"/>
      <c r="U39" s="123" t="str">
        <f t="shared" si="22"/>
        <v/>
      </c>
      <c r="V39" s="122"/>
      <c r="W39" s="122"/>
      <c r="X39" s="123" t="str">
        <f t="shared" si="23"/>
        <v/>
      </c>
      <c r="Y39" s="122"/>
      <c r="Z39" s="122"/>
      <c r="AA39" s="122"/>
      <c r="AB39" s="124"/>
      <c r="AC39" s="11" t="str">
        <f t="shared" si="24"/>
        <v/>
      </c>
      <c r="AD39" s="122"/>
      <c r="AE39" s="11" t="str">
        <f t="shared" si="25"/>
        <v/>
      </c>
      <c r="AF39" s="11" t="str">
        <f t="shared" si="26"/>
        <v/>
      </c>
      <c r="AG39" s="11" t="str">
        <f t="shared" si="27"/>
        <v/>
      </c>
      <c r="AH39" s="21"/>
    </row>
    <row r="40" ht="15.0" customHeight="1">
      <c r="A40" s="21"/>
      <c r="B40" s="120" t="str">
        <f>IF($A40="","",IFERROR(HYPERLINK(VLOOKUP($A40,'Мои блогеры'!$A$2:$N$673,14,0),"🔗 открыть"),""))</f>
        <v/>
      </c>
      <c r="C40" s="11" t="str">
        <f>IFERROR(VLOOKUP($A40,'Мои блогеры'!$A:$N,5,0),"")</f>
        <v/>
      </c>
      <c r="D40" s="120" t="str">
        <f>IFERROR(VLOOKUP($A40,'Мои блогеры'!$A:$N,2,0),"")</f>
        <v/>
      </c>
      <c r="E40" s="21"/>
      <c r="F40" s="21"/>
      <c r="G40" s="21"/>
      <c r="H40" s="121"/>
      <c r="I40" s="21"/>
      <c r="J40" s="11" t="str">
        <f>IFERROR(VLOOKUP($A40,'Мои блогеры'!$A$2:$N$673,8,0),"")</f>
        <v/>
      </c>
      <c r="K40" s="122"/>
      <c r="L40" s="122"/>
      <c r="M40" s="11" t="str">
        <f t="shared" si="21"/>
        <v/>
      </c>
      <c r="N40" s="21"/>
      <c r="O40" s="153"/>
      <c r="P40" s="21"/>
      <c r="Q40" s="120" t="str">
        <f>IFERROR(VLOOKUP($A40,'Мои блогеры'!$A$2:$N$673,10,0)&amp;"-TRG","")</f>
        <v/>
      </c>
      <c r="R40" s="21"/>
      <c r="S40" s="21"/>
      <c r="T40" s="122"/>
      <c r="U40" s="123" t="str">
        <f t="shared" si="22"/>
        <v/>
      </c>
      <c r="V40" s="122"/>
      <c r="W40" s="122"/>
      <c r="X40" s="123" t="str">
        <f t="shared" si="23"/>
        <v/>
      </c>
      <c r="Y40" s="122"/>
      <c r="Z40" s="122"/>
      <c r="AA40" s="122"/>
      <c r="AB40" s="124"/>
      <c r="AC40" s="11" t="str">
        <f t="shared" si="24"/>
        <v/>
      </c>
      <c r="AD40" s="122"/>
      <c r="AE40" s="11" t="str">
        <f t="shared" si="25"/>
        <v/>
      </c>
      <c r="AF40" s="11" t="str">
        <f t="shared" si="26"/>
        <v/>
      </c>
      <c r="AG40" s="11" t="str">
        <f t="shared" si="27"/>
        <v/>
      </c>
      <c r="AH40" s="21"/>
    </row>
    <row r="41" ht="15.0" customHeight="1">
      <c r="A41" s="21"/>
      <c r="B41" s="120" t="str">
        <f>IF($A41="","",IFERROR(HYPERLINK(VLOOKUP($A41,'Мои блогеры'!$A$2:$N$673,14,0),"🔗 открыть"),""))</f>
        <v/>
      </c>
      <c r="C41" s="11" t="str">
        <f>IFERROR(VLOOKUP($A41,'Мои блогеры'!$A:$N,5,0),"")</f>
        <v/>
      </c>
      <c r="D41" s="120" t="str">
        <f>IFERROR(VLOOKUP($A41,'Мои блогеры'!$A:$N,2,0),"")</f>
        <v/>
      </c>
      <c r="E41" s="21"/>
      <c r="F41" s="21"/>
      <c r="G41" s="21"/>
      <c r="H41" s="121"/>
      <c r="I41" s="21"/>
      <c r="J41" s="11" t="str">
        <f>IFERROR(VLOOKUP($A41,'Мои блогеры'!$A$2:$N$673,8,0),"")</f>
        <v/>
      </c>
      <c r="K41" s="122"/>
      <c r="L41" s="122"/>
      <c r="M41" s="11" t="str">
        <f t="shared" si="21"/>
        <v/>
      </c>
      <c r="N41" s="21"/>
      <c r="O41" s="153"/>
      <c r="P41" s="21"/>
      <c r="Q41" s="120" t="str">
        <f>IFERROR(VLOOKUP($A41,'Мои блогеры'!$A$2:$N$673,10,0)&amp;"-TRG","")</f>
        <v/>
      </c>
      <c r="R41" s="21"/>
      <c r="S41" s="21"/>
      <c r="T41" s="122"/>
      <c r="U41" s="123" t="str">
        <f t="shared" si="22"/>
        <v/>
      </c>
      <c r="V41" s="122"/>
      <c r="W41" s="122"/>
      <c r="X41" s="123" t="str">
        <f t="shared" si="23"/>
        <v/>
      </c>
      <c r="Y41" s="122"/>
      <c r="Z41" s="122"/>
      <c r="AA41" s="122"/>
      <c r="AB41" s="124"/>
      <c r="AC41" s="11" t="str">
        <f t="shared" si="24"/>
        <v/>
      </c>
      <c r="AD41" s="122"/>
      <c r="AE41" s="11" t="str">
        <f t="shared" si="25"/>
        <v/>
      </c>
      <c r="AF41" s="11" t="str">
        <f t="shared" si="26"/>
        <v/>
      </c>
      <c r="AG41" s="11" t="str">
        <f t="shared" si="27"/>
        <v/>
      </c>
      <c r="AH41" s="21"/>
    </row>
    <row r="42" ht="15.0" customHeight="1">
      <c r="A42" s="21"/>
      <c r="B42" s="120" t="str">
        <f>IF($A42="","",IFERROR(HYPERLINK(VLOOKUP($A42,'Мои блогеры'!$A$2:$N$673,14,0),"🔗 открыть"),""))</f>
        <v/>
      </c>
      <c r="C42" s="11" t="str">
        <f>IFERROR(VLOOKUP($A42,'Мои блогеры'!$A:$N,5,0),"")</f>
        <v/>
      </c>
      <c r="D42" s="120" t="str">
        <f>IFERROR(VLOOKUP($A42,'Мои блогеры'!$A:$N,2,0),"")</f>
        <v/>
      </c>
      <c r="E42" s="21"/>
      <c r="F42" s="21"/>
      <c r="G42" s="21"/>
      <c r="H42" s="121"/>
      <c r="I42" s="21"/>
      <c r="J42" s="11" t="str">
        <f>IFERROR(VLOOKUP($A42,'Мои блогеры'!$A$2:$N$673,8,0),"")</f>
        <v/>
      </c>
      <c r="K42" s="122"/>
      <c r="L42" s="122"/>
      <c r="M42" s="11" t="str">
        <f t="shared" si="21"/>
        <v/>
      </c>
      <c r="N42" s="21"/>
      <c r="O42" s="153"/>
      <c r="P42" s="21"/>
      <c r="Q42" s="120" t="str">
        <f>IFERROR(VLOOKUP($A42,'Мои блогеры'!$A$2:$N$673,10,0)&amp;"-TRG","")</f>
        <v/>
      </c>
      <c r="R42" s="21"/>
      <c r="S42" s="21"/>
      <c r="T42" s="122"/>
      <c r="U42" s="123" t="str">
        <f t="shared" si="22"/>
        <v/>
      </c>
      <c r="V42" s="122"/>
      <c r="W42" s="122"/>
      <c r="X42" s="123" t="str">
        <f t="shared" si="23"/>
        <v/>
      </c>
      <c r="Y42" s="122"/>
      <c r="Z42" s="122"/>
      <c r="AA42" s="122"/>
      <c r="AB42" s="124"/>
      <c r="AC42" s="11" t="str">
        <f t="shared" si="24"/>
        <v/>
      </c>
      <c r="AD42" s="122"/>
      <c r="AE42" s="11" t="str">
        <f t="shared" si="25"/>
        <v/>
      </c>
      <c r="AF42" s="11" t="str">
        <f t="shared" si="26"/>
        <v/>
      </c>
      <c r="AG42" s="11" t="str">
        <f t="shared" si="27"/>
        <v/>
      </c>
      <c r="AH42" s="21"/>
    </row>
    <row r="43" ht="15.0" customHeight="1">
      <c r="A43" s="21"/>
      <c r="B43" s="120" t="str">
        <f>IF($A43="","",IFERROR(HYPERLINK(VLOOKUP($A43,'Мои блогеры'!$A$2:$N$673,14,0),"🔗 открыть"),""))</f>
        <v/>
      </c>
      <c r="C43" s="11" t="str">
        <f>IFERROR(VLOOKUP($A43,'Мои блогеры'!$A:$N,5,0),"")</f>
        <v/>
      </c>
      <c r="D43" s="120" t="str">
        <f>IFERROR(VLOOKUP($A43,'Мои блогеры'!$A:$N,2,0),"")</f>
        <v/>
      </c>
      <c r="E43" s="21"/>
      <c r="F43" s="21"/>
      <c r="G43" s="21"/>
      <c r="H43" s="121"/>
      <c r="I43" s="21"/>
      <c r="J43" s="11" t="str">
        <f>IFERROR(VLOOKUP($A43,'Мои блогеры'!$A$2:$N$673,8,0),"")</f>
        <v/>
      </c>
      <c r="K43" s="122"/>
      <c r="L43" s="122"/>
      <c r="M43" s="11" t="str">
        <f t="shared" si="21"/>
        <v/>
      </c>
      <c r="N43" s="21"/>
      <c r="O43" s="153"/>
      <c r="P43" s="21"/>
      <c r="Q43" s="120" t="str">
        <f>IFERROR(VLOOKUP($A43,'Мои блогеры'!$A$2:$N$673,10,0)&amp;"-TRG","")</f>
        <v/>
      </c>
      <c r="R43" s="21"/>
      <c r="S43" s="21"/>
      <c r="T43" s="122"/>
      <c r="U43" s="123" t="str">
        <f t="shared" si="22"/>
        <v/>
      </c>
      <c r="V43" s="122"/>
      <c r="W43" s="122"/>
      <c r="X43" s="123" t="str">
        <f t="shared" si="23"/>
        <v/>
      </c>
      <c r="Y43" s="122"/>
      <c r="Z43" s="122"/>
      <c r="AA43" s="122"/>
      <c r="AB43" s="124"/>
      <c r="AC43" s="11" t="str">
        <f t="shared" si="24"/>
        <v/>
      </c>
      <c r="AD43" s="122"/>
      <c r="AE43" s="11" t="str">
        <f t="shared" si="25"/>
        <v/>
      </c>
      <c r="AF43" s="11" t="str">
        <f t="shared" si="26"/>
        <v/>
      </c>
      <c r="AG43" s="11" t="str">
        <f t="shared" si="27"/>
        <v/>
      </c>
      <c r="AH43" s="21"/>
    </row>
    <row r="44" ht="15.0" customHeight="1">
      <c r="A44" s="21"/>
      <c r="B44" s="120" t="str">
        <f>IF($A44="","",IFERROR(HYPERLINK(VLOOKUP($A44,'Мои блогеры'!$A$2:$N$673,14,0),"🔗 открыть"),""))</f>
        <v/>
      </c>
      <c r="C44" s="11" t="str">
        <f>IFERROR(VLOOKUP($A44,'Мои блогеры'!$A:$N,5,0),"")</f>
        <v/>
      </c>
      <c r="D44" s="120" t="str">
        <f>IFERROR(VLOOKUP($A44,'Мои блогеры'!$A:$N,2,0),"")</f>
        <v/>
      </c>
      <c r="E44" s="21"/>
      <c r="F44" s="21"/>
      <c r="G44" s="21"/>
      <c r="H44" s="121"/>
      <c r="I44" s="21"/>
      <c r="J44" s="11" t="str">
        <f>IFERROR(VLOOKUP($A44,'Мои блогеры'!$A$2:$N$673,8,0),"")</f>
        <v/>
      </c>
      <c r="K44" s="122"/>
      <c r="L44" s="122"/>
      <c r="M44" s="11" t="str">
        <f t="shared" si="21"/>
        <v/>
      </c>
      <c r="N44" s="21"/>
      <c r="O44" s="153"/>
      <c r="P44" s="21"/>
      <c r="Q44" s="120" t="str">
        <f>IFERROR(VLOOKUP($A44,'Мои блогеры'!$A$2:$N$673,10,0)&amp;"-TRG","")</f>
        <v/>
      </c>
      <c r="R44" s="21"/>
      <c r="S44" s="21"/>
      <c r="T44" s="122"/>
      <c r="U44" s="123" t="str">
        <f t="shared" si="22"/>
        <v/>
      </c>
      <c r="V44" s="122"/>
      <c r="W44" s="122"/>
      <c r="X44" s="123" t="str">
        <f t="shared" si="23"/>
        <v/>
      </c>
      <c r="Y44" s="122"/>
      <c r="Z44" s="122"/>
      <c r="AA44" s="122"/>
      <c r="AB44" s="124"/>
      <c r="AC44" s="11" t="str">
        <f t="shared" si="24"/>
        <v/>
      </c>
      <c r="AD44" s="122"/>
      <c r="AE44" s="11" t="str">
        <f t="shared" si="25"/>
        <v/>
      </c>
      <c r="AF44" s="11" t="str">
        <f t="shared" si="26"/>
        <v/>
      </c>
      <c r="AG44" s="11" t="str">
        <f t="shared" si="27"/>
        <v/>
      </c>
      <c r="AH44" s="21"/>
    </row>
    <row r="45" ht="15.0" customHeight="1">
      <c r="A45" s="21"/>
      <c r="B45" s="120" t="str">
        <f>IF($A45="","",IFERROR(HYPERLINK(VLOOKUP($A45,'Мои блогеры'!$A$2:$N$673,14,0),"🔗 открыть"),""))</f>
        <v/>
      </c>
      <c r="C45" s="11" t="str">
        <f>IFERROR(VLOOKUP($A45,'Мои блогеры'!$A:$N,5,0),"")</f>
        <v/>
      </c>
      <c r="D45" s="120" t="str">
        <f>IFERROR(VLOOKUP($A45,'Мои блогеры'!$A:$N,2,0),"")</f>
        <v/>
      </c>
      <c r="E45" s="21"/>
      <c r="F45" s="21"/>
      <c r="G45" s="21"/>
      <c r="H45" s="121"/>
      <c r="I45" s="21"/>
      <c r="J45" s="11" t="str">
        <f>IFERROR(VLOOKUP($A45,'Мои блогеры'!$A$2:$N$673,8,0),"")</f>
        <v/>
      </c>
      <c r="K45" s="122"/>
      <c r="L45" s="122"/>
      <c r="M45" s="11" t="str">
        <f t="shared" si="21"/>
        <v/>
      </c>
      <c r="N45" s="21"/>
      <c r="O45" s="153"/>
      <c r="P45" s="21"/>
      <c r="Q45" s="120" t="str">
        <f>IFERROR(VLOOKUP($A45,'Мои блогеры'!$A$2:$N$673,10,0)&amp;"-TRG","")</f>
        <v/>
      </c>
      <c r="R45" s="21"/>
      <c r="S45" s="21"/>
      <c r="T45" s="122"/>
      <c r="U45" s="123" t="str">
        <f t="shared" si="22"/>
        <v/>
      </c>
      <c r="V45" s="122"/>
      <c r="W45" s="122"/>
      <c r="X45" s="123" t="str">
        <f t="shared" si="23"/>
        <v/>
      </c>
      <c r="Y45" s="122"/>
      <c r="Z45" s="122"/>
      <c r="AA45" s="122"/>
      <c r="AB45" s="124"/>
      <c r="AC45" s="11" t="str">
        <f t="shared" si="24"/>
        <v/>
      </c>
      <c r="AD45" s="122"/>
      <c r="AE45" s="11" t="str">
        <f t="shared" si="25"/>
        <v/>
      </c>
      <c r="AF45" s="11" t="str">
        <f t="shared" si="26"/>
        <v/>
      </c>
      <c r="AG45" s="11" t="str">
        <f t="shared" si="27"/>
        <v/>
      </c>
      <c r="AH45" s="21"/>
    </row>
    <row r="46" ht="15.0" customHeight="1">
      <c r="A46" s="126" t="s">
        <v>1715</v>
      </c>
      <c r="B46" s="126"/>
      <c r="C46" s="127"/>
      <c r="D46" s="126"/>
      <c r="E46" s="126"/>
      <c r="F46" s="126"/>
      <c r="G46" s="126"/>
      <c r="H46" s="126"/>
      <c r="I46" s="126" t="str">
        <f>COUNTIF(I35:I45,"Вышло")&amp;" / "&amp;COUNTA(A35:A45)</f>
        <v>0 / 0</v>
      </c>
      <c r="J46" s="127">
        <f t="shared" ref="J46:M46" si="28">SUM(J35:J45)</f>
        <v>0</v>
      </c>
      <c r="K46" s="127">
        <f t="shared" si="28"/>
        <v>0</v>
      </c>
      <c r="L46" s="127">
        <f t="shared" si="28"/>
        <v>0</v>
      </c>
      <c r="M46" s="127">
        <f t="shared" si="28"/>
        <v>0</v>
      </c>
      <c r="N46" s="126"/>
      <c r="O46" s="163"/>
      <c r="P46" s="126"/>
      <c r="Q46" s="126"/>
      <c r="R46" s="126"/>
      <c r="S46" s="126"/>
      <c r="T46" s="127">
        <f>SUM(T35:T45)</f>
        <v>0</v>
      </c>
      <c r="U46" s="128" t="str">
        <f t="shared" si="22"/>
        <v/>
      </c>
      <c r="V46" s="127">
        <f t="shared" ref="V46:W46" si="29">SUM(V35:V45)</f>
        <v>0</v>
      </c>
      <c r="W46" s="127">
        <f t="shared" si="29"/>
        <v>0</v>
      </c>
      <c r="X46" s="128" t="str">
        <f>IF(N(V46)=0,"",M46/V46)</f>
        <v/>
      </c>
      <c r="Y46" s="127">
        <f t="shared" ref="Y46:AA46" si="30">SUM(Y35:Y45)</f>
        <v>0</v>
      </c>
      <c r="Z46" s="127">
        <f t="shared" si="30"/>
        <v>0</v>
      </c>
      <c r="AA46" s="127">
        <f t="shared" si="30"/>
        <v>0</v>
      </c>
      <c r="AB46" s="129"/>
      <c r="AC46" s="127">
        <f>SUM(AC35:AC45)</f>
        <v>0</v>
      </c>
      <c r="AD46" s="127"/>
      <c r="AE46" s="127">
        <f>SUM(AE35:AE45)</f>
        <v>0</v>
      </c>
      <c r="AF46" s="127" t="str">
        <f>IF(N(AC46)=0,"—",ROUND(M46/AC46,0))</f>
        <v>—</v>
      </c>
      <c r="AG46" s="127" t="str">
        <f>IF(N(Z46)=0,"—",ROUND(M46/Z46,0))</f>
        <v>—</v>
      </c>
      <c r="AH46" s="126"/>
    </row>
    <row r="47" ht="15.0" customHeight="1">
      <c r="A47" s="117" t="s">
        <v>1716</v>
      </c>
      <c r="B47" s="117"/>
      <c r="C47" s="130"/>
      <c r="D47" s="117"/>
      <c r="E47" s="117"/>
      <c r="F47" s="117"/>
      <c r="G47" s="117"/>
      <c r="H47" s="117"/>
      <c r="I47" s="117"/>
      <c r="J47" s="130"/>
      <c r="K47" s="130"/>
      <c r="L47" s="130"/>
      <c r="M47" s="130"/>
      <c r="N47" s="117"/>
      <c r="O47" s="157"/>
      <c r="P47" s="117"/>
      <c r="Q47" s="117"/>
      <c r="R47" s="117"/>
      <c r="S47" s="117"/>
      <c r="T47" s="130"/>
      <c r="U47" s="131"/>
      <c r="V47" s="130"/>
      <c r="W47" s="130"/>
      <c r="X47" s="131"/>
      <c r="Y47" s="130"/>
      <c r="Z47" s="130"/>
      <c r="AA47" s="130"/>
      <c r="AB47" s="132"/>
      <c r="AC47" s="130"/>
      <c r="AD47" s="130"/>
      <c r="AE47" s="130"/>
      <c r="AF47" s="130"/>
      <c r="AG47" s="130"/>
      <c r="AH47" s="117"/>
    </row>
    <row r="48" ht="15.0" customHeight="1">
      <c r="A48" s="256"/>
      <c r="B48" s="120" t="str">
        <f>IF($A48="","",IFERROR(HYPERLINK(VLOOKUP($A48,'Мои блогеры'!$A$2:$N$673,14,0),"🔗 открыть"),""))</f>
        <v/>
      </c>
      <c r="C48" s="11"/>
      <c r="D48" s="120"/>
      <c r="E48" s="21"/>
      <c r="F48" s="21"/>
      <c r="G48" s="21"/>
      <c r="H48" s="167"/>
      <c r="I48" s="21"/>
      <c r="J48" s="11" t="str">
        <f>IFERROR(VLOOKUP($A48,'Мои блогеры'!$A$2:$N$673,8,0),"")</f>
        <v/>
      </c>
      <c r="K48" s="122"/>
      <c r="L48" s="122"/>
      <c r="M48" s="11" t="str">
        <f t="shared" ref="M48:M58" si="31">IF(N($J48)+N($K48)+N($L48)=0,"",N($J48)+N($K48)+N($L48))</f>
        <v/>
      </c>
      <c r="N48" s="21"/>
      <c r="O48" s="153"/>
      <c r="P48" s="21"/>
      <c r="Q48" s="120" t="str">
        <f>IFERROR(VLOOKUP($A48,'Мои блогеры'!$A$2:$N$673,10,0)&amp;"-TRG","")</f>
        <v/>
      </c>
      <c r="R48" s="21"/>
      <c r="S48" s="21"/>
      <c r="T48" s="122"/>
      <c r="U48" s="123" t="str">
        <f t="shared" ref="U48:U59" si="32">IF(N($T48)=0,"",$M48/$T48)</f>
        <v/>
      </c>
      <c r="V48" s="122"/>
      <c r="W48" s="122"/>
      <c r="X48" s="123" t="str">
        <f t="shared" ref="X48:X58" si="33">IF(N($V48)=0,"",$M48/$V48)</f>
        <v/>
      </c>
      <c r="Y48" s="122"/>
      <c r="Z48" s="122"/>
      <c r="AA48" s="122"/>
      <c r="AB48" s="124"/>
      <c r="AC48" s="11" t="str">
        <f t="shared" ref="AC48:AC58" si="34">IF(OR(N($Z48)=0,$AB48=""),"",ROUND($Z48*$AB48,0))</f>
        <v/>
      </c>
      <c r="AD48" s="122"/>
      <c r="AE48" s="11" t="str">
        <f t="shared" ref="AE48:AE58" si="35">IF(OR(N($AC48)=0,$AD48=""),"",ROUND($AC48*$AD48,0))</f>
        <v/>
      </c>
      <c r="AF48" s="11" t="str">
        <f t="shared" ref="AF48:AF58" si="36">IF(N($AC48)=0,"",ROUND($M48/$AC48,0))</f>
        <v/>
      </c>
      <c r="AG48" s="11" t="str">
        <f t="shared" ref="AG48:AG58" si="37">IF(N($Z48)=0,"",ROUND($M48/$Z48,0))</f>
        <v/>
      </c>
      <c r="AH48" s="21"/>
    </row>
    <row r="49" ht="15.0" customHeight="1">
      <c r="A49" s="256"/>
      <c r="B49" s="120" t="str">
        <f>IF($A49="","",IFERROR(HYPERLINK(VLOOKUP($A49,'Мои блогеры'!$A$2:$N$673,14,0),"🔗 открыть"),""))</f>
        <v/>
      </c>
      <c r="C49" s="11"/>
      <c r="D49" s="120"/>
      <c r="E49" s="21"/>
      <c r="F49" s="21"/>
      <c r="G49" s="21"/>
      <c r="H49" s="121"/>
      <c r="I49" s="21"/>
      <c r="J49" s="11" t="str">
        <f>IFERROR(VLOOKUP($A49,'Мои блогеры'!$A$2:$N$673,8,0),"")</f>
        <v/>
      </c>
      <c r="K49" s="122"/>
      <c r="L49" s="122"/>
      <c r="M49" s="11" t="str">
        <f t="shared" si="31"/>
        <v/>
      </c>
      <c r="N49" s="21"/>
      <c r="O49" s="153"/>
      <c r="P49" s="21"/>
      <c r="Q49" s="120" t="str">
        <f>IFERROR(VLOOKUP($A49,'Мои блогеры'!$A$2:$N$673,10,0)&amp;"-TRG","")</f>
        <v/>
      </c>
      <c r="R49" s="21"/>
      <c r="S49" s="21"/>
      <c r="T49" s="122"/>
      <c r="U49" s="123" t="str">
        <f t="shared" si="32"/>
        <v/>
      </c>
      <c r="V49" s="122"/>
      <c r="W49" s="122"/>
      <c r="X49" s="123" t="str">
        <f t="shared" si="33"/>
        <v/>
      </c>
      <c r="Y49" s="122"/>
      <c r="Z49" s="122"/>
      <c r="AA49" s="122"/>
      <c r="AB49" s="124"/>
      <c r="AC49" s="11" t="str">
        <f t="shared" si="34"/>
        <v/>
      </c>
      <c r="AD49" s="122"/>
      <c r="AE49" s="11" t="str">
        <f t="shared" si="35"/>
        <v/>
      </c>
      <c r="AF49" s="11" t="str">
        <f t="shared" si="36"/>
        <v/>
      </c>
      <c r="AG49" s="11" t="str">
        <f t="shared" si="37"/>
        <v/>
      </c>
      <c r="AH49" s="21"/>
    </row>
    <row r="50" ht="15.0" customHeight="1">
      <c r="A50" s="21"/>
      <c r="B50" s="120" t="str">
        <f>IF($A50="","",IFERROR(HYPERLINK(VLOOKUP($A50,'Мои блогеры'!$A$2:$N$673,14,0),"🔗 открыть"),""))</f>
        <v/>
      </c>
      <c r="C50" s="11"/>
      <c r="D50" s="120"/>
      <c r="E50" s="21"/>
      <c r="F50" s="165"/>
      <c r="G50" s="21"/>
      <c r="H50" s="121"/>
      <c r="I50" s="21"/>
      <c r="J50" s="11" t="str">
        <f>IFERROR(VLOOKUP($A50,'Мои блогеры'!$A$2:$N$673,8,0),"")</f>
        <v/>
      </c>
      <c r="K50" s="122"/>
      <c r="L50" s="122"/>
      <c r="M50" s="11" t="str">
        <f t="shared" si="31"/>
        <v/>
      </c>
      <c r="N50" s="21"/>
      <c r="O50" s="153"/>
      <c r="P50" s="21"/>
      <c r="Q50" s="120" t="str">
        <f>IFERROR(VLOOKUP($A50,'Мои блогеры'!$A$2:$N$673,10,0)&amp;"-TRG","")</f>
        <v/>
      </c>
      <c r="R50" s="21"/>
      <c r="S50" s="21"/>
      <c r="T50" s="122"/>
      <c r="U50" s="123" t="str">
        <f t="shared" si="32"/>
        <v/>
      </c>
      <c r="V50" s="122"/>
      <c r="W50" s="122"/>
      <c r="X50" s="123" t="str">
        <f t="shared" si="33"/>
        <v/>
      </c>
      <c r="Y50" s="122"/>
      <c r="Z50" s="122"/>
      <c r="AA50" s="122"/>
      <c r="AB50" s="124"/>
      <c r="AC50" s="11" t="str">
        <f t="shared" si="34"/>
        <v/>
      </c>
      <c r="AD50" s="122"/>
      <c r="AE50" s="11" t="str">
        <f t="shared" si="35"/>
        <v/>
      </c>
      <c r="AF50" s="11" t="str">
        <f t="shared" si="36"/>
        <v/>
      </c>
      <c r="AG50" s="11" t="str">
        <f t="shared" si="37"/>
        <v/>
      </c>
      <c r="AH50" s="21"/>
    </row>
    <row r="51" ht="15.75" customHeight="1">
      <c r="A51" s="21"/>
      <c r="B51" s="120" t="str">
        <f>IF($A51="","",IFERROR(HYPERLINK(VLOOKUP($A51,'Мои блогеры'!$A$2:$N$673,14,0),"🔗 открыть"),""))</f>
        <v/>
      </c>
      <c r="C51" s="11" t="str">
        <f>IFERROR(VLOOKUP($A51,'Мои блогеры'!$A:$N,5,0),"")</f>
        <v/>
      </c>
      <c r="D51" s="120" t="str">
        <f>IFERROR(VLOOKUP($A51,'Мои блогеры'!$A:$N,2,0),"")</f>
        <v/>
      </c>
      <c r="E51" s="21"/>
      <c r="F51" s="21"/>
      <c r="G51" s="21"/>
      <c r="H51" s="121"/>
      <c r="I51" s="21"/>
      <c r="J51" s="11" t="str">
        <f>IFERROR(VLOOKUP($A51,'Мои блогеры'!$A$2:$N$673,8,0),"")</f>
        <v/>
      </c>
      <c r="K51" s="122"/>
      <c r="L51" s="122"/>
      <c r="M51" s="11" t="str">
        <f t="shared" si="31"/>
        <v/>
      </c>
      <c r="N51" s="21"/>
      <c r="O51" s="153"/>
      <c r="P51" s="21"/>
      <c r="Q51" s="120" t="str">
        <f>IFERROR(VLOOKUP($A51,'Мои блогеры'!$A$2:$N$673,10,0)&amp;"-TRG","")</f>
        <v/>
      </c>
      <c r="R51" s="21"/>
      <c r="S51" s="21"/>
      <c r="T51" s="122"/>
      <c r="U51" s="123" t="str">
        <f t="shared" si="32"/>
        <v/>
      </c>
      <c r="V51" s="122"/>
      <c r="W51" s="122"/>
      <c r="X51" s="123" t="str">
        <f t="shared" si="33"/>
        <v/>
      </c>
      <c r="Y51" s="122"/>
      <c r="Z51" s="122"/>
      <c r="AA51" s="122"/>
      <c r="AB51" s="124"/>
      <c r="AC51" s="11" t="str">
        <f t="shared" si="34"/>
        <v/>
      </c>
      <c r="AD51" s="122"/>
      <c r="AE51" s="11" t="str">
        <f t="shared" si="35"/>
        <v/>
      </c>
      <c r="AF51" s="11" t="str">
        <f t="shared" si="36"/>
        <v/>
      </c>
      <c r="AG51" s="11" t="str">
        <f t="shared" si="37"/>
        <v/>
      </c>
      <c r="AH51" s="21"/>
    </row>
    <row r="52" ht="15.75" customHeight="1">
      <c r="A52" s="21"/>
      <c r="B52" s="120" t="str">
        <f>IF($A52="","",IFERROR(HYPERLINK(VLOOKUP($A52,'Мои блогеры'!$A$2:$N$673,14,0),"🔗 открыть"),""))</f>
        <v/>
      </c>
      <c r="C52" s="11" t="str">
        <f>IFERROR(VLOOKUP($A52,'Мои блогеры'!$A:$N,5,0),"")</f>
        <v/>
      </c>
      <c r="D52" s="120" t="str">
        <f>IFERROR(VLOOKUP($A52,'Мои блогеры'!$A:$N,2,0),"")</f>
        <v/>
      </c>
      <c r="E52" s="21"/>
      <c r="F52" s="21"/>
      <c r="G52" s="21"/>
      <c r="H52" s="121"/>
      <c r="I52" s="21"/>
      <c r="J52" s="11" t="str">
        <f>IFERROR(VLOOKUP($A52,'Мои блогеры'!$A$2:$N$673,8,0),"")</f>
        <v/>
      </c>
      <c r="K52" s="122"/>
      <c r="L52" s="122"/>
      <c r="M52" s="11" t="str">
        <f t="shared" si="31"/>
        <v/>
      </c>
      <c r="N52" s="21"/>
      <c r="O52" s="153"/>
      <c r="P52" s="21"/>
      <c r="Q52" s="120" t="str">
        <f>IFERROR(VLOOKUP($A52,'Мои блогеры'!$A$2:$N$673,10,0)&amp;"-TRG","")</f>
        <v/>
      </c>
      <c r="R52" s="21"/>
      <c r="S52" s="21"/>
      <c r="T52" s="122"/>
      <c r="U52" s="123" t="str">
        <f t="shared" si="32"/>
        <v/>
      </c>
      <c r="V52" s="122"/>
      <c r="W52" s="122"/>
      <c r="X52" s="123" t="str">
        <f t="shared" si="33"/>
        <v/>
      </c>
      <c r="Y52" s="122"/>
      <c r="Z52" s="122"/>
      <c r="AA52" s="122"/>
      <c r="AB52" s="124"/>
      <c r="AC52" s="11" t="str">
        <f t="shared" si="34"/>
        <v/>
      </c>
      <c r="AD52" s="122"/>
      <c r="AE52" s="11" t="str">
        <f t="shared" si="35"/>
        <v/>
      </c>
      <c r="AF52" s="11" t="str">
        <f t="shared" si="36"/>
        <v/>
      </c>
      <c r="AG52" s="11" t="str">
        <f t="shared" si="37"/>
        <v/>
      </c>
      <c r="AH52" s="21"/>
    </row>
    <row r="53" ht="15.75" customHeight="1">
      <c r="A53" s="21"/>
      <c r="B53" s="120" t="str">
        <f>IF($A53="","",IFERROR(HYPERLINK(VLOOKUP($A53,'Мои блогеры'!$A$2:$N$673,14,0),"🔗 открыть"),""))</f>
        <v/>
      </c>
      <c r="C53" s="11" t="str">
        <f>IFERROR(VLOOKUP($A53,'Мои блогеры'!$A:$N,5,0),"")</f>
        <v/>
      </c>
      <c r="D53" s="120" t="str">
        <f>IFERROR(VLOOKUP($A53,'Мои блогеры'!$A:$N,2,0),"")</f>
        <v/>
      </c>
      <c r="E53" s="21"/>
      <c r="F53" s="21"/>
      <c r="G53" s="21"/>
      <c r="H53" s="121"/>
      <c r="I53" s="21"/>
      <c r="J53" s="11" t="str">
        <f>IFERROR(VLOOKUP($A53,'Мои блогеры'!$A$2:$N$673,8,0),"")</f>
        <v/>
      </c>
      <c r="K53" s="122"/>
      <c r="L53" s="122"/>
      <c r="M53" s="11" t="str">
        <f t="shared" si="31"/>
        <v/>
      </c>
      <c r="N53" s="21"/>
      <c r="O53" s="153"/>
      <c r="P53" s="21"/>
      <c r="Q53" s="120" t="str">
        <f>IFERROR(VLOOKUP($A53,'Мои блогеры'!$A$2:$N$673,10,0)&amp;"-TRG","")</f>
        <v/>
      </c>
      <c r="R53" s="21"/>
      <c r="S53" s="21"/>
      <c r="T53" s="122"/>
      <c r="U53" s="123" t="str">
        <f t="shared" si="32"/>
        <v/>
      </c>
      <c r="V53" s="122"/>
      <c r="W53" s="122"/>
      <c r="X53" s="123" t="str">
        <f t="shared" si="33"/>
        <v/>
      </c>
      <c r="Y53" s="122"/>
      <c r="Z53" s="122"/>
      <c r="AA53" s="122"/>
      <c r="AB53" s="124"/>
      <c r="AC53" s="11" t="str">
        <f t="shared" si="34"/>
        <v/>
      </c>
      <c r="AD53" s="122"/>
      <c r="AE53" s="11" t="str">
        <f t="shared" si="35"/>
        <v/>
      </c>
      <c r="AF53" s="11" t="str">
        <f t="shared" si="36"/>
        <v/>
      </c>
      <c r="AG53" s="11" t="str">
        <f t="shared" si="37"/>
        <v/>
      </c>
      <c r="AH53" s="21"/>
    </row>
    <row r="54" ht="15.75" customHeight="1">
      <c r="A54" s="21"/>
      <c r="B54" s="120" t="str">
        <f>IF($A54="","",IFERROR(HYPERLINK(VLOOKUP($A54,'Мои блогеры'!$A$2:$N$673,14,0),"🔗 открыть"),""))</f>
        <v/>
      </c>
      <c r="C54" s="11" t="str">
        <f>IFERROR(VLOOKUP($A54,'Мои блогеры'!$A:$N,5,0),"")</f>
        <v/>
      </c>
      <c r="D54" s="120" t="str">
        <f>IFERROR(VLOOKUP($A54,'Мои блогеры'!$A:$N,2,0),"")</f>
        <v/>
      </c>
      <c r="E54" s="21"/>
      <c r="F54" s="21"/>
      <c r="G54" s="21"/>
      <c r="H54" s="121"/>
      <c r="I54" s="21"/>
      <c r="J54" s="11" t="str">
        <f>IFERROR(VLOOKUP($A54,'Мои блогеры'!$A$2:$N$673,8,0),"")</f>
        <v/>
      </c>
      <c r="K54" s="122"/>
      <c r="L54" s="122"/>
      <c r="M54" s="11" t="str">
        <f t="shared" si="31"/>
        <v/>
      </c>
      <c r="N54" s="21"/>
      <c r="O54" s="153"/>
      <c r="P54" s="21"/>
      <c r="Q54" s="120" t="str">
        <f>IFERROR(VLOOKUP($A54,'Мои блогеры'!$A$2:$N$673,10,0)&amp;"-TRG","")</f>
        <v/>
      </c>
      <c r="R54" s="21"/>
      <c r="S54" s="21"/>
      <c r="T54" s="122"/>
      <c r="U54" s="123" t="str">
        <f t="shared" si="32"/>
        <v/>
      </c>
      <c r="V54" s="122"/>
      <c r="W54" s="122"/>
      <c r="X54" s="123" t="str">
        <f t="shared" si="33"/>
        <v/>
      </c>
      <c r="Y54" s="122"/>
      <c r="Z54" s="122"/>
      <c r="AA54" s="122"/>
      <c r="AB54" s="124"/>
      <c r="AC54" s="11" t="str">
        <f t="shared" si="34"/>
        <v/>
      </c>
      <c r="AD54" s="122"/>
      <c r="AE54" s="11" t="str">
        <f t="shared" si="35"/>
        <v/>
      </c>
      <c r="AF54" s="11" t="str">
        <f t="shared" si="36"/>
        <v/>
      </c>
      <c r="AG54" s="11" t="str">
        <f t="shared" si="37"/>
        <v/>
      </c>
      <c r="AH54" s="21"/>
    </row>
    <row r="55" ht="15.75" customHeight="1">
      <c r="A55" s="21"/>
      <c r="B55" s="120" t="str">
        <f>IF($A55="","",IFERROR(HYPERLINK(VLOOKUP($A55,'Мои блогеры'!$A$2:$N$673,14,0),"🔗 открыть"),""))</f>
        <v/>
      </c>
      <c r="C55" s="11" t="str">
        <f>IFERROR(VLOOKUP($A55,'Мои блогеры'!$A:$N,5,0),"")</f>
        <v/>
      </c>
      <c r="D55" s="120" t="str">
        <f>IFERROR(VLOOKUP($A55,'Мои блогеры'!$A:$N,2,0),"")</f>
        <v/>
      </c>
      <c r="E55" s="21"/>
      <c r="F55" s="21"/>
      <c r="G55" s="21"/>
      <c r="H55" s="121"/>
      <c r="I55" s="21"/>
      <c r="J55" s="11" t="str">
        <f>IFERROR(VLOOKUP($A55,'Мои блогеры'!$A$2:$N$673,8,0),"")</f>
        <v/>
      </c>
      <c r="K55" s="122"/>
      <c r="L55" s="122"/>
      <c r="M55" s="11" t="str">
        <f t="shared" si="31"/>
        <v/>
      </c>
      <c r="N55" s="21"/>
      <c r="O55" s="153"/>
      <c r="P55" s="21"/>
      <c r="Q55" s="120" t="str">
        <f>IFERROR(VLOOKUP($A55,'Мои блогеры'!$A$2:$N$673,10,0)&amp;"-TRG","")</f>
        <v/>
      </c>
      <c r="R55" s="21"/>
      <c r="S55" s="21"/>
      <c r="T55" s="122"/>
      <c r="U55" s="123" t="str">
        <f t="shared" si="32"/>
        <v/>
      </c>
      <c r="V55" s="122"/>
      <c r="W55" s="122"/>
      <c r="X55" s="123" t="str">
        <f t="shared" si="33"/>
        <v/>
      </c>
      <c r="Y55" s="122"/>
      <c r="Z55" s="122"/>
      <c r="AA55" s="122"/>
      <c r="AB55" s="124"/>
      <c r="AC55" s="11" t="str">
        <f t="shared" si="34"/>
        <v/>
      </c>
      <c r="AD55" s="122"/>
      <c r="AE55" s="11" t="str">
        <f t="shared" si="35"/>
        <v/>
      </c>
      <c r="AF55" s="11" t="str">
        <f t="shared" si="36"/>
        <v/>
      </c>
      <c r="AG55" s="11" t="str">
        <f t="shared" si="37"/>
        <v/>
      </c>
      <c r="AH55" s="21"/>
    </row>
    <row r="56" ht="15.75" customHeight="1">
      <c r="A56" s="21"/>
      <c r="B56" s="120" t="str">
        <f>IF($A56="","",IFERROR(HYPERLINK(VLOOKUP($A56,'Мои блогеры'!$A$2:$N$673,14,0),"🔗 открыть"),""))</f>
        <v/>
      </c>
      <c r="C56" s="11" t="str">
        <f>IFERROR(VLOOKUP($A56,'Мои блогеры'!$A:$N,5,0),"")</f>
        <v/>
      </c>
      <c r="D56" s="120" t="str">
        <f>IFERROR(VLOOKUP($A56,'Мои блогеры'!$A:$N,2,0),"")</f>
        <v/>
      </c>
      <c r="E56" s="21"/>
      <c r="F56" s="21"/>
      <c r="G56" s="21"/>
      <c r="H56" s="121"/>
      <c r="I56" s="21"/>
      <c r="J56" s="11" t="str">
        <f>IFERROR(VLOOKUP($A56,'Мои блогеры'!$A$2:$N$673,8,0),"")</f>
        <v/>
      </c>
      <c r="K56" s="122"/>
      <c r="L56" s="122"/>
      <c r="M56" s="11" t="str">
        <f t="shared" si="31"/>
        <v/>
      </c>
      <c r="N56" s="21"/>
      <c r="O56" s="153"/>
      <c r="P56" s="21"/>
      <c r="Q56" s="120" t="str">
        <f>IFERROR(VLOOKUP($A56,'Мои блогеры'!$A$2:$N$673,10,0)&amp;"-TRG","")</f>
        <v/>
      </c>
      <c r="R56" s="21"/>
      <c r="S56" s="21"/>
      <c r="T56" s="122"/>
      <c r="U56" s="123" t="str">
        <f t="shared" si="32"/>
        <v/>
      </c>
      <c r="V56" s="122"/>
      <c r="W56" s="122"/>
      <c r="X56" s="123" t="str">
        <f t="shared" si="33"/>
        <v/>
      </c>
      <c r="Y56" s="122"/>
      <c r="Z56" s="122"/>
      <c r="AA56" s="122"/>
      <c r="AB56" s="124"/>
      <c r="AC56" s="11" t="str">
        <f t="shared" si="34"/>
        <v/>
      </c>
      <c r="AD56" s="122"/>
      <c r="AE56" s="11" t="str">
        <f t="shared" si="35"/>
        <v/>
      </c>
      <c r="AF56" s="11" t="str">
        <f t="shared" si="36"/>
        <v/>
      </c>
      <c r="AG56" s="11" t="str">
        <f t="shared" si="37"/>
        <v/>
      </c>
      <c r="AH56" s="21"/>
    </row>
    <row r="57" ht="15.75" customHeight="1">
      <c r="A57" s="21"/>
      <c r="B57" s="120" t="str">
        <f>IF($A57="","",IFERROR(HYPERLINK(VLOOKUP($A57,'Мои блогеры'!$A$2:$N$673,14,0),"🔗 открыть"),""))</f>
        <v/>
      </c>
      <c r="C57" s="11" t="str">
        <f>IFERROR(VLOOKUP($A57,'Мои блогеры'!$A:$N,5,0),"")</f>
        <v/>
      </c>
      <c r="D57" s="120" t="str">
        <f>IFERROR(VLOOKUP($A57,'Мои блогеры'!$A:$N,2,0),"")</f>
        <v/>
      </c>
      <c r="E57" s="21"/>
      <c r="F57" s="21"/>
      <c r="G57" s="21"/>
      <c r="H57" s="121"/>
      <c r="I57" s="21"/>
      <c r="J57" s="11" t="str">
        <f>IFERROR(VLOOKUP($A57,'Мои блогеры'!$A$2:$N$673,8,0),"")</f>
        <v/>
      </c>
      <c r="K57" s="122"/>
      <c r="L57" s="122"/>
      <c r="M57" s="11" t="str">
        <f t="shared" si="31"/>
        <v/>
      </c>
      <c r="N57" s="21"/>
      <c r="O57" s="153"/>
      <c r="P57" s="21"/>
      <c r="Q57" s="120" t="str">
        <f>IFERROR(VLOOKUP($A57,'Мои блогеры'!$A$2:$N$673,10,0)&amp;"-TRG","")</f>
        <v/>
      </c>
      <c r="R57" s="21"/>
      <c r="S57" s="21"/>
      <c r="T57" s="122"/>
      <c r="U57" s="123" t="str">
        <f t="shared" si="32"/>
        <v/>
      </c>
      <c r="V57" s="122"/>
      <c r="W57" s="122"/>
      <c r="X57" s="123" t="str">
        <f t="shared" si="33"/>
        <v/>
      </c>
      <c r="Y57" s="122"/>
      <c r="Z57" s="122"/>
      <c r="AA57" s="122"/>
      <c r="AB57" s="124"/>
      <c r="AC57" s="11" t="str">
        <f t="shared" si="34"/>
        <v/>
      </c>
      <c r="AD57" s="122"/>
      <c r="AE57" s="11" t="str">
        <f t="shared" si="35"/>
        <v/>
      </c>
      <c r="AF57" s="11" t="str">
        <f t="shared" si="36"/>
        <v/>
      </c>
      <c r="AG57" s="11" t="str">
        <f t="shared" si="37"/>
        <v/>
      </c>
      <c r="AH57" s="21"/>
    </row>
    <row r="58" ht="15.75" customHeight="1">
      <c r="A58" s="21"/>
      <c r="B58" s="120" t="str">
        <f>IF($A58="","",IFERROR(HYPERLINK(VLOOKUP($A58,'Мои блогеры'!$A$2:$N$673,14,0),"🔗 открыть"),""))</f>
        <v/>
      </c>
      <c r="C58" s="11" t="str">
        <f>IFERROR(VLOOKUP($A58,'Мои блогеры'!$A:$N,5,0),"")</f>
        <v/>
      </c>
      <c r="D58" s="120" t="str">
        <f>IFERROR(VLOOKUP($A58,'Мои блогеры'!$A:$N,2,0),"")</f>
        <v/>
      </c>
      <c r="E58" s="21"/>
      <c r="F58" s="21"/>
      <c r="G58" s="21"/>
      <c r="H58" s="121"/>
      <c r="I58" s="21"/>
      <c r="J58" s="11" t="str">
        <f>IFERROR(VLOOKUP($A58,'Мои блогеры'!$A$2:$N$673,8,0),"")</f>
        <v/>
      </c>
      <c r="K58" s="122"/>
      <c r="L58" s="122"/>
      <c r="M58" s="11" t="str">
        <f t="shared" si="31"/>
        <v/>
      </c>
      <c r="N58" s="21"/>
      <c r="O58" s="153"/>
      <c r="P58" s="21"/>
      <c r="Q58" s="120" t="str">
        <f>IFERROR(VLOOKUP($A58,'Мои блогеры'!$A$2:$N$673,10,0)&amp;"-TRG","")</f>
        <v/>
      </c>
      <c r="R58" s="21"/>
      <c r="S58" s="21"/>
      <c r="T58" s="122"/>
      <c r="U58" s="123" t="str">
        <f t="shared" si="32"/>
        <v/>
      </c>
      <c r="V58" s="122"/>
      <c r="W58" s="122"/>
      <c r="X58" s="123" t="str">
        <f t="shared" si="33"/>
        <v/>
      </c>
      <c r="Y58" s="122"/>
      <c r="Z58" s="122"/>
      <c r="AA58" s="122"/>
      <c r="AB58" s="124"/>
      <c r="AC58" s="11" t="str">
        <f t="shared" si="34"/>
        <v/>
      </c>
      <c r="AD58" s="122"/>
      <c r="AE58" s="11" t="str">
        <f t="shared" si="35"/>
        <v/>
      </c>
      <c r="AF58" s="11" t="str">
        <f t="shared" si="36"/>
        <v/>
      </c>
      <c r="AG58" s="11" t="str">
        <f t="shared" si="37"/>
        <v/>
      </c>
      <c r="AH58" s="21"/>
    </row>
    <row r="59" ht="15.75" customHeight="1">
      <c r="A59" s="126" t="s">
        <v>1717</v>
      </c>
      <c r="B59" s="126"/>
      <c r="C59" s="127"/>
      <c r="D59" s="126"/>
      <c r="E59" s="126"/>
      <c r="F59" s="126"/>
      <c r="G59" s="126"/>
      <c r="H59" s="126"/>
      <c r="I59" s="126" t="str">
        <f>COUNTIF(I48:I58,"Вышло")&amp;" / "&amp;COUNTA(A48:A58)</f>
        <v>0 / 0</v>
      </c>
      <c r="J59" s="127">
        <f t="shared" ref="J59:M59" si="38">SUM(J48:J58)</f>
        <v>0</v>
      </c>
      <c r="K59" s="127">
        <f t="shared" si="38"/>
        <v>0</v>
      </c>
      <c r="L59" s="127">
        <f t="shared" si="38"/>
        <v>0</v>
      </c>
      <c r="M59" s="127">
        <f t="shared" si="38"/>
        <v>0</v>
      </c>
      <c r="N59" s="126"/>
      <c r="O59" s="163"/>
      <c r="P59" s="126"/>
      <c r="Q59" s="126"/>
      <c r="R59" s="126"/>
      <c r="S59" s="126"/>
      <c r="T59" s="127">
        <f>SUM(T48:T58)</f>
        <v>0</v>
      </c>
      <c r="U59" s="128" t="str">
        <f t="shared" si="32"/>
        <v/>
      </c>
      <c r="V59" s="127">
        <f t="shared" ref="V59:W59" si="39">SUM(V48:V58)</f>
        <v>0</v>
      </c>
      <c r="W59" s="127">
        <f t="shared" si="39"/>
        <v>0</v>
      </c>
      <c r="X59" s="128" t="str">
        <f>IF(N(V59)=0,"",M59/V59)</f>
        <v/>
      </c>
      <c r="Y59" s="127">
        <f t="shared" ref="Y59:AA59" si="40">SUM(Y48:Y58)</f>
        <v>0</v>
      </c>
      <c r="Z59" s="127">
        <f t="shared" si="40"/>
        <v>0</v>
      </c>
      <c r="AA59" s="127">
        <f t="shared" si="40"/>
        <v>0</v>
      </c>
      <c r="AB59" s="129"/>
      <c r="AC59" s="127">
        <f>SUM(AC48:AC58)</f>
        <v>0</v>
      </c>
      <c r="AD59" s="127"/>
      <c r="AE59" s="127">
        <f>SUM(AE48:AE58)</f>
        <v>0</v>
      </c>
      <c r="AF59" s="127" t="str">
        <f>IF(N(AC59)=0,"—",ROUND(M59/AC59,0))</f>
        <v>—</v>
      </c>
      <c r="AG59" s="127" t="str">
        <f>IF(N(Z59)=0,"—",ROUND(M59/Z59,0))</f>
        <v>—</v>
      </c>
      <c r="AH59" s="126"/>
    </row>
    <row r="60" ht="15.75" customHeight="1">
      <c r="A60" s="117" t="s">
        <v>1718</v>
      </c>
      <c r="B60" s="257"/>
      <c r="C60" s="258"/>
      <c r="D60" s="257"/>
      <c r="E60" s="257"/>
      <c r="F60" s="257"/>
      <c r="G60" s="257"/>
      <c r="H60" s="259"/>
      <c r="I60" s="257"/>
      <c r="J60" s="258"/>
      <c r="K60" s="258"/>
      <c r="L60" s="258"/>
      <c r="M60" s="258"/>
      <c r="N60" s="257"/>
      <c r="O60" s="257"/>
      <c r="P60" s="257"/>
      <c r="Q60" s="257"/>
      <c r="R60" s="257"/>
      <c r="S60" s="257"/>
      <c r="T60" s="258"/>
      <c r="U60" s="260"/>
      <c r="V60" s="258"/>
      <c r="W60" s="258"/>
      <c r="X60" s="260"/>
      <c r="Y60" s="258"/>
      <c r="Z60" s="258"/>
      <c r="AA60" s="258"/>
      <c r="AB60" s="261"/>
      <c r="AC60" s="258"/>
      <c r="AD60" s="258"/>
      <c r="AE60" s="258"/>
      <c r="AF60" s="258"/>
      <c r="AG60" s="258"/>
      <c r="AH60" s="21"/>
    </row>
    <row r="61" ht="15.75" customHeight="1">
      <c r="A61" s="243"/>
      <c r="B61" s="191" t="str">
        <f>IF($A61="","",IFERROR(HYPERLINK(VLOOKUP($A61,'Мои блогеры'!$A$2:$N$673,14,0),"🔗 открыть"),""))</f>
        <v/>
      </c>
      <c r="C61" s="191"/>
      <c r="D61" s="120" t="str">
        <f>IFERROR(VLOOKUP($A61,'Мои блогеры'!$A:$N,2,0),"")</f>
        <v/>
      </c>
      <c r="E61" s="194"/>
      <c r="F61" s="194"/>
      <c r="G61" s="262"/>
      <c r="H61" s="192"/>
      <c r="I61" s="21"/>
      <c r="J61" s="11" t="str">
        <f>IFERROR(VLOOKUP($A61,'Мои блогеры'!$A$2:$N$673,8,0),"")</f>
        <v/>
      </c>
      <c r="K61" s="193"/>
      <c r="L61" s="122"/>
      <c r="M61" s="11" t="str">
        <f t="shared" ref="M61:M67" si="41">IF(N($J61)+N($K61)+N($L61)=0,"",N($J61)+N($K61)+N($L61))</f>
        <v/>
      </c>
      <c r="N61" s="194"/>
      <c r="O61" s="194"/>
      <c r="P61" s="21"/>
      <c r="Q61" s="120" t="str">
        <f>IFERROR(VLOOKUP($A61,'Мои блогеры'!$A$2:$N$673,10,0)&amp;"-TRG","")</f>
        <v/>
      </c>
      <c r="R61" s="194"/>
      <c r="S61" s="193"/>
      <c r="T61" s="122"/>
      <c r="U61" s="123" t="str">
        <f t="shared" ref="U61:U68" si="42">IF(N($T61)=0,"",$M61/$T61)</f>
        <v/>
      </c>
      <c r="V61" s="193"/>
      <c r="W61" s="122"/>
      <c r="X61" s="123" t="str">
        <f t="shared" ref="X61:X67" si="43">IF(N($V61)=0,"",$M61/$V61)</f>
        <v/>
      </c>
      <c r="Y61" s="193"/>
      <c r="Z61" s="193"/>
      <c r="AA61" s="193"/>
      <c r="AB61" s="124"/>
      <c r="AC61" s="11" t="str">
        <f t="shared" ref="AC61:AC67" si="44">IF(OR(N($Z61)=0,$AB61=""),"",ROUND($Z61*$AB61,0))</f>
        <v/>
      </c>
      <c r="AD61" s="122"/>
      <c r="AE61" s="191" t="str">
        <f t="shared" ref="AE61:AE67" si="45">IF(OR(N($AC61)=0,$AD61=""),"",ROUND($AC61*$AD61,0))</f>
        <v/>
      </c>
      <c r="AF61" s="191" t="str">
        <f t="shared" ref="AF61:AF67" si="46">IF(N($AC61)=0,"",ROUND($M61/$AC61,0))</f>
        <v/>
      </c>
      <c r="AG61" s="11" t="str">
        <f t="shared" ref="AG61:AG63" si="47">IF(N($Z61)=0,"",ROUND($M61/$Z61,0))</f>
        <v/>
      </c>
      <c r="AH61" s="21"/>
    </row>
    <row r="62" ht="15.75" customHeight="1">
      <c r="A62" s="243"/>
      <c r="B62" s="191" t="str">
        <f>IF($A62="","",IFERROR(HYPERLINK(VLOOKUP($A62,'Мои блогеры'!$A$2:$N$673,14,0),"🔗 открыть"),""))</f>
        <v/>
      </c>
      <c r="C62" s="191"/>
      <c r="D62" s="120" t="str">
        <f>IFERROR(VLOOKUP($A62,'Мои блогеры'!$A:$N,2,0),"")</f>
        <v/>
      </c>
      <c r="E62" s="194"/>
      <c r="F62" s="194"/>
      <c r="G62" s="192"/>
      <c r="H62" s="192"/>
      <c r="I62" s="21"/>
      <c r="J62" s="11" t="str">
        <f>IFERROR(VLOOKUP($A62,'Мои блогеры'!$A$2:$N$673,8,0),"")</f>
        <v/>
      </c>
      <c r="K62" s="193"/>
      <c r="L62" s="122"/>
      <c r="M62" s="11" t="str">
        <f t="shared" si="41"/>
        <v/>
      </c>
      <c r="N62" s="194"/>
      <c r="O62" s="194"/>
      <c r="P62" s="21"/>
      <c r="Q62" s="120" t="str">
        <f>IFERROR(VLOOKUP($A62,'Мои блогеры'!$A$2:$N$673,10,0)&amp;"-TRG","")</f>
        <v/>
      </c>
      <c r="R62" s="194"/>
      <c r="S62" s="193"/>
      <c r="T62" s="122"/>
      <c r="U62" s="123" t="str">
        <f t="shared" si="42"/>
        <v/>
      </c>
      <c r="V62" s="193"/>
      <c r="W62" s="122"/>
      <c r="X62" s="123" t="str">
        <f t="shared" si="43"/>
        <v/>
      </c>
      <c r="Y62" s="193"/>
      <c r="Z62" s="193"/>
      <c r="AA62" s="193"/>
      <c r="AB62" s="124"/>
      <c r="AC62" s="11" t="str">
        <f t="shared" si="44"/>
        <v/>
      </c>
      <c r="AD62" s="122"/>
      <c r="AE62" s="191" t="str">
        <f t="shared" si="45"/>
        <v/>
      </c>
      <c r="AF62" s="191" t="str">
        <f t="shared" si="46"/>
        <v/>
      </c>
      <c r="AG62" s="11" t="str">
        <f t="shared" si="47"/>
        <v/>
      </c>
      <c r="AH62" s="21"/>
    </row>
    <row r="63" ht="15.75" customHeight="1">
      <c r="A63" s="243"/>
      <c r="B63" s="191" t="str">
        <f>IF($A63="","",IFERROR(HYPERLINK(VLOOKUP($A63,'Мои блогеры'!$A$2:$N$673,14,0),"🔗 открыть"),""))</f>
        <v/>
      </c>
      <c r="C63" s="191"/>
      <c r="D63" s="120" t="str">
        <f>IFERROR(VLOOKUP($A63,'Мои блогеры'!$A:$N,2,0),"")</f>
        <v/>
      </c>
      <c r="E63" s="194"/>
      <c r="F63" s="194"/>
      <c r="G63" s="192"/>
      <c r="H63" s="192"/>
      <c r="I63" s="21"/>
      <c r="J63" s="11" t="str">
        <f>IFERROR(VLOOKUP($A63,'Мои блогеры'!$A$2:$N$673,8,0),"")</f>
        <v/>
      </c>
      <c r="K63" s="193"/>
      <c r="L63" s="122"/>
      <c r="M63" s="11" t="str">
        <f t="shared" si="41"/>
        <v/>
      </c>
      <c r="N63" s="194"/>
      <c r="O63" s="194"/>
      <c r="P63" s="21"/>
      <c r="Q63" s="120" t="str">
        <f>IFERROR(VLOOKUP($A63,'Мои блогеры'!$A$2:$N$673,10,0)&amp;"-TRG","")</f>
        <v/>
      </c>
      <c r="R63" s="194"/>
      <c r="S63" s="193"/>
      <c r="T63" s="122"/>
      <c r="U63" s="123" t="str">
        <f t="shared" si="42"/>
        <v/>
      </c>
      <c r="V63" s="193"/>
      <c r="W63" s="122"/>
      <c r="X63" s="123" t="str">
        <f t="shared" si="43"/>
        <v/>
      </c>
      <c r="Y63" s="193"/>
      <c r="Z63" s="193"/>
      <c r="AA63" s="193"/>
      <c r="AB63" s="124"/>
      <c r="AC63" s="11" t="str">
        <f t="shared" si="44"/>
        <v/>
      </c>
      <c r="AD63" s="122"/>
      <c r="AE63" s="191" t="str">
        <f t="shared" si="45"/>
        <v/>
      </c>
      <c r="AF63" s="191" t="str">
        <f t="shared" si="46"/>
        <v/>
      </c>
      <c r="AG63" s="11" t="str">
        <f t="shared" si="47"/>
        <v/>
      </c>
      <c r="AH63" s="21"/>
    </row>
    <row r="64" ht="15.75" customHeight="1">
      <c r="A64" s="243"/>
      <c r="B64" s="191" t="str">
        <f>IF($A64="","",IFERROR(HYPERLINK(VLOOKUP($A64,'Мои блогеры'!$A$2:$N$673,14,0),"🔗 открыть"),""))</f>
        <v/>
      </c>
      <c r="C64" s="191" t="str">
        <f>IFERROR(VLOOKUP($A64,'Мои блогеры'!$A:$N,2,0),"")</f>
        <v/>
      </c>
      <c r="D64" s="120" t="str">
        <f>IFERROR(VLOOKUP($A64,'Мои блогеры'!$A:$N,2,0),"")</f>
        <v/>
      </c>
      <c r="E64" s="194"/>
      <c r="F64" s="194"/>
      <c r="G64" s="192"/>
      <c r="H64" s="192"/>
      <c r="I64" s="21"/>
      <c r="J64" s="11" t="str">
        <f>IFERROR(VLOOKUP($A64,'Мои блогеры'!$A$2:$N$673,8,0),"")</f>
        <v/>
      </c>
      <c r="K64" s="193"/>
      <c r="L64" s="122"/>
      <c r="M64" s="11" t="str">
        <f t="shared" si="41"/>
        <v/>
      </c>
      <c r="N64" s="194"/>
      <c r="O64" s="194"/>
      <c r="P64" s="21"/>
      <c r="Q64" s="120" t="str">
        <f>IFERROR(VLOOKUP($A64,'Мои блогеры'!$A$2:$N$673,10,0)&amp;"-TRG","")</f>
        <v/>
      </c>
      <c r="R64" s="194"/>
      <c r="S64" s="193"/>
      <c r="T64" s="122"/>
      <c r="U64" s="123" t="str">
        <f t="shared" si="42"/>
        <v/>
      </c>
      <c r="V64" s="193"/>
      <c r="W64" s="122"/>
      <c r="X64" s="123" t="str">
        <f t="shared" si="43"/>
        <v/>
      </c>
      <c r="Y64" s="193"/>
      <c r="Z64" s="193"/>
      <c r="AA64" s="193"/>
      <c r="AB64" s="124"/>
      <c r="AC64" s="11" t="str">
        <f t="shared" si="44"/>
        <v/>
      </c>
      <c r="AD64" s="122"/>
      <c r="AE64" s="191" t="str">
        <f t="shared" si="45"/>
        <v/>
      </c>
      <c r="AF64" s="191" t="str">
        <f t="shared" si="46"/>
        <v/>
      </c>
      <c r="AG64" s="11" t="str">
        <f t="shared" ref="AG64:AG67" si="48">IF(N($AC64)=0,"",ROUND($M64/$AC64,0))</f>
        <v/>
      </c>
      <c r="AH64" s="21"/>
    </row>
    <row r="65" ht="15.75" customHeight="1">
      <c r="A65" s="243"/>
      <c r="B65" s="191" t="str">
        <f>IF($A65="","",IFERROR(HYPERLINK(VLOOKUP($A65,'Мои блогеры'!$A$2:$N$673,14,0),"🔗 открыть"),""))</f>
        <v/>
      </c>
      <c r="C65" s="191" t="str">
        <f>IFERROR(VLOOKUP($A65,'Мои блогеры'!$A:$N,2,0),"")</f>
        <v/>
      </c>
      <c r="D65" s="120" t="str">
        <f>IFERROR(VLOOKUP($A65,'Мои блогеры'!$A:$N,2,0),"")</f>
        <v/>
      </c>
      <c r="E65" s="194"/>
      <c r="F65" s="194"/>
      <c r="G65" s="192"/>
      <c r="H65" s="192"/>
      <c r="I65" s="21"/>
      <c r="J65" s="11" t="str">
        <f>IFERROR(VLOOKUP($A65,'Мои блогеры'!$A$2:$N$673,8,0),"")</f>
        <v/>
      </c>
      <c r="K65" s="193"/>
      <c r="L65" s="122"/>
      <c r="M65" s="11" t="str">
        <f t="shared" si="41"/>
        <v/>
      </c>
      <c r="N65" s="194"/>
      <c r="O65" s="194"/>
      <c r="P65" s="21"/>
      <c r="Q65" s="120" t="str">
        <f>IFERROR(VLOOKUP($A65,'Мои блогеры'!$A$2:$N$673,10,0)&amp;"-TRG","")</f>
        <v/>
      </c>
      <c r="R65" s="194"/>
      <c r="S65" s="193"/>
      <c r="T65" s="122"/>
      <c r="U65" s="123" t="str">
        <f t="shared" si="42"/>
        <v/>
      </c>
      <c r="V65" s="193"/>
      <c r="W65" s="122"/>
      <c r="X65" s="123" t="str">
        <f t="shared" si="43"/>
        <v/>
      </c>
      <c r="Y65" s="193"/>
      <c r="Z65" s="193"/>
      <c r="AA65" s="193"/>
      <c r="AB65" s="124"/>
      <c r="AC65" s="11" t="str">
        <f t="shared" si="44"/>
        <v/>
      </c>
      <c r="AD65" s="122"/>
      <c r="AE65" s="191" t="str">
        <f t="shared" si="45"/>
        <v/>
      </c>
      <c r="AF65" s="191" t="str">
        <f t="shared" si="46"/>
        <v/>
      </c>
      <c r="AG65" s="11" t="str">
        <f t="shared" si="48"/>
        <v/>
      </c>
      <c r="AH65" s="21"/>
    </row>
    <row r="66" ht="15.75" customHeight="1">
      <c r="A66" s="243"/>
      <c r="B66" s="191" t="str">
        <f>IF($A66="","",IFERROR(HYPERLINK(VLOOKUP($A66,'Мои блогеры'!$A$2:$N$673,14,0),"🔗 открыть"),""))</f>
        <v/>
      </c>
      <c r="C66" s="191" t="str">
        <f>IFERROR(VLOOKUP($A66,'Мои блогеры'!$A:$N,2,0),"")</f>
        <v/>
      </c>
      <c r="D66" s="120" t="str">
        <f>IFERROR(VLOOKUP($A66,'Мои блогеры'!$A:$N,2,0),"")</f>
        <v/>
      </c>
      <c r="E66" s="194"/>
      <c r="F66" s="194"/>
      <c r="G66" s="192"/>
      <c r="H66" s="192"/>
      <c r="I66" s="21"/>
      <c r="J66" s="11" t="str">
        <f>IFERROR(VLOOKUP($A66,'Мои блогеры'!$A$2:$N$673,8,0),"")</f>
        <v/>
      </c>
      <c r="K66" s="193"/>
      <c r="L66" s="122"/>
      <c r="M66" s="11" t="str">
        <f t="shared" si="41"/>
        <v/>
      </c>
      <c r="N66" s="194"/>
      <c r="O66" s="194"/>
      <c r="P66" s="21"/>
      <c r="Q66" s="120" t="str">
        <f>IFERROR(VLOOKUP($A66,'Мои блогеры'!$A$2:$N$673,10,0)&amp;"-TRG","")</f>
        <v/>
      </c>
      <c r="R66" s="194"/>
      <c r="S66" s="193"/>
      <c r="T66" s="122"/>
      <c r="U66" s="123" t="str">
        <f t="shared" si="42"/>
        <v/>
      </c>
      <c r="V66" s="193"/>
      <c r="W66" s="122"/>
      <c r="X66" s="123" t="str">
        <f t="shared" si="43"/>
        <v/>
      </c>
      <c r="Y66" s="193"/>
      <c r="Z66" s="193"/>
      <c r="AA66" s="193"/>
      <c r="AB66" s="124"/>
      <c r="AC66" s="11" t="str">
        <f t="shared" si="44"/>
        <v/>
      </c>
      <c r="AD66" s="122"/>
      <c r="AE66" s="191" t="str">
        <f t="shared" si="45"/>
        <v/>
      </c>
      <c r="AF66" s="191" t="str">
        <f t="shared" si="46"/>
        <v/>
      </c>
      <c r="AG66" s="11" t="str">
        <f t="shared" si="48"/>
        <v/>
      </c>
      <c r="AH66" s="21"/>
    </row>
    <row r="67" ht="15.75" customHeight="1">
      <c r="A67" s="243"/>
      <c r="B67" s="191" t="str">
        <f>IF($A67="","",IFERROR(HYPERLINK(VLOOKUP($A67,'Мои блогеры'!$A$2:$N$673,14,0),"🔗 открыть"),""))</f>
        <v/>
      </c>
      <c r="C67" s="191" t="str">
        <f>IFERROR(VLOOKUP($A67,'Мои блогеры'!$A:$N,2,0),"")</f>
        <v/>
      </c>
      <c r="D67" s="120" t="str">
        <f>IFERROR(VLOOKUP($A67,'Мои блогеры'!$A:$N,2,0),"")</f>
        <v/>
      </c>
      <c r="E67" s="194"/>
      <c r="F67" s="194"/>
      <c r="G67" s="192"/>
      <c r="H67" s="192"/>
      <c r="I67" s="21"/>
      <c r="J67" s="11" t="str">
        <f>IFERROR(VLOOKUP($A67,'Мои блогеры'!$A$2:$N$673,8,0),"")</f>
        <v/>
      </c>
      <c r="K67" s="193"/>
      <c r="L67" s="122"/>
      <c r="M67" s="11" t="str">
        <f t="shared" si="41"/>
        <v/>
      </c>
      <c r="N67" s="194"/>
      <c r="O67" s="194"/>
      <c r="P67" s="21"/>
      <c r="Q67" s="120" t="str">
        <f>IFERROR(VLOOKUP($A67,'Мои блогеры'!$A$2:$N$673,10,0)&amp;"-TRG","")</f>
        <v/>
      </c>
      <c r="R67" s="194"/>
      <c r="S67" s="193"/>
      <c r="T67" s="122"/>
      <c r="U67" s="123" t="str">
        <f t="shared" si="42"/>
        <v/>
      </c>
      <c r="V67" s="193"/>
      <c r="W67" s="122"/>
      <c r="X67" s="123" t="str">
        <f t="shared" si="43"/>
        <v/>
      </c>
      <c r="Y67" s="193"/>
      <c r="Z67" s="193"/>
      <c r="AA67" s="193"/>
      <c r="AB67" s="124"/>
      <c r="AC67" s="11" t="str">
        <f t="shared" si="44"/>
        <v/>
      </c>
      <c r="AD67" s="122"/>
      <c r="AE67" s="191" t="str">
        <f t="shared" si="45"/>
        <v/>
      </c>
      <c r="AF67" s="191" t="str">
        <f t="shared" si="46"/>
        <v/>
      </c>
      <c r="AG67" s="11" t="str">
        <f t="shared" si="48"/>
        <v/>
      </c>
      <c r="AH67" s="21"/>
    </row>
    <row r="68" ht="15.75" customHeight="1">
      <c r="A68" s="126" t="s">
        <v>1719</v>
      </c>
      <c r="B68" s="126"/>
      <c r="C68" s="127"/>
      <c r="D68" s="126"/>
      <c r="E68" s="126"/>
      <c r="F68" s="126"/>
      <c r="G68" s="126"/>
      <c r="H68" s="126"/>
      <c r="I68" s="126" t="str">
        <f>COUNTIF(I61:I67,"Вышло")&amp;" / "&amp;COUNTA(A61:A67)</f>
        <v>0 / 0</v>
      </c>
      <c r="J68" s="127">
        <f t="shared" ref="J68:M68" si="49">SUM(J61:J67)</f>
        <v>0</v>
      </c>
      <c r="K68" s="127">
        <f t="shared" si="49"/>
        <v>0</v>
      </c>
      <c r="L68" s="127">
        <f t="shared" si="49"/>
        <v>0</v>
      </c>
      <c r="M68" s="127">
        <f t="shared" si="49"/>
        <v>0</v>
      </c>
      <c r="N68" s="126"/>
      <c r="O68" s="163"/>
      <c r="P68" s="126"/>
      <c r="Q68" s="126"/>
      <c r="R68" s="126"/>
      <c r="S68" s="126"/>
      <c r="T68" s="127">
        <f>SUM(T61:T67)</f>
        <v>0</v>
      </c>
      <c r="U68" s="128" t="str">
        <f t="shared" si="42"/>
        <v/>
      </c>
      <c r="V68" s="127">
        <f t="shared" ref="V68:W68" si="50">SUM(V61:V67)</f>
        <v>0</v>
      </c>
      <c r="W68" s="127">
        <f t="shared" si="50"/>
        <v>0</v>
      </c>
      <c r="X68" s="128" t="str">
        <f>IF(N(V68)=0,"",M68/V68)</f>
        <v/>
      </c>
      <c r="Y68" s="127">
        <f t="shared" ref="Y68:AA68" si="51">SUM(Y61:Y67)</f>
        <v>0</v>
      </c>
      <c r="Z68" s="127">
        <f t="shared" si="51"/>
        <v>0</v>
      </c>
      <c r="AA68" s="127">
        <f t="shared" si="51"/>
        <v>0</v>
      </c>
      <c r="AB68" s="129"/>
      <c r="AC68" s="127">
        <f>SUM(AC61:AC67)</f>
        <v>0</v>
      </c>
      <c r="AD68" s="127"/>
      <c r="AE68" s="127">
        <f>SUM(AE61:AE67)</f>
        <v>0</v>
      </c>
      <c r="AF68" s="127" t="str">
        <f t="shared" ref="AF68:AF69" si="54">IF(N(AC68)=0,"—",ROUND(M68/AC68,0))</f>
        <v>—</v>
      </c>
      <c r="AG68" s="127" t="str">
        <f t="shared" ref="AG68:AG69" si="55">IF(N(Z68)=0,"—",ROUND(M68/Z68,0))</f>
        <v>—</v>
      </c>
      <c r="AH68" s="126"/>
    </row>
    <row r="69" ht="15.75" customHeight="1">
      <c r="A69" s="133" t="s">
        <v>683</v>
      </c>
      <c r="B69" s="133"/>
      <c r="C69" s="134"/>
      <c r="D69" s="133"/>
      <c r="E69" s="133"/>
      <c r="F69" s="133"/>
      <c r="G69" s="133"/>
      <c r="H69" s="133"/>
      <c r="I69" s="133" t="str">
        <f>SUM(COUNTIF(I7:I17,"Вышло"),COUNTIF(I20:I32,"Вышло"),COUNTIF(I35:I45,"Вышло"),COUNTIF(I48:I58,"Вышло"),COUNTIF(I61:I67,"Вышло"))&amp;" / "&amp;SUM(COUNTA(A7:A17),COUNTA(A20:A32),COUNTA(A35:A45),COUNTA(A48:A58),COUNTA(A61:A67))</f>
        <v>0 / 0</v>
      </c>
      <c r="J69" s="134">
        <f t="shared" ref="J69:M69" si="52">J18+J33+J46+J59+J68</f>
        <v>0</v>
      </c>
      <c r="K69" s="134">
        <f t="shared" si="52"/>
        <v>0</v>
      </c>
      <c r="L69" s="134">
        <f t="shared" si="52"/>
        <v>0</v>
      </c>
      <c r="M69" s="134">
        <f t="shared" si="52"/>
        <v>0</v>
      </c>
      <c r="N69" s="133"/>
      <c r="O69" s="170"/>
      <c r="P69" s="133"/>
      <c r="Q69" s="133"/>
      <c r="R69" s="133"/>
      <c r="S69" s="133"/>
      <c r="T69" s="134">
        <f t="shared" ref="T69:AE69" si="53">T18+T33+T46+T59+T68</f>
        <v>0</v>
      </c>
      <c r="U69" s="135">
        <f t="shared" si="53"/>
        <v>0</v>
      </c>
      <c r="V69" s="134">
        <f t="shared" si="53"/>
        <v>0</v>
      </c>
      <c r="W69" s="134">
        <f t="shared" si="53"/>
        <v>0</v>
      </c>
      <c r="X69" s="135">
        <f t="shared" si="53"/>
        <v>0</v>
      </c>
      <c r="Y69" s="134">
        <f t="shared" si="53"/>
        <v>0</v>
      </c>
      <c r="Z69" s="134">
        <f t="shared" si="53"/>
        <v>0</v>
      </c>
      <c r="AA69" s="134">
        <f t="shared" si="53"/>
        <v>0</v>
      </c>
      <c r="AB69" s="136">
        <f t="shared" si="53"/>
        <v>0</v>
      </c>
      <c r="AC69" s="134">
        <f t="shared" si="53"/>
        <v>0</v>
      </c>
      <c r="AD69" s="134">
        <f t="shared" si="53"/>
        <v>0</v>
      </c>
      <c r="AE69" s="134">
        <f t="shared" si="53"/>
        <v>0</v>
      </c>
      <c r="AF69" s="134" t="str">
        <f t="shared" si="54"/>
        <v>—</v>
      </c>
      <c r="AG69" s="134" t="str">
        <f t="shared" si="55"/>
        <v>—</v>
      </c>
      <c r="AH69" s="133"/>
    </row>
    <row r="70" ht="15.75" customHeight="1">
      <c r="A70" s="137" t="s">
        <v>1720</v>
      </c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3"/>
      <c r="Q70" s="3"/>
      <c r="R70" s="3"/>
      <c r="S70" s="3"/>
      <c r="T70" s="3"/>
      <c r="U70" s="155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ht="36.0" customHeight="1">
      <c r="A71" s="138" t="s">
        <v>1</v>
      </c>
      <c r="B71" s="138" t="s">
        <v>872</v>
      </c>
      <c r="C71" s="138" t="s">
        <v>873</v>
      </c>
      <c r="D71" s="138" t="s">
        <v>859</v>
      </c>
      <c r="E71" s="138" t="s">
        <v>729</v>
      </c>
      <c r="F71" s="138" t="s">
        <v>730</v>
      </c>
      <c r="G71" s="138" t="s">
        <v>851</v>
      </c>
      <c r="H71" s="138" t="s">
        <v>731</v>
      </c>
      <c r="I71" s="138" t="s">
        <v>853</v>
      </c>
      <c r="J71" s="138" t="s">
        <v>656</v>
      </c>
      <c r="K71" s="138" t="s">
        <v>854</v>
      </c>
      <c r="L71" s="138" t="s">
        <v>874</v>
      </c>
      <c r="M71" s="138" t="s">
        <v>875</v>
      </c>
      <c r="N71" s="138" t="s">
        <v>876</v>
      </c>
      <c r="O71" s="138" t="s">
        <v>657</v>
      </c>
      <c r="P71" s="3"/>
      <c r="Q71" s="3"/>
      <c r="R71" s="3"/>
      <c r="S71" s="3"/>
      <c r="T71" s="3"/>
      <c r="U71" s="155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ht="15.75" customHeight="1">
      <c r="A72" s="139" t="s">
        <v>29</v>
      </c>
      <c r="B72" s="140">
        <f>SUMIFS($M$6:$M$68,$D$6:$D$68,"Telegram")+SUMIFS($M$6:$M$68,$D$6:$D$68,"Telegram ")+SUMIFS($M$6:$M$68,$D$6:$D$68,"Телеграм")+SUMIFS($M$6:$M$68,$D$6:$D$68,"ТГ")</f>
        <v>0</v>
      </c>
      <c r="C72" s="140">
        <f>SUMIFS($M$6:$M$68,$I$6:$I$68,"Вышло",$D$6:$D$68,"Telegram")+SUMIFS($M$6:$M$68,$I$6:$I$68,"Вышло",$D$6:$D$68,"Telegram ")+SUMIFS($M$6:$M$68,$I$6:$I$68,"Вышло",$D$6:$D$68,"Телеграм")+SUMIFS($M$6:$M$68,$I$6:$I$68,"Вышло",$D$6:$D$68,"ТГ")</f>
        <v>0</v>
      </c>
      <c r="D72" s="141">
        <f>COUNTIFS($I$6:$I$68,"Вышло",$D$6:$D$68,"Telegram")+COUNTIFS($I$6:$I$68,"Вышло",$D$6:$D$68,"Telegram ")+COUNTIFS($I$6:$I$68,"Вышло",$D$6:$D$68,"Телеграм")+COUNTIFS($I$6:$I$68,"Вышло",$D$6:$D$68,"ТГ")</f>
        <v>0</v>
      </c>
      <c r="E72" s="141">
        <f>SUMIFS($T$6:$T$68,$I$6:$I$68,"Вышло",$D$6:$D$68,"Telegram")+SUMIFS($T$6:$T$68,$I$6:$I$68,"Вышло",$D$6:$D$68,"Telegram ")+SUMIFS($T$6:$T$68,$I$6:$I$68,"Вышло",$D$6:$D$68,"Телеграм")+SUMIFS($T$6:$T$68,$I$6:$I$68,"Вышло",$D$6:$D$68,"ТГ")</f>
        <v>0</v>
      </c>
      <c r="F72" s="141">
        <f>SUMIFS($V$6:$V$68,$I$6:$I$68,"Вышло",$D$6:$D$68,"Telegram")+SUMIFS($V$6:$V$68,$I$6:$I$68,"Вышло",$D$6:$D$68,"Telegram ")+SUMIFS($V$6:$V$68,$I$6:$I$68,"Вышло",$D$6:$D$68,"Телеграм")+SUMIFS($V$6:$V$68,$I$6:$I$68,"Вышло",$D$6:$D$68,"ТГ")</f>
        <v>0</v>
      </c>
      <c r="G72" s="141">
        <f>SUMIFS($W$6:$W$68,$I$6:$I$68,"Вышло",$D$6:$D$68,"Telegram")+SUMIFS($W$6:$W$68,$I$6:$I$68,"Вышло",$D$6:$D$68,"Telegram ")+SUMIFS($W$6:$W$68,$I$6:$I$68,"Вышло",$D$6:$D$68,"Телеграм")+SUMIFS($W$6:$W$68,$I$6:$I$68,"Вышло",$D$6:$D$68,"ТГ")</f>
        <v>0</v>
      </c>
      <c r="H72" s="141">
        <f t="shared" ref="H72:H79" si="56">0</f>
        <v>0</v>
      </c>
      <c r="I72" s="141">
        <f>SUMIFS($Y$6:$Y$68,$I$6:$I$68,"Вышло",$D$6:$D$68,"Telegram")+SUMIFS($Y$6:$Y$68,$I$6:$I$68,"Вышло",$D$6:$D$68,"Telegram ")+SUMIFS($Y$6:$Y$68,$I$6:$I$68,"Вышло",$D$6:$D$68,"Телеграм")+SUMIFS($Y$6:$Y$68,$I$6:$I$68,"Вышло",$D$6:$D$68,"ТГ")</f>
        <v>0</v>
      </c>
      <c r="J72" s="141">
        <f>SUMIFS($Z$6:$Z$68,$I$6:$I$68,"Вышло",$D$6:$D$68,"Telegram")+SUMIFS($Z$6:$Z$68,$I$6:$I$68,"Вышло",$D$6:$D$68,"Telegram ")+SUMIFS($Z$6:$Z$68,$I$6:$I$68,"Вышло",$D$6:$D$68,"Телеграм")+SUMIFS($Z$6:$Z$68,$I$6:$I$68,"Вышло",$D$6:$D$68,"ТГ")</f>
        <v>0</v>
      </c>
      <c r="K72" s="140">
        <f>SUMIFS($AA$6:$AA$68,$I$6:$I$68,"Вышло",$D$6:$D$68,"Telegram")+SUMIFS($AA$6:$AA$68,$I$6:$I$68,"Вышло",$D$6:$D$68,"Telegram ")+SUMIFS($AA$6:$AA$68,$I$6:$I$68,"Вышло",$D$6:$D$68,"Телеграм")+SUMIFS($AA$6:$AA$68,$I$6:$I$68,"Вышло",$D$6:$D$68,"ТГ")</f>
        <v>0</v>
      </c>
      <c r="L72" s="140" t="str">
        <f>IF((SUMIFS($V$6:$V$68,$I$6:$I$68,"Вышло",$D$6:$D$68,"Telegram",$E$6:$E$68,"Сайт")+SUMIFS($V$6:$V$68,$I$6:$I$68,"Вышло",$D$6:$D$68,"Telegram",$E$6:$E$68,"сайт")+SUMIFS($V$6:$V$68,$I$6:$I$68,"Вышло",$D$6:$D$68,"Telegram ",$E$6:$E$68,"Сайт")+SUMIFS($V$6:$V$68,$I$6:$I$68,"Вышло",$D$6:$D$68,"Telegram ",$E$6:$E$68,"сайт")+SUMIFS($V$6:$V$68,$I$6:$I$68,"Вышло",$D$6:$D$68,"Телеграм",$E$6:$E$68,"Сайт")+SUMIFS($V$6:$V$68,$I$6:$I$68,"Вышло",$D$6:$D$68,"Телеграм",$E$6:$E$68,"сайт")+SUMIFS($V$6:$V$68,$I$6:$I$68,"Вышло",$D$6:$D$68,"ТГ",$E$6:$E$68,"Сайт")+SUMIFS($V$6:$V$68,$I$6:$I$68,"Вышло",$D$6:$D$68,"ТГ",$E$6:$E$68,"сайт")+SUMIFS($V$6:$V$68,$I$6:$I$68,"Вышло",$D$6:$D$68,"Telegram",$E$6:$E$68,"Ozon")+SUMIFS($V$6:$V$68,$I$6:$I$68,"Вышло",$D$6:$D$68,"Telegram",$E$6:$E$68,"OZON")+SUMIFS($V$6:$V$68,$I$6:$I$68,"Вышло",$D$6:$D$68,"Telegram",$E$6:$E$68,"Озон")+SUMIFS($V$6:$V$68,$I$6:$I$68,"Вышло",$D$6:$D$68,"Telegram",$E$6:$E$68,"озон")+SUMIFS($V$6:$V$68,$I$6:$I$68,"Вышло",$D$6:$D$68,"Telegram ",$E$6:$E$68,"Ozon")+SUMIFS($V$6:$V$68,$I$6:$I$68,"Вышло",$D$6:$D$68,"Telegram ",$E$6:$E$68,"OZON")+SUMIFS($V$6:$V$68,$I$6:$I$68,"Вышло",$D$6:$D$68,"Telegram ",$E$6:$E$68,"Озон")+SUMIFS($V$6:$V$68,$I$6:$I$68,"Вышло",$D$6:$D$68,"Telegram ",$E$6:$E$68,"озон")+SUMIFS($V$6:$V$68,$I$6:$I$68,"Вышло",$D$6:$D$68,"Телеграм",$E$6:$E$68,"Ozon")+SUMIFS($V$6:$V$68,$I$6:$I$68,"Вышло",$D$6:$D$68,"Телеграм",$E$6:$E$68,"OZON")+SUMIFS($V$6:$V$68,$I$6:$I$68,"Вышло",$D$6:$D$68,"Телеграм",$E$6:$E$68,"Озон")+SUMIFS($V$6:$V$68,$I$6:$I$68,"Вышло",$D$6:$D$68,"Телеграм",$E$6:$E$68,"озон")+SUMIFS($V$6:$V$68,$I$6:$I$68,"Вышло",$D$6:$D$68,"ТГ",$E$6:$E$68,"Ozon")+SUMIFS($V$6:$V$68,$I$6:$I$68,"Вышло",$D$6:$D$68,"ТГ",$E$6:$E$68,"OZON")+SUMIFS($V$6:$V$68,$I$6:$I$68,"Вышло",$D$6:$D$68,"ТГ",$E$6:$E$68,"Озон")+SUMIFS($V$6:$V$68,$I$6:$I$68,"Вышло",$D$6:$D$68,"ТГ",$E$6:$E$68,"озон"))=0,"—",ROUND((SUMIFS($M$6:$M$68,$I$6:$I$68,"Вышло",$D$6:$D$68,"Telegram",$E$6:$E$68,"Сайт",$V$6:$V$68,"&gt;0")+SUMIFS($M$6:$M$68,$I$6:$I$68,"Вышло",$D$6:$D$68,"Telegram",$E$6:$E$68,"сайт",$V$6:$V$68,"&gt;0")+SUMIFS($M$6:$M$68,$I$6:$I$68,"Вышло",$D$6:$D$68,"Telegram ",$E$6:$E$68,"Сайт",$V$6:$V$68,"&gt;0")+SUMIFS($M$6:$M$68,$I$6:$I$68,"Вышло",$D$6:$D$68,"Telegram ",$E$6:$E$68,"сайт",$V$6:$V$68,"&gt;0")+SUMIFS($M$6:$M$68,$I$6:$I$68,"Вышло",$D$6:$D$68,"Телеграм",$E$6:$E$68,"Сайт",$V$6:$V$68,"&gt;0")+SUMIFS($M$6:$M$68,$I$6:$I$68,"Вышло",$D$6:$D$68,"Телеграм",$E$6:$E$68,"сайт",$V$6:$V$68,"&gt;0")+SUMIFS($M$6:$M$68,$I$6:$I$68,"Вышло",$D$6:$D$68,"ТГ",$E$6:$E$68,"Сайт",$V$6:$V$68,"&gt;0")+SUMIFS($M$6:$M$68,$I$6:$I$68,"Вышло",$D$6:$D$68,"ТГ",$E$6:$E$68,"сайт",$V$6:$V$68,"&gt;0")+SUMIFS($M$6:$M$68,$I$6:$I$68,"Вышло",$D$6:$D$68,"Telegram",$E$6:$E$68,"Сайт",$V$6:$V$68,"&lt;=0",$P$6:$P$68,"&lt;&gt;")+SUMIFS($M$6:$M$68,$I$6:$I$68,"Вышло",$D$6:$D$68,"Telegram",$E$6:$E$68,"сайт",$V$6:$V$68,"&lt;=0",$P$6:$P$68,"&lt;&gt;")+SUMIFS($M$6:$M$68,$I$6:$I$68,"Вышло",$D$6:$D$68,"Telegram ",$E$6:$E$68,"Сайт",$V$6:$V$68,"&lt;=0",$P$6:$P$68,"&lt;&gt;")+SUMIFS($M$6:$M$68,$I$6:$I$68,"Вышло",$D$6:$D$68,"Telegram ",$E$6:$E$68,"сайт",$V$6:$V$68,"&lt;=0",$P$6:$P$68,"&lt;&gt;")+SUMIFS($M$6:$M$68,$I$6:$I$68,"Вышло",$D$6:$D$68,"Телеграм",$E$6:$E$68,"Сайт",$V$6:$V$68,"&lt;=0",$P$6:$P$68,"&lt;&gt;")+SUMIFS($M$6:$M$68,$I$6:$I$68,"Вышло",$D$6:$D$68,"Телеграм",$E$6:$E$68,"сайт",$V$6:$V$68,"&lt;=0",$P$6:$P$68,"&lt;&gt;")+SUMIFS($M$6:$M$68,$I$6:$I$68,"Вышло",$D$6:$D$68,"ТГ",$E$6:$E$68,"Сайт",$V$6:$V$68,"&lt;=0",$P$6:$P$68,"&lt;&gt;")+SUMIFS($M$6:$M$68,$I$6:$I$68,"Вышло",$D$6:$D$68,"ТГ",$E$6:$E$68,"сайт",$V$6:$V$68,"&lt;=0",$P$6:$P$68,"&lt;&gt;")+SUMIFS($M$6:$M$68,$I$6:$I$68,"Вышло",$D$6:$D$68,"Telegram",$E$6:$E$68,"Ozon",$V$6:$V$68,"&gt;0")+SUMIFS($M$6:$M$68,$I$6:$I$68,"Вышло",$D$6:$D$68,"Telegram",$E$6:$E$68,"OZON",$V$6:$V$68,"&gt;0")+SUMIFS($M$6:$M$68,$I$6:$I$68,"Вышло",$D$6:$D$68,"Telegram",$E$6:$E$68,"Озон",$V$6:$V$68,"&gt;0")+SUMIFS($M$6:$M$68,$I$6:$I$68,"Вышло",$D$6:$D$68,"Telegram",$E$6:$E$68,"озон",$V$6:$V$68,"&gt;0")+SUMIFS($M$6:$M$68,$I$6:$I$68,"Вышло",$D$6:$D$68,"Telegram ",$E$6:$E$68,"Ozon",$V$6:$V$68,"&gt;0")+SUMIFS($M$6:$M$68,$I$6:$I$68,"Вышло",$D$6:$D$68,"Telegram ",$E$6:$E$68,"OZON",$V$6:$V$68,"&gt;0")+SUMIFS($M$6:$M$68,$I$6:$I$68,"Вышло",$D$6:$D$68,"Telegram ",$E$6:$E$68,"Озон",$V$6:$V$68,"&gt;0")+SUMIFS($M$6:$M$68,$I$6:$I$68,"Вышло",$D$6:$D$68,"Telegram ",$E$6:$E$68,"озон",$V$6:$V$68,"&gt;0")+SUMIFS($M$6:$M$68,$I$6:$I$68,"Вышло",$D$6:$D$68,"Телеграм",$E$6:$E$68,"Ozon",$V$6:$V$68,"&gt;0")+SUMIFS($M$6:$M$68,$I$6:$I$68,"Вышло",$D$6:$D$68,"Телеграм",$E$6:$E$68,"OZON",$V$6:$V$68,"&gt;0")+SUMIFS($M$6:$M$68,$I$6:$I$68,"Вышло",$D$6:$D$68,"Телеграм",$E$6:$E$68,"Озон",$V$6:$V$68,"&gt;0")+SUMIFS($M$6:$M$68,$I$6:$I$68,"Вышло",$D$6:$D$68,"Телеграм",$E$6:$E$68,"озон",$V$6:$V$68,"&gt;0")+SUMIFS($M$6:$M$68,$I$6:$I$68,"Вышло",$D$6:$D$68,"ТГ",$E$6:$E$68,"Ozon",$V$6:$V$68,"&gt;0")+SUMIFS($M$6:$M$68,$I$6:$I$68,"Вышло",$D$6:$D$68,"ТГ",$E$6:$E$68,"OZON",$V$6:$V$68,"&gt;0")+SUMIFS($M$6:$M$68,$I$6:$I$68,"Вышло",$D$6:$D$68,"ТГ",$E$6:$E$68,"Озон",$V$6:$V$68,"&gt;0")+SUMIFS($M$6:$M$68,$I$6:$I$68,"Вышло",$D$6:$D$68,"ТГ",$E$6:$E$68,"озон",$V$6:$V$68,"&gt;0")+SUMIFS($M$6:$M$68,$I$6:$I$68,"Вышло",$D$6:$D$68,"Telegram",$E$6:$E$68,"Ozon",$V$6:$V$68,"&lt;=0",$P$6:$P$68,"&lt;&gt;")+SUMIFS($M$6:$M$68,$I$6:$I$68,"Вышло",$D$6:$D$68,"Telegram",$E$6:$E$68,"OZON",$V$6:$V$68,"&lt;=0",$P$6:$P$68,"&lt;&gt;")+SUMIFS($M$6:$M$68,$I$6:$I$68,"Вышло",$D$6:$D$68,"Telegram",$E$6:$E$68,"Озон",$V$6:$V$68,"&lt;=0",$P$6:$P$68,"&lt;&gt;")+SUMIFS($M$6:$M$68,$I$6:$I$68,"Вышло",$D$6:$D$68,"Telegram",$E$6:$E$68,"озон",$V$6:$V$68,"&lt;=0",$P$6:$P$68,"&lt;&gt;")+SUMIFS($M$6:$M$68,$I$6:$I$68,"Вышло",$D$6:$D$68,"Telegram ",$E$6:$E$68,"Ozon",$V$6:$V$68,"&lt;=0",$P$6:$P$68,"&lt;&gt;")+SUMIFS($M$6:$M$68,$I$6:$I$68,"Вышло",$D$6:$D$68,"Telegram ",$E$6:$E$68,"OZON",$V$6:$V$68,"&lt;=0",$P$6:$P$68,"&lt;&gt;")+SUMIFS($M$6:$M$68,$I$6:$I$68,"Вышло",$D$6:$D$68,"Telegram ",$E$6:$E$68,"Озон",$V$6:$V$68,"&lt;=0",$P$6:$P$68,"&lt;&gt;")+SUMIFS($M$6:$M$68,$I$6:$I$68,"Вышло",$D$6:$D$68,"Telegram ",$E$6:$E$68,"озон",$V$6:$V$68,"&lt;=0",$P$6:$P$68,"&lt;&gt;")+SUMIFS($M$6:$M$68,$I$6:$I$68,"Вышло",$D$6:$D$68,"Телеграм",$E$6:$E$68,"Ozon",$V$6:$V$68,"&lt;=0",$P$6:$P$68,"&lt;&gt;")+SUMIFS($M$6:$M$68,$I$6:$I$68,"Вышло",$D$6:$D$68,"Телеграм",$E$6:$E$68,"OZON",$V$6:$V$68,"&lt;=0",$P$6:$P$68,"&lt;&gt;")+SUMIFS($M$6:$M$68,$I$6:$I$68,"Вышло",$D$6:$D$68,"Телеграм",$E$6:$E$68,"Озон",$V$6:$V$68,"&lt;=0",$P$6:$P$68,"&lt;&gt;")+SUMIFS($M$6:$M$68,$I$6:$I$68,"Вышло",$D$6:$D$68,"Телеграм",$E$6:$E$68,"озон",$V$6:$V$68,"&lt;=0",$P$6:$P$68,"&lt;&gt;")+SUMIFS($M$6:$M$68,$I$6:$I$68,"Вышло",$D$6:$D$68,"ТГ",$E$6:$E$68,"Ozon",$V$6:$V$68,"&lt;=0",$P$6:$P$68,"&lt;&gt;")+SUMIFS($M$6:$M$68,$I$6:$I$68,"Вышло",$D$6:$D$68,"ТГ",$E$6:$E$68,"OZON",$V$6:$V$68,"&lt;=0",$P$6:$P$68,"&lt;&gt;")+SUMIFS($M$6:$M$68,$I$6:$I$68,"Вышло",$D$6:$D$68,"ТГ",$E$6:$E$68,"Озон",$V$6:$V$68,"&lt;=0",$P$6:$P$68,"&lt;&gt;")+SUMIFS($M$6:$M$68,$I$6:$I$68,"Вышло",$D$6:$D$68,"ТГ",$E$6:$E$68,"озон",$V$6:$V$68,"&lt;=0",$P$6:$P$68,"&lt;&gt;"))/(SUMIFS($V$6:$V$68,$I$6:$I$68,"Вышло",$D$6:$D$68,"Telegram",$E$6:$E$68,"Сайт")+SUMIFS($V$6:$V$68,$I$6:$I$68,"Вышло",$D$6:$D$68,"Telegram",$E$6:$E$68,"сайт")+SUMIFS($V$6:$V$68,$I$6:$I$68,"Вышло",$D$6:$D$68,"Telegram ",$E$6:$E$68,"Сайт")+SUMIFS($V$6:$V$68,$I$6:$I$68,"Вышло",$D$6:$D$68,"Telegram ",$E$6:$E$68,"сайт")+SUMIFS($V$6:$V$68,$I$6:$I$68,"Вышло",$D$6:$D$68,"Телеграм",$E$6:$E$68,"Сайт")+SUMIFS($V$6:$V$68,$I$6:$I$68,"Вышло",$D$6:$D$68,"Телеграм",$E$6:$E$68,"сайт")+SUMIFS($V$6:$V$68,$I$6:$I$68,"Вышло",$D$6:$D$68,"ТГ",$E$6:$E$68,"Сайт")+SUMIFS($V$6:$V$68,$I$6:$I$68,"Вышло",$D$6:$D$68,"ТГ",$E$6:$E$68,"сайт")+SUMIFS($V$6:$V$68,$I$6:$I$68,"Вышло",$D$6:$D$68,"Telegram",$E$6:$E$68,"Ozon")+SUMIFS($V$6:$V$68,$I$6:$I$68,"Вышло",$D$6:$D$68,"Telegram",$E$6:$E$68,"OZON")+SUMIFS($V$6:$V$68,$I$6:$I$68,"Вышло",$D$6:$D$68,"Telegram",$E$6:$E$68,"Озон")+SUMIFS($V$6:$V$68,$I$6:$I$68,"Вышло",$D$6:$D$68,"Telegram",$E$6:$E$68,"озон")+SUMIFS($V$6:$V$68,$I$6:$I$68,"Вышло",$D$6:$D$68,"Telegram ",$E$6:$E$68,"Ozon")+SUMIFS($V$6:$V$68,$I$6:$I$68,"Вышло",$D$6:$D$68,"Telegram ",$E$6:$E$68,"OZON")+SUMIFS($V$6:$V$68,$I$6:$I$68,"Вышло",$D$6:$D$68,"Telegram ",$E$6:$E$68,"Озон")+SUMIFS($V$6:$V$68,$I$6:$I$68,"Вышло",$D$6:$D$68,"Telegram ",$E$6:$E$68,"озон")+SUMIFS($V$6:$V$68,$I$6:$I$68,"Вышло",$D$6:$D$68,"Телеграм",$E$6:$E$68,"Ozon")+SUMIFS($V$6:$V$68,$I$6:$I$68,"Вышло",$D$6:$D$68,"Телеграм",$E$6:$E$68,"OZON")+SUMIFS($V$6:$V$68,$I$6:$I$68,"Вышло",$D$6:$D$68,"Телеграм",$E$6:$E$68,"Озон")+SUMIFS($V$6:$V$68,$I$6:$I$68,"Вышло",$D$6:$D$68,"Телеграм",$E$6:$E$68,"озон")+SUMIFS($V$6:$V$68,$I$6:$I$68,"Вышло",$D$6:$D$68,"ТГ",$E$6:$E$68,"Ozon")+SUMIFS($V$6:$V$68,$I$6:$I$68,"Вышло",$D$6:$D$68,"ТГ",$E$6:$E$68,"OZON")+SUMIFS($V$6:$V$68,$I$6:$I$68,"Вышло",$D$6:$D$68,"ТГ",$E$6:$E$68,"Озон")+SUMIFS($V$6:$V$68,$I$6:$I$68,"Вышло",$D$6:$D$68,"ТГ",$E$6:$E$68,"озон")),0))</f>
        <v>—</v>
      </c>
      <c r="M72" s="140" t="str">
        <f>IF((SUMIFS($W$6:$W$68,$I$6:$I$68,"Вышло",$D$6:$D$68,"Telegram",$E$6:$E$68,"WB")+SUMIFS($W$6:$W$68,$I$6:$I$68,"Вышло",$D$6:$D$68,"Telegram",$E$6:$E$68,"ВБ")+SUMIFS($W$6:$W$68,$I$6:$I$68,"Вышло",$D$6:$D$68,"Telegram ",$E$6:$E$68,"WB")+SUMIFS($W$6:$W$68,$I$6:$I$68,"Вышло",$D$6:$D$68,"Telegram ",$E$6:$E$68,"ВБ")+SUMIFS($W$6:$W$68,$I$6:$I$68,"Вышло",$D$6:$D$68,"Телеграм",$E$6:$E$68,"WB")+SUMIFS($W$6:$W$68,$I$6:$I$68,"Вышло",$D$6:$D$68,"Телеграм",$E$6:$E$68,"ВБ")+SUMIFS($W$6:$W$68,$I$6:$I$68,"Вышло",$D$6:$D$68,"ТГ",$E$6:$E$68,"WB")+SUMIFS($W$6:$W$68,$I$6:$I$68,"Вышло",$D$6:$D$68,"ТГ",$E$6:$E$68,"ВБ"))=0,"—",ROUND((SUMIFS($M$6:$M$68,$I$6:$I$68,"Вышло",$D$6:$D$68,"Telegram",$E$6:$E$68,"WB")+SUMIFS($M$6:$M$68,$I$6:$I$68,"Вышло",$D$6:$D$68,"Telegram",$E$6:$E$68,"ВБ")+SUMIFS($M$6:$M$68,$I$6:$I$68,"Вышло",$D$6:$D$68,"Telegram ",$E$6:$E$68,"WB")+SUMIFS($M$6:$M$68,$I$6:$I$68,"Вышло",$D$6:$D$68,"Telegram ",$E$6:$E$68,"ВБ")+SUMIFS($M$6:$M$68,$I$6:$I$68,"Вышло",$D$6:$D$68,"Телеграм",$E$6:$E$68,"WB")+SUMIFS($M$6:$M$68,$I$6:$I$68,"Вышло",$D$6:$D$68,"Телеграм",$E$6:$E$68,"ВБ")+SUMIFS($M$6:$M$68,$I$6:$I$68,"Вышло",$D$6:$D$68,"ТГ",$E$6:$E$68,"WB")+SUMIFS($M$6:$M$68,$I$6:$I$68,"Вышло",$D$6:$D$68,"ТГ",$E$6:$E$68,"ВБ")-(SUMIFS($M$6:$M$68,$I$6:$I$68,"Вышло",$D$6:$D$68,"Telegram",$E$6:$E$68,"WB",$W$6:$W$68,"&lt;=0",$V$6:$V$68,"&gt;0")+SUMIFS($M$6:$M$68,$I$6:$I$68,"Вышло",$D$6:$D$68,"Telegram",$E$6:$E$68,"ВБ",$W$6:$W$68,"&lt;=0",$V$6:$V$68,"&gt;0")+SUMIFS($M$6:$M$68,$I$6:$I$68,"Вышло",$D$6:$D$68,"Telegram ",$E$6:$E$68,"WB",$W$6:$W$68,"&lt;=0",$V$6:$V$68,"&gt;0")+SUMIFS($M$6:$M$68,$I$6:$I$68,"Вышло",$D$6:$D$68,"Telegram ",$E$6:$E$68,"ВБ",$W$6:$W$68,"&lt;=0",$V$6:$V$68,"&gt;0")+SUMIFS($M$6:$M$68,$I$6:$I$68,"Вышло",$D$6:$D$68,"Телеграм",$E$6:$E$68,"WB",$W$6:$W$68,"&lt;=0",$V$6:$V$68,"&gt;0")+SUMIFS($M$6:$M$68,$I$6:$I$68,"Вышло",$D$6:$D$68,"Телеграм",$E$6:$E$68,"ВБ",$W$6:$W$68,"&lt;=0",$V$6:$V$68,"&gt;0")+SUMIFS($M$6:$M$68,$I$6:$I$68,"Вышло",$D$6:$D$68,"ТГ",$E$6:$E$68,"WB",$W$6:$W$68,"&lt;=0",$V$6:$V$68,"&gt;0")+SUMIFS($M$6:$M$68,$I$6:$I$68,"Вышло",$D$6:$D$68,"ТГ",$E$6:$E$68,"ВБ",$W$6:$W$68,"&lt;=0",$V$6:$V$68,"&gt;0")))/(SUMIFS($W$6:$W$68,$I$6:$I$68,"Вышло",$D$6:$D$68,"Telegram",$E$6:$E$68,"WB")+SUMIFS($W$6:$W$68,$I$6:$I$68,"Вышло",$D$6:$D$68,"Telegram",$E$6:$E$68,"ВБ")+SUMIFS($W$6:$W$68,$I$6:$I$68,"Вышло",$D$6:$D$68,"Telegram ",$E$6:$E$68,"WB")+SUMIFS($W$6:$W$68,$I$6:$I$68,"Вышло",$D$6:$D$68,"Telegram ",$E$6:$E$68,"ВБ")+SUMIFS($W$6:$W$68,$I$6:$I$68,"Вышло",$D$6:$D$68,"Телеграм",$E$6:$E$68,"WB")+SUMIFS($W$6:$W$68,$I$6:$I$68,"Вышло",$D$6:$D$68,"Телеграм",$E$6:$E$68,"ВБ")+SUMIFS($W$6:$W$68,$I$6:$I$68,"Вышло",$D$6:$D$68,"ТГ",$E$6:$E$68,"WB")+SUMIFS($W$6:$W$68,$I$6:$I$68,"Вышло",$D$6:$D$68,"ТГ",$E$6:$E$68,"ВБ")),0))</f>
        <v>—</v>
      </c>
      <c r="N72" s="140" t="str">
        <f t="shared" ref="N72:N80" si="57">"—"</f>
        <v>—</v>
      </c>
      <c r="O72" s="140" t="str">
        <f>IF((SUMIFS($Z$6:$Z$68,$I$6:$I$68,"Вышло",$D$6:$D$68,"Telegram")+SUMIFS($Z$6:$Z$68,$I$6:$I$68,"Вышло",$D$6:$D$68,"Telegram ")+SUMIFS($Z$6:$Z$68,$I$6:$I$68,"Вышло",$D$6:$D$68,"Телеграм")+SUMIFS($Z$6:$Z$68,$I$6:$I$68,"Вышло",$D$6:$D$68,"ТГ"))=0,"—",ROUND((SUMIFS($M$6:$M$68,$I$6:$I$68,"Вышло",$D$6:$D$68,"Telegram")+SUMIFS($M$6:$M$68,$I$6:$I$68,"Вышло",$D$6:$D$68,"Telegram ")+SUMIFS($M$6:$M$68,$I$6:$I$68,"Вышло",$D$6:$D$68,"Телеграм")+SUMIFS($M$6:$M$68,$I$6:$I$68,"Вышло",$D$6:$D$68,"ТГ"))/(SUMIFS($Z$6:$Z$68,$I$6:$I$68,"Вышло",$D$6:$D$68,"Telegram")+SUMIFS($Z$6:$Z$68,$I$6:$I$68,"Вышло",$D$6:$D$68,"Telegram ")+SUMIFS($Z$6:$Z$68,$I$6:$I$68,"Вышло",$D$6:$D$68,"Телеграм")+SUMIFS($Z$6:$Z$68,$I$6:$I$68,"Вышло",$D$6:$D$68,"ТГ")),0))</f>
        <v>—</v>
      </c>
      <c r="P72" s="3"/>
      <c r="Q72" s="3"/>
      <c r="R72" s="3"/>
      <c r="S72" s="3"/>
      <c r="T72" s="3"/>
      <c r="U72" s="155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ht="15.75" customHeight="1">
      <c r="A73" s="139" t="s">
        <v>37</v>
      </c>
      <c r="B73" s="140">
        <f>SUMIFS($M$6:$M$68,$D$6:$D$68,"MAX")+SUMIFS($M$6:$M$68,$D$6:$D$68,"Макс")+SUMIFS($M$6:$M$68,$D$6:$D$68,"МАКС")</f>
        <v>0</v>
      </c>
      <c r="C73" s="140">
        <f>SUMIFS($M$6:$M$68,$I$6:$I$68,"Вышло",$D$6:$D$68,"MAX")+SUMIFS($M$6:$M$68,$I$6:$I$68,"Вышло",$D$6:$D$68,"Макс")+SUMIFS($M$6:$M$68,$I$6:$I$68,"Вышло",$D$6:$D$68,"МАКС")</f>
        <v>0</v>
      </c>
      <c r="D73" s="141">
        <f>COUNTIFS($I$6:$I$68,"Вышло",$D$6:$D$68,"MAX")+COUNTIFS($I$6:$I$68,"Вышло",$D$6:$D$68,"Макс")</f>
        <v>0</v>
      </c>
      <c r="E73" s="141">
        <f>SUMIFS($T$6:$T$68,$I$6:$I$68,"Вышло",$D$6:$D$68,"MAX")+SUMIFS($T$6:$T$68,$I$6:$I$68,"Вышло",$D$6:$D$68,"Макс")+SUMIFS($T$6:$T$68,$I$6:$I$68,"Вышло",$D$6:$D$68,"МАКС")</f>
        <v>0</v>
      </c>
      <c r="F73" s="141">
        <f>SUMIFS($V$6:$V$68,$I$6:$I$68,"Вышло",$D$6:$D$68,"MAX")+SUMIFS($V$6:$V$68,$I$6:$I$68,"Вышло",$D$6:$D$68,"Макс")+SUMIFS($V$6:$V$68,$I$6:$I$68,"Вышло",$D$6:$D$68,"МАКС")</f>
        <v>0</v>
      </c>
      <c r="G73" s="141">
        <f>SUMIFS($W$6:$W$68,$I$6:$I$68,"Вышло",$D$6:$D$68,"MAX")+SUMIFS($W$6:$W$68,$I$6:$I$68,"Вышло",$D$6:$D$68,"Макс")+SUMIFS($W$6:$W$68,$I$6:$I$68,"Вышло",$D$6:$D$68,"МАКС")</f>
        <v>0</v>
      </c>
      <c r="H73" s="141">
        <f t="shared" si="56"/>
        <v>0</v>
      </c>
      <c r="I73" s="141">
        <f>SUMIFS($Y$6:$Y$68,$I$6:$I$68,"Вышло",$D$6:$D$68,"MAX")+SUMIFS($Y$6:$Y$68,$I$6:$I$68,"Вышло",$D$6:$D$68,"Макс")+SUMIFS($Y$6:$Y$68,$I$6:$I$68,"Вышло",$D$6:$D$68,"МАКС")</f>
        <v>0</v>
      </c>
      <c r="J73" s="141">
        <f>SUMIFS($Z$6:$Z$68,$I$6:$I$68,"Вышло",$D$6:$D$68,"MAX")+SUMIFS($Z$6:$Z$68,$I$6:$I$68,"Вышло",$D$6:$D$68,"Макс")+SUMIFS($Z$6:$Z$68,$I$6:$I$68,"Вышло",$D$6:$D$68,"МАКС")</f>
        <v>0</v>
      </c>
      <c r="K73" s="140">
        <f>SUMIFS($AA$6:$AA$68,$I$6:$I$68,"Вышло",$D$6:$D$68,"MAX")+SUMIFS($AA$6:$AA$68,$I$6:$I$68,"Вышло",$D$6:$D$68,"Макс")+SUMIFS($AA$6:$AA$68,$I$6:$I$68,"Вышло",$D$6:$D$68,"МАКС")</f>
        <v>0</v>
      </c>
      <c r="L73" s="140" t="str">
        <f>IF((SUMIFS($V$6:$V$68,$I$6:$I$68,"Вышло",$D$6:$D$68,"MAX",$E$6:$E$68,"Сайт")+SUMIFS($V$6:$V$68,$I$6:$I$68,"Вышло",$D$6:$D$68,"MAX",$E$6:$E$68,"сайт")+SUMIFS($V$6:$V$68,$I$6:$I$68,"Вышло",$D$6:$D$68,"Макс",$E$6:$E$68,"Сайт")+SUMIFS($V$6:$V$68,$I$6:$I$68,"Вышло",$D$6:$D$68,"Макс",$E$6:$E$68,"сайт")+SUMIFS($V$6:$V$68,$I$6:$I$68,"Вышло",$D$6:$D$68,"МАКС",$E$6:$E$68,"Сайт")+SUMIFS($V$6:$V$68,$I$6:$I$68,"Вышло",$D$6:$D$68,"МАКС",$E$6:$E$68,"сайт")+SUMIFS($V$6:$V$68,$I$6:$I$68,"Вышло",$D$6:$D$68,"MAX",$E$6:$E$68,"Ozon")+SUMIFS($V$6:$V$68,$I$6:$I$68,"Вышло",$D$6:$D$68,"MAX",$E$6:$E$68,"OZON")+SUMIFS($V$6:$V$68,$I$6:$I$68,"Вышло",$D$6:$D$68,"MAX",$E$6:$E$68,"Озон")+SUMIFS($V$6:$V$68,$I$6:$I$68,"Вышло",$D$6:$D$68,"MAX",$E$6:$E$68,"озон")+SUMIFS($V$6:$V$68,$I$6:$I$68,"Вышло",$D$6:$D$68,"Макс",$E$6:$E$68,"Ozon")+SUMIFS($V$6:$V$68,$I$6:$I$68,"Вышло",$D$6:$D$68,"Макс",$E$6:$E$68,"OZON")+SUMIFS($V$6:$V$68,$I$6:$I$68,"Вышло",$D$6:$D$68,"Макс",$E$6:$E$68,"Озон")+SUMIFS($V$6:$V$68,$I$6:$I$68,"Вышло",$D$6:$D$68,"Макс",$E$6:$E$68,"озон")+SUMIFS($V$6:$V$68,$I$6:$I$68,"Вышло",$D$6:$D$68,"МАКС",$E$6:$E$68,"Ozon")+SUMIFS($V$6:$V$68,$I$6:$I$68,"Вышло",$D$6:$D$68,"МАКС",$E$6:$E$68,"OZON")+SUMIFS($V$6:$V$68,$I$6:$I$68,"Вышло",$D$6:$D$68,"МАКС",$E$6:$E$68,"Озон")+SUMIFS($V$6:$V$68,$I$6:$I$68,"Вышло",$D$6:$D$68,"МАКС",$E$6:$E$68,"озон"))=0,"—",ROUND((SUMIFS($M$6:$M$68,$I$6:$I$68,"Вышло",$D$6:$D$68,"MAX",$E$6:$E$68,"Сайт",$V$6:$V$68,"&gt;0")+SUMIFS($M$6:$M$68,$I$6:$I$68,"Вышло",$D$6:$D$68,"MAX",$E$6:$E$68,"сайт",$V$6:$V$68,"&gt;0")+SUMIFS($M$6:$M$68,$I$6:$I$68,"Вышло",$D$6:$D$68,"Макс",$E$6:$E$68,"Сайт",$V$6:$V$68,"&gt;0")+SUMIFS($M$6:$M$68,$I$6:$I$68,"Вышло",$D$6:$D$68,"Макс",$E$6:$E$68,"сайт",$V$6:$V$68,"&gt;0")+SUMIFS($M$6:$M$68,$I$6:$I$68,"Вышло",$D$6:$D$68,"МАКС",$E$6:$E$68,"Сайт",$V$6:$V$68,"&gt;0")+SUMIFS($M$6:$M$68,$I$6:$I$68,"Вышло",$D$6:$D$68,"МАКС",$E$6:$E$68,"сайт",$V$6:$V$68,"&gt;0")+SUMIFS($M$6:$M$68,$I$6:$I$68,"Вышло",$D$6:$D$68,"MAX",$E$6:$E$68,"Сайт",$V$6:$V$68,"&lt;=0",$P$6:$P$68,"&lt;&gt;")+SUMIFS($M$6:$M$68,$I$6:$I$68,"Вышло",$D$6:$D$68,"MAX",$E$6:$E$68,"сайт",$V$6:$V$68,"&lt;=0",$P$6:$P$68,"&lt;&gt;")+SUMIFS($M$6:$M$68,$I$6:$I$68,"Вышло",$D$6:$D$68,"Макс",$E$6:$E$68,"Сайт",$V$6:$V$68,"&lt;=0",$P$6:$P$68,"&lt;&gt;")+SUMIFS($M$6:$M$68,$I$6:$I$68,"Вышло",$D$6:$D$68,"Макс",$E$6:$E$68,"сайт",$V$6:$V$68,"&lt;=0",$P$6:$P$68,"&lt;&gt;")+SUMIFS($M$6:$M$68,$I$6:$I$68,"Вышло",$D$6:$D$68,"МАКС",$E$6:$E$68,"Сайт",$V$6:$V$68,"&lt;=0",$P$6:$P$68,"&lt;&gt;")+SUMIFS($M$6:$M$68,$I$6:$I$68,"Вышло",$D$6:$D$68,"МАКС",$E$6:$E$68,"сайт",$V$6:$V$68,"&lt;=0",$P$6:$P$68,"&lt;&gt;")+SUMIFS($M$6:$M$68,$I$6:$I$68,"Вышло",$D$6:$D$68,"MAX",$E$6:$E$68,"Ozon",$V$6:$V$68,"&gt;0")+SUMIFS($M$6:$M$68,$I$6:$I$68,"Вышло",$D$6:$D$68,"MAX",$E$6:$E$68,"OZON",$V$6:$V$68,"&gt;0")+SUMIFS($M$6:$M$68,$I$6:$I$68,"Вышло",$D$6:$D$68,"MAX",$E$6:$E$68,"Озон",$V$6:$V$68,"&gt;0")+SUMIFS($M$6:$M$68,$I$6:$I$68,"Вышло",$D$6:$D$68,"MAX",$E$6:$E$68,"озон",$V$6:$V$68,"&gt;0")+SUMIFS($M$6:$M$68,$I$6:$I$68,"Вышло",$D$6:$D$68,"Макс",$E$6:$E$68,"Ozon",$V$6:$V$68,"&gt;0")+SUMIFS($M$6:$M$68,$I$6:$I$68,"Вышло",$D$6:$D$68,"Макс",$E$6:$E$68,"OZON",$V$6:$V$68,"&gt;0")+SUMIFS($M$6:$M$68,$I$6:$I$68,"Вышло",$D$6:$D$68,"Макс",$E$6:$E$68,"Озон",$V$6:$V$68,"&gt;0")+SUMIFS($M$6:$M$68,$I$6:$I$68,"Вышло",$D$6:$D$68,"Макс",$E$6:$E$68,"озон",$V$6:$V$68,"&gt;0")+SUMIFS($M$6:$M$68,$I$6:$I$68,"Вышло",$D$6:$D$68,"МАКС",$E$6:$E$68,"Ozon",$V$6:$V$68,"&gt;0")+SUMIFS($M$6:$M$68,$I$6:$I$68,"Вышло",$D$6:$D$68,"МАКС",$E$6:$E$68,"OZON",$V$6:$V$68,"&gt;0")+SUMIFS($M$6:$M$68,$I$6:$I$68,"Вышло",$D$6:$D$68,"МАКС",$E$6:$E$68,"Озон",$V$6:$V$68,"&gt;0")+SUMIFS($M$6:$M$68,$I$6:$I$68,"Вышло",$D$6:$D$68,"МАКС",$E$6:$E$68,"озон",$V$6:$V$68,"&gt;0")+SUMIFS($M$6:$M$68,$I$6:$I$68,"Вышло",$D$6:$D$68,"MAX",$E$6:$E$68,"Ozon",$V$6:$V$68,"&lt;=0",$P$6:$P$68,"&lt;&gt;")+SUMIFS($M$6:$M$68,$I$6:$I$68,"Вышло",$D$6:$D$68,"MAX",$E$6:$E$68,"OZON",$V$6:$V$68,"&lt;=0",$P$6:$P$68,"&lt;&gt;")+SUMIFS($M$6:$M$68,$I$6:$I$68,"Вышло",$D$6:$D$68,"MAX",$E$6:$E$68,"Озон",$V$6:$V$68,"&lt;=0",$P$6:$P$68,"&lt;&gt;")+SUMIFS($M$6:$M$68,$I$6:$I$68,"Вышло",$D$6:$D$68,"MAX",$E$6:$E$68,"озон",$V$6:$V$68,"&lt;=0",$P$6:$P$68,"&lt;&gt;")+SUMIFS($M$6:$M$68,$I$6:$I$68,"Вышло",$D$6:$D$68,"Макс",$E$6:$E$68,"Ozon",$V$6:$V$68,"&lt;=0",$P$6:$P$68,"&lt;&gt;")+SUMIFS($M$6:$M$68,$I$6:$I$68,"Вышло",$D$6:$D$68,"Макс",$E$6:$E$68,"OZON",$V$6:$V$68,"&lt;=0",$P$6:$P$68,"&lt;&gt;")+SUMIFS($M$6:$M$68,$I$6:$I$68,"Вышло",$D$6:$D$68,"Макс",$E$6:$E$68,"Озон",$V$6:$V$68,"&lt;=0",$P$6:$P$68,"&lt;&gt;")+SUMIFS($M$6:$M$68,$I$6:$I$68,"Вышло",$D$6:$D$68,"Макс",$E$6:$E$68,"озон",$V$6:$V$68,"&lt;=0",$P$6:$P$68,"&lt;&gt;")+SUMIFS($M$6:$M$68,$I$6:$I$68,"Вышло",$D$6:$D$68,"МАКС",$E$6:$E$68,"Ozon",$V$6:$V$68,"&lt;=0",$P$6:$P$68,"&lt;&gt;")+SUMIFS($M$6:$M$68,$I$6:$I$68,"Вышло",$D$6:$D$68,"МАКС",$E$6:$E$68,"OZON",$V$6:$V$68,"&lt;=0",$P$6:$P$68,"&lt;&gt;")+SUMIFS($M$6:$M$68,$I$6:$I$68,"Вышло",$D$6:$D$68,"МАКС",$E$6:$E$68,"Озон",$V$6:$V$68,"&lt;=0",$P$6:$P$68,"&lt;&gt;")+SUMIFS($M$6:$M$68,$I$6:$I$68,"Вышло",$D$6:$D$68,"МАКС",$E$6:$E$68,"озон",$V$6:$V$68,"&lt;=0",$P$6:$P$68,"&lt;&gt;"))/(SUMIFS($V$6:$V$68,$I$6:$I$68,"Вышло",$D$6:$D$68,"MAX",$E$6:$E$68,"Сайт")+SUMIFS($V$6:$V$68,$I$6:$I$68,"Вышло",$D$6:$D$68,"MAX",$E$6:$E$68,"сайт")+SUMIFS($V$6:$V$68,$I$6:$I$68,"Вышло",$D$6:$D$68,"Макс",$E$6:$E$68,"Сайт")+SUMIFS($V$6:$V$68,$I$6:$I$68,"Вышло",$D$6:$D$68,"Макс",$E$6:$E$68,"сайт")+SUMIFS($V$6:$V$68,$I$6:$I$68,"Вышло",$D$6:$D$68,"МАКС",$E$6:$E$68,"Сайт")+SUMIFS($V$6:$V$68,$I$6:$I$68,"Вышло",$D$6:$D$68,"МАКС",$E$6:$E$68,"сайт")+SUMIFS($V$6:$V$68,$I$6:$I$68,"Вышло",$D$6:$D$68,"MAX",$E$6:$E$68,"Ozon")+SUMIFS($V$6:$V$68,$I$6:$I$68,"Вышло",$D$6:$D$68,"MAX",$E$6:$E$68,"OZON")+SUMIFS($V$6:$V$68,$I$6:$I$68,"Вышло",$D$6:$D$68,"MAX",$E$6:$E$68,"Озон")+SUMIFS($V$6:$V$68,$I$6:$I$68,"Вышло",$D$6:$D$68,"MAX",$E$6:$E$68,"озон")+SUMIFS($V$6:$V$68,$I$6:$I$68,"Вышло",$D$6:$D$68,"Макс",$E$6:$E$68,"Ozon")+SUMIFS($V$6:$V$68,$I$6:$I$68,"Вышло",$D$6:$D$68,"Макс",$E$6:$E$68,"OZON")+SUMIFS($V$6:$V$68,$I$6:$I$68,"Вышло",$D$6:$D$68,"Макс",$E$6:$E$68,"Озон")+SUMIFS($V$6:$V$68,$I$6:$I$68,"Вышло",$D$6:$D$68,"Макс",$E$6:$E$68,"озон")+SUMIFS($V$6:$V$68,$I$6:$I$68,"Вышло",$D$6:$D$68,"МАКС",$E$6:$E$68,"Ozon")+SUMIFS($V$6:$V$68,$I$6:$I$68,"Вышло",$D$6:$D$68,"МАКС",$E$6:$E$68,"OZON")+SUMIFS($V$6:$V$68,$I$6:$I$68,"Вышло",$D$6:$D$68,"МАКС",$E$6:$E$68,"Озон")+SUMIFS($V$6:$V$68,$I$6:$I$68,"Вышло",$D$6:$D$68,"МАКС",$E$6:$E$68,"озон")),0))</f>
        <v>—</v>
      </c>
      <c r="M73" s="140" t="str">
        <f>IF((SUMIFS($W$6:$W$68,$I$6:$I$68,"Вышло",$D$6:$D$68,"MAX",$E$6:$E$68,"WB")+SUMIFS($W$6:$W$68,$I$6:$I$68,"Вышло",$D$6:$D$68,"MAX",$E$6:$E$68,"ВБ")+SUMIFS($W$6:$W$68,$I$6:$I$68,"Вышло",$D$6:$D$68,"Макс",$E$6:$E$68,"WB")+SUMIFS($W$6:$W$68,$I$6:$I$68,"Вышло",$D$6:$D$68,"Макс",$E$6:$E$68,"ВБ")+SUMIFS($W$6:$W$68,$I$6:$I$68,"Вышло",$D$6:$D$68,"МАКС",$E$6:$E$68,"WB")+SUMIFS($W$6:$W$68,$I$6:$I$68,"Вышло",$D$6:$D$68,"МАКС",$E$6:$E$68,"ВБ"))=0,"—",ROUND((SUMIFS($M$6:$M$68,$I$6:$I$68,"Вышло",$D$6:$D$68,"MAX",$E$6:$E$68,"WB")+SUMIFS($M$6:$M$68,$I$6:$I$68,"Вышло",$D$6:$D$68,"MAX",$E$6:$E$68,"ВБ")+SUMIFS($M$6:$M$68,$I$6:$I$68,"Вышло",$D$6:$D$68,"Макс",$E$6:$E$68,"WB")+SUMIFS($M$6:$M$68,$I$6:$I$68,"Вышло",$D$6:$D$68,"Макс",$E$6:$E$68,"ВБ")+SUMIFS($M$6:$M$68,$I$6:$I$68,"Вышло",$D$6:$D$68,"МАКС",$E$6:$E$68,"WB")+SUMIFS($M$6:$M$68,$I$6:$I$68,"Вышло",$D$6:$D$68,"МАКС",$E$6:$E$68,"ВБ")-(SUMIFS($M$6:$M$68,$I$6:$I$68,"Вышло",$D$6:$D$68,"MAX",$E$6:$E$68,"WB",$W$6:$W$68,"&lt;=0",$V$6:$V$68,"&gt;0")+SUMIFS($M$6:$M$68,$I$6:$I$68,"Вышло",$D$6:$D$68,"MAX",$E$6:$E$68,"ВБ",$W$6:$W$68,"&lt;=0",$V$6:$V$68,"&gt;0")+SUMIFS($M$6:$M$68,$I$6:$I$68,"Вышло",$D$6:$D$68,"Макс",$E$6:$E$68,"WB",$W$6:$W$68,"&lt;=0",$V$6:$V$68,"&gt;0")+SUMIFS($M$6:$M$68,$I$6:$I$68,"Вышло",$D$6:$D$68,"Макс",$E$6:$E$68,"ВБ",$W$6:$W$68,"&lt;=0",$V$6:$V$68,"&gt;0")+SUMIFS($M$6:$M$68,$I$6:$I$68,"Вышло",$D$6:$D$68,"МАКС",$E$6:$E$68,"WB",$W$6:$W$68,"&lt;=0",$V$6:$V$68,"&gt;0")+SUMIFS($M$6:$M$68,$I$6:$I$68,"Вышло",$D$6:$D$68,"МАКС",$E$6:$E$68,"ВБ",$W$6:$W$68,"&lt;=0",$V$6:$V$68,"&gt;0")))/(SUMIFS($W$6:$W$68,$I$6:$I$68,"Вышло",$D$6:$D$68,"MAX",$E$6:$E$68,"WB")+SUMIFS($W$6:$W$68,$I$6:$I$68,"Вышло",$D$6:$D$68,"MAX",$E$6:$E$68,"ВБ")+SUMIFS($W$6:$W$68,$I$6:$I$68,"Вышло",$D$6:$D$68,"Макс",$E$6:$E$68,"WB")+SUMIFS($W$6:$W$68,$I$6:$I$68,"Вышло",$D$6:$D$68,"Макс",$E$6:$E$68,"ВБ")+SUMIFS($W$6:$W$68,$I$6:$I$68,"Вышло",$D$6:$D$68,"МАКС",$E$6:$E$68,"WB")+SUMIFS($W$6:$W$68,$I$6:$I$68,"Вышло",$D$6:$D$68,"МАКС",$E$6:$E$68,"ВБ")),0))</f>
        <v>—</v>
      </c>
      <c r="N73" s="140" t="str">
        <f t="shared" si="57"/>
        <v>—</v>
      </c>
      <c r="O73" s="140" t="str">
        <f>IF((SUMIFS($Z$6:$Z$68,$I$6:$I$68,"Вышло",$D$6:$D$68,"MAX")+SUMIFS($Z$6:$Z$68,$I$6:$I$68,"Вышло",$D$6:$D$68,"Макс")+SUMIFS($Z$6:$Z$68,$I$6:$I$68,"Вышло",$D$6:$D$68,"МАКС"))=0,"—",ROUND((SUMIFS($M$6:$M$68,$I$6:$I$68,"Вышло",$D$6:$D$68,"MAX")+SUMIFS($M$6:$M$68,$I$6:$I$68,"Вышло",$D$6:$D$68,"Макс")+SUMIFS($M$6:$M$68,$I$6:$I$68,"Вышло",$D$6:$D$68,"МАКС"))/(SUMIFS($Z$6:$Z$68,$I$6:$I$68,"Вышло",$D$6:$D$68,"MAX")+SUMIFS($Z$6:$Z$68,$I$6:$I$68,"Вышло",$D$6:$D$68,"Макс")+SUMIFS($Z$6:$Z$68,$I$6:$I$68,"Вышло",$D$6:$D$68,"МАКС")),0))</f>
        <v>—</v>
      </c>
      <c r="P73" s="3"/>
      <c r="Q73" s="3"/>
      <c r="R73" s="3"/>
      <c r="S73" s="3"/>
      <c r="T73" s="3"/>
      <c r="U73" s="155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ht="15.75" customHeight="1">
      <c r="A74" s="139" t="s">
        <v>244</v>
      </c>
      <c r="B74" s="140">
        <f>SUMIFS($M$6:$M$68,$D$6:$D$68,"VK")+SUMIFS($M$6:$M$68,$D$6:$D$68,"Vk")+SUMIFS($M$6:$M$68,$D$6:$D$68,"ВК")</f>
        <v>0</v>
      </c>
      <c r="C74" s="140">
        <f>SUMIFS($M$6:$M$68,$I$6:$I$68,"Вышло",$D$6:$D$68,"VK")+SUMIFS($M$6:$M$68,$I$6:$I$68,"Вышло",$D$6:$D$68,"Vk")+SUMIFS($M$6:$M$68,$I$6:$I$68,"Вышло",$D$6:$D$68,"ВК")</f>
        <v>0</v>
      </c>
      <c r="D74" s="141">
        <f>COUNTIFS($I$6:$I$68,"Вышло",$D$6:$D$68,"VK")+COUNTIFS($I$6:$I$68,"Вышло",$D$6:$D$68,"ВК")</f>
        <v>0</v>
      </c>
      <c r="E74" s="141">
        <f>SUMIFS($T$6:$T$68,$I$6:$I$68,"Вышло",$D$6:$D$68,"VK")+SUMIFS($T$6:$T$68,$I$6:$I$68,"Вышло",$D$6:$D$68,"Vk")+SUMIFS($T$6:$T$68,$I$6:$I$68,"Вышло",$D$6:$D$68,"ВК")</f>
        <v>0</v>
      </c>
      <c r="F74" s="141">
        <f>SUMIFS($V$6:$V$68,$I$6:$I$68,"Вышло",$D$6:$D$68,"VK")+SUMIFS($V$6:$V$68,$I$6:$I$68,"Вышло",$D$6:$D$68,"Vk")+SUMIFS($V$6:$V$68,$I$6:$I$68,"Вышло",$D$6:$D$68,"ВК")</f>
        <v>0</v>
      </c>
      <c r="G74" s="141">
        <f>SUMIFS($W$6:$W$68,$I$6:$I$68,"Вышло",$D$6:$D$68,"VK")+SUMIFS($W$6:$W$68,$I$6:$I$68,"Вышло",$D$6:$D$68,"Vk")+SUMIFS($W$6:$W$68,$I$6:$I$68,"Вышло",$D$6:$D$68,"ВК")</f>
        <v>0</v>
      </c>
      <c r="H74" s="141">
        <f t="shared" si="56"/>
        <v>0</v>
      </c>
      <c r="I74" s="141">
        <f>SUMIFS($Y$6:$Y$68,$I$6:$I$68,"Вышло",$D$6:$D$68,"VK")+SUMIFS($Y$6:$Y$68,$I$6:$I$68,"Вышло",$D$6:$D$68,"Vk")+SUMIFS($Y$6:$Y$68,$I$6:$I$68,"Вышло",$D$6:$D$68,"ВК")</f>
        <v>0</v>
      </c>
      <c r="J74" s="141">
        <f>SUMIFS($Z$6:$Z$68,$I$6:$I$68,"Вышло",$D$6:$D$68,"VK")+SUMIFS($Z$6:$Z$68,$I$6:$I$68,"Вышло",$D$6:$D$68,"Vk")+SUMIFS($Z$6:$Z$68,$I$6:$I$68,"Вышло",$D$6:$D$68,"ВК")</f>
        <v>0</v>
      </c>
      <c r="K74" s="140">
        <f>SUMIFS($AA$6:$AA$68,$I$6:$I$68,"Вышло",$D$6:$D$68,"VK")+SUMIFS($AA$6:$AA$68,$I$6:$I$68,"Вышло",$D$6:$D$68,"Vk")+SUMIFS($AA$6:$AA$68,$I$6:$I$68,"Вышло",$D$6:$D$68,"ВК")</f>
        <v>0</v>
      </c>
      <c r="L74" s="140" t="str">
        <f>IF((SUMIFS($V$6:$V$68,$I$6:$I$68,"Вышло",$D$6:$D$68,"VK",$E$6:$E$68,"Сайт")+SUMIFS($V$6:$V$68,$I$6:$I$68,"Вышло",$D$6:$D$68,"VK",$E$6:$E$68,"сайт")+SUMIFS($V$6:$V$68,$I$6:$I$68,"Вышло",$D$6:$D$68,"Vk",$E$6:$E$68,"Сайт")+SUMIFS($V$6:$V$68,$I$6:$I$68,"Вышло",$D$6:$D$68,"Vk",$E$6:$E$68,"сайт")+SUMIFS($V$6:$V$68,$I$6:$I$68,"Вышло",$D$6:$D$68,"ВК",$E$6:$E$68,"Сайт")+SUMIFS($V$6:$V$68,$I$6:$I$68,"Вышло",$D$6:$D$68,"ВК",$E$6:$E$68,"сайт")+SUMIFS($V$6:$V$68,$I$6:$I$68,"Вышло",$D$6:$D$68,"VK",$E$6:$E$68,"Ozon")+SUMIFS($V$6:$V$68,$I$6:$I$68,"Вышло",$D$6:$D$68,"VK",$E$6:$E$68,"OZON")+SUMIFS($V$6:$V$68,$I$6:$I$68,"Вышло",$D$6:$D$68,"VK",$E$6:$E$68,"Озон")+SUMIFS($V$6:$V$68,$I$6:$I$68,"Вышло",$D$6:$D$68,"VK",$E$6:$E$68,"озон")+SUMIFS($V$6:$V$68,$I$6:$I$68,"Вышло",$D$6:$D$68,"Vk",$E$6:$E$68,"Ozon")+SUMIFS($V$6:$V$68,$I$6:$I$68,"Вышло",$D$6:$D$68,"Vk",$E$6:$E$68,"OZON")+SUMIFS($V$6:$V$68,$I$6:$I$68,"Вышло",$D$6:$D$68,"Vk",$E$6:$E$68,"Озон")+SUMIFS($V$6:$V$68,$I$6:$I$68,"Вышло",$D$6:$D$68,"Vk",$E$6:$E$68,"озон")+SUMIFS($V$6:$V$68,$I$6:$I$68,"Вышло",$D$6:$D$68,"ВК",$E$6:$E$68,"Ozon")+SUMIFS($V$6:$V$68,$I$6:$I$68,"Вышло",$D$6:$D$68,"ВК",$E$6:$E$68,"OZON")+SUMIFS($V$6:$V$68,$I$6:$I$68,"Вышло",$D$6:$D$68,"ВК",$E$6:$E$68,"Озон")+SUMIFS($V$6:$V$68,$I$6:$I$68,"Вышло",$D$6:$D$68,"ВК",$E$6:$E$68,"озон"))=0,"—",ROUND((SUMIFS($M$6:$M$68,$I$6:$I$68,"Вышло",$D$6:$D$68,"VK",$E$6:$E$68,"Сайт",$V$6:$V$68,"&gt;0")+SUMIFS($M$6:$M$68,$I$6:$I$68,"Вышло",$D$6:$D$68,"VK",$E$6:$E$68,"сайт",$V$6:$V$68,"&gt;0")+SUMIFS($M$6:$M$68,$I$6:$I$68,"Вышло",$D$6:$D$68,"Vk",$E$6:$E$68,"Сайт",$V$6:$V$68,"&gt;0")+SUMIFS($M$6:$M$68,$I$6:$I$68,"Вышло",$D$6:$D$68,"Vk",$E$6:$E$68,"сайт",$V$6:$V$68,"&gt;0")+SUMIFS($M$6:$M$68,$I$6:$I$68,"Вышло",$D$6:$D$68,"ВК",$E$6:$E$68,"Сайт",$V$6:$V$68,"&gt;0")+SUMIFS($M$6:$M$68,$I$6:$I$68,"Вышло",$D$6:$D$68,"ВК",$E$6:$E$68,"сайт",$V$6:$V$68,"&gt;0")+SUMIFS($M$6:$M$68,$I$6:$I$68,"Вышло",$D$6:$D$68,"VK",$E$6:$E$68,"Сайт",$V$6:$V$68,"&lt;=0",$P$6:$P$68,"&lt;&gt;")+SUMIFS($M$6:$M$68,$I$6:$I$68,"Вышло",$D$6:$D$68,"VK",$E$6:$E$68,"сайт",$V$6:$V$68,"&lt;=0",$P$6:$P$68,"&lt;&gt;")+SUMIFS($M$6:$M$68,$I$6:$I$68,"Вышло",$D$6:$D$68,"Vk",$E$6:$E$68,"Сайт",$V$6:$V$68,"&lt;=0",$P$6:$P$68,"&lt;&gt;")+SUMIFS($M$6:$M$68,$I$6:$I$68,"Вышло",$D$6:$D$68,"Vk",$E$6:$E$68,"сайт",$V$6:$V$68,"&lt;=0",$P$6:$P$68,"&lt;&gt;")+SUMIFS($M$6:$M$68,$I$6:$I$68,"Вышло",$D$6:$D$68,"ВК",$E$6:$E$68,"Сайт",$V$6:$V$68,"&lt;=0",$P$6:$P$68,"&lt;&gt;")+SUMIFS($M$6:$M$68,$I$6:$I$68,"Вышло",$D$6:$D$68,"ВК",$E$6:$E$68,"сайт",$V$6:$V$68,"&lt;=0",$P$6:$P$68,"&lt;&gt;")+SUMIFS($M$6:$M$68,$I$6:$I$68,"Вышло",$D$6:$D$68,"VK",$E$6:$E$68,"Ozon",$V$6:$V$68,"&gt;0")+SUMIFS($M$6:$M$68,$I$6:$I$68,"Вышло",$D$6:$D$68,"VK",$E$6:$E$68,"OZON",$V$6:$V$68,"&gt;0")+SUMIFS($M$6:$M$68,$I$6:$I$68,"Вышло",$D$6:$D$68,"VK",$E$6:$E$68,"Озон",$V$6:$V$68,"&gt;0")+SUMIFS($M$6:$M$68,$I$6:$I$68,"Вышло",$D$6:$D$68,"VK",$E$6:$E$68,"озон",$V$6:$V$68,"&gt;0")+SUMIFS($M$6:$M$68,$I$6:$I$68,"Вышло",$D$6:$D$68,"Vk",$E$6:$E$68,"Ozon",$V$6:$V$68,"&gt;0")+SUMIFS($M$6:$M$68,$I$6:$I$68,"Вышло",$D$6:$D$68,"Vk",$E$6:$E$68,"OZON",$V$6:$V$68,"&gt;0")+SUMIFS($M$6:$M$68,$I$6:$I$68,"Вышло",$D$6:$D$68,"Vk",$E$6:$E$68,"Озон",$V$6:$V$68,"&gt;0")+SUMIFS($M$6:$M$68,$I$6:$I$68,"Вышло",$D$6:$D$68,"Vk",$E$6:$E$68,"озон",$V$6:$V$68,"&gt;0")+SUMIFS($M$6:$M$68,$I$6:$I$68,"Вышло",$D$6:$D$68,"ВК",$E$6:$E$68,"Ozon",$V$6:$V$68,"&gt;0")+SUMIFS($M$6:$M$68,$I$6:$I$68,"Вышло",$D$6:$D$68,"ВК",$E$6:$E$68,"OZON",$V$6:$V$68,"&gt;0")+SUMIFS($M$6:$M$68,$I$6:$I$68,"Вышло",$D$6:$D$68,"ВК",$E$6:$E$68,"Озон",$V$6:$V$68,"&gt;0")+SUMIFS($M$6:$M$68,$I$6:$I$68,"Вышло",$D$6:$D$68,"ВК",$E$6:$E$68,"озон",$V$6:$V$68,"&gt;0")+SUMIFS($M$6:$M$68,$I$6:$I$68,"Вышло",$D$6:$D$68,"VK",$E$6:$E$68,"Ozon",$V$6:$V$68,"&lt;=0",$P$6:$P$68,"&lt;&gt;")+SUMIFS($M$6:$M$68,$I$6:$I$68,"Вышло",$D$6:$D$68,"VK",$E$6:$E$68,"OZON",$V$6:$V$68,"&lt;=0",$P$6:$P$68,"&lt;&gt;")+SUMIFS($M$6:$M$68,$I$6:$I$68,"Вышло",$D$6:$D$68,"VK",$E$6:$E$68,"Озон",$V$6:$V$68,"&lt;=0",$P$6:$P$68,"&lt;&gt;")+SUMIFS($M$6:$M$68,$I$6:$I$68,"Вышло",$D$6:$D$68,"VK",$E$6:$E$68,"озон",$V$6:$V$68,"&lt;=0",$P$6:$P$68,"&lt;&gt;")+SUMIFS($M$6:$M$68,$I$6:$I$68,"Вышло",$D$6:$D$68,"Vk",$E$6:$E$68,"Ozon",$V$6:$V$68,"&lt;=0",$P$6:$P$68,"&lt;&gt;")+SUMIFS($M$6:$M$68,$I$6:$I$68,"Вышло",$D$6:$D$68,"Vk",$E$6:$E$68,"OZON",$V$6:$V$68,"&lt;=0",$P$6:$P$68,"&lt;&gt;")+SUMIFS($M$6:$M$68,$I$6:$I$68,"Вышло",$D$6:$D$68,"Vk",$E$6:$E$68,"Озон",$V$6:$V$68,"&lt;=0",$P$6:$P$68,"&lt;&gt;")+SUMIFS($M$6:$M$68,$I$6:$I$68,"Вышло",$D$6:$D$68,"Vk",$E$6:$E$68,"озон",$V$6:$V$68,"&lt;=0",$P$6:$P$68,"&lt;&gt;")+SUMIFS($M$6:$M$68,$I$6:$I$68,"Вышло",$D$6:$D$68,"ВК",$E$6:$E$68,"Ozon",$V$6:$V$68,"&lt;=0",$P$6:$P$68,"&lt;&gt;")+SUMIFS($M$6:$M$68,$I$6:$I$68,"Вышло",$D$6:$D$68,"ВК",$E$6:$E$68,"OZON",$V$6:$V$68,"&lt;=0",$P$6:$P$68,"&lt;&gt;")+SUMIFS($M$6:$M$68,$I$6:$I$68,"Вышло",$D$6:$D$68,"ВК",$E$6:$E$68,"Озон",$V$6:$V$68,"&lt;=0",$P$6:$P$68,"&lt;&gt;")+SUMIFS($M$6:$M$68,$I$6:$I$68,"Вышло",$D$6:$D$68,"ВК",$E$6:$E$68,"озон",$V$6:$V$68,"&lt;=0",$P$6:$P$68,"&lt;&gt;"))/(SUMIFS($V$6:$V$68,$I$6:$I$68,"Вышло",$D$6:$D$68,"VK",$E$6:$E$68,"Сайт")+SUMIFS($V$6:$V$68,$I$6:$I$68,"Вышло",$D$6:$D$68,"VK",$E$6:$E$68,"сайт")+SUMIFS($V$6:$V$68,$I$6:$I$68,"Вышло",$D$6:$D$68,"Vk",$E$6:$E$68,"Сайт")+SUMIFS($V$6:$V$68,$I$6:$I$68,"Вышло",$D$6:$D$68,"Vk",$E$6:$E$68,"сайт")+SUMIFS($V$6:$V$68,$I$6:$I$68,"Вышло",$D$6:$D$68,"ВК",$E$6:$E$68,"Сайт")+SUMIFS($V$6:$V$68,$I$6:$I$68,"Вышло",$D$6:$D$68,"ВК",$E$6:$E$68,"сайт")+SUMIFS($V$6:$V$68,$I$6:$I$68,"Вышло",$D$6:$D$68,"VK",$E$6:$E$68,"Ozon")+SUMIFS($V$6:$V$68,$I$6:$I$68,"Вышло",$D$6:$D$68,"VK",$E$6:$E$68,"OZON")+SUMIFS($V$6:$V$68,$I$6:$I$68,"Вышло",$D$6:$D$68,"VK",$E$6:$E$68,"Озон")+SUMIFS($V$6:$V$68,$I$6:$I$68,"Вышло",$D$6:$D$68,"VK",$E$6:$E$68,"озон")+SUMIFS($V$6:$V$68,$I$6:$I$68,"Вышло",$D$6:$D$68,"Vk",$E$6:$E$68,"Ozon")+SUMIFS($V$6:$V$68,$I$6:$I$68,"Вышло",$D$6:$D$68,"Vk",$E$6:$E$68,"OZON")+SUMIFS($V$6:$V$68,$I$6:$I$68,"Вышло",$D$6:$D$68,"Vk",$E$6:$E$68,"Озон")+SUMIFS($V$6:$V$68,$I$6:$I$68,"Вышло",$D$6:$D$68,"Vk",$E$6:$E$68,"озон")+SUMIFS($V$6:$V$68,$I$6:$I$68,"Вышло",$D$6:$D$68,"ВК",$E$6:$E$68,"Ozon")+SUMIFS($V$6:$V$68,$I$6:$I$68,"Вышло",$D$6:$D$68,"ВК",$E$6:$E$68,"OZON")+SUMIFS($V$6:$V$68,$I$6:$I$68,"Вышло",$D$6:$D$68,"ВК",$E$6:$E$68,"Озон")+SUMIFS($V$6:$V$68,$I$6:$I$68,"Вышло",$D$6:$D$68,"ВК",$E$6:$E$68,"озон")),0))</f>
        <v>—</v>
      </c>
      <c r="M74" s="140" t="str">
        <f>IF((SUMIFS($W$6:$W$68,$I$6:$I$68,"Вышло",$D$6:$D$68,"VK",$E$6:$E$68,"WB")+SUMIFS($W$6:$W$68,$I$6:$I$68,"Вышло",$D$6:$D$68,"VK",$E$6:$E$68,"ВБ")+SUMIFS($W$6:$W$68,$I$6:$I$68,"Вышло",$D$6:$D$68,"Vk",$E$6:$E$68,"WB")+SUMIFS($W$6:$W$68,$I$6:$I$68,"Вышло",$D$6:$D$68,"Vk",$E$6:$E$68,"ВБ")+SUMIFS($W$6:$W$68,$I$6:$I$68,"Вышло",$D$6:$D$68,"ВК",$E$6:$E$68,"WB")+SUMIFS($W$6:$W$68,$I$6:$I$68,"Вышло",$D$6:$D$68,"ВК",$E$6:$E$68,"ВБ"))=0,"—",ROUND((SUMIFS($M$6:$M$68,$I$6:$I$68,"Вышло",$D$6:$D$68,"VK",$E$6:$E$68,"WB")+SUMIFS($M$6:$M$68,$I$6:$I$68,"Вышло",$D$6:$D$68,"VK",$E$6:$E$68,"ВБ")+SUMIFS($M$6:$M$68,$I$6:$I$68,"Вышло",$D$6:$D$68,"Vk",$E$6:$E$68,"WB")+SUMIFS($M$6:$M$68,$I$6:$I$68,"Вышло",$D$6:$D$68,"Vk",$E$6:$E$68,"ВБ")+SUMIFS($M$6:$M$68,$I$6:$I$68,"Вышло",$D$6:$D$68,"ВК",$E$6:$E$68,"WB")+SUMIFS($M$6:$M$68,$I$6:$I$68,"Вышло",$D$6:$D$68,"ВК",$E$6:$E$68,"ВБ")-(SUMIFS($M$6:$M$68,$I$6:$I$68,"Вышло",$D$6:$D$68,"VK",$E$6:$E$68,"WB",$W$6:$W$68,"&lt;=0",$V$6:$V$68,"&gt;0")+SUMIFS($M$6:$M$68,$I$6:$I$68,"Вышло",$D$6:$D$68,"VK",$E$6:$E$68,"ВБ",$W$6:$W$68,"&lt;=0",$V$6:$V$68,"&gt;0")+SUMIFS($M$6:$M$68,$I$6:$I$68,"Вышло",$D$6:$D$68,"Vk",$E$6:$E$68,"WB",$W$6:$W$68,"&lt;=0",$V$6:$V$68,"&gt;0")+SUMIFS($M$6:$M$68,$I$6:$I$68,"Вышло",$D$6:$D$68,"Vk",$E$6:$E$68,"ВБ",$W$6:$W$68,"&lt;=0",$V$6:$V$68,"&gt;0")+SUMIFS($M$6:$M$68,$I$6:$I$68,"Вышло",$D$6:$D$68,"ВК",$E$6:$E$68,"WB",$W$6:$W$68,"&lt;=0",$V$6:$V$68,"&gt;0")+SUMIFS($M$6:$M$68,$I$6:$I$68,"Вышло",$D$6:$D$68,"ВК",$E$6:$E$68,"ВБ",$W$6:$W$68,"&lt;=0",$V$6:$V$68,"&gt;0")))/(SUMIFS($W$6:$W$68,$I$6:$I$68,"Вышло",$D$6:$D$68,"VK",$E$6:$E$68,"WB")+SUMIFS($W$6:$W$68,$I$6:$I$68,"Вышло",$D$6:$D$68,"VK",$E$6:$E$68,"ВБ")+SUMIFS($W$6:$W$68,$I$6:$I$68,"Вышло",$D$6:$D$68,"Vk",$E$6:$E$68,"WB")+SUMIFS($W$6:$W$68,$I$6:$I$68,"Вышло",$D$6:$D$68,"Vk",$E$6:$E$68,"ВБ")+SUMIFS($W$6:$W$68,$I$6:$I$68,"Вышло",$D$6:$D$68,"ВК",$E$6:$E$68,"WB")+SUMIFS($W$6:$W$68,$I$6:$I$68,"Вышло",$D$6:$D$68,"ВК",$E$6:$E$68,"ВБ")),0))</f>
        <v>—</v>
      </c>
      <c r="N74" s="140" t="str">
        <f t="shared" si="57"/>
        <v>—</v>
      </c>
      <c r="O74" s="140" t="str">
        <f>IF((SUMIFS($Z$6:$Z$68,$I$6:$I$68,"Вышло",$D$6:$D$68,"VK")+SUMIFS($Z$6:$Z$68,$I$6:$I$68,"Вышло",$D$6:$D$68,"Vk")+SUMIFS($Z$6:$Z$68,$I$6:$I$68,"Вышло",$D$6:$D$68,"ВК"))=0,"—",ROUND((SUMIFS($M$6:$M$68,$I$6:$I$68,"Вышло",$D$6:$D$68,"VK")+SUMIFS($M$6:$M$68,$I$6:$I$68,"Вышло",$D$6:$D$68,"Vk")+SUMIFS($M$6:$M$68,$I$6:$I$68,"Вышло",$D$6:$D$68,"ВК"))/(SUMIFS($Z$6:$Z$68,$I$6:$I$68,"Вышло",$D$6:$D$68,"VK")+SUMIFS($Z$6:$Z$68,$I$6:$I$68,"Вышло",$D$6:$D$68,"Vk")+SUMIFS($Z$6:$Z$68,$I$6:$I$68,"Вышло",$D$6:$D$68,"ВК")),0))</f>
        <v>—</v>
      </c>
      <c r="P74" s="3"/>
      <c r="Q74" s="3"/>
      <c r="R74" s="3"/>
      <c r="S74" s="3"/>
      <c r="T74" s="3"/>
      <c r="U74" s="155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ht="15.75" customHeight="1">
      <c r="A75" s="139" t="s">
        <v>24</v>
      </c>
      <c r="B75" s="140">
        <f>SUMIFS($M$6:$M$68,$D$6:$D$68,"YouTube")+SUMIFS($M$6:$M$68,$D$6:$D$68,"Youtube")</f>
        <v>0</v>
      </c>
      <c r="C75" s="140">
        <f>SUMIFS($M$6:$M$68,$I$6:$I$68,"Вышло",$D$6:$D$68,"YouTube")+SUMIFS($M$6:$M$68,$I$6:$I$68,"Вышло",$D$6:$D$68,"Youtube")</f>
        <v>0</v>
      </c>
      <c r="D75" s="141">
        <f>COUNTIFS($I$6:$I$68,"Вышло",$D$6:$D$68,"YouTube")</f>
        <v>0</v>
      </c>
      <c r="E75" s="141">
        <f>SUMIFS($T$6:$T$68,$I$6:$I$68,"Вышло",$D$6:$D$68,"YouTube")+SUMIFS($T$6:$T$68,$I$6:$I$68,"Вышло",$D$6:$D$68,"Youtube")</f>
        <v>0</v>
      </c>
      <c r="F75" s="141">
        <f>SUMIFS($V$6:$V$68,$I$6:$I$68,"Вышло",$D$6:$D$68,"YouTube")+SUMIFS($V$6:$V$68,$I$6:$I$68,"Вышло",$D$6:$D$68,"Youtube")</f>
        <v>0</v>
      </c>
      <c r="G75" s="141">
        <f>SUMIFS($W$6:$W$68,$I$6:$I$68,"Вышло",$D$6:$D$68,"YouTube")+SUMIFS($W$6:$W$68,$I$6:$I$68,"Вышло",$D$6:$D$68,"Youtube")</f>
        <v>0</v>
      </c>
      <c r="H75" s="141">
        <f t="shared" si="56"/>
        <v>0</v>
      </c>
      <c r="I75" s="141">
        <f>SUMIFS($Y$6:$Y$68,$I$6:$I$68,"Вышло",$D$6:$D$68,"YouTube")+SUMIFS($Y$6:$Y$68,$I$6:$I$68,"Вышло",$D$6:$D$68,"Youtube")</f>
        <v>0</v>
      </c>
      <c r="J75" s="141">
        <f>SUMIFS($Z$6:$Z$68,$I$6:$I$68,"Вышло",$D$6:$D$68,"YouTube")+SUMIFS($Z$6:$Z$68,$I$6:$I$68,"Вышло",$D$6:$D$68,"Youtube")</f>
        <v>0</v>
      </c>
      <c r="K75" s="140">
        <f>SUMIFS($AA$6:$AA$68,$I$6:$I$68,"Вышло",$D$6:$D$68,"YouTube")+SUMIFS($AA$6:$AA$68,$I$6:$I$68,"Вышло",$D$6:$D$68,"Youtube")</f>
        <v>0</v>
      </c>
      <c r="L75" s="140" t="str">
        <f>IF((SUMIFS($V$6:$V$68,$I$6:$I$68,"Вышло",$D$6:$D$68,"YouTube",$E$6:$E$68,"Сайт")+SUMIFS($V$6:$V$68,$I$6:$I$68,"Вышло",$D$6:$D$68,"YouTube",$E$6:$E$68,"сайт")+SUMIFS($V$6:$V$68,$I$6:$I$68,"Вышло",$D$6:$D$68,"Youtube",$E$6:$E$68,"Сайт")+SUMIFS($V$6:$V$68,$I$6:$I$68,"Вышло",$D$6:$D$68,"Youtube",$E$6:$E$68,"сайт")+SUMIFS($V$6:$V$68,$I$6:$I$68,"Вышло",$D$6:$D$68,"YouTube",$E$6:$E$68,"Ozon")+SUMIFS($V$6:$V$68,$I$6:$I$68,"Вышло",$D$6:$D$68,"YouTube",$E$6:$E$68,"OZON")+SUMIFS($V$6:$V$68,$I$6:$I$68,"Вышло",$D$6:$D$68,"YouTube",$E$6:$E$68,"Озон")+SUMIFS($V$6:$V$68,$I$6:$I$68,"Вышло",$D$6:$D$68,"YouTube",$E$6:$E$68,"озон")+SUMIFS($V$6:$V$68,$I$6:$I$68,"Вышло",$D$6:$D$68,"Youtube",$E$6:$E$68,"Ozon")+SUMIFS($V$6:$V$68,$I$6:$I$68,"Вышло",$D$6:$D$68,"Youtube",$E$6:$E$68,"OZON")+SUMIFS($V$6:$V$68,$I$6:$I$68,"Вышло",$D$6:$D$68,"Youtube",$E$6:$E$68,"Озон")+SUMIFS($V$6:$V$68,$I$6:$I$68,"Вышло",$D$6:$D$68,"Youtube",$E$6:$E$68,"озон"))=0,"—",ROUND((SUMIFS($M$6:$M$68,$I$6:$I$68,"Вышло",$D$6:$D$68,"YouTube",$E$6:$E$68,"Сайт",$V$6:$V$68,"&gt;0")+SUMIFS($M$6:$M$68,$I$6:$I$68,"Вышло",$D$6:$D$68,"YouTube",$E$6:$E$68,"сайт",$V$6:$V$68,"&gt;0")+SUMIFS($M$6:$M$68,$I$6:$I$68,"Вышло",$D$6:$D$68,"Youtube",$E$6:$E$68,"Сайт",$V$6:$V$68,"&gt;0")+SUMIFS($M$6:$M$68,$I$6:$I$68,"Вышло",$D$6:$D$68,"Youtube",$E$6:$E$68,"сайт",$V$6:$V$68,"&gt;0")+SUMIFS($M$6:$M$68,$I$6:$I$68,"Вышло",$D$6:$D$68,"YouTube",$E$6:$E$68,"Сайт",$V$6:$V$68,"&lt;=0",$P$6:$P$68,"&lt;&gt;")+SUMIFS($M$6:$M$68,$I$6:$I$68,"Вышло",$D$6:$D$68,"YouTube",$E$6:$E$68,"сайт",$V$6:$V$68,"&lt;=0",$P$6:$P$68,"&lt;&gt;")+SUMIFS($M$6:$M$68,$I$6:$I$68,"Вышло",$D$6:$D$68,"Youtube",$E$6:$E$68,"Сайт",$V$6:$V$68,"&lt;=0",$P$6:$P$68,"&lt;&gt;")+SUMIFS($M$6:$M$68,$I$6:$I$68,"Вышло",$D$6:$D$68,"Youtube",$E$6:$E$68,"сайт",$V$6:$V$68,"&lt;=0",$P$6:$P$68,"&lt;&gt;")+SUMIFS($M$6:$M$68,$I$6:$I$68,"Вышло",$D$6:$D$68,"YouTube",$E$6:$E$68,"Ozon",$V$6:$V$68,"&gt;0")+SUMIFS($M$6:$M$68,$I$6:$I$68,"Вышло",$D$6:$D$68,"YouTube",$E$6:$E$68,"OZON",$V$6:$V$68,"&gt;0")+SUMIFS($M$6:$M$68,$I$6:$I$68,"Вышло",$D$6:$D$68,"YouTube",$E$6:$E$68,"Озон",$V$6:$V$68,"&gt;0")+SUMIFS($M$6:$M$68,$I$6:$I$68,"Вышло",$D$6:$D$68,"YouTube",$E$6:$E$68,"озон",$V$6:$V$68,"&gt;0")+SUMIFS($M$6:$M$68,$I$6:$I$68,"Вышло",$D$6:$D$68,"Youtube",$E$6:$E$68,"Ozon",$V$6:$V$68,"&gt;0")+SUMIFS($M$6:$M$68,$I$6:$I$68,"Вышло",$D$6:$D$68,"Youtube",$E$6:$E$68,"OZON",$V$6:$V$68,"&gt;0")+SUMIFS($M$6:$M$68,$I$6:$I$68,"Вышло",$D$6:$D$68,"Youtube",$E$6:$E$68,"Озон",$V$6:$V$68,"&gt;0")+SUMIFS($M$6:$M$68,$I$6:$I$68,"Вышло",$D$6:$D$68,"Youtube",$E$6:$E$68,"озон",$V$6:$V$68,"&gt;0")+SUMIFS($M$6:$M$68,$I$6:$I$68,"Вышло",$D$6:$D$68,"YouTube",$E$6:$E$68,"Ozon",$V$6:$V$68,"&lt;=0",$P$6:$P$68,"&lt;&gt;")+SUMIFS($M$6:$M$68,$I$6:$I$68,"Вышло",$D$6:$D$68,"YouTube",$E$6:$E$68,"OZON",$V$6:$V$68,"&lt;=0",$P$6:$P$68,"&lt;&gt;")+SUMIFS($M$6:$M$68,$I$6:$I$68,"Вышло",$D$6:$D$68,"YouTube",$E$6:$E$68,"Озон",$V$6:$V$68,"&lt;=0",$P$6:$P$68,"&lt;&gt;")+SUMIFS($M$6:$M$68,$I$6:$I$68,"Вышло",$D$6:$D$68,"YouTube",$E$6:$E$68,"озон",$V$6:$V$68,"&lt;=0",$P$6:$P$68,"&lt;&gt;")+SUMIFS($M$6:$M$68,$I$6:$I$68,"Вышло",$D$6:$D$68,"Youtube",$E$6:$E$68,"Ozon",$V$6:$V$68,"&lt;=0",$P$6:$P$68,"&lt;&gt;")+SUMIFS($M$6:$M$68,$I$6:$I$68,"Вышло",$D$6:$D$68,"Youtube",$E$6:$E$68,"OZON",$V$6:$V$68,"&lt;=0",$P$6:$P$68,"&lt;&gt;")+SUMIFS($M$6:$M$68,$I$6:$I$68,"Вышло",$D$6:$D$68,"Youtube",$E$6:$E$68,"Озон",$V$6:$V$68,"&lt;=0",$P$6:$P$68,"&lt;&gt;")+SUMIFS($M$6:$M$68,$I$6:$I$68,"Вышло",$D$6:$D$68,"Youtube",$E$6:$E$68,"озон",$V$6:$V$68,"&lt;=0",$P$6:$P$68,"&lt;&gt;"))/(SUMIFS($V$6:$V$68,$I$6:$I$68,"Вышло",$D$6:$D$68,"YouTube",$E$6:$E$68,"Сайт")+SUMIFS($V$6:$V$68,$I$6:$I$68,"Вышло",$D$6:$D$68,"YouTube",$E$6:$E$68,"сайт")+SUMIFS($V$6:$V$68,$I$6:$I$68,"Вышло",$D$6:$D$68,"Youtube",$E$6:$E$68,"Сайт")+SUMIFS($V$6:$V$68,$I$6:$I$68,"Вышло",$D$6:$D$68,"Youtube",$E$6:$E$68,"сайт")+SUMIFS($V$6:$V$68,$I$6:$I$68,"Вышло",$D$6:$D$68,"YouTube",$E$6:$E$68,"Ozon")+SUMIFS($V$6:$V$68,$I$6:$I$68,"Вышло",$D$6:$D$68,"YouTube",$E$6:$E$68,"OZON")+SUMIFS($V$6:$V$68,$I$6:$I$68,"Вышло",$D$6:$D$68,"YouTube",$E$6:$E$68,"Озон")+SUMIFS($V$6:$V$68,$I$6:$I$68,"Вышло",$D$6:$D$68,"YouTube",$E$6:$E$68,"озон")+SUMIFS($V$6:$V$68,$I$6:$I$68,"Вышло",$D$6:$D$68,"Youtube",$E$6:$E$68,"Ozon")+SUMIFS($V$6:$V$68,$I$6:$I$68,"Вышло",$D$6:$D$68,"Youtube",$E$6:$E$68,"OZON")+SUMIFS($V$6:$V$68,$I$6:$I$68,"Вышло",$D$6:$D$68,"Youtube",$E$6:$E$68,"Озон")+SUMIFS($V$6:$V$68,$I$6:$I$68,"Вышло",$D$6:$D$68,"Youtube",$E$6:$E$68,"озон")),0))</f>
        <v>—</v>
      </c>
      <c r="M75" s="140" t="str">
        <f>IF((SUMIFS($W$6:$W$68,$I$6:$I$68,"Вышло",$D$6:$D$68,"YouTube",$E$6:$E$68,"WB")+SUMIFS($W$6:$W$68,$I$6:$I$68,"Вышло",$D$6:$D$68,"YouTube",$E$6:$E$68,"ВБ")+SUMIFS($W$6:$W$68,$I$6:$I$68,"Вышло",$D$6:$D$68,"Youtube",$E$6:$E$68,"WB")+SUMIFS($W$6:$W$68,$I$6:$I$68,"Вышло",$D$6:$D$68,"Youtube",$E$6:$E$68,"ВБ"))=0,"—",ROUND((SUMIFS($M$6:$M$68,$I$6:$I$68,"Вышло",$D$6:$D$68,"YouTube",$E$6:$E$68,"WB")+SUMIFS($M$6:$M$68,$I$6:$I$68,"Вышло",$D$6:$D$68,"YouTube",$E$6:$E$68,"ВБ")+SUMIFS($M$6:$M$68,$I$6:$I$68,"Вышло",$D$6:$D$68,"Youtube",$E$6:$E$68,"WB")+SUMIFS($M$6:$M$68,$I$6:$I$68,"Вышло",$D$6:$D$68,"Youtube",$E$6:$E$68,"ВБ")-(SUMIFS($M$6:$M$68,$I$6:$I$68,"Вышло",$D$6:$D$68,"YouTube",$E$6:$E$68,"WB",$W$6:$W$68,"&lt;=0",$V$6:$V$68,"&gt;0")+SUMIFS($M$6:$M$68,$I$6:$I$68,"Вышло",$D$6:$D$68,"YouTube",$E$6:$E$68,"ВБ",$W$6:$W$68,"&lt;=0",$V$6:$V$68,"&gt;0")+SUMIFS($M$6:$M$68,$I$6:$I$68,"Вышло",$D$6:$D$68,"Youtube",$E$6:$E$68,"WB",$W$6:$W$68,"&lt;=0",$V$6:$V$68,"&gt;0")+SUMIFS($M$6:$M$68,$I$6:$I$68,"Вышло",$D$6:$D$68,"Youtube",$E$6:$E$68,"ВБ",$W$6:$W$68,"&lt;=0",$V$6:$V$68,"&gt;0")))/(SUMIFS($W$6:$W$68,$I$6:$I$68,"Вышло",$D$6:$D$68,"YouTube",$E$6:$E$68,"WB")+SUMIFS($W$6:$W$68,$I$6:$I$68,"Вышло",$D$6:$D$68,"YouTube",$E$6:$E$68,"ВБ")+SUMIFS($W$6:$W$68,$I$6:$I$68,"Вышло",$D$6:$D$68,"Youtube",$E$6:$E$68,"WB")+SUMIFS($W$6:$W$68,$I$6:$I$68,"Вышло",$D$6:$D$68,"Youtube",$E$6:$E$68,"ВБ")),0))</f>
        <v>—</v>
      </c>
      <c r="N75" s="140" t="str">
        <f t="shared" si="57"/>
        <v>—</v>
      </c>
      <c r="O75" s="140" t="str">
        <f>IF((SUMIFS($Z$6:$Z$68,$I$6:$I$68,"Вышло",$D$6:$D$68,"YouTube")+SUMIFS($Z$6:$Z$68,$I$6:$I$68,"Вышло",$D$6:$D$68,"Youtube"))=0,"—",ROUND((SUMIFS($M$6:$M$68,$I$6:$I$68,"Вышло",$D$6:$D$68,"YouTube")+SUMIFS($M$6:$M$68,$I$6:$I$68,"Вышло",$D$6:$D$68,"Youtube"))/(SUMIFS($Z$6:$Z$68,$I$6:$I$68,"Вышло",$D$6:$D$68,"YouTube")+SUMIFS($Z$6:$Z$68,$I$6:$I$68,"Вышло",$D$6:$D$68,"Youtube")),0))</f>
        <v>—</v>
      </c>
      <c r="P75" s="3"/>
      <c r="Q75" s="3"/>
      <c r="R75" s="3"/>
      <c r="S75" s="3"/>
      <c r="T75" s="3"/>
      <c r="U75" s="155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ht="15.75" customHeight="1">
      <c r="A76" s="139" t="s">
        <v>120</v>
      </c>
      <c r="B76" s="140">
        <f>SUMIFS($M$6:$M$68,$D$6:$D$68,"TikTok")+SUMIFS($M$6:$M$68,$D$6:$D$68,"Tiktok")</f>
        <v>0</v>
      </c>
      <c r="C76" s="140">
        <f>SUMIFS($M$6:$M$68,$I$6:$I$68,"Вышло",$D$6:$D$68,"TikTok")+SUMIFS($M$6:$M$68,$I$6:$I$68,"Вышло",$D$6:$D$68,"Tiktok")</f>
        <v>0</v>
      </c>
      <c r="D76" s="141">
        <f>COUNTIFS($I$6:$I$68,"Вышло",$D$6:$D$68,"TikTok")</f>
        <v>0</v>
      </c>
      <c r="E76" s="141">
        <f>SUMIFS($T$6:$T$68,$I$6:$I$68,"Вышло",$D$6:$D$68,"TikTok")+SUMIFS($T$6:$T$68,$I$6:$I$68,"Вышло",$D$6:$D$68,"Tiktok")</f>
        <v>0</v>
      </c>
      <c r="F76" s="141">
        <f>SUMIFS($V$6:$V$68,$I$6:$I$68,"Вышло",$D$6:$D$68,"TikTok")+SUMIFS($V$6:$V$68,$I$6:$I$68,"Вышло",$D$6:$D$68,"Tiktok")</f>
        <v>0</v>
      </c>
      <c r="G76" s="141">
        <f>SUMIFS($W$6:$W$68,$I$6:$I$68,"Вышло",$D$6:$D$68,"TikTok")+SUMIFS($W$6:$W$68,$I$6:$I$68,"Вышло",$D$6:$D$68,"Tiktok")</f>
        <v>0</v>
      </c>
      <c r="H76" s="141">
        <f t="shared" si="56"/>
        <v>0</v>
      </c>
      <c r="I76" s="141">
        <f>SUMIFS($Y$6:$Y$68,$I$6:$I$68,"Вышло",$D$6:$D$68,"TikTok")+SUMIFS($Y$6:$Y$68,$I$6:$I$68,"Вышло",$D$6:$D$68,"Tiktok")</f>
        <v>0</v>
      </c>
      <c r="J76" s="141">
        <f>SUMIFS($Z$6:$Z$68,$I$6:$I$68,"Вышло",$D$6:$D$68,"TikTok")+SUMIFS($Z$6:$Z$68,$I$6:$I$68,"Вышло",$D$6:$D$68,"Tiktok")</f>
        <v>0</v>
      </c>
      <c r="K76" s="140">
        <f>SUMIFS($AA$6:$AA$68,$I$6:$I$68,"Вышло",$D$6:$D$68,"TikTok")+SUMIFS($AA$6:$AA$68,$I$6:$I$68,"Вышло",$D$6:$D$68,"Tiktok")</f>
        <v>0</v>
      </c>
      <c r="L76" s="140" t="str">
        <f>IF((SUMIFS($V$6:$V$68,$I$6:$I$68,"Вышло",$D$6:$D$68,"TikTok",$E$6:$E$68,"Сайт")+SUMIFS($V$6:$V$68,$I$6:$I$68,"Вышло",$D$6:$D$68,"TikTok",$E$6:$E$68,"сайт")+SUMIFS($V$6:$V$68,$I$6:$I$68,"Вышло",$D$6:$D$68,"Tiktok",$E$6:$E$68,"Сайт")+SUMIFS($V$6:$V$68,$I$6:$I$68,"Вышло",$D$6:$D$68,"Tiktok",$E$6:$E$68,"сайт")+SUMIFS($V$6:$V$68,$I$6:$I$68,"Вышло",$D$6:$D$68,"TikTok",$E$6:$E$68,"Ozon")+SUMIFS($V$6:$V$68,$I$6:$I$68,"Вышло",$D$6:$D$68,"TikTok",$E$6:$E$68,"OZON")+SUMIFS($V$6:$V$68,$I$6:$I$68,"Вышло",$D$6:$D$68,"TikTok",$E$6:$E$68,"Озон")+SUMIFS($V$6:$V$68,$I$6:$I$68,"Вышло",$D$6:$D$68,"TikTok",$E$6:$E$68,"озон")+SUMIFS($V$6:$V$68,$I$6:$I$68,"Вышло",$D$6:$D$68,"Tiktok",$E$6:$E$68,"Ozon")+SUMIFS($V$6:$V$68,$I$6:$I$68,"Вышло",$D$6:$D$68,"Tiktok",$E$6:$E$68,"OZON")+SUMIFS($V$6:$V$68,$I$6:$I$68,"Вышло",$D$6:$D$68,"Tiktok",$E$6:$E$68,"Озон")+SUMIFS($V$6:$V$68,$I$6:$I$68,"Вышло",$D$6:$D$68,"Tiktok",$E$6:$E$68,"озон"))=0,"—",ROUND((SUMIFS($M$6:$M$68,$I$6:$I$68,"Вышло",$D$6:$D$68,"TikTok",$E$6:$E$68,"Сайт",$V$6:$V$68,"&gt;0")+SUMIFS($M$6:$M$68,$I$6:$I$68,"Вышло",$D$6:$D$68,"TikTok",$E$6:$E$68,"сайт",$V$6:$V$68,"&gt;0")+SUMIFS($M$6:$M$68,$I$6:$I$68,"Вышло",$D$6:$D$68,"Tiktok",$E$6:$E$68,"Сайт",$V$6:$V$68,"&gt;0")+SUMIFS($M$6:$M$68,$I$6:$I$68,"Вышло",$D$6:$D$68,"Tiktok",$E$6:$E$68,"сайт",$V$6:$V$68,"&gt;0")+SUMIFS($M$6:$M$68,$I$6:$I$68,"Вышло",$D$6:$D$68,"TikTok",$E$6:$E$68,"Сайт",$V$6:$V$68,"&lt;=0",$P$6:$P$68,"&lt;&gt;")+SUMIFS($M$6:$M$68,$I$6:$I$68,"Вышло",$D$6:$D$68,"TikTok",$E$6:$E$68,"сайт",$V$6:$V$68,"&lt;=0",$P$6:$P$68,"&lt;&gt;")+SUMIFS($M$6:$M$68,$I$6:$I$68,"Вышло",$D$6:$D$68,"Tiktok",$E$6:$E$68,"Сайт",$V$6:$V$68,"&lt;=0",$P$6:$P$68,"&lt;&gt;")+SUMIFS($M$6:$M$68,$I$6:$I$68,"Вышло",$D$6:$D$68,"Tiktok",$E$6:$E$68,"сайт",$V$6:$V$68,"&lt;=0",$P$6:$P$68,"&lt;&gt;")+SUMIFS($M$6:$M$68,$I$6:$I$68,"Вышло",$D$6:$D$68,"TikTok",$E$6:$E$68,"Ozon",$V$6:$V$68,"&gt;0")+SUMIFS($M$6:$M$68,$I$6:$I$68,"Вышло",$D$6:$D$68,"TikTok",$E$6:$E$68,"OZON",$V$6:$V$68,"&gt;0")+SUMIFS($M$6:$M$68,$I$6:$I$68,"Вышло",$D$6:$D$68,"TikTok",$E$6:$E$68,"Озон",$V$6:$V$68,"&gt;0")+SUMIFS($M$6:$M$68,$I$6:$I$68,"Вышло",$D$6:$D$68,"TikTok",$E$6:$E$68,"озон",$V$6:$V$68,"&gt;0")+SUMIFS($M$6:$M$68,$I$6:$I$68,"Вышло",$D$6:$D$68,"Tiktok",$E$6:$E$68,"Ozon",$V$6:$V$68,"&gt;0")+SUMIFS($M$6:$M$68,$I$6:$I$68,"Вышло",$D$6:$D$68,"Tiktok",$E$6:$E$68,"OZON",$V$6:$V$68,"&gt;0")+SUMIFS($M$6:$M$68,$I$6:$I$68,"Вышло",$D$6:$D$68,"Tiktok",$E$6:$E$68,"Озон",$V$6:$V$68,"&gt;0")+SUMIFS($M$6:$M$68,$I$6:$I$68,"Вышло",$D$6:$D$68,"Tiktok",$E$6:$E$68,"озон",$V$6:$V$68,"&gt;0")+SUMIFS($M$6:$M$68,$I$6:$I$68,"Вышло",$D$6:$D$68,"TikTok",$E$6:$E$68,"Ozon",$V$6:$V$68,"&lt;=0",$P$6:$P$68,"&lt;&gt;")+SUMIFS($M$6:$M$68,$I$6:$I$68,"Вышло",$D$6:$D$68,"TikTok",$E$6:$E$68,"OZON",$V$6:$V$68,"&lt;=0",$P$6:$P$68,"&lt;&gt;")+SUMIFS($M$6:$M$68,$I$6:$I$68,"Вышло",$D$6:$D$68,"TikTok",$E$6:$E$68,"Озон",$V$6:$V$68,"&lt;=0",$P$6:$P$68,"&lt;&gt;")+SUMIFS($M$6:$M$68,$I$6:$I$68,"Вышло",$D$6:$D$68,"TikTok",$E$6:$E$68,"озон",$V$6:$V$68,"&lt;=0",$P$6:$P$68,"&lt;&gt;")+SUMIFS($M$6:$M$68,$I$6:$I$68,"Вышло",$D$6:$D$68,"Tiktok",$E$6:$E$68,"Ozon",$V$6:$V$68,"&lt;=0",$P$6:$P$68,"&lt;&gt;")+SUMIFS($M$6:$M$68,$I$6:$I$68,"Вышло",$D$6:$D$68,"Tiktok",$E$6:$E$68,"OZON",$V$6:$V$68,"&lt;=0",$P$6:$P$68,"&lt;&gt;")+SUMIFS($M$6:$M$68,$I$6:$I$68,"Вышло",$D$6:$D$68,"Tiktok",$E$6:$E$68,"Озон",$V$6:$V$68,"&lt;=0",$P$6:$P$68,"&lt;&gt;")+SUMIFS($M$6:$M$68,$I$6:$I$68,"Вышло",$D$6:$D$68,"Tiktok",$E$6:$E$68,"озон",$V$6:$V$68,"&lt;=0",$P$6:$P$68,"&lt;&gt;"))/(SUMIFS($V$6:$V$68,$I$6:$I$68,"Вышло",$D$6:$D$68,"TikTok",$E$6:$E$68,"Сайт")+SUMIFS($V$6:$V$68,$I$6:$I$68,"Вышло",$D$6:$D$68,"TikTok",$E$6:$E$68,"сайт")+SUMIFS($V$6:$V$68,$I$6:$I$68,"Вышло",$D$6:$D$68,"Tiktok",$E$6:$E$68,"Сайт")+SUMIFS($V$6:$V$68,$I$6:$I$68,"Вышло",$D$6:$D$68,"Tiktok",$E$6:$E$68,"сайт")+SUMIFS($V$6:$V$68,$I$6:$I$68,"Вышло",$D$6:$D$68,"TikTok",$E$6:$E$68,"Ozon")+SUMIFS($V$6:$V$68,$I$6:$I$68,"Вышло",$D$6:$D$68,"TikTok",$E$6:$E$68,"OZON")+SUMIFS($V$6:$V$68,$I$6:$I$68,"Вышло",$D$6:$D$68,"TikTok",$E$6:$E$68,"Озон")+SUMIFS($V$6:$V$68,$I$6:$I$68,"Вышло",$D$6:$D$68,"TikTok",$E$6:$E$68,"озон")+SUMIFS($V$6:$V$68,$I$6:$I$68,"Вышло",$D$6:$D$68,"Tiktok",$E$6:$E$68,"Ozon")+SUMIFS($V$6:$V$68,$I$6:$I$68,"Вышло",$D$6:$D$68,"Tiktok",$E$6:$E$68,"OZON")+SUMIFS($V$6:$V$68,$I$6:$I$68,"Вышло",$D$6:$D$68,"Tiktok",$E$6:$E$68,"Озон")+SUMIFS($V$6:$V$68,$I$6:$I$68,"Вышло",$D$6:$D$68,"Tiktok",$E$6:$E$68,"озон")),0))</f>
        <v>—</v>
      </c>
      <c r="M76" s="140" t="str">
        <f>IF((SUMIFS($W$6:$W$68,$I$6:$I$68,"Вышло",$D$6:$D$68,"TikTok",$E$6:$E$68,"WB")+SUMIFS($W$6:$W$68,$I$6:$I$68,"Вышло",$D$6:$D$68,"TikTok",$E$6:$E$68,"ВБ")+SUMIFS($W$6:$W$68,$I$6:$I$68,"Вышло",$D$6:$D$68,"Tiktok",$E$6:$E$68,"WB")+SUMIFS($W$6:$W$68,$I$6:$I$68,"Вышло",$D$6:$D$68,"Tiktok",$E$6:$E$68,"ВБ"))=0,"—",ROUND((SUMIFS($M$6:$M$68,$I$6:$I$68,"Вышло",$D$6:$D$68,"TikTok",$E$6:$E$68,"WB")+SUMIFS($M$6:$M$68,$I$6:$I$68,"Вышло",$D$6:$D$68,"TikTok",$E$6:$E$68,"ВБ")+SUMIFS($M$6:$M$68,$I$6:$I$68,"Вышло",$D$6:$D$68,"Tiktok",$E$6:$E$68,"WB")+SUMIFS($M$6:$M$68,$I$6:$I$68,"Вышло",$D$6:$D$68,"Tiktok",$E$6:$E$68,"ВБ")-(SUMIFS($M$6:$M$68,$I$6:$I$68,"Вышло",$D$6:$D$68,"TikTok",$E$6:$E$68,"WB",$W$6:$W$68,"&lt;=0",$V$6:$V$68,"&gt;0")+SUMIFS($M$6:$M$68,$I$6:$I$68,"Вышло",$D$6:$D$68,"TikTok",$E$6:$E$68,"ВБ",$W$6:$W$68,"&lt;=0",$V$6:$V$68,"&gt;0")+SUMIFS($M$6:$M$68,$I$6:$I$68,"Вышло",$D$6:$D$68,"Tiktok",$E$6:$E$68,"WB",$W$6:$W$68,"&lt;=0",$V$6:$V$68,"&gt;0")+SUMIFS($M$6:$M$68,$I$6:$I$68,"Вышло",$D$6:$D$68,"Tiktok",$E$6:$E$68,"ВБ",$W$6:$W$68,"&lt;=0",$V$6:$V$68,"&gt;0")))/(SUMIFS($W$6:$W$68,$I$6:$I$68,"Вышло",$D$6:$D$68,"TikTok",$E$6:$E$68,"WB")+SUMIFS($W$6:$W$68,$I$6:$I$68,"Вышло",$D$6:$D$68,"TikTok",$E$6:$E$68,"ВБ")+SUMIFS($W$6:$W$68,$I$6:$I$68,"Вышло",$D$6:$D$68,"Tiktok",$E$6:$E$68,"WB")+SUMIFS($W$6:$W$68,$I$6:$I$68,"Вышло",$D$6:$D$68,"Tiktok",$E$6:$E$68,"ВБ")),0))</f>
        <v>—</v>
      </c>
      <c r="N76" s="140" t="str">
        <f t="shared" si="57"/>
        <v>—</v>
      </c>
      <c r="O76" s="140" t="str">
        <f>IF((SUMIFS($Z$6:$Z$68,$I$6:$I$68,"Вышло",$D$6:$D$68,"TikTok")+SUMIFS($Z$6:$Z$68,$I$6:$I$68,"Вышло",$D$6:$D$68,"Tiktok"))=0,"—",ROUND((SUMIFS($M$6:$M$68,$I$6:$I$68,"Вышло",$D$6:$D$68,"TikTok")+SUMIFS($M$6:$M$68,$I$6:$I$68,"Вышло",$D$6:$D$68,"Tiktok"))/(SUMIFS($Z$6:$Z$68,$I$6:$I$68,"Вышло",$D$6:$D$68,"TikTok")+SUMIFS($Z$6:$Z$68,$I$6:$I$68,"Вышло",$D$6:$D$68,"Tiktok")),0))</f>
        <v>—</v>
      </c>
      <c r="P76" s="3"/>
      <c r="Q76" s="3"/>
      <c r="R76" s="3"/>
      <c r="S76" s="3"/>
      <c r="T76" s="3"/>
      <c r="U76" s="155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ht="15.75" customHeight="1">
      <c r="A77" s="139" t="s">
        <v>297</v>
      </c>
      <c r="B77" s="140">
        <f>SUMIFS($M$6:$M$68,$D$6:$D$68,"Rutube")</f>
        <v>0</v>
      </c>
      <c r="C77" s="140">
        <f>SUMIFS($M$6:$M$68,$I$6:$I$68,"Вышло",$D$6:$D$68,"Rutube")</f>
        <v>0</v>
      </c>
      <c r="D77" s="141">
        <f>COUNTIFS($I$6:$I$68,"Вышло",$D$6:$D$68,"Rutube")</f>
        <v>0</v>
      </c>
      <c r="E77" s="141">
        <f>SUMIFS($T$6:$T$68,$I$6:$I$68,"Вышло",$D$6:$D$68,"Rutube")</f>
        <v>0</v>
      </c>
      <c r="F77" s="141">
        <f>SUMIFS($V$6:$V$68,$I$6:$I$68,"Вышло",$D$6:$D$68,"Rutube")</f>
        <v>0</v>
      </c>
      <c r="G77" s="141">
        <f>SUMIFS($W$6:$W$68,$I$6:$I$68,"Вышло",$D$6:$D$68,"Rutube")</f>
        <v>0</v>
      </c>
      <c r="H77" s="141">
        <f t="shared" si="56"/>
        <v>0</v>
      </c>
      <c r="I77" s="141">
        <f>SUMIFS($Y$6:$Y$68,$I$6:$I$68,"Вышло",$D$6:$D$68,"Rutube")</f>
        <v>0</v>
      </c>
      <c r="J77" s="141">
        <f>SUMIFS($Z$6:$Z$68,$I$6:$I$68,"Вышло",$D$6:$D$68,"Rutube")</f>
        <v>0</v>
      </c>
      <c r="K77" s="140">
        <f>SUMIFS($AA$6:$AA$68,$I$6:$I$68,"Вышло",$D$6:$D$68,"Rutube")</f>
        <v>0</v>
      </c>
      <c r="L77" s="140" t="str">
        <f>IF((SUMIFS($V$6:$V$68,$I$6:$I$68,"Вышло",$D$6:$D$68,"Rutube",$E$6:$E$68,"Сайт")+SUMIFS($V$6:$V$68,$I$6:$I$68,"Вышло",$D$6:$D$68,"Rutube",$E$6:$E$68,"сайт")+SUMIFS($V$6:$V$68,$I$6:$I$68,"Вышло",$D$6:$D$68,"Rutube",$E$6:$E$68,"Ozon")+SUMIFS($V$6:$V$68,$I$6:$I$68,"Вышло",$D$6:$D$68,"Rutube",$E$6:$E$68,"OZON")+SUMIFS($V$6:$V$68,$I$6:$I$68,"Вышло",$D$6:$D$68,"Rutube",$E$6:$E$68,"Озон")+SUMIFS($V$6:$V$68,$I$6:$I$68,"Вышло",$D$6:$D$68,"Rutube",$E$6:$E$68,"озон"))=0,"—",ROUND((SUMIFS($M$6:$M$68,$I$6:$I$68,"Вышло",$D$6:$D$68,"Rutube",$E$6:$E$68,"Сайт",$V$6:$V$68,"&gt;0")+SUMIFS($M$6:$M$68,$I$6:$I$68,"Вышло",$D$6:$D$68,"Rutube",$E$6:$E$68,"сайт",$V$6:$V$68,"&gt;0")+SUMIFS($M$6:$M$68,$I$6:$I$68,"Вышло",$D$6:$D$68,"Rutube",$E$6:$E$68,"Сайт",$V$6:$V$68,"&lt;=0",$P$6:$P$68,"&lt;&gt;")+SUMIFS($M$6:$M$68,$I$6:$I$68,"Вышло",$D$6:$D$68,"Rutube",$E$6:$E$68,"сайт",$V$6:$V$68,"&lt;=0",$P$6:$P$68,"&lt;&gt;")+SUMIFS($M$6:$M$68,$I$6:$I$68,"Вышло",$D$6:$D$68,"Rutube",$E$6:$E$68,"Ozon",$V$6:$V$68,"&gt;0")+SUMIFS($M$6:$M$68,$I$6:$I$68,"Вышло",$D$6:$D$68,"Rutube",$E$6:$E$68,"OZON",$V$6:$V$68,"&gt;0")+SUMIFS($M$6:$M$68,$I$6:$I$68,"Вышло",$D$6:$D$68,"Rutube",$E$6:$E$68,"Озон",$V$6:$V$68,"&gt;0")+SUMIFS($M$6:$M$68,$I$6:$I$68,"Вышло",$D$6:$D$68,"Rutube",$E$6:$E$68,"озон",$V$6:$V$68,"&gt;0")+SUMIFS($M$6:$M$68,$I$6:$I$68,"Вышло",$D$6:$D$68,"Rutube",$E$6:$E$68,"Ozon",$V$6:$V$68,"&lt;=0",$P$6:$P$68,"&lt;&gt;")+SUMIFS($M$6:$M$68,$I$6:$I$68,"Вышло",$D$6:$D$68,"Rutube",$E$6:$E$68,"OZON",$V$6:$V$68,"&lt;=0",$P$6:$P$68,"&lt;&gt;")+SUMIFS($M$6:$M$68,$I$6:$I$68,"Вышло",$D$6:$D$68,"Rutube",$E$6:$E$68,"Озон",$V$6:$V$68,"&lt;=0",$P$6:$P$68,"&lt;&gt;")+SUMIFS($M$6:$M$68,$I$6:$I$68,"Вышло",$D$6:$D$68,"Rutube",$E$6:$E$68,"озон",$V$6:$V$68,"&lt;=0",$P$6:$P$68,"&lt;&gt;"))/(SUMIFS($V$6:$V$68,$I$6:$I$68,"Вышло",$D$6:$D$68,"Rutube",$E$6:$E$68,"Сайт")+SUMIFS($V$6:$V$68,$I$6:$I$68,"Вышло",$D$6:$D$68,"Rutube",$E$6:$E$68,"сайт")+SUMIFS($V$6:$V$68,$I$6:$I$68,"Вышло",$D$6:$D$68,"Rutube",$E$6:$E$68,"Ozon")+SUMIFS($V$6:$V$68,$I$6:$I$68,"Вышло",$D$6:$D$68,"Rutube",$E$6:$E$68,"OZON")+SUMIFS($V$6:$V$68,$I$6:$I$68,"Вышло",$D$6:$D$68,"Rutube",$E$6:$E$68,"Озон")+SUMIFS($V$6:$V$68,$I$6:$I$68,"Вышло",$D$6:$D$68,"Rutube",$E$6:$E$68,"озон")),0))</f>
        <v>—</v>
      </c>
      <c r="M77" s="140" t="str">
        <f>IF((SUMIFS($W$6:$W$68,$I$6:$I$68,"Вышло",$D$6:$D$68,"Rutube",$E$6:$E$68,"WB")+SUMIFS($W$6:$W$68,$I$6:$I$68,"Вышло",$D$6:$D$68,"Rutube",$E$6:$E$68,"ВБ"))=0,"—",ROUND((SUMIFS($M$6:$M$68,$I$6:$I$68,"Вышло",$D$6:$D$68,"Rutube",$E$6:$E$68,"WB")+SUMIFS($M$6:$M$68,$I$6:$I$68,"Вышло",$D$6:$D$68,"Rutube",$E$6:$E$68,"ВБ")-(SUMIFS($M$6:$M$68,$I$6:$I$68,"Вышло",$D$6:$D$68,"Rutube",$E$6:$E$68,"WB",$W$6:$W$68,"&lt;=0",$V$6:$V$68,"&gt;0")+SUMIFS($M$6:$M$68,$I$6:$I$68,"Вышло",$D$6:$D$68,"Rutube",$E$6:$E$68,"ВБ",$W$6:$W$68,"&lt;=0",$V$6:$V$68,"&gt;0")))/(SUMIFS($W$6:$W$68,$I$6:$I$68,"Вышло",$D$6:$D$68,"Rutube",$E$6:$E$68,"WB")+SUMIFS($W$6:$W$68,$I$6:$I$68,"Вышло",$D$6:$D$68,"Rutube",$E$6:$E$68,"ВБ")),0))</f>
        <v>—</v>
      </c>
      <c r="N77" s="140" t="str">
        <f t="shared" si="57"/>
        <v>—</v>
      </c>
      <c r="O77" s="140" t="str">
        <f>IF((SUMIFS($Z$6:$Z$68,$I$6:$I$68,"Вышло",$D$6:$D$68,"Rutube"))=0,"—",ROUND((SUMIFS($M$6:$M$68,$I$6:$I$68,"Вышло",$D$6:$D$68,"Rutube"))/(SUMIFS($Z$6:$Z$68,$I$6:$I$68,"Вышло",$D$6:$D$68,"Rutube")),0))</f>
        <v>—</v>
      </c>
      <c r="P77" s="3"/>
      <c r="Q77" s="3"/>
      <c r="R77" s="3"/>
      <c r="S77" s="3"/>
      <c r="T77" s="3"/>
      <c r="U77" s="155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ht="15.75" customHeight="1">
      <c r="A78" s="139" t="s">
        <v>665</v>
      </c>
      <c r="B78" s="140">
        <f>SUMIFS($M$6:$M$68,$D$6:$D$68,"Instagram")+SUMIFS($M$6:$M$68,$D$6:$D$68,"Inst")</f>
        <v>0</v>
      </c>
      <c r="C78" s="140">
        <f>SUMIFS($M$6:$M$68,$I$6:$I$68,"Вышло",$D$6:$D$68,"Instagram")+SUMIFS($M$6:$M$68,$I$6:$I$68,"Вышло",$D$6:$D$68,"Inst")</f>
        <v>0</v>
      </c>
      <c r="D78" s="141">
        <f>COUNTIFS($I$6:$I$68,"Вышло",$D$6:$D$68,"Instagram")+COUNTIFS($I$6:$I$68,"Вышло",$D$6:$D$68,"Inst")</f>
        <v>0</v>
      </c>
      <c r="E78" s="141">
        <f>SUMIFS($T$6:$T$68,$I$6:$I$68,"Вышло",$D$6:$D$68,"Instagram")+SUMIFS($T$6:$T$68,$I$6:$I$68,"Вышло",$D$6:$D$68,"Inst")</f>
        <v>0</v>
      </c>
      <c r="F78" s="141">
        <f>SUMIFS($V$6:$V$68,$I$6:$I$68,"Вышло",$D$6:$D$68,"Instagram")+SUMIFS($V$6:$V$68,$I$6:$I$68,"Вышло",$D$6:$D$68,"Inst")</f>
        <v>0</v>
      </c>
      <c r="G78" s="141">
        <f>SUMIFS($W$6:$W$68,$I$6:$I$68,"Вышло",$D$6:$D$68,"Instagram")+SUMIFS($W$6:$W$68,$I$6:$I$68,"Вышло",$D$6:$D$68,"Inst")</f>
        <v>0</v>
      </c>
      <c r="H78" s="141">
        <f t="shared" si="56"/>
        <v>0</v>
      </c>
      <c r="I78" s="141">
        <f>SUMIFS($Y$6:$Y$68,$I$6:$I$68,"Вышло",$D$6:$D$68,"Instagram")+SUMIFS($Y$6:$Y$68,$I$6:$I$68,"Вышло",$D$6:$D$68,"Inst")</f>
        <v>0</v>
      </c>
      <c r="J78" s="141">
        <f>SUMIFS($Z$6:$Z$68,$I$6:$I$68,"Вышло",$D$6:$D$68,"Instagram")+SUMIFS($Z$6:$Z$68,$I$6:$I$68,"Вышло",$D$6:$D$68,"Inst")</f>
        <v>0</v>
      </c>
      <c r="K78" s="140">
        <f>SUMIFS($AA$6:$AA$68,$I$6:$I$68,"Вышло",$D$6:$D$68,"Instagram")+SUMIFS($AA$6:$AA$68,$I$6:$I$68,"Вышло",$D$6:$D$68,"Inst")</f>
        <v>0</v>
      </c>
      <c r="L78" s="140" t="str">
        <f>IF((SUMIFS($V$6:$V$68,$I$6:$I$68,"Вышло",$D$6:$D$68,"Instagram",$E$6:$E$68,"Сайт")+SUMIFS($V$6:$V$68,$I$6:$I$68,"Вышло",$D$6:$D$68,"Instagram",$E$6:$E$68,"сайт")+SUMIFS($V$6:$V$68,$I$6:$I$68,"Вышло",$D$6:$D$68,"Inst",$E$6:$E$68,"Сайт")+SUMIFS($V$6:$V$68,$I$6:$I$68,"Вышло",$D$6:$D$68,"Inst",$E$6:$E$68,"сайт")+SUMIFS($V$6:$V$68,$I$6:$I$68,"Вышло",$D$6:$D$68,"Instagram",$E$6:$E$68,"Ozon")+SUMIFS($V$6:$V$68,$I$6:$I$68,"Вышло",$D$6:$D$68,"Instagram",$E$6:$E$68,"OZON")+SUMIFS($V$6:$V$68,$I$6:$I$68,"Вышло",$D$6:$D$68,"Instagram",$E$6:$E$68,"Озон")+SUMIFS($V$6:$V$68,$I$6:$I$68,"Вышло",$D$6:$D$68,"Instagram",$E$6:$E$68,"озон")+SUMIFS($V$6:$V$68,$I$6:$I$68,"Вышло",$D$6:$D$68,"Inst",$E$6:$E$68,"Ozon")+SUMIFS($V$6:$V$68,$I$6:$I$68,"Вышло",$D$6:$D$68,"Inst",$E$6:$E$68,"OZON")+SUMIFS($V$6:$V$68,$I$6:$I$68,"Вышло",$D$6:$D$68,"Inst",$E$6:$E$68,"Озон")+SUMIFS($V$6:$V$68,$I$6:$I$68,"Вышло",$D$6:$D$68,"Inst",$E$6:$E$68,"озон"))=0,"—",ROUND((SUMIFS($M$6:$M$68,$I$6:$I$68,"Вышло",$D$6:$D$68,"Instagram",$E$6:$E$68,"Сайт",$V$6:$V$68,"&gt;0")+SUMIFS($M$6:$M$68,$I$6:$I$68,"Вышло",$D$6:$D$68,"Instagram",$E$6:$E$68,"сайт",$V$6:$V$68,"&gt;0")+SUMIFS($M$6:$M$68,$I$6:$I$68,"Вышло",$D$6:$D$68,"Inst",$E$6:$E$68,"Сайт",$V$6:$V$68,"&gt;0")+SUMIFS($M$6:$M$68,$I$6:$I$68,"Вышло",$D$6:$D$68,"Inst",$E$6:$E$68,"сайт",$V$6:$V$68,"&gt;0")+SUMIFS($M$6:$M$68,$I$6:$I$68,"Вышло",$D$6:$D$68,"Instagram",$E$6:$E$68,"Сайт",$V$6:$V$68,"&lt;=0",$P$6:$P$68,"&lt;&gt;")+SUMIFS($M$6:$M$68,$I$6:$I$68,"Вышло",$D$6:$D$68,"Instagram",$E$6:$E$68,"сайт",$V$6:$V$68,"&lt;=0",$P$6:$P$68,"&lt;&gt;")+SUMIFS($M$6:$M$68,$I$6:$I$68,"Вышло",$D$6:$D$68,"Inst",$E$6:$E$68,"Сайт",$V$6:$V$68,"&lt;=0",$P$6:$P$68,"&lt;&gt;")+SUMIFS($M$6:$M$68,$I$6:$I$68,"Вышло",$D$6:$D$68,"Inst",$E$6:$E$68,"сайт",$V$6:$V$68,"&lt;=0",$P$6:$P$68,"&lt;&gt;")+SUMIFS($M$6:$M$68,$I$6:$I$68,"Вышло",$D$6:$D$68,"Instagram",$E$6:$E$68,"Ozon",$V$6:$V$68,"&gt;0")+SUMIFS($M$6:$M$68,$I$6:$I$68,"Вышло",$D$6:$D$68,"Instagram",$E$6:$E$68,"OZON",$V$6:$V$68,"&gt;0")+SUMIFS($M$6:$M$68,$I$6:$I$68,"Вышло",$D$6:$D$68,"Instagram",$E$6:$E$68,"Озон",$V$6:$V$68,"&gt;0")+SUMIFS($M$6:$M$68,$I$6:$I$68,"Вышло",$D$6:$D$68,"Instagram",$E$6:$E$68,"озон",$V$6:$V$68,"&gt;0")+SUMIFS($M$6:$M$68,$I$6:$I$68,"Вышло",$D$6:$D$68,"Inst",$E$6:$E$68,"Ozon",$V$6:$V$68,"&gt;0")+SUMIFS($M$6:$M$68,$I$6:$I$68,"Вышло",$D$6:$D$68,"Inst",$E$6:$E$68,"OZON",$V$6:$V$68,"&gt;0")+SUMIFS($M$6:$M$68,$I$6:$I$68,"Вышло",$D$6:$D$68,"Inst",$E$6:$E$68,"Озон",$V$6:$V$68,"&gt;0")+SUMIFS($M$6:$M$68,$I$6:$I$68,"Вышло",$D$6:$D$68,"Inst",$E$6:$E$68,"озон",$V$6:$V$68,"&gt;0")+SUMIFS($M$6:$M$68,$I$6:$I$68,"Вышло",$D$6:$D$68,"Instagram",$E$6:$E$68,"Ozon",$V$6:$V$68,"&lt;=0",$P$6:$P$68,"&lt;&gt;")+SUMIFS($M$6:$M$68,$I$6:$I$68,"Вышло",$D$6:$D$68,"Instagram",$E$6:$E$68,"OZON",$V$6:$V$68,"&lt;=0",$P$6:$P$68,"&lt;&gt;")+SUMIFS($M$6:$M$68,$I$6:$I$68,"Вышло",$D$6:$D$68,"Instagram",$E$6:$E$68,"Озон",$V$6:$V$68,"&lt;=0",$P$6:$P$68,"&lt;&gt;")+SUMIFS($M$6:$M$68,$I$6:$I$68,"Вышло",$D$6:$D$68,"Instagram",$E$6:$E$68,"озон",$V$6:$V$68,"&lt;=0",$P$6:$P$68,"&lt;&gt;")+SUMIFS($M$6:$M$68,$I$6:$I$68,"Вышло",$D$6:$D$68,"Inst",$E$6:$E$68,"Ozon",$V$6:$V$68,"&lt;=0",$P$6:$P$68,"&lt;&gt;")+SUMIFS($M$6:$M$68,$I$6:$I$68,"Вышло",$D$6:$D$68,"Inst",$E$6:$E$68,"OZON",$V$6:$V$68,"&lt;=0",$P$6:$P$68,"&lt;&gt;")+SUMIFS($M$6:$M$68,$I$6:$I$68,"Вышло",$D$6:$D$68,"Inst",$E$6:$E$68,"Озон",$V$6:$V$68,"&lt;=0",$P$6:$P$68,"&lt;&gt;")+SUMIFS($M$6:$M$68,$I$6:$I$68,"Вышло",$D$6:$D$68,"Inst",$E$6:$E$68,"озон",$V$6:$V$68,"&lt;=0",$P$6:$P$68,"&lt;&gt;"))/(SUMIFS($V$6:$V$68,$I$6:$I$68,"Вышло",$D$6:$D$68,"Instagram",$E$6:$E$68,"Сайт")+SUMIFS($V$6:$V$68,$I$6:$I$68,"Вышло",$D$6:$D$68,"Instagram",$E$6:$E$68,"сайт")+SUMIFS($V$6:$V$68,$I$6:$I$68,"Вышло",$D$6:$D$68,"Inst",$E$6:$E$68,"Сайт")+SUMIFS($V$6:$V$68,$I$6:$I$68,"Вышло",$D$6:$D$68,"Inst",$E$6:$E$68,"сайт")+SUMIFS($V$6:$V$68,$I$6:$I$68,"Вышло",$D$6:$D$68,"Instagram",$E$6:$E$68,"Ozon")+SUMIFS($V$6:$V$68,$I$6:$I$68,"Вышло",$D$6:$D$68,"Instagram",$E$6:$E$68,"OZON")+SUMIFS($V$6:$V$68,$I$6:$I$68,"Вышло",$D$6:$D$68,"Instagram",$E$6:$E$68,"Озон")+SUMIFS($V$6:$V$68,$I$6:$I$68,"Вышло",$D$6:$D$68,"Instagram",$E$6:$E$68,"озон")+SUMIFS($V$6:$V$68,$I$6:$I$68,"Вышло",$D$6:$D$68,"Inst",$E$6:$E$68,"Ozon")+SUMIFS($V$6:$V$68,$I$6:$I$68,"Вышло",$D$6:$D$68,"Inst",$E$6:$E$68,"OZON")+SUMIFS($V$6:$V$68,$I$6:$I$68,"Вышло",$D$6:$D$68,"Inst",$E$6:$E$68,"Озон")+SUMIFS($V$6:$V$68,$I$6:$I$68,"Вышло",$D$6:$D$68,"Inst",$E$6:$E$68,"озон")),0))</f>
        <v>—</v>
      </c>
      <c r="M78" s="140" t="str">
        <f>IF((SUMIFS($W$6:$W$68,$I$6:$I$68,"Вышло",$D$6:$D$68,"Instagram",$E$6:$E$68,"WB")+SUMIFS($W$6:$W$68,$I$6:$I$68,"Вышло",$D$6:$D$68,"Instagram",$E$6:$E$68,"ВБ")+SUMIFS($W$6:$W$68,$I$6:$I$68,"Вышло",$D$6:$D$68,"Inst",$E$6:$E$68,"WB")+SUMIFS($W$6:$W$68,$I$6:$I$68,"Вышло",$D$6:$D$68,"Inst",$E$6:$E$68,"ВБ"))=0,"—",ROUND((SUMIFS($M$6:$M$68,$I$6:$I$68,"Вышло",$D$6:$D$68,"Instagram",$E$6:$E$68,"WB")+SUMIFS($M$6:$M$68,$I$6:$I$68,"Вышло",$D$6:$D$68,"Instagram",$E$6:$E$68,"ВБ")+SUMIFS($M$6:$M$68,$I$6:$I$68,"Вышло",$D$6:$D$68,"Inst",$E$6:$E$68,"WB")+SUMIFS($M$6:$M$68,$I$6:$I$68,"Вышло",$D$6:$D$68,"Inst",$E$6:$E$68,"ВБ")-(SUMIFS($M$6:$M$68,$I$6:$I$68,"Вышло",$D$6:$D$68,"Instagram",$E$6:$E$68,"WB",$W$6:$W$68,"&lt;=0",$V$6:$V$68,"&gt;0")+SUMIFS($M$6:$M$68,$I$6:$I$68,"Вышло",$D$6:$D$68,"Instagram",$E$6:$E$68,"ВБ",$W$6:$W$68,"&lt;=0",$V$6:$V$68,"&gt;0")+SUMIFS($M$6:$M$68,$I$6:$I$68,"Вышло",$D$6:$D$68,"Inst",$E$6:$E$68,"WB",$W$6:$W$68,"&lt;=0",$V$6:$V$68,"&gt;0")+SUMIFS($M$6:$M$68,$I$6:$I$68,"Вышло",$D$6:$D$68,"Inst",$E$6:$E$68,"ВБ",$W$6:$W$68,"&lt;=0",$V$6:$V$68,"&gt;0")))/(SUMIFS($W$6:$W$68,$I$6:$I$68,"Вышло",$D$6:$D$68,"Instagram",$E$6:$E$68,"WB")+SUMIFS($W$6:$W$68,$I$6:$I$68,"Вышло",$D$6:$D$68,"Instagram",$E$6:$E$68,"ВБ")+SUMIFS($W$6:$W$68,$I$6:$I$68,"Вышло",$D$6:$D$68,"Inst",$E$6:$E$68,"WB")+SUMIFS($W$6:$W$68,$I$6:$I$68,"Вышло",$D$6:$D$68,"Inst",$E$6:$E$68,"ВБ")),0))</f>
        <v>—</v>
      </c>
      <c r="N78" s="140" t="str">
        <f t="shared" si="57"/>
        <v>—</v>
      </c>
      <c r="O78" s="140" t="str">
        <f>IF((SUMIFS($Z$6:$Z$68,$I$6:$I$68,"Вышло",$D$6:$D$68,"Instagram")+SUMIFS($Z$6:$Z$68,$I$6:$I$68,"Вышло",$D$6:$D$68,"Inst"))=0,"—",ROUND((SUMIFS($M$6:$M$68,$I$6:$I$68,"Вышло",$D$6:$D$68,"Instagram")+SUMIFS($M$6:$M$68,$I$6:$I$68,"Вышло",$D$6:$D$68,"Inst"))/(SUMIFS($Z$6:$Z$68,$I$6:$I$68,"Вышло",$D$6:$D$68,"Instagram")+SUMIFS($Z$6:$Z$68,$I$6:$I$68,"Вышло",$D$6:$D$68,"Inst")),0))</f>
        <v>—</v>
      </c>
      <c r="P78" s="3"/>
      <c r="Q78" s="3"/>
      <c r="R78" s="3"/>
      <c r="S78" s="3"/>
      <c r="T78" s="3"/>
      <c r="U78" s="155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</row>
    <row r="79" ht="15.75" customHeight="1">
      <c r="A79" s="139" t="s">
        <v>860</v>
      </c>
      <c r="B79" s="140">
        <f>SUMIFS($M$6:$M$68,$D$6:$D$68,"WB")</f>
        <v>0</v>
      </c>
      <c r="C79" s="140">
        <f>SUMIFS($M$6:$M$68,$I$6:$I$68,"Вышло",$D$6:$D$68,"WB")</f>
        <v>0</v>
      </c>
      <c r="D79" s="141">
        <f>COUNTIFS($I$6:$I$68,"Вышло",$D$6:$D$68,"WB")</f>
        <v>0</v>
      </c>
      <c r="E79" s="141">
        <f>SUMIFS($T$6:$T$68,$I$6:$I$68,"Вышло",$D$6:$D$68,"WB")</f>
        <v>0</v>
      </c>
      <c r="F79" s="141">
        <f>SUMIFS($V$6:$V$68,$I$6:$I$68,"Вышло",$D$6:$D$68,"WB")</f>
        <v>0</v>
      </c>
      <c r="G79" s="141">
        <f>SUMIFS($W$6:$W$68,$I$6:$I$68,"Вышло",$D$6:$D$68,"WB")</f>
        <v>0</v>
      </c>
      <c r="H79" s="141">
        <f t="shared" si="56"/>
        <v>0</v>
      </c>
      <c r="I79" s="141">
        <f>SUMIFS($Y$6:$Y$68,$I$6:$I$68,"Вышло",$D$6:$D$68,"WB")</f>
        <v>0</v>
      </c>
      <c r="J79" s="141">
        <f>SUMIFS($Z$6:$Z$68,$I$6:$I$68,"Вышло",$D$6:$D$68,"WB")</f>
        <v>0</v>
      </c>
      <c r="K79" s="140">
        <f>SUMIFS($AA$6:$AA$68,$I$6:$I$68,"Вышло",$D$6:$D$68,"WB")</f>
        <v>0</v>
      </c>
      <c r="L79" s="140" t="str">
        <f>IF((SUMIFS($V$6:$V$68,$I$6:$I$68,"Вышло",$D$6:$D$68,"WB",$E$6:$E$68,"Сайт")+SUMIFS($V$6:$V$68,$I$6:$I$68,"Вышло",$D$6:$D$68,"WB",$E$6:$E$68,"сайт")+SUMIFS($V$6:$V$68,$I$6:$I$68,"Вышло",$D$6:$D$68,"WB",$E$6:$E$68,"Ozon")+SUMIFS($V$6:$V$68,$I$6:$I$68,"Вышло",$D$6:$D$68,"WB",$E$6:$E$68,"OZON")+SUMIFS($V$6:$V$68,$I$6:$I$68,"Вышло",$D$6:$D$68,"WB",$E$6:$E$68,"Озон")+SUMIFS($V$6:$V$68,$I$6:$I$68,"Вышло",$D$6:$D$68,"WB",$E$6:$E$68,"озон"))=0,"—",ROUND((SUMIFS($M$6:$M$68,$I$6:$I$68,"Вышло",$D$6:$D$68,"WB",$E$6:$E$68,"Сайт",$V$6:$V$68,"&gt;0")+SUMIFS($M$6:$M$68,$I$6:$I$68,"Вышло",$D$6:$D$68,"WB",$E$6:$E$68,"сайт",$V$6:$V$68,"&gt;0")+SUMIFS($M$6:$M$68,$I$6:$I$68,"Вышло",$D$6:$D$68,"WB",$E$6:$E$68,"Сайт",$V$6:$V$68,"&lt;=0",$P$6:$P$68,"&lt;&gt;")+SUMIFS($M$6:$M$68,$I$6:$I$68,"Вышло",$D$6:$D$68,"WB",$E$6:$E$68,"сайт",$V$6:$V$68,"&lt;=0",$P$6:$P$68,"&lt;&gt;")+SUMIFS($M$6:$M$68,$I$6:$I$68,"Вышло",$D$6:$D$68,"WB",$E$6:$E$68,"Ozon",$V$6:$V$68,"&gt;0")+SUMIFS($M$6:$M$68,$I$6:$I$68,"Вышло",$D$6:$D$68,"WB",$E$6:$E$68,"OZON",$V$6:$V$68,"&gt;0")+SUMIFS($M$6:$M$68,$I$6:$I$68,"Вышло",$D$6:$D$68,"WB",$E$6:$E$68,"Озон",$V$6:$V$68,"&gt;0")+SUMIFS($M$6:$M$68,$I$6:$I$68,"Вышло",$D$6:$D$68,"WB",$E$6:$E$68,"озон",$V$6:$V$68,"&gt;0")+SUMIFS($M$6:$M$68,$I$6:$I$68,"Вышло",$D$6:$D$68,"WB",$E$6:$E$68,"Ozon",$V$6:$V$68,"&lt;=0",$P$6:$P$68,"&lt;&gt;")+SUMIFS($M$6:$M$68,$I$6:$I$68,"Вышло",$D$6:$D$68,"WB",$E$6:$E$68,"OZON",$V$6:$V$68,"&lt;=0",$P$6:$P$68,"&lt;&gt;")+SUMIFS($M$6:$M$68,$I$6:$I$68,"Вышло",$D$6:$D$68,"WB",$E$6:$E$68,"Озон",$V$6:$V$68,"&lt;=0",$P$6:$P$68,"&lt;&gt;")+SUMIFS($M$6:$M$68,$I$6:$I$68,"Вышло",$D$6:$D$68,"WB",$E$6:$E$68,"озон",$V$6:$V$68,"&lt;=0",$P$6:$P$68,"&lt;&gt;"))/(SUMIFS($V$6:$V$68,$I$6:$I$68,"Вышло",$D$6:$D$68,"WB",$E$6:$E$68,"Сайт")+SUMIFS($V$6:$V$68,$I$6:$I$68,"Вышло",$D$6:$D$68,"WB",$E$6:$E$68,"сайт")+SUMIFS($V$6:$V$68,$I$6:$I$68,"Вышло",$D$6:$D$68,"WB",$E$6:$E$68,"Ozon")+SUMIFS($V$6:$V$68,$I$6:$I$68,"Вышло",$D$6:$D$68,"WB",$E$6:$E$68,"OZON")+SUMIFS($V$6:$V$68,$I$6:$I$68,"Вышло",$D$6:$D$68,"WB",$E$6:$E$68,"Озон")+SUMIFS($V$6:$V$68,$I$6:$I$68,"Вышло",$D$6:$D$68,"WB",$E$6:$E$68,"озон")),0))</f>
        <v>—</v>
      </c>
      <c r="M79" s="140" t="str">
        <f>IF((SUMIFS($W$6:$W$68,$I$6:$I$68,"Вышло",$D$6:$D$68,"WB",$E$6:$E$68,"WB")+SUMIFS($W$6:$W$68,$I$6:$I$68,"Вышло",$D$6:$D$68,"WB",$E$6:$E$68,"ВБ"))=0,"—",ROUND((SUMIFS($M$6:$M$68,$I$6:$I$68,"Вышло",$D$6:$D$68,"WB",$E$6:$E$68,"WB")+SUMIFS($M$6:$M$68,$I$6:$I$68,"Вышло",$D$6:$D$68,"WB",$E$6:$E$68,"ВБ")-(SUMIFS($M$6:$M$68,$I$6:$I$68,"Вышло",$D$6:$D$68,"WB",$E$6:$E$68,"WB",$W$6:$W$68,"&lt;=0",$V$6:$V$68,"&gt;0")+SUMIFS($M$6:$M$68,$I$6:$I$68,"Вышло",$D$6:$D$68,"WB",$E$6:$E$68,"ВБ",$W$6:$W$68,"&lt;=0",$V$6:$V$68,"&gt;0")))/(SUMIFS($W$6:$W$68,$I$6:$I$68,"Вышло",$D$6:$D$68,"WB",$E$6:$E$68,"WB")+SUMIFS($W$6:$W$68,$I$6:$I$68,"Вышло",$D$6:$D$68,"WB",$E$6:$E$68,"ВБ")),0))</f>
        <v>—</v>
      </c>
      <c r="N79" s="140" t="str">
        <f t="shared" si="57"/>
        <v>—</v>
      </c>
      <c r="O79" s="140" t="str">
        <f>IF((SUMIFS($Z$6:$Z$68,$I$6:$I$68,"Вышло",$D$6:$D$68,"WB"))=0,"—",ROUND((SUMIFS($M$6:$M$68,$I$6:$I$68,"Вышло",$D$6:$D$68,"WB"))/(SUMIFS($Z$6:$Z$68,$I$6:$I$68,"Вышло",$D$6:$D$68,"WB")),0))</f>
        <v>—</v>
      </c>
      <c r="P79" s="3"/>
      <c r="Q79" s="3"/>
      <c r="R79" s="3"/>
      <c r="S79" s="3"/>
      <c r="T79" s="3"/>
      <c r="U79" s="155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</row>
    <row r="80" ht="15.75" customHeight="1">
      <c r="A80" s="142" t="s">
        <v>877</v>
      </c>
      <c r="B80" s="143">
        <f t="shared" ref="B80:K80" si="58">SUM(B72:B79)</f>
        <v>0</v>
      </c>
      <c r="C80" s="143">
        <f t="shared" si="58"/>
        <v>0</v>
      </c>
      <c r="D80" s="144">
        <f t="shared" si="58"/>
        <v>0</v>
      </c>
      <c r="E80" s="144">
        <f t="shared" si="58"/>
        <v>0</v>
      </c>
      <c r="F80" s="144">
        <f t="shared" si="58"/>
        <v>0</v>
      </c>
      <c r="G80" s="144">
        <f t="shared" si="58"/>
        <v>0</v>
      </c>
      <c r="H80" s="144">
        <f t="shared" si="58"/>
        <v>0</v>
      </c>
      <c r="I80" s="144">
        <f t="shared" si="58"/>
        <v>0</v>
      </c>
      <c r="J80" s="144">
        <f t="shared" si="58"/>
        <v>0</v>
      </c>
      <c r="K80" s="143">
        <f t="shared" si="58"/>
        <v>0</v>
      </c>
      <c r="L80" s="143" t="str">
        <f>IF(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=0,"—",ROUND(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+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/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,0))</f>
        <v>—</v>
      </c>
      <c r="M80" s="143" t="str">
        <f>IF((SUMIFS($W$6:$W$68,$I$6:$I$68,"Вышло",$E$6:$E$68,"WB")+SUMIFS($W$6:$W$68,$I$6:$I$68,"Вышло",$E$6:$E$68,"ВБ"))=0,"—",ROUND((SUMIFS($M$6:$M$68,$I$6:$I$68,"Вышло",$E$6:$E$68,"WB")+SUMIFS($M$6:$M$68,$I$6:$I$68,"Вышло",$E$6:$E$68,"ВБ")-(SUMIFS($M$6:$M$68,$I$6:$I$68,"Вышло",$E$6:$E$68,"WB",$W$6:$W$68,"&lt;=0",$V$6:$V$68,"&gt;0")+SUMIFS($M$6:$M$68,$I$6:$I$68,"Вышло",$E$6:$E$68,"ВБ",$W$6:$W$68,"&lt;=0",$V$6:$V$68,"&gt;0")))/(SUMIFS($W$6:$W$68,$I$6:$I$68,"Вышло",$E$6:$E$68,"WB")+SUMIFS($W$6:$W$68,$I$6:$I$68,"Вышло",$E$6:$E$68,"ВБ")),0))</f>
        <v>—</v>
      </c>
      <c r="N80" s="143" t="str">
        <f t="shared" si="57"/>
        <v>—</v>
      </c>
      <c r="O80" s="143" t="str">
        <f>IF((SUMIFS($Z$6:$Z$68,$I$6:$I$68,"Вышло"))=0,"—",ROUND((SUMIFS($M$6:$M$68,$I$6:$I$68,"Вышло"))/(SUMIFS($Z$6:$Z$68,$I$6:$I$68,"Вышло")),0))</f>
        <v>—</v>
      </c>
      <c r="P80" s="3"/>
      <c r="Q80" s="3"/>
      <c r="R80" s="3"/>
      <c r="S80" s="3"/>
      <c r="T80" s="3"/>
      <c r="U80" s="155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</row>
    <row r="81" ht="15.75" customHeight="1">
      <c r="A81" s="145"/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3"/>
      <c r="Q81" s="3"/>
      <c r="R81" s="3"/>
      <c r="S81" s="3"/>
      <c r="T81" s="3"/>
      <c r="U81" s="155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</row>
    <row r="82" ht="15.75" customHeight="1">
      <c r="A82" s="137" t="s">
        <v>1721</v>
      </c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3"/>
      <c r="Q82" s="3"/>
      <c r="R82" s="3"/>
      <c r="S82" s="3"/>
      <c r="T82" s="3"/>
      <c r="U82" s="155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</row>
    <row r="83" ht="36.0" customHeight="1">
      <c r="A83" s="138" t="s">
        <v>726</v>
      </c>
      <c r="B83" s="138" t="s">
        <v>872</v>
      </c>
      <c r="C83" s="138" t="s">
        <v>873</v>
      </c>
      <c r="D83" s="138" t="s">
        <v>859</v>
      </c>
      <c r="E83" s="138" t="s">
        <v>729</v>
      </c>
      <c r="F83" s="138" t="s">
        <v>730</v>
      </c>
      <c r="G83" s="138" t="s">
        <v>851</v>
      </c>
      <c r="H83" s="138" t="s">
        <v>731</v>
      </c>
      <c r="I83" s="138" t="s">
        <v>853</v>
      </c>
      <c r="J83" s="138" t="s">
        <v>656</v>
      </c>
      <c r="K83" s="138" t="s">
        <v>854</v>
      </c>
      <c r="L83" s="138" t="s">
        <v>874</v>
      </c>
      <c r="M83" s="138" t="s">
        <v>875</v>
      </c>
      <c r="N83" s="138" t="s">
        <v>876</v>
      </c>
      <c r="O83" s="138" t="s">
        <v>657</v>
      </c>
      <c r="P83" s="3"/>
      <c r="Q83" s="3"/>
      <c r="R83" s="3"/>
      <c r="S83" s="3"/>
      <c r="T83" s="3"/>
      <c r="U83" s="155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</row>
    <row r="84" ht="15.75" customHeight="1">
      <c r="A84" s="139" t="s">
        <v>735</v>
      </c>
      <c r="B84" s="140">
        <f>SUMIFS($M$6:$M$68,$D$6:$D$68,"Telegram")+SUMIFS($M$6:$M$68,$D$6:$D$68,"Telegram ")+SUMIFS($M$6:$M$68,$D$6:$D$68,"Телеграм")+SUMIFS($M$6:$M$68,$D$6:$D$68,"ТГ")+SUMIFS($M$6:$M$68,$D$6:$D$68,"MAX")+SUMIFS($M$6:$M$68,$D$6:$D$68,"Макс")+SUMIFS($M$6:$M$68,$D$6:$D$68,"МАКС")+SUMIFS($M$6:$M$68,$D$6:$D$68,"VK")+SUMIFS($M$6:$M$68,$D$6:$D$68,"Vk")+SUMIFS($M$6:$M$68,$D$6:$D$68,"ВК")+SUMIFS($M$6:$M$68,$D$6:$D$68,"YouTube")+SUMIFS($M$6:$M$68,$D$6:$D$68,"Youtube")+SUMIFS($M$6:$M$68,$D$6:$D$68,"TikTok")+SUMIFS($M$6:$M$68,$D$6:$D$68,"Tiktok")+SUMIFS($M$6:$M$68,$D$6:$D$68,"Rutube")+SUMIFS($M$6:$M$68,$D$6:$D$68,"Instagram")+SUMIFS($M$6:$M$68,$D$6:$D$68,"Inst")+SUMIFS($M$6:$M$68,$D$6:$D$68,"WB")</f>
        <v>0</v>
      </c>
      <c r="C84" s="140">
        <f>SUMIFS($M$6:$M$68,$I$6:$I$68,"Вышло")</f>
        <v>0</v>
      </c>
      <c r="D84" s="141">
        <f>COUNTIFS($I$6:$I$68,"Вышло")</f>
        <v>0</v>
      </c>
      <c r="E84" s="141">
        <f>SUMIFS($T$6:$T$68,$I$6:$I$68,"Вышло")</f>
        <v>0</v>
      </c>
      <c r="F84" s="141">
        <f>SUMIFS($V$6:$V$68,$I$6:$I$68,"Вышло")</f>
        <v>0</v>
      </c>
      <c r="G84" s="141">
        <f>SUMIFS($W$6:$W$68,$I$6:$I$68,"Вышло")</f>
        <v>0</v>
      </c>
      <c r="H84" s="141">
        <f>0</f>
        <v>0</v>
      </c>
      <c r="I84" s="141">
        <f>SUMIFS($Y$6:$Y$68,$I$6:$I$68,"Вышло")</f>
        <v>0</v>
      </c>
      <c r="J84" s="141">
        <f>SUMIFS($Z$6:$Z$68,$I$6:$I$68,"Вышло")</f>
        <v>0</v>
      </c>
      <c r="K84" s="140">
        <f>SUMIFS($AA$6:$AA$68,$I$6:$I$68,"Вышло")</f>
        <v>0</v>
      </c>
      <c r="L84" s="140" t="str">
        <f>IF(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=0,"—",ROUND(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+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/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,0))</f>
        <v>—</v>
      </c>
      <c r="M84" s="140" t="str">
        <f>IF((SUMIFS($W$6:$W$68,$I$6:$I$68,"Вышло",$E$6:$E$68,"WB")+SUMIFS($W$6:$W$68,$I$6:$I$68,"Вышло",$E$6:$E$68,"ВБ"))=0,"—",ROUND((SUMIFS($M$6:$M$68,$I$6:$I$68,"Вышло",$E$6:$E$68,"WB")+SUMIFS($M$6:$M$68,$I$6:$I$68,"Вышло",$E$6:$E$68,"ВБ")-(SUMIFS($M$6:$M$68,$I$6:$I$68,"Вышло",$E$6:$E$68,"WB",$W$6:$W$68,"&lt;=0",$V$6:$V$68,"&gt;0")+SUMIFS($M$6:$M$68,$I$6:$I$68,"Вышло",$E$6:$E$68,"ВБ",$W$6:$W$68,"&lt;=0",$V$6:$V$68,"&gt;0")))/(SUMIFS($W$6:$W$68,$I$6:$I$68,"Вышло",$E$6:$E$68,"WB")+SUMIFS($W$6:$W$68,$I$6:$I$68,"Вышло",$E$6:$E$68,"ВБ")),0))</f>
        <v>—</v>
      </c>
      <c r="N84" s="140" t="str">
        <f>"—"</f>
        <v>—</v>
      </c>
      <c r="O84" s="140" t="str">
        <f>IF((SUMIFS($Z$6:$Z$68,$I$6:$I$68,"Вышло"))=0,"—",ROUND((SUMIFS($M$6:$M$68,$I$6:$I$68,"Вышло"))/(SUMIFS($Z$6:$Z$68,$I$6:$I$68,"Вышло")),0))</f>
        <v>—</v>
      </c>
      <c r="P84" s="3"/>
      <c r="Q84" s="3"/>
      <c r="R84" s="3"/>
      <c r="S84" s="3"/>
      <c r="T84" s="3"/>
      <c r="U84" s="155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</row>
    <row r="85" ht="15.75" customHeight="1">
      <c r="A85" s="139" t="s">
        <v>736</v>
      </c>
      <c r="B85" s="140">
        <f t="shared" ref="B85:K85" si="59">0</f>
        <v>0</v>
      </c>
      <c r="C85" s="140">
        <f t="shared" si="59"/>
        <v>0</v>
      </c>
      <c r="D85" s="141">
        <f t="shared" si="59"/>
        <v>0</v>
      </c>
      <c r="E85" s="141">
        <f t="shared" si="59"/>
        <v>0</v>
      </c>
      <c r="F85" s="141">
        <f t="shared" si="59"/>
        <v>0</v>
      </c>
      <c r="G85" s="141">
        <f t="shared" si="59"/>
        <v>0</v>
      </c>
      <c r="H85" s="141">
        <f t="shared" si="59"/>
        <v>0</v>
      </c>
      <c r="I85" s="141">
        <f t="shared" si="59"/>
        <v>0</v>
      </c>
      <c r="J85" s="141">
        <f t="shared" si="59"/>
        <v>0</v>
      </c>
      <c r="K85" s="140">
        <f t="shared" si="59"/>
        <v>0</v>
      </c>
      <c r="L85" s="140" t="s">
        <v>879</v>
      </c>
      <c r="M85" s="140" t="s">
        <v>879</v>
      </c>
      <c r="N85" s="140" t="s">
        <v>879</v>
      </c>
      <c r="O85" s="140" t="s">
        <v>879</v>
      </c>
      <c r="P85" s="3"/>
      <c r="Q85" s="3"/>
      <c r="R85" s="3"/>
      <c r="S85" s="3"/>
      <c r="T85" s="3"/>
      <c r="U85" s="155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ht="15.75" customHeight="1">
      <c r="A86" s="139" t="s">
        <v>737</v>
      </c>
      <c r="B86" s="140">
        <f t="shared" ref="B86:K86" si="60">0</f>
        <v>0</v>
      </c>
      <c r="C86" s="140">
        <f t="shared" si="60"/>
        <v>0</v>
      </c>
      <c r="D86" s="141">
        <f t="shared" si="60"/>
        <v>0</v>
      </c>
      <c r="E86" s="141">
        <f t="shared" si="60"/>
        <v>0</v>
      </c>
      <c r="F86" s="141">
        <f t="shared" si="60"/>
        <v>0</v>
      </c>
      <c r="G86" s="141">
        <f t="shared" si="60"/>
        <v>0</v>
      </c>
      <c r="H86" s="141">
        <f t="shared" si="60"/>
        <v>0</v>
      </c>
      <c r="I86" s="141">
        <f t="shared" si="60"/>
        <v>0</v>
      </c>
      <c r="J86" s="141">
        <f t="shared" si="60"/>
        <v>0</v>
      </c>
      <c r="K86" s="140">
        <f t="shared" si="60"/>
        <v>0</v>
      </c>
      <c r="L86" s="140" t="s">
        <v>879</v>
      </c>
      <c r="M86" s="140" t="s">
        <v>879</v>
      </c>
      <c r="N86" s="140" t="s">
        <v>879</v>
      </c>
      <c r="O86" s="140" t="s">
        <v>879</v>
      </c>
      <c r="P86" s="3"/>
      <c r="Q86" s="3"/>
      <c r="R86" s="3"/>
      <c r="S86" s="3"/>
      <c r="T86" s="3"/>
      <c r="U86" s="155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ht="15.75" customHeight="1">
      <c r="A87" s="142" t="s">
        <v>877</v>
      </c>
      <c r="B87" s="143">
        <f t="shared" ref="B87:K87" si="61">SUM(B84:B86)</f>
        <v>0</v>
      </c>
      <c r="C87" s="143">
        <f t="shared" si="61"/>
        <v>0</v>
      </c>
      <c r="D87" s="144">
        <f t="shared" si="61"/>
        <v>0</v>
      </c>
      <c r="E87" s="144">
        <f t="shared" si="61"/>
        <v>0</v>
      </c>
      <c r="F87" s="144">
        <f t="shared" si="61"/>
        <v>0</v>
      </c>
      <c r="G87" s="144">
        <f t="shared" si="61"/>
        <v>0</v>
      </c>
      <c r="H87" s="144">
        <f t="shared" si="61"/>
        <v>0</v>
      </c>
      <c r="I87" s="144">
        <f t="shared" si="61"/>
        <v>0</v>
      </c>
      <c r="J87" s="144">
        <f t="shared" si="61"/>
        <v>0</v>
      </c>
      <c r="K87" s="143">
        <f t="shared" si="61"/>
        <v>0</v>
      </c>
      <c r="L87" s="143" t="str">
        <f>IF(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=0,"—",ROUND(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+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/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,0))</f>
        <v>—</v>
      </c>
      <c r="M87" s="143" t="str">
        <f>IF((SUMIFS($W$6:$W$68,$I$6:$I$68,"Вышло",$E$6:$E$68,"WB")+SUMIFS($W$6:$W$68,$I$6:$I$68,"Вышло",$E$6:$E$68,"ВБ"))=0,"—",ROUND((SUMIFS($M$6:$M$68,$I$6:$I$68,"Вышло",$E$6:$E$68,"WB")+SUMIFS($M$6:$M$68,$I$6:$I$68,"Вышло",$E$6:$E$68,"ВБ")-(SUMIFS($M$6:$M$68,$I$6:$I$68,"Вышло",$E$6:$E$68,"WB",$W$6:$W$68,"&lt;=0",$V$6:$V$68,"&gt;0")+SUMIFS($M$6:$M$68,$I$6:$I$68,"Вышло",$E$6:$E$68,"ВБ",$W$6:$W$68,"&lt;=0",$V$6:$V$68,"&gt;0")))/(SUMIFS($W$6:$W$68,$I$6:$I$68,"Вышло",$E$6:$E$68,"WB")+SUMIFS($W$6:$W$68,$I$6:$I$68,"Вышло",$E$6:$E$68,"ВБ")),0))</f>
        <v>—</v>
      </c>
      <c r="N87" s="143" t="str">
        <f>"—"</f>
        <v>—</v>
      </c>
      <c r="O87" s="143" t="str">
        <f>IF((SUMIFS($Z$6:$Z$68,$I$6:$I$68,"Вышло"))=0,"—",ROUND((SUMIFS($M$6:$M$68,$I$6:$I$68,"Вышло"))/(SUMIFS($Z$6:$Z$68,$I$6:$I$68,"Вышло")),0))</f>
        <v>—</v>
      </c>
      <c r="P87" s="3"/>
      <c r="Q87" s="3"/>
      <c r="R87" s="3"/>
      <c r="S87" s="3"/>
      <c r="T87" s="3"/>
      <c r="U87" s="155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ht="15.75" customHeight="1">
      <c r="A88" s="145"/>
      <c r="B88" s="145"/>
      <c r="C88" s="145"/>
      <c r="D88" s="145"/>
      <c r="E88" s="145"/>
      <c r="F88" s="145"/>
      <c r="G88" s="145"/>
      <c r="H88" s="145"/>
      <c r="I88" s="145"/>
      <c r="J88" s="145"/>
      <c r="K88" s="145"/>
      <c r="L88" s="145"/>
      <c r="M88" s="145"/>
      <c r="N88" s="145"/>
      <c r="O88" s="145"/>
      <c r="P88" s="3"/>
      <c r="Q88" s="3"/>
      <c r="R88" s="3"/>
      <c r="S88" s="3"/>
      <c r="T88" s="3"/>
      <c r="U88" s="155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</row>
    <row r="89" ht="15.75" customHeight="1">
      <c r="A89" s="137" t="s">
        <v>1722</v>
      </c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3"/>
      <c r="Q89" s="3"/>
      <c r="R89" s="3"/>
      <c r="S89" s="3"/>
      <c r="T89" s="3"/>
      <c r="U89" s="155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ht="33.75" customHeight="1">
      <c r="A90" s="138" t="s">
        <v>881</v>
      </c>
      <c r="B90" s="138" t="s">
        <v>873</v>
      </c>
      <c r="C90" s="138" t="s">
        <v>882</v>
      </c>
      <c r="D90" s="138" t="s">
        <v>883</v>
      </c>
      <c r="E90" s="138" t="s">
        <v>884</v>
      </c>
      <c r="F90" s="138" t="s">
        <v>859</v>
      </c>
      <c r="G90" s="138" t="s">
        <v>729</v>
      </c>
      <c r="H90" s="138" t="s">
        <v>885</v>
      </c>
      <c r="I90" s="145"/>
      <c r="J90" s="145"/>
      <c r="K90" s="145"/>
      <c r="L90" s="145"/>
      <c r="M90" s="145"/>
      <c r="N90" s="145"/>
      <c r="O90" s="145"/>
      <c r="P90" s="3"/>
      <c r="Q90" s="3"/>
      <c r="R90" s="3"/>
      <c r="S90" s="3"/>
      <c r="T90" s="3"/>
      <c r="U90" s="155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ht="27.75" customHeight="1">
      <c r="A91" s="146" t="s">
        <v>886</v>
      </c>
      <c r="B91" s="147">
        <f>SUMIFS($M$6:$M$68,$I$6:$I$68,"Вышло",$E$6:$E$68,"БОТ")+SUMIFS($M$6:$M$68,$I$6:$I$68,"Вышло",$E$6:$E$68,"Бот")+SUMIFS($M$6:$M$68,$I$6:$I$68,"Вышло",$E$6:$E$68,"бот")</f>
        <v>0</v>
      </c>
      <c r="C91" s="146" t="s">
        <v>731</v>
      </c>
      <c r="D91" s="148">
        <f>0</f>
        <v>0</v>
      </c>
      <c r="E91" s="147" t="str">
        <f>IF((0)=0,"—",ROUND((SUMIFS($M$6:$M$68,$I$6:$I$68,"Вышло",$E$6:$E$68,"БОТ")+SUMIFS($M$6:$M$68,$I$6:$I$68,"Вышло",$E$6:$E$68,"Бот")+SUMIFS($M$6:$M$68,$I$6:$I$68,"Вышло",$E$6:$E$68,"бот"))/(0),0))</f>
        <v>—</v>
      </c>
      <c r="F91" s="148">
        <f>COUNTIFS($I$6:$I$68,"Вышло",$E$6:$E$68,"БОТ")</f>
        <v>0</v>
      </c>
      <c r="G91" s="148">
        <f>SUMIFS($T$6:$T$68,$I$6:$I$68,"Вышло",$E$6:$E$68,"БОТ")+SUMIFS($T$6:$T$68,$I$6:$I$68,"Вышло",$E$6:$E$68,"Бот")+SUMIFS($T$6:$T$68,$I$6:$I$68,"Вышло",$E$6:$E$68,"бот")</f>
        <v>0</v>
      </c>
      <c r="H91" s="146" t="s">
        <v>887</v>
      </c>
      <c r="I91" s="145"/>
      <c r="J91" s="145"/>
      <c r="K91" s="145"/>
      <c r="L91" s="145"/>
      <c r="M91" s="145"/>
      <c r="N91" s="145"/>
      <c r="O91" s="145"/>
      <c r="P91" s="3"/>
      <c r="Q91" s="3"/>
      <c r="R91" s="3"/>
      <c r="S91" s="3"/>
      <c r="T91" s="3"/>
      <c r="U91" s="155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ht="27.75" customHeight="1">
      <c r="A92" s="146" t="s">
        <v>888</v>
      </c>
      <c r="B92" s="147">
        <f>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</f>
        <v>0</v>
      </c>
      <c r="C92" s="146" t="s">
        <v>730</v>
      </c>
      <c r="D92" s="148">
        <f>SUMIFS($V$6:$V$68,$I$6:$I$68,"Вышло",$E$6:$E$68,"Сайт")+SUMIFS($V$6:$V$68,$I$6:$I$68,"Вышло",$E$6:$E$68,"сайт")</f>
        <v>0</v>
      </c>
      <c r="E92" s="147" t="str">
        <f>IF((SUMIFS($V$6:$V$68,$I$6:$I$68,"Вышло",$E$6:$E$68,"Сайт")+SUMIFS($V$6:$V$68,$I$6:$I$68,"Вышло",$E$6:$E$68,"сайт"))=0,"—",ROUND(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)/(SUMIFS($V$6:$V$68,$I$6:$I$68,"Вышло",$E$6:$E$68,"Сайт")+SUMIFS($V$6:$V$68,$I$6:$I$68,"Вышло",$E$6:$E$68,"сайт")),0))</f>
        <v>—</v>
      </c>
      <c r="F92" s="148">
        <f>COUNTIFS($I$6:$I$68,"Вышло",$E$6:$E$68,"Сайт",$V$6:$V$68,"&gt;0")+COUNTIFS($I$6:$I$68,"Вышло",$E$6:$E$68,"Сайт",$V$6:$V$68,"&lt;=0",$P$6:$P$68,"&lt;&gt;")</f>
        <v>0</v>
      </c>
      <c r="G92" s="148">
        <f>SUMIFS($T$6:$T$68,$I$6:$I$68,"Вышло",$E$6:$E$68,"Сайт")+SUMIFS($T$6:$T$68,$I$6:$I$68,"Вышло",$E$6:$E$68,"сайт")</f>
        <v>0</v>
      </c>
      <c r="H92" s="146" t="s">
        <v>889</v>
      </c>
      <c r="I92" s="145"/>
      <c r="J92" s="145"/>
      <c r="K92" s="145"/>
      <c r="L92" s="145"/>
      <c r="M92" s="145"/>
      <c r="N92" s="145"/>
      <c r="O92" s="145"/>
      <c r="P92" s="3"/>
      <c r="Q92" s="3"/>
      <c r="R92" s="3"/>
      <c r="S92" s="3"/>
      <c r="T92" s="3"/>
      <c r="U92" s="155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ht="27.75" customHeight="1">
      <c r="A93" s="146" t="s">
        <v>890</v>
      </c>
      <c r="B93" s="147">
        <f>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</f>
        <v>0</v>
      </c>
      <c r="C93" s="146" t="s">
        <v>730</v>
      </c>
      <c r="D93" s="148">
        <f>SUMIFS($V$6:$V$68,$I$6:$I$68,"Вышло",$E$6:$E$68,"Ozon")+SUMIFS($V$6:$V$68,$I$6:$I$68,"Вышло",$E$6:$E$68,"OZON")+SUMIFS($V$6:$V$68,$I$6:$I$68,"Вышло",$E$6:$E$68,"Озон")+SUMIFS($V$6:$V$68,$I$6:$I$68,"Вышло",$E$6:$E$68,"озон")</f>
        <v>0</v>
      </c>
      <c r="E93" s="147" t="str">
        <f>IF((SUMIFS($V$6:$V$68,$I$6:$I$68,"Вышло",$E$6:$E$68,"Ozon")+SUMIFS($V$6:$V$68,$I$6:$I$68,"Вышло",$E$6:$E$68,"OZON")+SUMIFS($V$6:$V$68,$I$6:$I$68,"Вышло",$E$6:$E$68,"Озон")+SUMIFS($V$6:$V$68,$I$6:$I$68,"Вышло",$E$6:$E$68,"озон"))=0,"—",ROUND((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/(SUMIFS($V$6:$V$68,$I$6:$I$68,"Вышло",$E$6:$E$68,"Ozon")+SUMIFS($V$6:$V$68,$I$6:$I$68,"Вышло",$E$6:$E$68,"OZON")+SUMIFS($V$6:$V$68,$I$6:$I$68,"Вышло",$E$6:$E$68,"Озон")+SUMIFS($V$6:$V$68,$I$6:$I$68,"Вышло",$E$6:$E$68,"озон")),0))</f>
        <v>—</v>
      </c>
      <c r="F93" s="148">
        <f>COUNTIFS($I$6:$I$68,"Вышло",$E$6:$E$68,"Ozon",$V$6:$V$68,"&gt;0")+COUNTIFS($I$6:$I$68,"Вышло",$E$6:$E$68,"Озон",$V$6:$V$68,"&gt;0")+COUNTIFS($I$6:$I$68,"Вышло",$E$6:$E$68,"Ozon",$V$6:$V$68,"&lt;=0",$P$6:$P$68,"&lt;&gt;")+COUNTIFS($I$6:$I$68,"Вышло",$E$6:$E$68,"Озон",$V$6:$V$68,"&lt;=0",$P$6:$P$68,"&lt;&gt;")</f>
        <v>0</v>
      </c>
      <c r="G93" s="148">
        <f>SUMIFS($T$6:$T$68,$I$6:$I$68,"Вышло",$E$6:$E$68,"Ozon")+SUMIFS($T$6:$T$68,$I$6:$I$68,"Вышло",$E$6:$E$68,"OZON")+SUMIFS($T$6:$T$68,$I$6:$I$68,"Вышло",$E$6:$E$68,"Озон")+SUMIFS($T$6:$T$68,$I$6:$I$68,"Вышло",$E$6:$E$68,"озон")</f>
        <v>0</v>
      </c>
      <c r="H93" s="146" t="s">
        <v>891</v>
      </c>
      <c r="I93" s="145"/>
      <c r="J93" s="145"/>
      <c r="K93" s="145"/>
      <c r="L93" s="145"/>
      <c r="M93" s="145"/>
      <c r="N93" s="145"/>
      <c r="O93" s="145"/>
      <c r="P93" s="3"/>
      <c r="Q93" s="3"/>
      <c r="R93" s="3"/>
      <c r="S93" s="3"/>
      <c r="T93" s="3"/>
      <c r="U93" s="155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ht="27.75" customHeight="1">
      <c r="A94" s="146" t="s">
        <v>892</v>
      </c>
      <c r="B94" s="147">
        <f>SUMIFS($M$6:$M$68,$I$6:$I$68,"Вышло",$E$6:$E$68,"WB")+SUMIFS($M$6:$M$68,$I$6:$I$68,"Вышло",$E$6:$E$68,"ВБ")-(SUMIFS($M$6:$M$68,$I$6:$I$68,"Вышло",$E$6:$E$68,"WB",$W$6:$W$68,"&lt;=0",$V$6:$V$68,"&gt;0")+SUMIFS($M$6:$M$68,$I$6:$I$68,"Вышло",$E$6:$E$68,"ВБ",$W$6:$W$68,"&lt;=0",$V$6:$V$68,"&gt;0"))</f>
        <v>0</v>
      </c>
      <c r="C94" s="146" t="s">
        <v>851</v>
      </c>
      <c r="D94" s="148">
        <f>SUMIFS($W$6:$W$68,$I$6:$I$68,"Вышло",$E$6:$E$68,"WB")+SUMIFS($W$6:$W$68,$I$6:$I$68,"Вышло",$E$6:$E$68,"ВБ")</f>
        <v>0</v>
      </c>
      <c r="E94" s="147" t="str">
        <f>IF((SUMIFS($W$6:$W$68,$I$6:$I$68,"Вышло",$E$6:$E$68,"WB")+SUMIFS($W$6:$W$68,$I$6:$I$68,"Вышло",$E$6:$E$68,"ВБ"))=0,"—",ROUND((SUMIFS($M$6:$M$68,$I$6:$I$68,"Вышло",$E$6:$E$68,"WB")+SUMIFS($M$6:$M$68,$I$6:$I$68,"Вышло",$E$6:$E$68,"ВБ")-(SUMIFS($M$6:$M$68,$I$6:$I$68,"Вышло",$E$6:$E$68,"WB",$W$6:$W$68,"&lt;=0",$V$6:$V$68,"&gt;0")+SUMIFS($M$6:$M$68,$I$6:$I$68,"Вышло",$E$6:$E$68,"ВБ",$W$6:$W$68,"&lt;=0",$V$6:$V$68,"&gt;0")))/(SUMIFS($W$6:$W$68,$I$6:$I$68,"Вышло",$E$6:$E$68,"WB")+SUMIFS($W$6:$W$68,$I$6:$I$68,"Вышло",$E$6:$E$68,"ВБ")),0))</f>
        <v>—</v>
      </c>
      <c r="F94" s="148">
        <f>COUNTIFS($I$6:$I$68,"Вышло",$E$6:$E$68,"WB")+COUNTIFS($I$6:$I$68,"Вышло",$E$6:$E$68,"ВБ")-(COUNTIFS($I$6:$I$68,"Вышло",$E$6:$E$68,"WB",$W$6:$W$68,"&lt;=0",$V$6:$V$68,"&gt;0")+COUNTIFS($I$6:$I$68,"Вышло",$E$6:$E$68,"ВБ",$W$6:$W$68,"&lt;=0",$V$6:$V$68,"&gt;0"))</f>
        <v>0</v>
      </c>
      <c r="G94" s="148">
        <f>SUMIFS($T$6:$T$68,$I$6:$I$68,"Вышло",$E$6:$E$68,"WB")+SUMIFS($T$6:$T$68,$I$6:$I$68,"Вышло",$E$6:$E$68,"ВБ")-(SUMIFS($T$6:$T$68,$I$6:$I$68,"Вышло",$E$6:$E$68,"WB",$W$6:$W$68,"&lt;=0",$V$6:$V$68,"&gt;0")+SUMIFS($T$6:$T$68,$I$6:$I$68,"Вышло",$E$6:$E$68,"ВБ",$W$6:$W$68,"&lt;=0",$V$6:$V$68,"&gt;0"))</f>
        <v>0</v>
      </c>
      <c r="H94" s="146" t="s">
        <v>893</v>
      </c>
      <c r="I94" s="145"/>
      <c r="J94" s="145"/>
      <c r="K94" s="145"/>
      <c r="L94" s="145"/>
      <c r="M94" s="145"/>
      <c r="N94" s="145"/>
      <c r="O94" s="145"/>
      <c r="P94" s="3"/>
      <c r="Q94" s="3"/>
      <c r="R94" s="3"/>
      <c r="S94" s="3"/>
      <c r="T94" s="3"/>
      <c r="U94" s="155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ht="27.75" customHeight="1">
      <c r="A95" s="146" t="s">
        <v>894</v>
      </c>
      <c r="B95" s="147">
        <f>SUMIFS($M$6:$M$68,$I$6:$I$68,"Вышло",$E$6:$E$68,"Сайт")+SUMIFS($M$6:$M$68,$I$6:$I$68,"Вышло",$E$6:$E$68,"сайт")-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)-(SUMIFS($M$6:$M$68,$I$6:$I$68,"Вышло",$E$6:$E$68,"Сайт",$V$6:$V$68,"&lt;=0",$W$6:$W$68,"&gt;0")+SUMIFS($M$6:$M$68,$I$6:$I$68,"Вышло",$E$6:$E$68,"сайт",$V$6:$V$68,"&lt;=0",$W$6:$W$68,"&gt;0")-(SUMIFS($M$6:$M$68,$I$6:$I$68,"Вышло",$E$6:$E$68,"Сайт",$V$6:$V$68,"&lt;=0",$W$6:$W$68,"&gt;0",$P$6:$P$68,"&lt;&gt;")+SUMIFS($M$6:$M$68,$I$6:$I$68,"Вышло",$E$6:$E$68,"сайт",$V$6:$V$68,"&lt;=0",$W$6:$W$68,"&gt;0",$P$6:$P$68,"&lt;&gt;")))+SUMIFS($M$6:$M$68,$I$6:$I$68,"Вышло",$E$6:$E$68,"Ozon")+SUMIFS($M$6:$M$68,$I$6:$I$68,"Вышло",$E$6:$E$68,"OZON")+SUMIFS($M$6:$M$68,$I$6:$I$68,"Вышло",$E$6:$E$68,"Озон")+SUMIFS($M$6:$M$68,$I$6:$I$68,"Вышло",$E$6:$E$68,"озон")-(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-(SUMIFS($M$6:$M$68,$I$6:$I$68,"Вышло",$E$6:$E$68,"Ozon",$V$6:$V$68,"&lt;=0",$W$6:$W$68,"&gt;0")+SUMIFS($M$6:$M$68,$I$6:$I$68,"Вышло",$E$6:$E$68,"OZON",$V$6:$V$68,"&lt;=0",$W$6:$W$68,"&gt;0")+SUMIFS($M$6:$M$68,$I$6:$I$68,"Вышло",$E$6:$E$68,"Озон",$V$6:$V$68,"&lt;=0",$W$6:$W$68,"&gt;0")+SUMIFS($M$6:$M$68,$I$6:$I$68,"Вышло",$E$6:$E$68,"озон",$V$6:$V$68,"&lt;=0",$W$6:$W$68,"&gt;0")-(SUMIFS($M$6:$M$68,$I$6:$I$68,"Вышло",$E$6:$E$68,"Ozon",$V$6:$V$68,"&lt;=0",$W$6:$W$68,"&gt;0",$P$6:$P$68,"&lt;&gt;")+SUMIFS($M$6:$M$68,$I$6:$I$68,"Вышло",$E$6:$E$68,"OZON",$V$6:$V$68,"&lt;=0",$W$6:$W$68,"&gt;0",$P$6:$P$68,"&lt;&gt;")+SUMIFS($M$6:$M$68,$I$6:$I$68,"Вышло",$E$6:$E$68,"Озон",$V$6:$V$68,"&lt;=0",$W$6:$W$68,"&gt;0",$P$6:$P$68,"&lt;&gt;")+SUMIFS($M$6:$M$68,$I$6:$I$68,"Вышло",$E$6:$E$68,"озон",$V$6:$V$68,"&lt;=0",$W$6:$W$68,"&gt;0",$P$6:$P$68,"&lt;&gt;")))</f>
        <v>0</v>
      </c>
      <c r="C95" s="146" t="s">
        <v>656</v>
      </c>
      <c r="D95" s="148">
        <f>SUMIFS($Z$6:$Z$68,$I$6:$I$68,"Вышло",$E$6:$E$68,"Сайт")+SUMIFS($Z$6:$Z$68,$I$6:$I$68,"Вышло",$E$6:$E$68,"сайт")-(SUMIFS($Z$6:$Z$68,$I$6:$I$68,"Вышло",$E$6:$E$68,"Сайт")+SUMIFS($Z$6:$Z$68,$I$6:$I$68,"Вышло",$E$6:$E$68,"сайт"))-(SUMIFS($Z$6:$Z$68,$I$6:$I$68,"Вышло",$E$6:$E$68,"Сайт",$V$6:$V$68,"&lt;=0",$W$6:$W$68,"&gt;0")+SUMIFS($Z$6:$Z$68,$I$6:$I$68,"Вышло",$E$6:$E$68,"сайт",$V$6:$V$68,"&lt;=0",$W$6:$W$68,"&gt;0")-(SUMIFS($Z$6:$Z$68,$I$6:$I$68,"Вышло",$E$6:$E$68,"Сайт",$V$6:$V$68,"&lt;=0",$W$6:$W$68,"&gt;0",$P$6:$P$68,"&lt;&gt;")+SUMIFS($Z$6:$Z$68,$I$6:$I$68,"Вышло",$E$6:$E$68,"сайт",$V$6:$V$68,"&lt;=0",$W$6:$W$68,"&gt;0",$P$6:$P$68,"&lt;&gt;")))+SUMIFS($Z$6:$Z$68,$I$6:$I$68,"Вышло",$E$6:$E$68,"Ozon")+SUMIFS($Z$6:$Z$68,$I$6:$I$68,"Вышло",$E$6:$E$68,"OZON")+SUMIFS($Z$6:$Z$68,$I$6:$I$68,"Вышло",$E$6:$E$68,"Озон")+SUMIFS($Z$6:$Z$68,$I$6:$I$68,"Вышло",$E$6:$E$68,"озон")-(SUMIFS($Z$6:$Z$68,$I$6:$I$68,"Вышло",$E$6:$E$68,"Ozon")+SUMIFS($Z$6:$Z$68,$I$6:$I$68,"Вышло",$E$6:$E$68,"OZON")+SUMIFS($Z$6:$Z$68,$I$6:$I$68,"Вышло",$E$6:$E$68,"Озон")+SUMIFS($Z$6:$Z$68,$I$6:$I$68,"Вышло",$E$6:$E$68,"озон"))-(SUMIFS($Z$6:$Z$68,$I$6:$I$68,"Вышло",$E$6:$E$68,"Ozon",$V$6:$V$68,"&lt;=0",$W$6:$W$68,"&gt;0")+SUMIFS($Z$6:$Z$68,$I$6:$I$68,"Вышло",$E$6:$E$68,"OZON",$V$6:$V$68,"&lt;=0",$W$6:$W$68,"&gt;0")+SUMIFS($Z$6:$Z$68,$I$6:$I$68,"Вышло",$E$6:$E$68,"Озон",$V$6:$V$68,"&lt;=0",$W$6:$W$68,"&gt;0")+SUMIFS($Z$6:$Z$68,$I$6:$I$68,"Вышло",$E$6:$E$68,"озон",$V$6:$V$68,"&lt;=0",$W$6:$W$68,"&gt;0")-(SUMIFS($Z$6:$Z$68,$I$6:$I$68,"Вышло",$E$6:$E$68,"Ozon",$V$6:$V$68,"&lt;=0",$W$6:$W$68,"&gt;0",$P$6:$P$68,"&lt;&gt;")+SUMIFS($Z$6:$Z$68,$I$6:$I$68,"Вышло",$E$6:$E$68,"OZON",$V$6:$V$68,"&lt;=0",$W$6:$W$68,"&gt;0",$P$6:$P$68,"&lt;&gt;")+SUMIFS($Z$6:$Z$68,$I$6:$I$68,"Вышло",$E$6:$E$68,"Озон",$V$6:$V$68,"&lt;=0",$W$6:$W$68,"&gt;0",$P$6:$P$68,"&lt;&gt;")+SUMIFS($Z$6:$Z$68,$I$6:$I$68,"Вышло",$E$6:$E$68,"озон",$V$6:$V$68,"&lt;=0",$W$6:$W$68,"&gt;0",$P$6:$P$68,"&lt;&gt;")))</f>
        <v>0</v>
      </c>
      <c r="E95" s="147" t="str">
        <f>IF((SUMIFS($Z$6:$Z$68,$I$6:$I$68,"Вышло",$E$6:$E$68,"Сайт")+SUMIFS($Z$6:$Z$68,$I$6:$I$68,"Вышло",$E$6:$E$68,"сайт")-(SUMIFS($Z$6:$Z$68,$I$6:$I$68,"Вышло",$E$6:$E$68,"Сайт")+SUMIFS($Z$6:$Z$68,$I$6:$I$68,"Вышло",$E$6:$E$68,"сайт"))-(SUMIFS($Z$6:$Z$68,$I$6:$I$68,"Вышло",$E$6:$E$68,"Сайт",$V$6:$V$68,"&lt;=0",$W$6:$W$68,"&gt;0")+SUMIFS($Z$6:$Z$68,$I$6:$I$68,"Вышло",$E$6:$E$68,"сайт",$V$6:$V$68,"&lt;=0",$W$6:$W$68,"&gt;0")-(SUMIFS($Z$6:$Z$68,$I$6:$I$68,"Вышло",$E$6:$E$68,"Сайт",$V$6:$V$68,"&lt;=0",$W$6:$W$68,"&gt;0",$P$6:$P$68,"&lt;&gt;")+SUMIFS($Z$6:$Z$68,$I$6:$I$68,"Вышло",$E$6:$E$68,"сайт",$V$6:$V$68,"&lt;=0",$W$6:$W$68,"&gt;0",$P$6:$P$68,"&lt;&gt;")))+SUMIFS($Z$6:$Z$68,$I$6:$I$68,"Вышло",$E$6:$E$68,"Ozon")+SUMIFS($Z$6:$Z$68,$I$6:$I$68,"Вышло",$E$6:$E$68,"OZON")+SUMIFS($Z$6:$Z$68,$I$6:$I$68,"Вышло",$E$6:$E$68,"Озон")+SUMIFS($Z$6:$Z$68,$I$6:$I$68,"Вышло",$E$6:$E$68,"озон")-(SUMIFS($Z$6:$Z$68,$I$6:$I$68,"Вышло",$E$6:$E$68,"Ozon")+SUMIFS($Z$6:$Z$68,$I$6:$I$68,"Вышло",$E$6:$E$68,"OZON")+SUMIFS($Z$6:$Z$68,$I$6:$I$68,"Вышло",$E$6:$E$68,"Озон")+SUMIFS($Z$6:$Z$68,$I$6:$I$68,"Вышло",$E$6:$E$68,"озон"))-(SUMIFS($Z$6:$Z$68,$I$6:$I$68,"Вышло",$E$6:$E$68,"Ozon",$V$6:$V$68,"&lt;=0",$W$6:$W$68,"&gt;0")+SUMIFS($Z$6:$Z$68,$I$6:$I$68,"Вышло",$E$6:$E$68,"OZON",$V$6:$V$68,"&lt;=0",$W$6:$W$68,"&gt;0")+SUMIFS($Z$6:$Z$68,$I$6:$I$68,"Вышло",$E$6:$E$68,"Озон",$V$6:$V$68,"&lt;=0",$W$6:$W$68,"&gt;0")+SUMIFS($Z$6:$Z$68,$I$6:$I$68,"Вышло",$E$6:$E$68,"озон",$V$6:$V$68,"&lt;=0",$W$6:$W$68,"&gt;0")-(SUMIFS($Z$6:$Z$68,$I$6:$I$68,"Вышло",$E$6:$E$68,"Ozon",$V$6:$V$68,"&lt;=0",$W$6:$W$68,"&gt;0",$P$6:$P$68,"&lt;&gt;")+SUMIFS($Z$6:$Z$68,$I$6:$I$68,"Вышло",$E$6:$E$68,"OZON",$V$6:$V$68,"&lt;=0",$W$6:$W$68,"&gt;0",$P$6:$P$68,"&lt;&gt;")+SUMIFS($Z$6:$Z$68,$I$6:$I$68,"Вышло",$E$6:$E$68,"Озон",$V$6:$V$68,"&lt;=0",$W$6:$W$68,"&gt;0",$P$6:$P$68,"&lt;&gt;")+SUMIFS($Z$6:$Z$68,$I$6:$I$68,"Вышло",$E$6:$E$68,"озон",$V$6:$V$68,"&lt;=0",$W$6:$W$68,"&gt;0",$P$6:$P$68,"&lt;&gt;"))))=0,"—",ROUND((SUMIFS($M$6:$M$68,$I$6:$I$68,"Вышло",$E$6:$E$68,"Сайт")+SUMIFS($M$6:$M$68,$I$6:$I$68,"Вышло",$E$6:$E$68,"сайт")-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)-(SUMIFS($M$6:$M$68,$I$6:$I$68,"Вышло",$E$6:$E$68,"Сайт",$V$6:$V$68,"&lt;=0",$W$6:$W$68,"&gt;0")+SUMIFS($M$6:$M$68,$I$6:$I$68,"Вышло",$E$6:$E$68,"сайт",$V$6:$V$68,"&lt;=0",$W$6:$W$68,"&gt;0")-(SUMIFS($M$6:$M$68,$I$6:$I$68,"Вышло",$E$6:$E$68,"Сайт",$V$6:$V$68,"&lt;=0",$W$6:$W$68,"&gt;0",$P$6:$P$68,"&lt;&gt;")+SUMIFS($M$6:$M$68,$I$6:$I$68,"Вышло",$E$6:$E$68,"сайт",$V$6:$V$68,"&lt;=0",$W$6:$W$68,"&gt;0",$P$6:$P$68,"&lt;&gt;")))+SUMIFS($M$6:$M$68,$I$6:$I$68,"Вышло",$E$6:$E$68,"Ozon")+SUMIFS($M$6:$M$68,$I$6:$I$68,"Вышло",$E$6:$E$68,"OZON")+SUMIFS($M$6:$M$68,$I$6:$I$68,"Вышло",$E$6:$E$68,"Озон")+SUMIFS($M$6:$M$68,$I$6:$I$68,"Вышло",$E$6:$E$68,"озон")-(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-(SUMIFS($M$6:$M$68,$I$6:$I$68,"Вышло",$E$6:$E$68,"Ozon",$V$6:$V$68,"&lt;=0",$W$6:$W$68,"&gt;0")+SUMIFS($M$6:$M$68,$I$6:$I$68,"Вышло",$E$6:$E$68,"OZON",$V$6:$V$68,"&lt;=0",$W$6:$W$68,"&gt;0")+SUMIFS($M$6:$M$68,$I$6:$I$68,"Вышло",$E$6:$E$68,"Озон",$V$6:$V$68,"&lt;=0",$W$6:$W$68,"&gt;0")+SUMIFS($M$6:$M$68,$I$6:$I$68,"Вышло",$E$6:$E$68,"озон",$V$6:$V$68,"&lt;=0",$W$6:$W$68,"&gt;0")-(SUMIFS($M$6:$M$68,$I$6:$I$68,"Вышло",$E$6:$E$68,"Ozon",$V$6:$V$68,"&lt;=0",$W$6:$W$68,"&gt;0",$P$6:$P$68,"&lt;&gt;")+SUMIFS($M$6:$M$68,$I$6:$I$68,"Вышло",$E$6:$E$68,"OZON",$V$6:$V$68,"&lt;=0",$W$6:$W$68,"&gt;0",$P$6:$P$68,"&lt;&gt;")+SUMIFS($M$6:$M$68,$I$6:$I$68,"Вышло",$E$6:$E$68,"Озон",$V$6:$V$68,"&lt;=0",$W$6:$W$68,"&gt;0",$P$6:$P$68,"&lt;&gt;")+SUMIFS($M$6:$M$68,$I$6:$I$68,"Вышло",$E$6:$E$68,"озон",$V$6:$V$68,"&lt;=0",$W$6:$W$68,"&gt;0",$P$6:$P$68,"&lt;&gt;"))))/(SUMIFS($Z$6:$Z$68,$I$6:$I$68,"Вышло",$E$6:$E$68,"Сайт")+SUMIFS($Z$6:$Z$68,$I$6:$I$68,"Вышло",$E$6:$E$68,"сайт")-(SUMIFS($Z$6:$Z$68,$I$6:$I$68,"Вышло",$E$6:$E$68,"Сайт")+SUMIFS($Z$6:$Z$68,$I$6:$I$68,"Вышло",$E$6:$E$68,"сайт"))-(SUMIFS($Z$6:$Z$68,$I$6:$I$68,"Вышло",$E$6:$E$68,"Сайт",$V$6:$V$68,"&lt;=0",$W$6:$W$68,"&gt;0")+SUMIFS($Z$6:$Z$68,$I$6:$I$68,"Вышло",$E$6:$E$68,"сайт",$V$6:$V$68,"&lt;=0",$W$6:$W$68,"&gt;0")-(SUMIFS($Z$6:$Z$68,$I$6:$I$68,"Вышло",$E$6:$E$68,"Сайт",$V$6:$V$68,"&lt;=0",$W$6:$W$68,"&gt;0",$P$6:$P$68,"&lt;&gt;")+SUMIFS($Z$6:$Z$68,$I$6:$I$68,"Вышло",$E$6:$E$68,"сайт",$V$6:$V$68,"&lt;=0",$W$6:$W$68,"&gt;0",$P$6:$P$68,"&lt;&gt;")))+SUMIFS($Z$6:$Z$68,$I$6:$I$68,"Вышло",$E$6:$E$68,"Ozon")+SUMIFS($Z$6:$Z$68,$I$6:$I$68,"Вышло",$E$6:$E$68,"OZON")+SUMIFS($Z$6:$Z$68,$I$6:$I$68,"Вышло",$E$6:$E$68,"Озон")+SUMIFS($Z$6:$Z$68,$I$6:$I$68,"Вышло",$E$6:$E$68,"озон")-(SUMIFS($Z$6:$Z$68,$I$6:$I$68,"Вышло",$E$6:$E$68,"Ozon")+SUMIFS($Z$6:$Z$68,$I$6:$I$68,"Вышло",$E$6:$E$68,"OZON")+SUMIFS($Z$6:$Z$68,$I$6:$I$68,"Вышло",$E$6:$E$68,"Озон")+SUMIFS($Z$6:$Z$68,$I$6:$I$68,"Вышло",$E$6:$E$68,"озон"))-(SUMIFS($Z$6:$Z$68,$I$6:$I$68,"Вышло",$E$6:$E$68,"Ozon",$V$6:$V$68,"&lt;=0",$W$6:$W$68,"&gt;0")+SUMIFS($Z$6:$Z$68,$I$6:$I$68,"Вышло",$E$6:$E$68,"OZON",$V$6:$V$68,"&lt;=0",$W$6:$W$68,"&gt;0")+SUMIFS($Z$6:$Z$68,$I$6:$I$68,"Вышло",$E$6:$E$68,"Озон",$V$6:$V$68,"&lt;=0",$W$6:$W$68,"&gt;0")+SUMIFS($Z$6:$Z$68,$I$6:$I$68,"Вышло",$E$6:$E$68,"озон",$V$6:$V$68,"&lt;=0",$W$6:$W$68,"&gt;0")-(SUMIFS($Z$6:$Z$68,$I$6:$I$68,"Вышло",$E$6:$E$68,"Ozon",$V$6:$V$68,"&lt;=0",$W$6:$W$68,"&gt;0",$P$6:$P$68,"&lt;&gt;")+SUMIFS($Z$6:$Z$68,$I$6:$I$68,"Вышло",$E$6:$E$68,"OZON",$V$6:$V$68,"&lt;=0",$W$6:$W$68,"&gt;0",$P$6:$P$68,"&lt;&gt;")+SUMIFS($Z$6:$Z$68,$I$6:$I$68,"Вышло",$E$6:$E$68,"Озон",$V$6:$V$68,"&lt;=0",$W$6:$W$68,"&gt;0",$P$6:$P$68,"&lt;&gt;")+SUMIFS($Z$6:$Z$68,$I$6:$I$68,"Вышло",$E$6:$E$68,"озон",$V$6:$V$68,"&lt;=0",$W$6:$W$68,"&gt;0",$P$6:$P$68,"&lt;&gt;")))),0))</f>
        <v>—</v>
      </c>
      <c r="F95" s="148">
        <f>COUNTIFS($I$6:$I$68,"Вышло",$E$6:$E$68,"Сайт")-(COUNTIFS($I$6:$I$68,"Вышло",$E$6:$E$68,"Сайт",$V$6:$V$68,"&gt;0")+COUNTIFS($I$6:$I$68,"Вышло",$E$6:$E$68,"Сайт",$V$6:$V$68,"&lt;=0",$P$6:$P$68,"&lt;&gt;"))-(COUNTIFS($I$6:$I$68,"Вышло",$E$6:$E$68,"Сайт",$V$6:$V$68,"&lt;=0",$W$6:$W$68,"&gt;0")-(COUNTIFS($I$6:$I$68,"Вышло",$E$6:$E$68,"Сайт",$V$6:$V$68,"&lt;=0",$W$6:$W$68,"&gt;0",$P$6:$P$68,"&lt;&gt;")))+COUNTIFS($I$6:$I$68,"Вышло",$E$6:$E$68,"Ozon")+COUNTIFS($I$6:$I$68,"Вышло",$E$6:$E$68,"Озон")-(COUNTIFS($I$6:$I$68,"Вышло",$E$6:$E$68,"Ozon",$V$6:$V$68,"&gt;0")+COUNTIFS($I$6:$I$68,"Вышло",$E$6:$E$68,"Озон",$V$6:$V$68,"&gt;0")+COUNTIFS($I$6:$I$68,"Вышло",$E$6:$E$68,"Ozon",$V$6:$V$68,"&lt;=0",$P$6:$P$68,"&lt;&gt;")+COUNTIFS($I$6:$I$68,"Вышло",$E$6:$E$68,"Озон",$V$6:$V$68,"&lt;=0",$P$6:$P$68,"&lt;&gt;"))-(COUNTIFS($I$6:$I$68,"Вышло",$E$6:$E$68,"Ozon",$V$6:$V$68,"&lt;=0",$W$6:$W$68,"&gt;0")+COUNTIFS($I$6:$I$68,"Вышло",$E$6:$E$68,"Озон",$V$6:$V$68,"&lt;=0",$W$6:$W$68,"&gt;0")-(COUNTIFS($I$6:$I$68,"Вышло",$E$6:$E$68,"Ozon",$V$6:$V$68,"&lt;=0",$W$6:$W$68,"&gt;0",$P$6:$P$68,"&lt;&gt;")+COUNTIFS($I$6:$I$68,"Вышло",$E$6:$E$68,"Озон",$V$6:$V$68,"&lt;=0",$W$6:$W$68,"&gt;0",$P$6:$P$68,"&lt;&gt;")))</f>
        <v>0</v>
      </c>
      <c r="G95" s="148">
        <f>SUMIFS($T$6:$T$68,$I$6:$I$68,"Вышло",$E$6:$E$68,"Сайт")+SUMIFS($T$6:$T$68,$I$6:$I$68,"Вышло",$E$6:$E$68,"сайт")-(SUMIFS($T$6:$T$68,$I$6:$I$68,"Вышло",$E$6:$E$68,"Сайт")+SUMIFS($T$6:$T$68,$I$6:$I$68,"Вышло",$E$6:$E$68,"сайт"))-(SUMIFS($T$6:$T$68,$I$6:$I$68,"Вышло",$E$6:$E$68,"Сайт",$V$6:$V$68,"&lt;=0",$W$6:$W$68,"&gt;0")+SUMIFS($T$6:$T$68,$I$6:$I$68,"Вышло",$E$6:$E$68,"сайт",$V$6:$V$68,"&lt;=0",$W$6:$W$68,"&gt;0")-(SUMIFS($T$6:$T$68,$I$6:$I$68,"Вышло",$E$6:$E$68,"Сайт",$V$6:$V$68,"&lt;=0",$W$6:$W$68,"&gt;0",$P$6:$P$68,"&lt;&gt;")+SUMIFS($T$6:$T$68,$I$6:$I$68,"Вышло",$E$6:$E$68,"сайт",$V$6:$V$68,"&lt;=0",$W$6:$W$68,"&gt;0",$P$6:$P$68,"&lt;&gt;")))+SUMIFS($T$6:$T$68,$I$6:$I$68,"Вышло",$E$6:$E$68,"Ozon")+SUMIFS($T$6:$T$68,$I$6:$I$68,"Вышло",$E$6:$E$68,"OZON")+SUMIFS($T$6:$T$68,$I$6:$I$68,"Вышло",$E$6:$E$68,"Озон")+SUMIFS($T$6:$T$68,$I$6:$I$68,"Вышло",$E$6:$E$68,"озон")-(SUMIFS($T$6:$T$68,$I$6:$I$68,"Вышло",$E$6:$E$68,"Ozon")+SUMIFS($T$6:$T$68,$I$6:$I$68,"Вышло",$E$6:$E$68,"OZON")+SUMIFS($T$6:$T$68,$I$6:$I$68,"Вышло",$E$6:$E$68,"Озон")+SUMIFS($T$6:$T$68,$I$6:$I$68,"Вышло",$E$6:$E$68,"озон"))-(SUMIFS($T$6:$T$68,$I$6:$I$68,"Вышло",$E$6:$E$68,"Ozon",$V$6:$V$68,"&lt;=0",$W$6:$W$68,"&gt;0")+SUMIFS($T$6:$T$68,$I$6:$I$68,"Вышло",$E$6:$E$68,"OZON",$V$6:$V$68,"&lt;=0",$W$6:$W$68,"&gt;0")+SUMIFS($T$6:$T$68,$I$6:$I$68,"Вышло",$E$6:$E$68,"Озон",$V$6:$V$68,"&lt;=0",$W$6:$W$68,"&gt;0")+SUMIFS($T$6:$T$68,$I$6:$I$68,"Вышло",$E$6:$E$68,"озон",$V$6:$V$68,"&lt;=0",$W$6:$W$68,"&gt;0")-(SUMIFS($T$6:$T$68,$I$6:$I$68,"Вышло",$E$6:$E$68,"Ozon",$V$6:$V$68,"&lt;=0",$W$6:$W$68,"&gt;0",$P$6:$P$68,"&lt;&gt;")+SUMIFS($T$6:$T$68,$I$6:$I$68,"Вышло",$E$6:$E$68,"OZON",$V$6:$V$68,"&lt;=0",$W$6:$W$68,"&gt;0",$P$6:$P$68,"&lt;&gt;")+SUMIFS($T$6:$T$68,$I$6:$I$68,"Вышло",$E$6:$E$68,"Озон",$V$6:$V$68,"&lt;=0",$W$6:$W$68,"&gt;0",$P$6:$P$68,"&lt;&gt;")+SUMIFS($T$6:$T$68,$I$6:$I$68,"Вышло",$E$6:$E$68,"озон",$V$6:$V$68,"&lt;=0",$W$6:$W$68,"&gt;0",$P$6:$P$68,"&lt;&gt;")))</f>
        <v>0</v>
      </c>
      <c r="H95" s="146" t="s">
        <v>895</v>
      </c>
      <c r="I95" s="145"/>
      <c r="J95" s="145"/>
      <c r="K95" s="145"/>
      <c r="L95" s="145"/>
      <c r="M95" s="145"/>
      <c r="N95" s="145"/>
      <c r="O95" s="145"/>
      <c r="P95" s="3"/>
      <c r="Q95" s="3"/>
      <c r="R95" s="3"/>
      <c r="S95" s="3"/>
      <c r="T95" s="3"/>
      <c r="U95" s="155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ht="27.75" customHeight="1">
      <c r="A96" s="146" t="s">
        <v>896</v>
      </c>
      <c r="B96" s="147">
        <f>SUMIFS($M$6:$M$68,$I$6:$I$68,"Вышло")-(SUMIFS($M$6:$M$68,$I$6:$I$68,"Вышло",$E$6:$E$68,"БОТ")+SUMIFS($M$6:$M$68,$I$6:$I$68,"Вышло",$E$6:$E$68,"Бот")+SUMIFS($M$6:$M$68,$I$6:$I$68,"Вышло",$E$6:$E$68,"бот")+SUMIFS($M$6:$M$68,$I$6:$I$68,"Вышло",$E$6:$E$68,"WB")+SUMIFS($M$6:$M$68,$I$6:$I$68,"Вышло",$E$6:$E$68,"ВБ")+SUMIFS($M$6:$M$68,$I$6:$I$68,"Вышло",$E$6:$E$68,"Сайт")+SUMIFS($M$6:$M$68,$I$6:$I$68,"Вышло",$E$6:$E$68,"сайт")+SUMIFS($M$6:$M$68,$I$6:$I$68,"Вышло",$E$6:$E$68,"Ozon")+SUMIFS($M$6:$M$68,$I$6:$I$68,"Вышло",$E$6:$E$68,"OZON")+SUMIFS($M$6:$M$68,$I$6:$I$68,"Вышло",$E$6:$E$68,"Озон")+SUMIFS($M$6:$M$68,$I$6:$I$68,"Вышло",$E$6:$E$68,"озон"))+SUMIFS($M$6:$M$68,$I$6:$I$68,"Вышло",$E$6:$E$68,"WB",$W$6:$W$68,"&lt;=0",$V$6:$V$68,"&gt;0")+SUMIFS($M$6:$M$68,$I$6:$I$68,"Вышло",$E$6:$E$68,"ВБ",$W$6:$W$68,"&lt;=0",$V$6:$V$68,"&gt;0")+SUMIFS($M$6:$M$68,$I$6:$I$68,"Вышло",$E$6:$E$68,"Сайт",$V$6:$V$68,"&lt;=0",$W$6:$W$68,"&gt;0")+SUMIFS($M$6:$M$68,$I$6:$I$68,"Вышло",$E$6:$E$68,"сайт",$V$6:$V$68,"&lt;=0",$W$6:$W$68,"&gt;0")-(SUMIFS($M$6:$M$68,$I$6:$I$68,"Вышло",$E$6:$E$68,"Сайт",$V$6:$V$68,"&lt;=0",$W$6:$W$68,"&gt;0",$P$6:$P$68,"&lt;&gt;")+SUMIFS($M$6:$M$68,$I$6:$I$68,"Вышло",$E$6:$E$68,"сайт",$V$6:$V$68,"&lt;=0",$W$6:$W$68,"&gt;0",$P$6:$P$68,"&lt;&gt;"))+SUMIFS($M$6:$M$68,$I$6:$I$68,"Вышло",$E$6:$E$68,"Ozon",$V$6:$V$68,"&lt;=0",$W$6:$W$68,"&gt;0")+SUMIFS($M$6:$M$68,$I$6:$I$68,"Вышло",$E$6:$E$68,"OZON",$V$6:$V$68,"&lt;=0",$W$6:$W$68,"&gt;0")+SUMIFS($M$6:$M$68,$I$6:$I$68,"Вышло",$E$6:$E$68,"Озон",$V$6:$V$68,"&lt;=0",$W$6:$W$68,"&gt;0")+SUMIFS($M$6:$M$68,$I$6:$I$68,"Вышло",$E$6:$E$68,"озон",$V$6:$V$68,"&lt;=0",$W$6:$W$68,"&gt;0")-(SUMIFS($M$6:$M$68,$I$6:$I$68,"Вышло",$E$6:$E$68,"Ozon",$V$6:$V$68,"&lt;=0",$W$6:$W$68,"&gt;0",$P$6:$P$68,"&lt;&gt;")+SUMIFS($M$6:$M$68,$I$6:$I$68,"Вышло",$E$6:$E$68,"OZON",$V$6:$V$68,"&lt;=0",$W$6:$W$68,"&gt;0",$P$6:$P$68,"&lt;&gt;")+SUMIFS($M$6:$M$68,$I$6:$I$68,"Вышло",$E$6:$E$68,"Озон",$V$6:$V$68,"&lt;=0",$W$6:$W$68,"&gt;0",$P$6:$P$68,"&lt;&gt;")+SUMIFS($M$6:$M$68,$I$6:$I$68,"Вышло",$E$6:$E$68,"озон",$V$6:$V$68,"&lt;=0",$W$6:$W$68,"&gt;0",$P$6:$P$68,"&lt;&gt;"))</f>
        <v>0</v>
      </c>
      <c r="C96" s="146" t="s">
        <v>879</v>
      </c>
      <c r="D96" s="148" t="str">
        <f t="shared" ref="D96:E96" si="62">"—"</f>
        <v>—</v>
      </c>
      <c r="E96" s="147" t="str">
        <f t="shared" si="62"/>
        <v>—</v>
      </c>
      <c r="F96" s="148">
        <f>COUNTIFS($I$6:$I$68,"Вышло")-(COUNTIFS($I$6:$I$68,"Вышло",$E$6:$E$68,"БОТ")+COUNTIFS($I$6:$I$68,"Вышло",$E$6:$E$68,"WB")+COUNTIFS($I$6:$I$68,"Вышло",$E$6:$E$68,"ВБ")+COUNTIFS($I$6:$I$68,"Вышло",$E$6:$E$68,"Сайт")+COUNTIFS($I$6:$I$68,"Вышло",$E$6:$E$68,"Ozon")+COUNTIFS($I$6:$I$68,"Вышло",$E$6:$E$68,"Озон"))+COUNTIFS($I$6:$I$68,"Вышло",$E$6:$E$68,"WB",$W$6:$W$68,"&lt;=0",$V$6:$V$68,"&gt;0")+COUNTIFS($I$6:$I$68,"Вышло",$E$6:$E$68,"ВБ",$W$6:$W$68,"&lt;=0",$V$6:$V$68,"&gt;0")+COUNTIFS($I$6:$I$68,"Вышло",$E$6:$E$68,"Сайт",$V$6:$V$68,"&lt;=0",$W$6:$W$68,"&gt;0")-(COUNTIFS($I$6:$I$68,"Вышло",$E$6:$E$68,"Сайт",$V$6:$V$68,"&lt;=0",$W$6:$W$68,"&gt;0",$P$6:$P$68,"&lt;&gt;"))+COUNTIFS($I$6:$I$68,"Вышло",$E$6:$E$68,"Ozon",$V$6:$V$68,"&lt;=0",$W$6:$W$68,"&gt;0")+COUNTIFS($I$6:$I$68,"Вышло",$E$6:$E$68,"Озон",$V$6:$V$68,"&lt;=0",$W$6:$W$68,"&gt;0")-(COUNTIFS($I$6:$I$68,"Вышло",$E$6:$E$68,"Ozon",$V$6:$V$68,"&lt;=0",$W$6:$W$68,"&gt;0",$P$6:$P$68,"&lt;&gt;")+COUNTIFS($I$6:$I$68,"Вышло",$E$6:$E$68,"Озон",$V$6:$V$68,"&lt;=0",$W$6:$W$68,"&gt;0",$P$6:$P$68,"&lt;&gt;"))</f>
        <v>0</v>
      </c>
      <c r="G96" s="148">
        <f>SUMIFS($T$6:$T$68,$I$6:$I$68,"Вышло")-(SUMIFS($T$6:$T$68,$I$6:$I$68,"Вышло",$E$6:$E$68,"БОТ")+SUMIFS($T$6:$T$68,$I$6:$I$68,"Вышло",$E$6:$E$68,"Бот")+SUMIFS($T$6:$T$68,$I$6:$I$68,"Вышло",$E$6:$E$68,"бот")+SUMIFS($T$6:$T$68,$I$6:$I$68,"Вышло",$E$6:$E$68,"WB")+SUMIFS($T$6:$T$68,$I$6:$I$68,"Вышло",$E$6:$E$68,"ВБ")+SUMIFS($T$6:$T$68,$I$6:$I$68,"Вышло",$E$6:$E$68,"Сайт")+SUMIFS($T$6:$T$68,$I$6:$I$68,"Вышло",$E$6:$E$68,"сайт")+SUMIFS($T$6:$T$68,$I$6:$I$68,"Вышло",$E$6:$E$68,"Ozon")+SUMIFS($T$6:$T$68,$I$6:$I$68,"Вышло",$E$6:$E$68,"OZON")+SUMIFS($T$6:$T$68,$I$6:$I$68,"Вышло",$E$6:$E$68,"Озон")+SUMIFS($T$6:$T$68,$I$6:$I$68,"Вышло",$E$6:$E$68,"озон"))+SUMIFS($T$6:$T$68,$I$6:$I$68,"Вышло",$E$6:$E$68,"WB",$W$6:$W$68,"&lt;=0",$V$6:$V$68,"&gt;0")+SUMIFS($T$6:$T$68,$I$6:$I$68,"Вышло",$E$6:$E$68,"ВБ",$W$6:$W$68,"&lt;=0",$V$6:$V$68,"&gt;0")+SUMIFS($T$6:$T$68,$I$6:$I$68,"Вышло",$E$6:$E$68,"Сайт",$V$6:$V$68,"&lt;=0",$W$6:$W$68,"&gt;0")+SUMIFS($T$6:$T$68,$I$6:$I$68,"Вышло",$E$6:$E$68,"сайт",$V$6:$V$68,"&lt;=0",$W$6:$W$68,"&gt;0")-(SUMIFS($T$6:$T$68,$I$6:$I$68,"Вышло",$E$6:$E$68,"Сайт",$V$6:$V$68,"&lt;=0",$W$6:$W$68,"&gt;0",$P$6:$P$68,"&lt;&gt;")+SUMIFS($T$6:$T$68,$I$6:$I$68,"Вышло",$E$6:$E$68,"сайт",$V$6:$V$68,"&lt;=0",$W$6:$W$68,"&gt;0",$P$6:$P$68,"&lt;&gt;"))+SUMIFS($T$6:$T$68,$I$6:$I$68,"Вышло",$E$6:$E$68,"Ozon",$V$6:$V$68,"&lt;=0",$W$6:$W$68,"&gt;0")+SUMIFS($T$6:$T$68,$I$6:$I$68,"Вышло",$E$6:$E$68,"OZON",$V$6:$V$68,"&lt;=0",$W$6:$W$68,"&gt;0")+SUMIFS($T$6:$T$68,$I$6:$I$68,"Вышло",$E$6:$E$68,"Озон",$V$6:$V$68,"&lt;=0",$W$6:$W$68,"&gt;0")+SUMIFS($T$6:$T$68,$I$6:$I$68,"Вышло",$E$6:$E$68,"озон",$V$6:$V$68,"&lt;=0",$W$6:$W$68,"&gt;0")-(SUMIFS($T$6:$T$68,$I$6:$I$68,"Вышло",$E$6:$E$68,"Ozon",$V$6:$V$68,"&lt;=0",$W$6:$W$68,"&gt;0",$P$6:$P$68,"&lt;&gt;")+SUMIFS($T$6:$T$68,$I$6:$I$68,"Вышло",$E$6:$E$68,"OZON",$V$6:$V$68,"&lt;=0",$W$6:$W$68,"&gt;0",$P$6:$P$68,"&lt;&gt;")+SUMIFS($T$6:$T$68,$I$6:$I$68,"Вышло",$E$6:$E$68,"Озон",$V$6:$V$68,"&lt;=0",$W$6:$W$68,"&gt;0",$P$6:$P$68,"&lt;&gt;")+SUMIFS($T$6:$T$68,$I$6:$I$68,"Вышло",$E$6:$E$68,"озон",$V$6:$V$68,"&lt;=0",$W$6:$W$68,"&gt;0",$P$6:$P$68,"&lt;&gt;"))</f>
        <v>0</v>
      </c>
      <c r="H96" s="146" t="s">
        <v>897</v>
      </c>
      <c r="I96" s="145"/>
      <c r="J96" s="145"/>
      <c r="K96" s="145"/>
      <c r="L96" s="145"/>
      <c r="M96" s="145"/>
      <c r="N96" s="145"/>
      <c r="O96" s="145"/>
      <c r="P96" s="3"/>
      <c r="Q96" s="3"/>
      <c r="R96" s="3"/>
      <c r="S96" s="3"/>
      <c r="T96" s="3"/>
      <c r="U96" s="155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ht="15.75" customHeight="1">
      <c r="A97" s="142" t="s">
        <v>877</v>
      </c>
      <c r="B97" s="143">
        <f>SUM(B91:B96)</f>
        <v>0</v>
      </c>
      <c r="C97" s="142" t="s">
        <v>879</v>
      </c>
      <c r="D97" s="144" t="s">
        <v>879</v>
      </c>
      <c r="E97" s="143" t="s">
        <v>879</v>
      </c>
      <c r="F97" s="144">
        <f t="shared" ref="F97:G97" si="63">SUM(F91:F96)</f>
        <v>0</v>
      </c>
      <c r="G97" s="144">
        <f t="shared" si="63"/>
        <v>0</v>
      </c>
      <c r="H97" s="142"/>
      <c r="I97" s="145"/>
      <c r="J97" s="145"/>
      <c r="K97" s="145"/>
      <c r="L97" s="145"/>
      <c r="M97" s="145"/>
      <c r="N97" s="145"/>
      <c r="O97" s="145"/>
      <c r="P97" s="3"/>
      <c r="Q97" s="3"/>
      <c r="R97" s="3"/>
      <c r="S97" s="3"/>
      <c r="T97" s="3"/>
      <c r="U97" s="155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ht="15.75" customHeight="1">
      <c r="A98" s="145"/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3"/>
      <c r="Q98" s="3"/>
      <c r="R98" s="3"/>
      <c r="S98" s="3"/>
      <c r="T98" s="3"/>
      <c r="U98" s="155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ht="15.75" customHeight="1">
      <c r="A99" s="137" t="s">
        <v>1723</v>
      </c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3"/>
      <c r="Q99" s="3"/>
      <c r="R99" s="3"/>
      <c r="S99" s="3"/>
      <c r="T99" s="3"/>
      <c r="U99" s="155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ht="15.75" customHeight="1">
      <c r="A100" s="138" t="s">
        <v>899</v>
      </c>
      <c r="B100" s="138" t="s">
        <v>780</v>
      </c>
      <c r="C100" s="138" t="s">
        <v>12</v>
      </c>
      <c r="D100" s="145"/>
      <c r="E100" s="145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3"/>
      <c r="Q100" s="3"/>
      <c r="R100" s="3"/>
      <c r="S100" s="3"/>
      <c r="T100" s="3"/>
      <c r="U100" s="155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ht="15.75" customHeight="1">
      <c r="A101" s="139" t="str">
        <f>"Площадки = фактический расход"</f>
        <v>Площадки = фактический расход</v>
      </c>
      <c r="B101" s="139" t="str">
        <f>IF(ABS(C80-B97)&lt;0.01,"OK","ПРОВЕРИТЬ")</f>
        <v>OK</v>
      </c>
      <c r="C101" s="140">
        <f>C80-B97</f>
        <v>0</v>
      </c>
      <c r="D101" s="145"/>
      <c r="E101" s="145"/>
      <c r="F101" s="145"/>
      <c r="G101" s="145"/>
      <c r="H101" s="145"/>
      <c r="I101" s="145"/>
      <c r="J101" s="145"/>
      <c r="K101" s="145"/>
      <c r="L101" s="145"/>
      <c r="M101" s="145"/>
      <c r="N101" s="145"/>
      <c r="O101" s="145"/>
      <c r="P101" s="3"/>
      <c r="Q101" s="3"/>
      <c r="R101" s="3"/>
      <c r="S101" s="3"/>
      <c r="T101" s="3"/>
      <c r="U101" s="155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ht="15.75" customHeight="1">
      <c r="A102" s="139" t="str">
        <f>"Продукты = фактический расход"</f>
        <v>Продукты = фактический расход</v>
      </c>
      <c r="B102" s="139" t="str">
        <f>IF(ABS(C87-B97)&lt;0.01,"OK","ПРОВЕРИТЬ")</f>
        <v>OK</v>
      </c>
      <c r="C102" s="140">
        <f>C87-B97</f>
        <v>0</v>
      </c>
      <c r="D102" s="145"/>
      <c r="E102" s="145"/>
      <c r="F102" s="145"/>
      <c r="G102" s="145"/>
      <c r="H102" s="145"/>
      <c r="I102" s="145"/>
      <c r="J102" s="145"/>
      <c r="K102" s="145"/>
      <c r="L102" s="145"/>
      <c r="M102" s="145"/>
      <c r="N102" s="145"/>
      <c r="O102" s="145"/>
      <c r="P102" s="3"/>
      <c r="Q102" s="3"/>
      <c r="R102" s="3"/>
      <c r="S102" s="3"/>
      <c r="T102" s="3"/>
      <c r="U102" s="155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ht="15.75" customHeight="1">
      <c r="A103" s="139" t="str">
        <f>"Воронки без двойного учёта"</f>
        <v>Воронки без двойного учёта</v>
      </c>
      <c r="B103" s="139" t="str">
        <f>IF(ABS(B97-(SUMIFS($M$6:$M$68,$I$6:$I$68,"Вышло")))&lt;0.01,"OK","ПРОВЕРИТЬ")</f>
        <v>OK</v>
      </c>
      <c r="C103" s="140">
        <f>B97-(SUMIFS($M$6:$M$68,$I$6:$I$68,"Вышло"))</f>
        <v>0</v>
      </c>
      <c r="D103" s="145"/>
      <c r="E103" s="145"/>
      <c r="F103" s="145"/>
      <c r="G103" s="145"/>
      <c r="H103" s="145"/>
      <c r="I103" s="145"/>
      <c r="J103" s="145"/>
      <c r="K103" s="145"/>
      <c r="L103" s="145"/>
      <c r="M103" s="145"/>
      <c r="N103" s="145"/>
      <c r="O103" s="145"/>
      <c r="P103" s="3"/>
      <c r="Q103" s="3"/>
      <c r="R103" s="3"/>
      <c r="S103" s="3"/>
      <c r="T103" s="3"/>
      <c r="U103" s="155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ht="15.75" customHeight="1">
      <c r="A104" s="139" t="str">
        <f>"Неоднозначные строки"</f>
        <v>Неоднозначные строки</v>
      </c>
      <c r="B104" s="139" t="str">
        <f>IF(B96=0,"OK","ТРЕБУЕТ УТОЧНЕНИЯ")</f>
        <v>OK</v>
      </c>
      <c r="C104" s="140">
        <f>B96</f>
        <v>0</v>
      </c>
      <c r="D104" s="145"/>
      <c r="E104" s="145"/>
      <c r="F104" s="145"/>
      <c r="G104" s="145"/>
      <c r="H104" s="145"/>
      <c r="I104" s="145"/>
      <c r="J104" s="145"/>
      <c r="K104" s="145"/>
      <c r="L104" s="145"/>
      <c r="M104" s="145"/>
      <c r="N104" s="145"/>
      <c r="O104" s="145"/>
      <c r="P104" s="3"/>
      <c r="Q104" s="3"/>
      <c r="R104" s="3"/>
      <c r="S104" s="3"/>
      <c r="T104" s="3"/>
      <c r="U104" s="155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ht="15.75" customHeight="1">
      <c r="A105" s="145"/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  <c r="P105" s="3"/>
      <c r="Q105" s="3"/>
      <c r="R105" s="3"/>
      <c r="S105" s="3"/>
      <c r="T105" s="3"/>
      <c r="U105" s="155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ht="15.75" customHeight="1">
      <c r="A106" s="137" t="s">
        <v>900</v>
      </c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3"/>
      <c r="Q106" s="3"/>
      <c r="R106" s="3"/>
      <c r="S106" s="3"/>
      <c r="T106" s="3"/>
      <c r="U106" s="155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ht="15.75" customHeight="1">
      <c r="A107" s="138" t="s">
        <v>901</v>
      </c>
      <c r="B107" s="138" t="s">
        <v>778</v>
      </c>
      <c r="C107" s="138" t="s">
        <v>835</v>
      </c>
      <c r="D107" s="138" t="s">
        <v>728</v>
      </c>
      <c r="E107" s="138" t="s">
        <v>902</v>
      </c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3"/>
      <c r="Q107" s="3"/>
      <c r="R107" s="3"/>
      <c r="S107" s="3"/>
      <c r="T107" s="3"/>
      <c r="U107" s="155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ht="36.0" customHeight="1">
      <c r="A108" s="146" t="s">
        <v>879</v>
      </c>
      <c r="B108" s="146" t="s">
        <v>1017</v>
      </c>
      <c r="C108" s="146" t="s">
        <v>879</v>
      </c>
      <c r="D108" s="147">
        <v>0.0</v>
      </c>
      <c r="E108" s="146" t="s">
        <v>879</v>
      </c>
      <c r="F108" s="145"/>
      <c r="G108" s="145"/>
      <c r="H108" s="145"/>
      <c r="I108" s="145"/>
      <c r="J108" s="145"/>
      <c r="K108" s="145"/>
      <c r="L108" s="145"/>
      <c r="M108" s="145"/>
      <c r="N108" s="145"/>
      <c r="O108" s="145"/>
      <c r="P108" s="3"/>
      <c r="Q108" s="3"/>
      <c r="R108" s="3"/>
      <c r="S108" s="3"/>
      <c r="T108" s="3"/>
      <c r="U108" s="155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ht="15.75" customHeight="1">
      <c r="A109" s="145"/>
      <c r="B109" s="145"/>
      <c r="C109" s="145"/>
      <c r="D109" s="145"/>
      <c r="E109" s="145"/>
      <c r="F109" s="145"/>
      <c r="G109" s="145"/>
      <c r="H109" s="145"/>
      <c r="I109" s="145"/>
      <c r="J109" s="145"/>
      <c r="K109" s="145"/>
      <c r="L109" s="145"/>
      <c r="M109" s="145"/>
      <c r="N109" s="145"/>
      <c r="O109" s="145"/>
      <c r="P109" s="3"/>
      <c r="Q109" s="3"/>
      <c r="R109" s="3"/>
      <c r="S109" s="3"/>
      <c r="T109" s="3"/>
      <c r="U109" s="155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ht="15.75" customHeight="1">
      <c r="A110" s="145"/>
      <c r="B110" s="145"/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  <c r="M110" s="145"/>
      <c r="N110" s="145"/>
      <c r="O110" s="145"/>
      <c r="P110" s="3"/>
      <c r="Q110" s="3"/>
      <c r="R110" s="3"/>
      <c r="S110" s="3"/>
      <c r="T110" s="3"/>
      <c r="U110" s="155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ht="15.75" customHeight="1">
      <c r="A111" s="145"/>
      <c r="B111" s="145"/>
      <c r="C111" s="145"/>
      <c r="D111" s="145"/>
      <c r="E111" s="145"/>
      <c r="F111" s="145"/>
      <c r="G111" s="145"/>
      <c r="H111" s="145"/>
      <c r="I111" s="145"/>
      <c r="J111" s="145"/>
      <c r="K111" s="145"/>
      <c r="L111" s="145"/>
      <c r="M111" s="145"/>
      <c r="N111" s="145"/>
      <c r="O111" s="145"/>
      <c r="P111" s="3"/>
      <c r="Q111" s="3"/>
      <c r="R111" s="3"/>
      <c r="S111" s="3"/>
      <c r="T111" s="3"/>
      <c r="U111" s="155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ht="15.75" customHeight="1">
      <c r="A112" s="145"/>
      <c r="B112" s="145"/>
      <c r="C112" s="145"/>
      <c r="D112" s="145"/>
      <c r="E112" s="145"/>
      <c r="F112" s="145"/>
      <c r="G112" s="145"/>
      <c r="H112" s="145"/>
      <c r="I112" s="145"/>
      <c r="J112" s="145"/>
      <c r="K112" s="145"/>
      <c r="L112" s="145"/>
      <c r="M112" s="145"/>
      <c r="N112" s="145"/>
      <c r="O112" s="145"/>
      <c r="P112" s="3"/>
      <c r="Q112" s="3"/>
      <c r="R112" s="3"/>
      <c r="S112" s="3"/>
      <c r="T112" s="3"/>
      <c r="U112" s="155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ht="15.75" customHeight="1">
      <c r="A113" s="145"/>
      <c r="B113" s="145"/>
      <c r="C113" s="145"/>
      <c r="D113" s="145"/>
      <c r="E113" s="145"/>
      <c r="F113" s="145"/>
      <c r="G113" s="145"/>
      <c r="H113" s="145"/>
      <c r="I113" s="145"/>
      <c r="J113" s="145"/>
      <c r="K113" s="145"/>
      <c r="L113" s="145"/>
      <c r="M113" s="145"/>
      <c r="N113" s="145"/>
      <c r="O113" s="145"/>
      <c r="P113" s="3"/>
      <c r="Q113" s="3"/>
      <c r="R113" s="3"/>
      <c r="S113" s="3"/>
      <c r="T113" s="3"/>
      <c r="U113" s="155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ht="15.75" customHeight="1">
      <c r="A114" s="145"/>
      <c r="B114" s="145"/>
      <c r="C114" s="145"/>
      <c r="D114" s="145"/>
      <c r="E114" s="145"/>
      <c r="F114" s="145"/>
      <c r="G114" s="145"/>
      <c r="H114" s="145"/>
      <c r="I114" s="145"/>
      <c r="J114" s="145"/>
      <c r="K114" s="145"/>
      <c r="L114" s="145"/>
      <c r="M114" s="145"/>
      <c r="N114" s="145"/>
      <c r="O114" s="145"/>
      <c r="P114" s="3"/>
      <c r="Q114" s="3"/>
      <c r="R114" s="3"/>
      <c r="S114" s="3"/>
      <c r="T114" s="3"/>
      <c r="U114" s="155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ht="15.75" customHeight="1">
      <c r="A115" s="145"/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5"/>
      <c r="P115" s="3"/>
      <c r="Q115" s="3"/>
      <c r="R115" s="3"/>
      <c r="S115" s="3"/>
      <c r="T115" s="3"/>
      <c r="U115" s="155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ht="15.75" customHeight="1">
      <c r="A116" s="145"/>
      <c r="B116" s="145"/>
      <c r="C116" s="145"/>
      <c r="D116" s="145"/>
      <c r="E116" s="145"/>
      <c r="F116" s="145"/>
      <c r="G116" s="145"/>
      <c r="H116" s="145"/>
      <c r="I116" s="145"/>
      <c r="J116" s="145"/>
      <c r="K116" s="145"/>
      <c r="L116" s="145"/>
      <c r="M116" s="145"/>
      <c r="N116" s="145"/>
      <c r="O116" s="145"/>
      <c r="P116" s="3"/>
      <c r="Q116" s="3"/>
      <c r="R116" s="3"/>
      <c r="S116" s="3"/>
      <c r="T116" s="3"/>
      <c r="U116" s="155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ht="15.75" customHeight="1">
      <c r="A117" s="145"/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M117" s="145"/>
      <c r="N117" s="145"/>
      <c r="O117" s="145"/>
      <c r="P117" s="3"/>
      <c r="Q117" s="3"/>
      <c r="R117" s="3"/>
      <c r="S117" s="3"/>
      <c r="T117" s="3"/>
      <c r="U117" s="155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ht="15.75" customHeight="1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M118" s="145"/>
      <c r="N118" s="145"/>
      <c r="O118" s="145"/>
      <c r="P118" s="3"/>
      <c r="Q118" s="3"/>
      <c r="R118" s="3"/>
      <c r="S118" s="3"/>
      <c r="T118" s="3"/>
      <c r="U118" s="155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ht="15.75" customHeight="1">
      <c r="A119" s="145"/>
      <c r="B119" s="145"/>
      <c r="C119" s="145"/>
      <c r="D119" s="145"/>
      <c r="E119" s="145"/>
      <c r="F119" s="145"/>
      <c r="G119" s="145"/>
      <c r="H119" s="145"/>
      <c r="I119" s="145"/>
      <c r="J119" s="145"/>
      <c r="K119" s="145"/>
      <c r="L119" s="145"/>
      <c r="M119" s="145"/>
      <c r="N119" s="145"/>
      <c r="O119" s="145"/>
      <c r="P119" s="3"/>
      <c r="Q119" s="3"/>
      <c r="R119" s="3"/>
      <c r="S119" s="3"/>
      <c r="T119" s="3"/>
      <c r="U119" s="155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ht="15.75" customHeight="1">
      <c r="A120" s="145"/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3"/>
      <c r="Q120" s="3"/>
      <c r="R120" s="3"/>
      <c r="S120" s="3"/>
      <c r="T120" s="3"/>
      <c r="U120" s="155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ht="15.75" customHeight="1">
      <c r="A121" s="145"/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 s="3"/>
      <c r="Q121" s="3"/>
      <c r="R121" s="3"/>
      <c r="S121" s="3"/>
      <c r="T121" s="3"/>
      <c r="U121" s="155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ht="15.75" customHeight="1">
      <c r="A122" s="145"/>
      <c r="B122" s="145"/>
      <c r="C122" s="145"/>
      <c r="D122" s="145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 s="3"/>
      <c r="Q122" s="3"/>
      <c r="R122" s="3"/>
      <c r="S122" s="3"/>
      <c r="T122" s="3"/>
      <c r="U122" s="155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ht="15.75" customHeight="1">
      <c r="A123" s="145"/>
      <c r="B123" s="145"/>
      <c r="C123" s="145"/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 s="3"/>
      <c r="Q123" s="3"/>
      <c r="R123" s="3"/>
      <c r="S123" s="3"/>
      <c r="T123" s="3"/>
      <c r="U123" s="155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ht="15.75" customHeight="1">
      <c r="A124" s="145"/>
      <c r="B124" s="145"/>
      <c r="C124" s="145"/>
      <c r="D124" s="145"/>
      <c r="E124" s="145"/>
      <c r="F124" s="145"/>
      <c r="G124" s="145"/>
      <c r="H124" s="145"/>
      <c r="I124" s="145"/>
      <c r="J124" s="145"/>
      <c r="K124" s="145"/>
      <c r="L124" s="145"/>
      <c r="M124" s="145"/>
      <c r="N124" s="145"/>
      <c r="O124" s="145"/>
      <c r="P124" s="3"/>
      <c r="Q124" s="3"/>
      <c r="R124" s="3"/>
      <c r="S124" s="3"/>
      <c r="T124" s="3"/>
      <c r="U124" s="155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ht="15.75" customHeight="1">
      <c r="A125" s="145"/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3"/>
      <c r="Q125" s="3"/>
      <c r="R125" s="3"/>
      <c r="S125" s="3"/>
      <c r="T125" s="3"/>
      <c r="U125" s="155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55"/>
      <c r="P126" s="3"/>
      <c r="Q126" s="3"/>
      <c r="R126" s="3"/>
      <c r="S126" s="3"/>
      <c r="T126" s="3"/>
      <c r="U126" s="155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55"/>
      <c r="P127" s="3"/>
      <c r="Q127" s="3"/>
      <c r="R127" s="3"/>
      <c r="S127" s="3"/>
      <c r="T127" s="3"/>
      <c r="U127" s="155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55"/>
      <c r="P128" s="3"/>
      <c r="Q128" s="3"/>
      <c r="R128" s="3"/>
      <c r="S128" s="3"/>
      <c r="T128" s="3"/>
      <c r="U128" s="155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55"/>
      <c r="P129" s="3"/>
      <c r="Q129" s="3"/>
      <c r="R129" s="3"/>
      <c r="S129" s="3"/>
      <c r="T129" s="3"/>
      <c r="U129" s="155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55"/>
      <c r="P130" s="3"/>
      <c r="Q130" s="3"/>
      <c r="R130" s="3"/>
      <c r="S130" s="3"/>
      <c r="T130" s="3"/>
      <c r="U130" s="155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55"/>
      <c r="P131" s="3"/>
      <c r="Q131" s="3"/>
      <c r="R131" s="3"/>
      <c r="S131" s="3"/>
      <c r="T131" s="3"/>
      <c r="U131" s="155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55"/>
      <c r="P132" s="3"/>
      <c r="Q132" s="3"/>
      <c r="R132" s="3"/>
      <c r="S132" s="3"/>
      <c r="T132" s="3"/>
      <c r="U132" s="155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55"/>
      <c r="P133" s="3"/>
      <c r="Q133" s="3"/>
      <c r="R133" s="3"/>
      <c r="S133" s="3"/>
      <c r="T133" s="3"/>
      <c r="U133" s="155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55"/>
      <c r="P134" s="3"/>
      <c r="Q134" s="3"/>
      <c r="R134" s="3"/>
      <c r="S134" s="3"/>
      <c r="T134" s="3"/>
      <c r="U134" s="155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55"/>
      <c r="P135" s="3"/>
      <c r="Q135" s="3"/>
      <c r="R135" s="3"/>
      <c r="S135" s="3"/>
      <c r="T135" s="3"/>
      <c r="U135" s="155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55"/>
      <c r="P136" s="3"/>
      <c r="Q136" s="3"/>
      <c r="R136" s="3"/>
      <c r="S136" s="3"/>
      <c r="T136" s="3"/>
      <c r="U136" s="155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55"/>
      <c r="P137" s="3"/>
      <c r="Q137" s="3"/>
      <c r="R137" s="3"/>
      <c r="S137" s="3"/>
      <c r="T137" s="3"/>
      <c r="U137" s="155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55"/>
      <c r="P138" s="3"/>
      <c r="Q138" s="3"/>
      <c r="R138" s="3"/>
      <c r="S138" s="3"/>
      <c r="T138" s="3"/>
      <c r="U138" s="155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55"/>
      <c r="P139" s="3"/>
      <c r="Q139" s="3"/>
      <c r="R139" s="3"/>
      <c r="S139" s="3"/>
      <c r="T139" s="3"/>
      <c r="U139" s="155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55"/>
      <c r="P140" s="3"/>
      <c r="Q140" s="3"/>
      <c r="R140" s="3"/>
      <c r="S140" s="3"/>
      <c r="T140" s="3"/>
      <c r="U140" s="155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55"/>
      <c r="P141" s="3"/>
      <c r="Q141" s="3"/>
      <c r="R141" s="3"/>
      <c r="S141" s="3"/>
      <c r="T141" s="3"/>
      <c r="U141" s="155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55"/>
      <c r="P142" s="3"/>
      <c r="Q142" s="3"/>
      <c r="R142" s="3"/>
      <c r="S142" s="3"/>
      <c r="T142" s="3"/>
      <c r="U142" s="155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55"/>
      <c r="P143" s="3"/>
      <c r="Q143" s="3"/>
      <c r="R143" s="3"/>
      <c r="S143" s="3"/>
      <c r="T143" s="3"/>
      <c r="U143" s="155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55"/>
      <c r="P144" s="3"/>
      <c r="Q144" s="3"/>
      <c r="R144" s="3"/>
      <c r="S144" s="3"/>
      <c r="T144" s="3"/>
      <c r="U144" s="155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55"/>
      <c r="P145" s="3"/>
      <c r="Q145" s="3"/>
      <c r="R145" s="3"/>
      <c r="S145" s="3"/>
      <c r="T145" s="3"/>
      <c r="U145" s="155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55"/>
      <c r="P146" s="3"/>
      <c r="Q146" s="3"/>
      <c r="R146" s="3"/>
      <c r="S146" s="3"/>
      <c r="T146" s="3"/>
      <c r="U146" s="155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55"/>
      <c r="P147" s="3"/>
      <c r="Q147" s="3"/>
      <c r="R147" s="3"/>
      <c r="S147" s="3"/>
      <c r="T147" s="3"/>
      <c r="U147" s="155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55"/>
      <c r="P148" s="3"/>
      <c r="Q148" s="3"/>
      <c r="R148" s="3"/>
      <c r="S148" s="3"/>
      <c r="T148" s="3"/>
      <c r="U148" s="155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55"/>
      <c r="P149" s="3"/>
      <c r="Q149" s="3"/>
      <c r="R149" s="3"/>
      <c r="S149" s="3"/>
      <c r="T149" s="3"/>
      <c r="U149" s="155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55"/>
      <c r="P150" s="3"/>
      <c r="Q150" s="3"/>
      <c r="R150" s="3"/>
      <c r="S150" s="3"/>
      <c r="T150" s="3"/>
      <c r="U150" s="155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55"/>
      <c r="P151" s="3"/>
      <c r="Q151" s="3"/>
      <c r="R151" s="3"/>
      <c r="S151" s="3"/>
      <c r="T151" s="3"/>
      <c r="U151" s="155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55"/>
      <c r="P152" s="3"/>
      <c r="Q152" s="3"/>
      <c r="R152" s="3"/>
      <c r="S152" s="3"/>
      <c r="T152" s="3"/>
      <c r="U152" s="155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55"/>
      <c r="P153" s="3"/>
      <c r="Q153" s="3"/>
      <c r="R153" s="3"/>
      <c r="S153" s="3"/>
      <c r="T153" s="3"/>
      <c r="U153" s="155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55"/>
      <c r="P154" s="3"/>
      <c r="Q154" s="3"/>
      <c r="R154" s="3"/>
      <c r="S154" s="3"/>
      <c r="T154" s="3"/>
      <c r="U154" s="155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55"/>
      <c r="P155" s="3"/>
      <c r="Q155" s="3"/>
      <c r="R155" s="3"/>
      <c r="S155" s="3"/>
      <c r="T155" s="3"/>
      <c r="U155" s="155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55"/>
      <c r="P156" s="3"/>
      <c r="Q156" s="3"/>
      <c r="R156" s="3"/>
      <c r="S156" s="3"/>
      <c r="T156" s="3"/>
      <c r="U156" s="155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55"/>
      <c r="P157" s="3"/>
      <c r="Q157" s="3"/>
      <c r="R157" s="3"/>
      <c r="S157" s="3"/>
      <c r="T157" s="3"/>
      <c r="U157" s="155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55"/>
      <c r="P158" s="3"/>
      <c r="Q158" s="3"/>
      <c r="R158" s="3"/>
      <c r="S158" s="3"/>
      <c r="T158" s="3"/>
      <c r="U158" s="155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55"/>
      <c r="P159" s="3"/>
      <c r="Q159" s="3"/>
      <c r="R159" s="3"/>
      <c r="S159" s="3"/>
      <c r="T159" s="3"/>
      <c r="U159" s="155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55"/>
      <c r="P160" s="3"/>
      <c r="Q160" s="3"/>
      <c r="R160" s="3"/>
      <c r="S160" s="3"/>
      <c r="T160" s="3"/>
      <c r="U160" s="155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55"/>
      <c r="P161" s="3"/>
      <c r="Q161" s="3"/>
      <c r="R161" s="3"/>
      <c r="S161" s="3"/>
      <c r="T161" s="3"/>
      <c r="U161" s="155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55"/>
      <c r="P162" s="3"/>
      <c r="Q162" s="3"/>
      <c r="R162" s="3"/>
      <c r="S162" s="3"/>
      <c r="T162" s="3"/>
      <c r="U162" s="155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55"/>
      <c r="P163" s="3"/>
      <c r="Q163" s="3"/>
      <c r="R163" s="3"/>
      <c r="S163" s="3"/>
      <c r="T163" s="3"/>
      <c r="U163" s="155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55"/>
      <c r="P164" s="3"/>
      <c r="Q164" s="3"/>
      <c r="R164" s="3"/>
      <c r="S164" s="3"/>
      <c r="T164" s="3"/>
      <c r="U164" s="155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55"/>
      <c r="P165" s="3"/>
      <c r="Q165" s="3"/>
      <c r="R165" s="3"/>
      <c r="S165" s="3"/>
      <c r="T165" s="3"/>
      <c r="U165" s="155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55"/>
      <c r="P166" s="3"/>
      <c r="Q166" s="3"/>
      <c r="R166" s="3"/>
      <c r="S166" s="3"/>
      <c r="T166" s="3"/>
      <c r="U166" s="155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55"/>
      <c r="P167" s="3"/>
      <c r="Q167" s="3"/>
      <c r="R167" s="3"/>
      <c r="S167" s="3"/>
      <c r="T167" s="3"/>
      <c r="U167" s="155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55"/>
      <c r="P168" s="3"/>
      <c r="Q168" s="3"/>
      <c r="R168" s="3"/>
      <c r="S168" s="3"/>
      <c r="T168" s="3"/>
      <c r="U168" s="155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55"/>
      <c r="P169" s="3"/>
      <c r="Q169" s="3"/>
      <c r="R169" s="3"/>
      <c r="S169" s="3"/>
      <c r="T169" s="3"/>
      <c r="U169" s="155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55"/>
      <c r="P170" s="3"/>
      <c r="Q170" s="3"/>
      <c r="R170" s="3"/>
      <c r="S170" s="3"/>
      <c r="T170" s="3"/>
      <c r="U170" s="155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55"/>
      <c r="P171" s="3"/>
      <c r="Q171" s="3"/>
      <c r="R171" s="3"/>
      <c r="S171" s="3"/>
      <c r="T171" s="3"/>
      <c r="U171" s="155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55"/>
      <c r="P172" s="3"/>
      <c r="Q172" s="3"/>
      <c r="R172" s="3"/>
      <c r="S172" s="3"/>
      <c r="T172" s="3"/>
      <c r="U172" s="155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55"/>
      <c r="P173" s="3"/>
      <c r="Q173" s="3"/>
      <c r="R173" s="3"/>
      <c r="S173" s="3"/>
      <c r="T173" s="3"/>
      <c r="U173" s="155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55"/>
      <c r="P174" s="3"/>
      <c r="Q174" s="3"/>
      <c r="R174" s="3"/>
      <c r="S174" s="3"/>
      <c r="T174" s="3"/>
      <c r="U174" s="155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55"/>
      <c r="P175" s="3"/>
      <c r="Q175" s="3"/>
      <c r="R175" s="3"/>
      <c r="S175" s="3"/>
      <c r="T175" s="3"/>
      <c r="U175" s="155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55"/>
      <c r="P176" s="3"/>
      <c r="Q176" s="3"/>
      <c r="R176" s="3"/>
      <c r="S176" s="3"/>
      <c r="T176" s="3"/>
      <c r="U176" s="155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55"/>
      <c r="P177" s="3"/>
      <c r="Q177" s="3"/>
      <c r="R177" s="3"/>
      <c r="S177" s="3"/>
      <c r="T177" s="3"/>
      <c r="U177" s="155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55"/>
      <c r="P178" s="3"/>
      <c r="Q178" s="3"/>
      <c r="R178" s="3"/>
      <c r="S178" s="3"/>
      <c r="T178" s="3"/>
      <c r="U178" s="155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55"/>
      <c r="P179" s="3"/>
      <c r="Q179" s="3"/>
      <c r="R179" s="3"/>
      <c r="S179" s="3"/>
      <c r="T179" s="3"/>
      <c r="U179" s="155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55"/>
      <c r="P180" s="3"/>
      <c r="Q180" s="3"/>
      <c r="R180" s="3"/>
      <c r="S180" s="3"/>
      <c r="T180" s="3"/>
      <c r="U180" s="155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55"/>
      <c r="P181" s="3"/>
      <c r="Q181" s="3"/>
      <c r="R181" s="3"/>
      <c r="S181" s="3"/>
      <c r="T181" s="3"/>
      <c r="U181" s="155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55"/>
      <c r="P182" s="3"/>
      <c r="Q182" s="3"/>
      <c r="R182" s="3"/>
      <c r="S182" s="3"/>
      <c r="T182" s="3"/>
      <c r="U182" s="155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55"/>
      <c r="P183" s="3"/>
      <c r="Q183" s="3"/>
      <c r="R183" s="3"/>
      <c r="S183" s="3"/>
      <c r="T183" s="3"/>
      <c r="U183" s="155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55"/>
      <c r="P184" s="3"/>
      <c r="Q184" s="3"/>
      <c r="R184" s="3"/>
      <c r="S184" s="3"/>
      <c r="T184" s="3"/>
      <c r="U184" s="155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55"/>
      <c r="P185" s="3"/>
      <c r="Q185" s="3"/>
      <c r="R185" s="3"/>
      <c r="S185" s="3"/>
      <c r="T185" s="3"/>
      <c r="U185" s="155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55"/>
      <c r="P186" s="3"/>
      <c r="Q186" s="3"/>
      <c r="R186" s="3"/>
      <c r="S186" s="3"/>
      <c r="T186" s="3"/>
      <c r="U186" s="155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55"/>
      <c r="P187" s="3"/>
      <c r="Q187" s="3"/>
      <c r="R187" s="3"/>
      <c r="S187" s="3"/>
      <c r="T187" s="3"/>
      <c r="U187" s="155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55"/>
      <c r="P188" s="3"/>
      <c r="Q188" s="3"/>
      <c r="R188" s="3"/>
      <c r="S188" s="3"/>
      <c r="T188" s="3"/>
      <c r="U188" s="155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55"/>
      <c r="P189" s="3"/>
      <c r="Q189" s="3"/>
      <c r="R189" s="3"/>
      <c r="S189" s="3"/>
      <c r="T189" s="3"/>
      <c r="U189" s="155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55"/>
      <c r="P190" s="3"/>
      <c r="Q190" s="3"/>
      <c r="R190" s="3"/>
      <c r="S190" s="3"/>
      <c r="T190" s="3"/>
      <c r="U190" s="155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55"/>
      <c r="P191" s="3"/>
      <c r="Q191" s="3"/>
      <c r="R191" s="3"/>
      <c r="S191" s="3"/>
      <c r="T191" s="3"/>
      <c r="U191" s="155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55"/>
      <c r="P192" s="3"/>
      <c r="Q192" s="3"/>
      <c r="R192" s="3"/>
      <c r="S192" s="3"/>
      <c r="T192" s="3"/>
      <c r="U192" s="155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55"/>
      <c r="P193" s="3"/>
      <c r="Q193" s="3"/>
      <c r="R193" s="3"/>
      <c r="S193" s="3"/>
      <c r="T193" s="3"/>
      <c r="U193" s="155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55"/>
      <c r="P194" s="3"/>
      <c r="Q194" s="3"/>
      <c r="R194" s="3"/>
      <c r="S194" s="3"/>
      <c r="T194" s="3"/>
      <c r="U194" s="155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55"/>
      <c r="P195" s="3"/>
      <c r="Q195" s="3"/>
      <c r="R195" s="3"/>
      <c r="S195" s="3"/>
      <c r="T195" s="3"/>
      <c r="U195" s="155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55"/>
      <c r="P196" s="3"/>
      <c r="Q196" s="3"/>
      <c r="R196" s="3"/>
      <c r="S196" s="3"/>
      <c r="T196" s="3"/>
      <c r="U196" s="155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55"/>
      <c r="P197" s="3"/>
      <c r="Q197" s="3"/>
      <c r="R197" s="3"/>
      <c r="S197" s="3"/>
      <c r="T197" s="3"/>
      <c r="U197" s="155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55"/>
      <c r="P198" s="3"/>
      <c r="Q198" s="3"/>
      <c r="R198" s="3"/>
      <c r="S198" s="3"/>
      <c r="T198" s="3"/>
      <c r="U198" s="155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55"/>
      <c r="P199" s="3"/>
      <c r="Q199" s="3"/>
      <c r="R199" s="3"/>
      <c r="S199" s="3"/>
      <c r="T199" s="3"/>
      <c r="U199" s="155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55"/>
      <c r="P200" s="3"/>
      <c r="Q200" s="3"/>
      <c r="R200" s="3"/>
      <c r="S200" s="3"/>
      <c r="T200" s="3"/>
      <c r="U200" s="155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55"/>
      <c r="P201" s="3"/>
      <c r="Q201" s="3"/>
      <c r="R201" s="3"/>
      <c r="S201" s="3"/>
      <c r="T201" s="3"/>
      <c r="U201" s="155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55"/>
      <c r="P202" s="3"/>
      <c r="Q202" s="3"/>
      <c r="R202" s="3"/>
      <c r="S202" s="3"/>
      <c r="T202" s="3"/>
      <c r="U202" s="155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55"/>
      <c r="P203" s="3"/>
      <c r="Q203" s="3"/>
      <c r="R203" s="3"/>
      <c r="S203" s="3"/>
      <c r="T203" s="3"/>
      <c r="U203" s="155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55"/>
      <c r="P204" s="3"/>
      <c r="Q204" s="3"/>
      <c r="R204" s="3"/>
      <c r="S204" s="3"/>
      <c r="T204" s="3"/>
      <c r="U204" s="155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55"/>
      <c r="P205" s="3"/>
      <c r="Q205" s="3"/>
      <c r="R205" s="3"/>
      <c r="S205" s="3"/>
      <c r="T205" s="3"/>
      <c r="U205" s="155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55"/>
      <c r="P206" s="3"/>
      <c r="Q206" s="3"/>
      <c r="R206" s="3"/>
      <c r="S206" s="3"/>
      <c r="T206" s="3"/>
      <c r="U206" s="155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55"/>
      <c r="P207" s="3"/>
      <c r="Q207" s="3"/>
      <c r="R207" s="3"/>
      <c r="S207" s="3"/>
      <c r="T207" s="3"/>
      <c r="U207" s="155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55"/>
      <c r="P208" s="3"/>
      <c r="Q208" s="3"/>
      <c r="R208" s="3"/>
      <c r="S208" s="3"/>
      <c r="T208" s="3"/>
      <c r="U208" s="155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55"/>
      <c r="P209" s="3"/>
      <c r="Q209" s="3"/>
      <c r="R209" s="3"/>
      <c r="S209" s="3"/>
      <c r="T209" s="3"/>
      <c r="U209" s="155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55"/>
      <c r="P210" s="3"/>
      <c r="Q210" s="3"/>
      <c r="R210" s="3"/>
      <c r="S210" s="3"/>
      <c r="T210" s="3"/>
      <c r="U210" s="155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55"/>
      <c r="P211" s="3"/>
      <c r="Q211" s="3"/>
      <c r="R211" s="3"/>
      <c r="S211" s="3"/>
      <c r="T211" s="3"/>
      <c r="U211" s="155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55"/>
      <c r="P212" s="3"/>
      <c r="Q212" s="3"/>
      <c r="R212" s="3"/>
      <c r="S212" s="3"/>
      <c r="T212" s="3"/>
      <c r="U212" s="155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55"/>
      <c r="P213" s="3"/>
      <c r="Q213" s="3"/>
      <c r="R213" s="3"/>
      <c r="S213" s="3"/>
      <c r="T213" s="3"/>
      <c r="U213" s="155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55"/>
      <c r="P214" s="3"/>
      <c r="Q214" s="3"/>
      <c r="R214" s="3"/>
      <c r="S214" s="3"/>
      <c r="T214" s="3"/>
      <c r="U214" s="155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55"/>
      <c r="P215" s="3"/>
      <c r="Q215" s="3"/>
      <c r="R215" s="3"/>
      <c r="S215" s="3"/>
      <c r="T215" s="3"/>
      <c r="U215" s="155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55"/>
      <c r="P216" s="3"/>
      <c r="Q216" s="3"/>
      <c r="R216" s="3"/>
      <c r="S216" s="3"/>
      <c r="T216" s="3"/>
      <c r="U216" s="155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55"/>
      <c r="P217" s="3"/>
      <c r="Q217" s="3"/>
      <c r="R217" s="3"/>
      <c r="S217" s="3"/>
      <c r="T217" s="3"/>
      <c r="U217" s="155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55"/>
      <c r="P218" s="3"/>
      <c r="Q218" s="3"/>
      <c r="R218" s="3"/>
      <c r="S218" s="3"/>
      <c r="T218" s="3"/>
      <c r="U218" s="155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55"/>
      <c r="P219" s="3"/>
      <c r="Q219" s="3"/>
      <c r="R219" s="3"/>
      <c r="S219" s="3"/>
      <c r="T219" s="3"/>
      <c r="U219" s="155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55"/>
      <c r="P220" s="3"/>
      <c r="Q220" s="3"/>
      <c r="R220" s="3"/>
      <c r="S220" s="3"/>
      <c r="T220" s="3"/>
      <c r="U220" s="155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55"/>
      <c r="P221" s="3"/>
      <c r="Q221" s="3"/>
      <c r="R221" s="3"/>
      <c r="S221" s="3"/>
      <c r="T221" s="3"/>
      <c r="U221" s="155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55"/>
      <c r="P222" s="3"/>
      <c r="Q222" s="3"/>
      <c r="R222" s="3"/>
      <c r="S222" s="3"/>
      <c r="T222" s="3"/>
      <c r="U222" s="155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55"/>
      <c r="P223" s="3"/>
      <c r="Q223" s="3"/>
      <c r="R223" s="3"/>
      <c r="S223" s="3"/>
      <c r="T223" s="3"/>
      <c r="U223" s="155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55"/>
      <c r="P224" s="3"/>
      <c r="Q224" s="3"/>
      <c r="R224" s="3"/>
      <c r="S224" s="3"/>
      <c r="T224" s="3"/>
      <c r="U224" s="155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55"/>
      <c r="P225" s="3"/>
      <c r="Q225" s="3"/>
      <c r="R225" s="3"/>
      <c r="S225" s="3"/>
      <c r="T225" s="3"/>
      <c r="U225" s="155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55"/>
      <c r="P226" s="3"/>
      <c r="Q226" s="3"/>
      <c r="R226" s="3"/>
      <c r="S226" s="3"/>
      <c r="T226" s="3"/>
      <c r="U226" s="155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55"/>
      <c r="P227" s="3"/>
      <c r="Q227" s="3"/>
      <c r="R227" s="3"/>
      <c r="S227" s="3"/>
      <c r="T227" s="3"/>
      <c r="U227" s="155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55"/>
      <c r="P228" s="3"/>
      <c r="Q228" s="3"/>
      <c r="R228" s="3"/>
      <c r="S228" s="3"/>
      <c r="T228" s="3"/>
      <c r="U228" s="155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55"/>
      <c r="P229" s="3"/>
      <c r="Q229" s="3"/>
      <c r="R229" s="3"/>
      <c r="S229" s="3"/>
      <c r="T229" s="3"/>
      <c r="U229" s="155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55"/>
      <c r="P230" s="3"/>
      <c r="Q230" s="3"/>
      <c r="R230" s="3"/>
      <c r="S230" s="3"/>
      <c r="T230" s="3"/>
      <c r="U230" s="155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55"/>
      <c r="P231" s="3"/>
      <c r="Q231" s="3"/>
      <c r="R231" s="3"/>
      <c r="S231" s="3"/>
      <c r="T231" s="3"/>
      <c r="U231" s="155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55"/>
      <c r="P232" s="3"/>
      <c r="Q232" s="3"/>
      <c r="R232" s="3"/>
      <c r="S232" s="3"/>
      <c r="T232" s="3"/>
      <c r="U232" s="155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55"/>
      <c r="P233" s="3"/>
      <c r="Q233" s="3"/>
      <c r="R233" s="3"/>
      <c r="S233" s="3"/>
      <c r="T233" s="3"/>
      <c r="U233" s="155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55"/>
      <c r="P234" s="3"/>
      <c r="Q234" s="3"/>
      <c r="R234" s="3"/>
      <c r="S234" s="3"/>
      <c r="T234" s="3"/>
      <c r="U234" s="155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55"/>
      <c r="P235" s="3"/>
      <c r="Q235" s="3"/>
      <c r="R235" s="3"/>
      <c r="S235" s="3"/>
      <c r="T235" s="3"/>
      <c r="U235" s="155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55"/>
      <c r="P236" s="3"/>
      <c r="Q236" s="3"/>
      <c r="R236" s="3"/>
      <c r="S236" s="3"/>
      <c r="T236" s="3"/>
      <c r="U236" s="155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55"/>
      <c r="P237" s="3"/>
      <c r="Q237" s="3"/>
      <c r="R237" s="3"/>
      <c r="S237" s="3"/>
      <c r="T237" s="3"/>
      <c r="U237" s="155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55"/>
      <c r="P238" s="3"/>
      <c r="Q238" s="3"/>
      <c r="R238" s="3"/>
      <c r="S238" s="3"/>
      <c r="T238" s="3"/>
      <c r="U238" s="155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55"/>
      <c r="P239" s="3"/>
      <c r="Q239" s="3"/>
      <c r="R239" s="3"/>
      <c r="S239" s="3"/>
      <c r="T239" s="3"/>
      <c r="U239" s="155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55"/>
      <c r="P240" s="3"/>
      <c r="Q240" s="3"/>
      <c r="R240" s="3"/>
      <c r="S240" s="3"/>
      <c r="T240" s="3"/>
      <c r="U240" s="155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55"/>
      <c r="P241" s="3"/>
      <c r="Q241" s="3"/>
      <c r="R241" s="3"/>
      <c r="S241" s="3"/>
      <c r="T241" s="3"/>
      <c r="U241" s="155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55"/>
      <c r="P242" s="3"/>
      <c r="Q242" s="3"/>
      <c r="R242" s="3"/>
      <c r="S242" s="3"/>
      <c r="T242" s="3"/>
      <c r="U242" s="155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55"/>
      <c r="P243" s="3"/>
      <c r="Q243" s="3"/>
      <c r="R243" s="3"/>
      <c r="S243" s="3"/>
      <c r="T243" s="3"/>
      <c r="U243" s="155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55"/>
      <c r="P244" s="3"/>
      <c r="Q244" s="3"/>
      <c r="R244" s="3"/>
      <c r="S244" s="3"/>
      <c r="T244" s="3"/>
      <c r="U244" s="155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55"/>
      <c r="P245" s="3"/>
      <c r="Q245" s="3"/>
      <c r="R245" s="3"/>
      <c r="S245" s="3"/>
      <c r="T245" s="3"/>
      <c r="U245" s="155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55"/>
      <c r="P246" s="3"/>
      <c r="Q246" s="3"/>
      <c r="R246" s="3"/>
      <c r="S246" s="3"/>
      <c r="T246" s="3"/>
      <c r="U246" s="155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55"/>
      <c r="P247" s="3"/>
      <c r="Q247" s="3"/>
      <c r="R247" s="3"/>
      <c r="S247" s="3"/>
      <c r="T247" s="3"/>
      <c r="U247" s="155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55"/>
      <c r="P248" s="3"/>
      <c r="Q248" s="3"/>
      <c r="R248" s="3"/>
      <c r="S248" s="3"/>
      <c r="T248" s="3"/>
      <c r="U248" s="155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55"/>
      <c r="P249" s="3"/>
      <c r="Q249" s="3"/>
      <c r="R249" s="3"/>
      <c r="S249" s="3"/>
      <c r="T249" s="3"/>
      <c r="U249" s="155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55"/>
      <c r="P250" s="3"/>
      <c r="Q250" s="3"/>
      <c r="R250" s="3"/>
      <c r="S250" s="3"/>
      <c r="T250" s="3"/>
      <c r="U250" s="155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55"/>
      <c r="P251" s="3"/>
      <c r="Q251" s="3"/>
      <c r="R251" s="3"/>
      <c r="S251" s="3"/>
      <c r="T251" s="3"/>
      <c r="U251" s="155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55"/>
      <c r="P252" s="3"/>
      <c r="Q252" s="3"/>
      <c r="R252" s="3"/>
      <c r="S252" s="3"/>
      <c r="T252" s="3"/>
      <c r="U252" s="155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55"/>
      <c r="P253" s="3"/>
      <c r="Q253" s="3"/>
      <c r="R253" s="3"/>
      <c r="S253" s="3"/>
      <c r="T253" s="3"/>
      <c r="U253" s="155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55"/>
      <c r="P254" s="3"/>
      <c r="Q254" s="3"/>
      <c r="R254" s="3"/>
      <c r="S254" s="3"/>
      <c r="T254" s="3"/>
      <c r="U254" s="155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55"/>
      <c r="P255" s="3"/>
      <c r="Q255" s="3"/>
      <c r="R255" s="3"/>
      <c r="S255" s="3"/>
      <c r="T255" s="3"/>
      <c r="U255" s="155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55"/>
      <c r="P256" s="3"/>
      <c r="Q256" s="3"/>
      <c r="R256" s="3"/>
      <c r="S256" s="3"/>
      <c r="T256" s="3"/>
      <c r="U256" s="155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55"/>
      <c r="P257" s="3"/>
      <c r="Q257" s="3"/>
      <c r="R257" s="3"/>
      <c r="S257" s="3"/>
      <c r="T257" s="3"/>
      <c r="U257" s="155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55"/>
      <c r="P258" s="3"/>
      <c r="Q258" s="3"/>
      <c r="R258" s="3"/>
      <c r="S258" s="3"/>
      <c r="T258" s="3"/>
      <c r="U258" s="155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55"/>
      <c r="P259" s="3"/>
      <c r="Q259" s="3"/>
      <c r="R259" s="3"/>
      <c r="S259" s="3"/>
      <c r="T259" s="3"/>
      <c r="U259" s="155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55"/>
      <c r="P260" s="3"/>
      <c r="Q260" s="3"/>
      <c r="R260" s="3"/>
      <c r="S260" s="3"/>
      <c r="T260" s="3"/>
      <c r="U260" s="155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55"/>
      <c r="P261" s="3"/>
      <c r="Q261" s="3"/>
      <c r="R261" s="3"/>
      <c r="S261" s="3"/>
      <c r="T261" s="3"/>
      <c r="U261" s="155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55"/>
      <c r="P262" s="3"/>
      <c r="Q262" s="3"/>
      <c r="R262" s="3"/>
      <c r="S262" s="3"/>
      <c r="T262" s="3"/>
      <c r="U262" s="155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55"/>
      <c r="P263" s="3"/>
      <c r="Q263" s="3"/>
      <c r="R263" s="3"/>
      <c r="S263" s="3"/>
      <c r="T263" s="3"/>
      <c r="U263" s="155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55"/>
      <c r="P264" s="3"/>
      <c r="Q264" s="3"/>
      <c r="R264" s="3"/>
      <c r="S264" s="3"/>
      <c r="T264" s="3"/>
      <c r="U264" s="155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55"/>
      <c r="P265" s="3"/>
      <c r="Q265" s="3"/>
      <c r="R265" s="3"/>
      <c r="S265" s="3"/>
      <c r="T265" s="3"/>
      <c r="U265" s="155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55"/>
      <c r="P266" s="3"/>
      <c r="Q266" s="3"/>
      <c r="R266" s="3"/>
      <c r="S266" s="3"/>
      <c r="T266" s="3"/>
      <c r="U266" s="155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55"/>
      <c r="P267" s="3"/>
      <c r="Q267" s="3"/>
      <c r="R267" s="3"/>
      <c r="S267" s="3"/>
      <c r="T267" s="3"/>
      <c r="U267" s="155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55"/>
      <c r="P268" s="3"/>
      <c r="Q268" s="3"/>
      <c r="R268" s="3"/>
      <c r="S268" s="3"/>
      <c r="T268" s="3"/>
      <c r="U268" s="155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55"/>
      <c r="P269" s="3"/>
      <c r="Q269" s="3"/>
      <c r="R269" s="3"/>
      <c r="S269" s="3"/>
      <c r="T269" s="3"/>
      <c r="U269" s="155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</row>
  </sheetData>
  <conditionalFormatting sqref="A7:AB10 A20:A21 A24:D24 A35:A36 A48:A49 B21:D21 B36:D36 B49:D49 F20:F21 F24:H24 F35:F36 F48:F49 G21:H21 G36:H36 G49:H49 J21:AB21 J24:AB24 J36:AB36 J49:AB49 M62">
    <cfRule type="expression" dxfId="0" priority="1">
      <formula>AND($H7="Вышло",$G7="")</formula>
    </cfRule>
  </conditionalFormatting>
  <conditionalFormatting sqref="A7:AB10 A20:A21 A24:D24 A35:A36 A48:A49 B21:D21 B36:D36 B49:D49 F20:F21 F24:H24 F35:F36 F48:F49 G21:H21 G36:H36 G49:H49 J21:AB21 J24:AB24 J36:AB36 J49:AB49 M62">
    <cfRule type="expression" dxfId="3" priority="2">
      <formula>AND($H7="Вышло",N($Y7)=0,N($U7)=0)</formula>
    </cfRule>
  </conditionalFormatting>
  <conditionalFormatting sqref="A14:A18 A20:A33 A35:A60 A68:C68 B14:D59 D61:D68 E14:E19 E24:E34 E36:E59 E68:H68 F14:AB59 I61:J68 K68 L61:M68 N68:O68 P61:Q68 R68:S68 T61:U68 V68 W61:X68 Y68:AA68 AB61:AB68">
    <cfRule type="expression" dxfId="0" priority="3">
      <formula>AND($H5="Вышло",$G5="")</formula>
    </cfRule>
  </conditionalFormatting>
  <conditionalFormatting sqref="A14:A18 A20:A33 A35:A60 A68:C68 B14:D59 D61:D68 E14:E19 E24:E34 E36:E59 E68:H68 F14:AB59 I61:J68 K68 L61:M68 N68:O68 P61:Q68 R68:S68 T61:U68 V68 W61:X68 Y68:AA68 AB61:AB68">
    <cfRule type="expression" dxfId="3" priority="4">
      <formula>AND($H5="Вышло",N($Y5)=0,N($U5)=0)</formula>
    </cfRule>
  </conditionalFormatting>
  <conditionalFormatting sqref="A35:AB35">
    <cfRule type="expression" dxfId="0" priority="5">
      <formula>AND($H35="Вышло",$G35="")</formula>
    </cfRule>
  </conditionalFormatting>
  <conditionalFormatting sqref="A35:AB35">
    <cfRule type="expression" dxfId="3" priority="6">
      <formula>AND($H35="Вышло",N($Y35)=0,N($U35)=0)</formula>
    </cfRule>
  </conditionalFormatting>
  <conditionalFormatting sqref="A38:AB50 A60 I61 L61:L62 M61:M63">
    <cfRule type="expression" dxfId="0" priority="7">
      <formula>AND($H38="Вышло",$G38="")</formula>
    </cfRule>
  </conditionalFormatting>
  <conditionalFormatting sqref="A38:AB50 A60 I61 L61:L62 M61:M63">
    <cfRule type="expression" dxfId="3" priority="8">
      <formula>AND($H38="Вышло",N($Y38)=0,N($U38)=0)</formula>
    </cfRule>
  </conditionalFormatting>
  <conditionalFormatting sqref="A7:AB18 A20:A21 A24:D24 A33:AB33 A35:A36 A46:AB46 A48:A49 A59:AB59 A68:AB68 B21:D21 B36:D36 B49:D49 F20:F21 F24:H24 F35:F36 F48:F49 G21:H21 G36:H36 G49:H49 J21:AB21 J24:AB24 J36:AB36 J49:AB49 M62">
    <cfRule type="expression" dxfId="0" priority="9">
      <formula>AND($H7="Вышло",$G7="")</formula>
    </cfRule>
  </conditionalFormatting>
  <conditionalFormatting sqref="A7:AB18 A20:A21 A24:D24 A33:AB33 A35:A36 A46:AB46 A48:A49 A59:AB59 A68:AB68 B21:D21 B36:D36 B49:D49 F20:F21 F24:H24 F35:F36 F48:F49 G21:H21 G36:H36 G49:H49 J21:AB21 J24:AB24 J36:AB36 J49:AB49 M62">
    <cfRule type="expression" dxfId="1" priority="10">
      <formula>AND($H7="Вышло",N($Y7)=0,N($U7)=0)</formula>
    </cfRule>
  </conditionalFormatting>
  <conditionalFormatting sqref="A7:AB18 A20:A21 A24:D24 A33:AB33 A35:A36 A46:AB46 A48:A49 A59:AB59 A68:AB68 B21:D21 B36:D36 B49:D49 F20:F21 F24:H24 F35:F36 F48:F49 G21:H21 G36:H36 G49:H49 J21:AB21 J24:AB24 J36:AB36 J49:AB49 M62">
    <cfRule type="expression" dxfId="0" priority="11">
      <formula>AND($H7="Вышло",$G7="")</formula>
    </cfRule>
  </conditionalFormatting>
  <conditionalFormatting sqref="A7:AB18 A20:A21 A24:D24 A33:AB33 A35:A36 A46:AB46 A48:A49 A59:AB59 A68:AB68 B21:D21 B36:D36 B49:D49 F20:F21 F24:H24 F35:F36 F48:F49 G21:H21 G36:H36 G49:H49 J21:AB21 J24:AB24 J36:AB36 J49:AB49 M62">
    <cfRule type="expression" dxfId="1" priority="12">
      <formula>AND($H7="Вышло",N($Y7)=0,N($U7)=0)</formula>
    </cfRule>
  </conditionalFormatting>
  <conditionalFormatting sqref="A18 A20:A33 A35:A60 A68 B23:D33 B36:H59 D61:D67 E24:E33 F23:H33 H68 I20:I33 I35:I59 I61:J67 J23:AB33 J36:AB59 L61:M67 P61:Q67 T61:T68 U61:U67 W61:X67 AB61:AB67">
    <cfRule type="expression" dxfId="0" priority="13">
      <formula>AND($H3="Вышло",$G3="")</formula>
    </cfRule>
  </conditionalFormatting>
  <conditionalFormatting sqref="A18 A20:A33 A35:A60 A68 B23:D33 B36:H59 D61:D67 E24:E33 F23:H33 H68 I20:I33 I35:I59 I61:J67 J23:AB33 J36:AB59 L61:M67 P61:Q67 T61:T68 U61:U67 W61:X67 AB61:AB67">
    <cfRule type="expression" dxfId="1" priority="14">
      <formula>AND($H3="Вышло",N($Y3)=0,N($U3)=0)</formula>
    </cfRule>
  </conditionalFormatting>
  <conditionalFormatting sqref="A18 A20:A33 A35:A60 A68 B23:D33 B36:H59 D61:D67 E24:E33 F23:H33 H68 I20:I33 I35:I59 I61:J67 J23:AB33 J36:AB59 L61:M67 P61:Q67 T61:T68 U61:U67 W61:X67 AB61:AB67">
    <cfRule type="expression" dxfId="0" priority="15">
      <formula>AND($H3="Вышло",$G3="")</formula>
    </cfRule>
  </conditionalFormatting>
  <conditionalFormatting sqref="A18 A20:A33 A35:A60 A68 B23:D33 B36:H59 D61:D67 E24:E33 F23:H33 H68 I20:I33 I35:I59 I61:J67 J23:AB33 J36:AB59 L61:M67 P61:Q67 T61:T68 U61:U67 W61:X67 AB61:AB67">
    <cfRule type="expression" dxfId="1" priority="16">
      <formula>AND($H3="Вышло",N($Y3)=0,N($U3)=0)</formula>
    </cfRule>
  </conditionalFormatting>
  <conditionalFormatting sqref="A35:AB37 E20:E24 E48:E50">
    <cfRule type="expression" dxfId="0" priority="17">
      <formula>AND(#REF!="Вышло",#REF!="")</formula>
    </cfRule>
  </conditionalFormatting>
  <conditionalFormatting sqref="A35:AB37 E20:E24 E48:E50">
    <cfRule type="expression" dxfId="1" priority="18">
      <formula>AND(#REF!="Вышло",N(#REF!)=0,N(#REF!)=0)</formula>
    </cfRule>
  </conditionalFormatting>
  <conditionalFormatting sqref="A35:AB37 E20:E24 E48:E50">
    <cfRule type="expression" dxfId="0" priority="19">
      <formula>AND(#REF!="Вышло",#REF!="")</formula>
    </cfRule>
  </conditionalFormatting>
  <conditionalFormatting sqref="A35:AB37 E20:E24 E48:E50">
    <cfRule type="expression" dxfId="1" priority="20">
      <formula>AND(#REF!="Вышло",N(#REF!)=0,N(#REF!)=0)</formula>
    </cfRule>
  </conditionalFormatting>
  <conditionalFormatting sqref="J33 J46 J59">
    <cfRule type="expression" dxfId="0" priority="21">
      <formula>AND($H33="Вышло",$G33="")</formula>
    </cfRule>
  </conditionalFormatting>
  <conditionalFormatting sqref="J33 J46 J59">
    <cfRule type="expression" dxfId="1" priority="22">
      <formula>AND($H33="Вышло",N($Y33)=0,N($U33)=0)</formula>
    </cfRule>
  </conditionalFormatting>
  <conditionalFormatting sqref="J33 J46 J59">
    <cfRule type="expression" dxfId="0" priority="23">
      <formula>AND($H33="Вышло",$G33="")</formula>
    </cfRule>
  </conditionalFormatting>
  <conditionalFormatting sqref="J33 J46 J59">
    <cfRule type="expression" dxfId="1" priority="24">
      <formula>AND($H33="Вышло",N($Y33)=0,N($U33)=0)</formula>
    </cfRule>
  </conditionalFormatting>
  <conditionalFormatting sqref="J33 J46 J59">
    <cfRule type="expression" dxfId="0" priority="25">
      <formula>AND($H33="Вышло",$G33="")</formula>
    </cfRule>
  </conditionalFormatting>
  <conditionalFormatting sqref="J33 J46 J59">
    <cfRule type="expression" dxfId="1" priority="26">
      <formula>AND($H33="Вышло",N($Y33)=0,N($U33)=0)</formula>
    </cfRule>
  </conditionalFormatting>
  <conditionalFormatting sqref="A51:AB68">
    <cfRule type="expression" dxfId="0" priority="27">
      <formula>AND($H51="Вышло",$G51="")</formula>
    </cfRule>
  </conditionalFormatting>
  <conditionalFormatting sqref="A51:AB68">
    <cfRule type="expression" dxfId="1" priority="28">
      <formula>AND($H51="Вышло",N($Y51)=0,N($U51)=0)</formula>
    </cfRule>
  </conditionalFormatting>
  <conditionalFormatting sqref="A51:AB68">
    <cfRule type="expression" dxfId="0" priority="29">
      <formula>AND($H51="Вышло",$G51="")</formula>
    </cfRule>
  </conditionalFormatting>
  <conditionalFormatting sqref="A51:AB68">
    <cfRule type="expression" dxfId="1" priority="30">
      <formula>AND($H51="Вышло",N($Y51)=0,N($U51)=0)</formula>
    </cfRule>
  </conditionalFormatting>
  <conditionalFormatting sqref="A7:AG18 A20:A21 A24:D24 A33:AG33 A35:A36 A46:AG46 A48:A49 A59:AG59 A68:AG68 B21:D21 B36:D36 B49:D49 F20:F21 F24:H24 F35:F36 F48:F49 G21:H21 G36:H36 G49:H49 J21:AG21 J24:AG24 J36:AG36 J49:AG49 M62">
    <cfRule type="expression" dxfId="0" priority="31">
      <formula>AND($H7="Вышло",$G7="")</formula>
    </cfRule>
  </conditionalFormatting>
  <conditionalFormatting sqref="A7:AG18 A20:A21 A24:D24 A33:AG33 A35:A36 A46:AG46 A48:A49 A59:AG59 A68:AG68 B21:D21 B36:D36 B49:D49 F20:F21 F24:H24 F35:F36 F48:F49 G21:H21 G36:H36 G49:H49 J21:AG21 J24:AG24 J36:AG36 J49:AG49 M62">
    <cfRule type="expression" dxfId="1" priority="32">
      <formula>AND($H7="Вышло",N($Y7)=0,N($U7)=0)</formula>
    </cfRule>
  </conditionalFormatting>
  <conditionalFormatting sqref="A18 A20:A33 A35:A60 A68 B23:D33 B36:H59 D61:D67 E24:E33 F23:H33 H68 I20:I33 I35:I59 I61:J67 J23:AG33 J36:AG59 L61:M67 P61:Q67 T61:T68 U61:U67 W61:X67 AB61:AD67 AG61:AG67">
    <cfRule type="expression" dxfId="0" priority="33">
      <formula>AND($H3="Вышло",$G3="")</formula>
    </cfRule>
  </conditionalFormatting>
  <conditionalFormatting sqref="A18 A20:A33 A35:A60 A68 B23:D33 B36:H59 D61:D67 E24:E33 F23:H33 H68 I20:I33 I35:I59 I61:J67 J23:AG33 J36:AG59 L61:M67 P61:Q67 T61:T68 U61:U67 W61:X67 AB61:AD67 AG61:AG67">
    <cfRule type="expression" dxfId="1" priority="34">
      <formula>AND($H3="Вышло",N($Y3)=0,N($U3)=0)</formula>
    </cfRule>
  </conditionalFormatting>
  <conditionalFormatting sqref="A35:AG37 E20:E24 E48:E50">
    <cfRule type="expression" dxfId="0" priority="35">
      <formula>AND(#REF!="Вышло",#REF!="")</formula>
    </cfRule>
  </conditionalFormatting>
  <conditionalFormatting sqref="A35:AG37 E20:E24 E48:E50">
    <cfRule type="expression" dxfId="1" priority="36">
      <formula>AND(#REF!="Вышло",N(#REF!)=0,N(#REF!)=0)</formula>
    </cfRule>
  </conditionalFormatting>
  <conditionalFormatting sqref="A51:AG68">
    <cfRule type="expression" dxfId="0" priority="37">
      <formula>AND($H51="Вышло",$G51="")</formula>
    </cfRule>
  </conditionalFormatting>
  <conditionalFormatting sqref="A51:AG68">
    <cfRule type="expression" dxfId="1" priority="38">
      <formula>AND($H51="Вышло",N($Y51)=0,N($U51)=0)</formula>
    </cfRule>
  </conditionalFormatting>
  <conditionalFormatting sqref="A7:AH17 A20:D21 A24:D24 A35:D36 A48:D49 F20:H21 F24:H24 F35:H36 F48:H49 J20:AH21 J24:AH24 J35:AH36 J48:AH49 M61:M62">
    <cfRule type="expression" dxfId="0" priority="39">
      <formula>AND($I7="Вышло",$H7="")</formula>
    </cfRule>
  </conditionalFormatting>
  <conditionalFormatting sqref="A7:AH17 A20:D21 A24:D24 A35:D36 A48:D49 F20:H21 F24:H24 F35:H36 F48:H49 J20:AH21 J24:AH24 J35:AH36 J48:AH49 M61:M62">
    <cfRule type="expression" dxfId="1" priority="40">
      <formula>AND($I7="Вышло",N($Z7)=0,N($V7)=0)</formula>
    </cfRule>
  </conditionalFormatting>
  <conditionalFormatting sqref="A20:D32 A35:D58 A60 D61:D67 E24:E32 E36:E58 F20:AH32 F35:AH58 I61:J67 L61:M67 P61:Q67 T61:U67 W61:X67 AB61:AD67 AG61:AG67">
    <cfRule type="expression" dxfId="0" priority="41">
      <formula>AND($I5="Вышло",$H5="")</formula>
    </cfRule>
  </conditionalFormatting>
  <conditionalFormatting sqref="A20:D32 A35:D58 A60 D61:D67 E24:E32 E36:E58 F20:AH32 F35:AH58 I61:J67 L61:M67 P61:Q67 T61:U67 W61:X67 AB61:AD67 AG61:AG67">
    <cfRule type="expression" dxfId="1" priority="42">
      <formula>AND($I5="Вышло",N($Z5)=0,N($V5)=0)</formula>
    </cfRule>
  </conditionalFormatting>
  <conditionalFormatting sqref="A35:AH37 E20:E24 E48:E50">
    <cfRule type="expression" dxfId="0" priority="43">
      <formula>AND(#REF!="Вышло",#REF!="")</formula>
    </cfRule>
  </conditionalFormatting>
  <conditionalFormatting sqref="A35:AH37 E20:E24 E48:E50">
    <cfRule type="expression" dxfId="1" priority="44">
      <formula>AND(#REF!="Вышло",N(#REF!)=0,N(#REF!)=0)</formula>
    </cfRule>
  </conditionalFormatting>
  <conditionalFormatting sqref="A51:AH68">
    <cfRule type="expression" dxfId="0" priority="45">
      <formula>AND($I51="Вышло",$H51="")</formula>
    </cfRule>
  </conditionalFormatting>
  <conditionalFormatting sqref="A51:AH68">
    <cfRule type="expression" dxfId="1" priority="46">
      <formula>AND($I51="Вышло",N($Z51)=0,N($V51)=0)</formula>
    </cfRule>
  </conditionalFormatting>
  <dataValidations>
    <dataValidation type="list" allowBlank="1" sqref="I7:I17 I20:I32 I35:I45 I48:I58 I60:I67">
      <formula1>"Ожидаем выхода,Вышло,Перенос,Отказ"</formula1>
    </dataValidation>
    <dataValidation type="date" allowBlank="1" showInputMessage="1" showErrorMessage="1" prompt="Только дата - Введи дату, например 14.07.2026" sqref="G19 G22 G34 G37 G47 G50">
      <formula1>DATE(2026,1,1)</formula1>
      <formula2>DATE(2027,12,31)</formula2>
    </dataValidation>
    <dataValidation type="list" allowBlank="1" sqref="A7:A17 A20:A32 A35:A45 A48:A58 A61:A67">
      <formula1>bloggers_list</formula1>
    </dataValidation>
    <dataValidation type="list" allowBlank="1" sqref="D7:E17 D19 E20 D21:E32 D34 E35 D36:E45 D47 E48 D49:E58 D60:E67">
      <formula1>"WB,Ozon,Сайт"</formula1>
    </dataValidation>
    <dataValidation type="list" allowBlank="1" showErrorMessage="1" sqref="H19 H34 H47">
      <formula1>"Ожидаем выхода,Вышло,Перенос,Отказ"</formula1>
    </dataValidation>
    <dataValidation type="date" allowBlank="1" sqref="G7:H17 H20 G21:H21 H22 G23:H32 H35 G36:H36 H37 G38:H45 H48 G49:H49 H50 G51:H58 G60:H67">
      <formula1>DATE(2026,1,1)</formula1>
      <formula2>0.0</formula2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0.0"/>
    <col customWidth="1" min="2" max="3" width="16.0"/>
    <col customWidth="1" min="4" max="10" width="13.0"/>
    <col customWidth="1" min="11" max="15" width="16.0"/>
    <col customWidth="1" min="16" max="18" width="12.0"/>
    <col customWidth="1" min="19" max="19" width="15.0"/>
    <col customWidth="1" min="20" max="20" width="9.0"/>
    <col customWidth="1" min="21" max="21" width="8.0"/>
    <col customWidth="1" min="22" max="22" width="10.0"/>
    <col customWidth="1" min="23" max="23" width="9.0"/>
    <col customWidth="1" min="24" max="25" width="10.0"/>
    <col customWidth="1" min="26" max="26" width="8.0"/>
    <col customWidth="1" min="27" max="28" width="11.0"/>
    <col customWidth="1" min="29" max="29" width="8.0"/>
    <col customWidth="1" min="30" max="30" width="10.0"/>
    <col customWidth="1" min="31" max="31" width="12.0"/>
    <col customWidth="1" min="32" max="32" width="11.0"/>
    <col customWidth="1" min="33" max="33" width="8.0"/>
    <col customWidth="1" min="34" max="34" width="16.0"/>
  </cols>
  <sheetData>
    <row r="1" ht="15.0" customHeight="1">
      <c r="A1" s="114" t="s">
        <v>1724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55"/>
      <c r="P1" s="3"/>
      <c r="Q1" s="3"/>
      <c r="R1" s="3"/>
      <c r="S1" s="3"/>
      <c r="T1" s="3"/>
      <c r="U1" s="155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ht="15.0" hidden="1" customHeight="1">
      <c r="A2" s="115" t="s">
        <v>832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55"/>
      <c r="P2" s="3"/>
      <c r="Q2" s="3"/>
      <c r="R2" s="3"/>
      <c r="S2" s="3"/>
      <c r="T2" s="3"/>
      <c r="U2" s="155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</row>
    <row r="3" ht="15.0" hidden="1" customHeight="1">
      <c r="A3" s="115" t="s">
        <v>833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55"/>
      <c r="P3" s="3"/>
      <c r="Q3" s="3"/>
      <c r="R3" s="3"/>
      <c r="S3" s="3"/>
      <c r="T3" s="3"/>
      <c r="U3" s="155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ht="15.0" hidden="1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55"/>
      <c r="P4" s="3"/>
      <c r="Q4" s="3"/>
      <c r="R4" s="3"/>
      <c r="S4" s="3"/>
      <c r="T4" s="3"/>
      <c r="U4" s="155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ht="31.5" customHeight="1">
      <c r="A5" s="116" t="s">
        <v>778</v>
      </c>
      <c r="B5" s="116" t="s">
        <v>834</v>
      </c>
      <c r="C5" s="116" t="s">
        <v>4</v>
      </c>
      <c r="D5" s="116" t="s">
        <v>1</v>
      </c>
      <c r="E5" s="116" t="s">
        <v>835</v>
      </c>
      <c r="F5" s="116" t="s">
        <v>836</v>
      </c>
      <c r="G5" s="116" t="s">
        <v>837</v>
      </c>
      <c r="H5" s="116" t="s">
        <v>838</v>
      </c>
      <c r="I5" s="116" t="s">
        <v>839</v>
      </c>
      <c r="J5" s="116" t="s">
        <v>840</v>
      </c>
      <c r="K5" s="116" t="s">
        <v>841</v>
      </c>
      <c r="L5" s="116" t="s">
        <v>842</v>
      </c>
      <c r="M5" s="116" t="s">
        <v>843</v>
      </c>
      <c r="N5" s="116" t="s">
        <v>844</v>
      </c>
      <c r="O5" s="116" t="s">
        <v>845</v>
      </c>
      <c r="P5" s="116" t="s">
        <v>846</v>
      </c>
      <c r="Q5" s="116" t="s">
        <v>847</v>
      </c>
      <c r="R5" s="116" t="s">
        <v>848</v>
      </c>
      <c r="S5" s="116" t="s">
        <v>779</v>
      </c>
      <c r="T5" s="116" t="s">
        <v>729</v>
      </c>
      <c r="U5" s="156" t="s">
        <v>849</v>
      </c>
      <c r="V5" s="116" t="s">
        <v>850</v>
      </c>
      <c r="W5" s="116" t="s">
        <v>851</v>
      </c>
      <c r="X5" s="116" t="s">
        <v>852</v>
      </c>
      <c r="Y5" s="116" t="s">
        <v>853</v>
      </c>
      <c r="Z5" s="116" t="s">
        <v>656</v>
      </c>
      <c r="AA5" s="116" t="s">
        <v>854</v>
      </c>
      <c r="AB5" s="116" t="s">
        <v>664</v>
      </c>
      <c r="AC5" s="116" t="s">
        <v>658</v>
      </c>
      <c r="AD5" s="116" t="s">
        <v>855</v>
      </c>
      <c r="AE5" s="116" t="s">
        <v>856</v>
      </c>
      <c r="AF5" s="116" t="s">
        <v>659</v>
      </c>
      <c r="AG5" s="116" t="s">
        <v>657</v>
      </c>
      <c r="AH5" s="116" t="s">
        <v>12</v>
      </c>
    </row>
    <row r="6" ht="33.75" customHeight="1">
      <c r="A6" s="117" t="s">
        <v>1725</v>
      </c>
      <c r="B6" s="117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57"/>
      <c r="P6" s="117"/>
      <c r="Q6" s="117"/>
      <c r="R6" s="117"/>
      <c r="S6" s="117"/>
      <c r="T6" s="117"/>
      <c r="U6" s="131"/>
      <c r="V6" s="117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</row>
    <row r="7" ht="15.0" customHeight="1">
      <c r="A7" s="21"/>
      <c r="B7" s="120" t="str">
        <f>IF($A7="","",IFERROR(HYPERLINK(VLOOKUP($A7,'Мои блогеры'!$A$2:$N$673,14,0),"🔗 открыть"),""))</f>
        <v/>
      </c>
      <c r="C7" s="11" t="str">
        <f>IFERROR(VLOOKUP($A7,'Мои блогеры'!$A:$N,5,0),"")</f>
        <v/>
      </c>
      <c r="D7" s="120" t="str">
        <f>IFERROR(VLOOKUP($A7,'Мои блогеры'!$A:$N,2,0),"")</f>
        <v/>
      </c>
      <c r="E7" s="21"/>
      <c r="F7" s="21"/>
      <c r="G7" s="21"/>
      <c r="H7" s="121"/>
      <c r="I7" s="21"/>
      <c r="J7" s="11" t="str">
        <f>IFERROR(VLOOKUP($A7,'Мои блогеры'!$A$2:$N$673,8,0),"")</f>
        <v/>
      </c>
      <c r="K7" s="122"/>
      <c r="L7" s="122"/>
      <c r="M7" s="11" t="str">
        <f t="shared" ref="M7:M17" si="1">IF(N($J7)+N($K7)+N($L7)=0,"",N($J7)+N($K7)+N($L7))</f>
        <v/>
      </c>
      <c r="N7" s="21"/>
      <c r="O7" s="153"/>
      <c r="P7" s="21"/>
      <c r="Q7" s="120" t="str">
        <f>IFERROR(VLOOKUP($A7,'Мои блогеры'!$A$2:$N$673,10,0)&amp;"-TRG","")</f>
        <v/>
      </c>
      <c r="R7" s="21"/>
      <c r="S7" s="21"/>
      <c r="T7" s="122"/>
      <c r="U7" s="123" t="str">
        <f t="shared" ref="U7:U18" si="2">IF(N($T7)=0,"",$M7/$T7)</f>
        <v/>
      </c>
      <c r="V7" s="122"/>
      <c r="W7" s="122"/>
      <c r="X7" s="123" t="str">
        <f t="shared" ref="X7:X17" si="3">IF(N($V7)=0,"",$M7/$V7)</f>
        <v/>
      </c>
      <c r="Y7" s="122"/>
      <c r="Z7" s="122"/>
      <c r="AA7" s="122"/>
      <c r="AB7" s="124"/>
      <c r="AC7" s="11" t="str">
        <f t="shared" ref="AC7:AC17" si="4">IF(OR(N($Z7)=0,$AB7=""),"",ROUND($Z7*$AB7,0))</f>
        <v/>
      </c>
      <c r="AD7" s="122"/>
      <c r="AE7" s="11" t="str">
        <f t="shared" ref="AE7:AE17" si="5">IF(OR(N($AC7)=0,$AD7=""),"",ROUND($AC7*$AD7,0))</f>
        <v/>
      </c>
      <c r="AF7" s="11" t="str">
        <f t="shared" ref="AF7:AF17" si="6">IF(N($AC7)=0,"",ROUND($M7/$AC7,0))</f>
        <v/>
      </c>
      <c r="AG7" s="11" t="str">
        <f t="shared" ref="AG7:AG17" si="7">IF(N($Z7)=0,"",ROUND($M7/$Z7,0))</f>
        <v/>
      </c>
      <c r="AH7" s="21"/>
    </row>
    <row r="8" ht="15.0" customHeight="1">
      <c r="A8" s="21"/>
      <c r="B8" s="120" t="str">
        <f>IF($A8="","",IFERROR(HYPERLINK(VLOOKUP($A8,'Мои блогеры'!$A$2:$N$673,14,0),"🔗 открыть"),""))</f>
        <v/>
      </c>
      <c r="C8" s="11" t="str">
        <f>IFERROR(VLOOKUP($A8,'Мои блогеры'!$A:$N,5,0),"")</f>
        <v/>
      </c>
      <c r="D8" s="120" t="str">
        <f>IFERROR(VLOOKUP($A8,'Мои блогеры'!$A:$N,2,0),"")</f>
        <v/>
      </c>
      <c r="E8" s="21"/>
      <c r="F8" s="21"/>
      <c r="G8" s="21"/>
      <c r="H8" s="121"/>
      <c r="I8" s="21"/>
      <c r="J8" s="11" t="str">
        <f>IFERROR(VLOOKUP($A8,'Мои блогеры'!$A$2:$N$673,8,0),"")</f>
        <v/>
      </c>
      <c r="K8" s="122"/>
      <c r="L8" s="122"/>
      <c r="M8" s="11" t="str">
        <f t="shared" si="1"/>
        <v/>
      </c>
      <c r="N8" s="21"/>
      <c r="O8" s="153"/>
      <c r="P8" s="21"/>
      <c r="Q8" s="120" t="str">
        <f>IFERROR(VLOOKUP($A8,'Мои блогеры'!$A$2:$N$673,10,0)&amp;"-TRG","")</f>
        <v/>
      </c>
      <c r="R8" s="21"/>
      <c r="S8" s="21"/>
      <c r="T8" s="122"/>
      <c r="U8" s="123" t="str">
        <f t="shared" si="2"/>
        <v/>
      </c>
      <c r="V8" s="122"/>
      <c r="W8" s="122"/>
      <c r="X8" s="123" t="str">
        <f t="shared" si="3"/>
        <v/>
      </c>
      <c r="Y8" s="122"/>
      <c r="Z8" s="122"/>
      <c r="AA8" s="122"/>
      <c r="AB8" s="124"/>
      <c r="AC8" s="11" t="str">
        <f t="shared" si="4"/>
        <v/>
      </c>
      <c r="AD8" s="122"/>
      <c r="AE8" s="11" t="str">
        <f t="shared" si="5"/>
        <v/>
      </c>
      <c r="AF8" s="11" t="str">
        <f t="shared" si="6"/>
        <v/>
      </c>
      <c r="AG8" s="11" t="str">
        <f t="shared" si="7"/>
        <v/>
      </c>
      <c r="AH8" s="21"/>
    </row>
    <row r="9" ht="15.0" customHeight="1">
      <c r="A9" s="21"/>
      <c r="B9" s="120" t="str">
        <f>IF($A9="","",IFERROR(HYPERLINK(VLOOKUP($A9,'Мои блогеры'!$A$2:$N$673,14,0),"🔗 открыть"),""))</f>
        <v/>
      </c>
      <c r="C9" s="11" t="str">
        <f>IFERROR(VLOOKUP($A9,'Мои блогеры'!$A:$N,5,0),"")</f>
        <v/>
      </c>
      <c r="D9" s="120" t="str">
        <f>IFERROR(VLOOKUP($A9,'Мои блогеры'!$A:$N,2,0),"")</f>
        <v/>
      </c>
      <c r="E9" s="21"/>
      <c r="F9" s="21"/>
      <c r="G9" s="21"/>
      <c r="H9" s="121"/>
      <c r="I9" s="21"/>
      <c r="J9" s="11" t="str">
        <f>IFERROR(VLOOKUP($A9,'Мои блогеры'!$A$2:$N$673,8,0),"")</f>
        <v/>
      </c>
      <c r="K9" s="122"/>
      <c r="L9" s="122"/>
      <c r="M9" s="11" t="str">
        <f t="shared" si="1"/>
        <v/>
      </c>
      <c r="N9" s="21"/>
      <c r="O9" s="153"/>
      <c r="P9" s="21"/>
      <c r="Q9" s="120" t="str">
        <f>IFERROR(VLOOKUP($A9,'Мои блогеры'!$A$2:$N$673,10,0)&amp;"-TRG","")</f>
        <v/>
      </c>
      <c r="R9" s="21"/>
      <c r="S9" s="21"/>
      <c r="T9" s="122"/>
      <c r="U9" s="123" t="str">
        <f t="shared" si="2"/>
        <v/>
      </c>
      <c r="V9" s="122"/>
      <c r="W9" s="122"/>
      <c r="X9" s="123" t="str">
        <f t="shared" si="3"/>
        <v/>
      </c>
      <c r="Y9" s="122"/>
      <c r="Z9" s="122"/>
      <c r="AA9" s="122"/>
      <c r="AB9" s="124"/>
      <c r="AC9" s="11" t="str">
        <f t="shared" si="4"/>
        <v/>
      </c>
      <c r="AD9" s="122"/>
      <c r="AE9" s="11" t="str">
        <f t="shared" si="5"/>
        <v/>
      </c>
      <c r="AF9" s="11" t="str">
        <f t="shared" si="6"/>
        <v/>
      </c>
      <c r="AG9" s="11" t="str">
        <f t="shared" si="7"/>
        <v/>
      </c>
      <c r="AH9" s="21"/>
    </row>
    <row r="10" ht="15.0" customHeight="1">
      <c r="A10" s="21"/>
      <c r="B10" s="120" t="str">
        <f>IF($A10="","",IFERROR(HYPERLINK(VLOOKUP($A10,'Мои блогеры'!$A$2:$N$673,14,0),"🔗 открыть"),""))</f>
        <v/>
      </c>
      <c r="C10" s="11" t="str">
        <f>IFERROR(VLOOKUP($A10,'Мои блогеры'!$A:$N,5,0),"")</f>
        <v/>
      </c>
      <c r="D10" s="120" t="str">
        <f>IFERROR(VLOOKUP($A10,'Мои блогеры'!$A:$N,2,0),"")</f>
        <v/>
      </c>
      <c r="E10" s="21"/>
      <c r="F10" s="21"/>
      <c r="G10" s="21"/>
      <c r="H10" s="121"/>
      <c r="I10" s="21"/>
      <c r="J10" s="11" t="str">
        <f>IFERROR(VLOOKUP($A10,'Мои блогеры'!$A$2:$N$673,8,0),"")</f>
        <v/>
      </c>
      <c r="K10" s="122"/>
      <c r="L10" s="122"/>
      <c r="M10" s="11" t="str">
        <f t="shared" si="1"/>
        <v/>
      </c>
      <c r="N10" s="21"/>
      <c r="O10" s="153"/>
      <c r="P10" s="21"/>
      <c r="Q10" s="120" t="str">
        <f>IFERROR(VLOOKUP($A10,'Мои блогеры'!$A$2:$N$673,10,0)&amp;"-TRG","")</f>
        <v/>
      </c>
      <c r="R10" s="21"/>
      <c r="S10" s="21"/>
      <c r="T10" s="122"/>
      <c r="U10" s="123" t="str">
        <f t="shared" si="2"/>
        <v/>
      </c>
      <c r="V10" s="122"/>
      <c r="W10" s="122"/>
      <c r="X10" s="123" t="str">
        <f t="shared" si="3"/>
        <v/>
      </c>
      <c r="Y10" s="122"/>
      <c r="Z10" s="122"/>
      <c r="AA10" s="122"/>
      <c r="AB10" s="124"/>
      <c r="AC10" s="11" t="str">
        <f t="shared" si="4"/>
        <v/>
      </c>
      <c r="AD10" s="122"/>
      <c r="AE10" s="11" t="str">
        <f t="shared" si="5"/>
        <v/>
      </c>
      <c r="AF10" s="11" t="str">
        <f t="shared" si="6"/>
        <v/>
      </c>
      <c r="AG10" s="11" t="str">
        <f t="shared" si="7"/>
        <v/>
      </c>
      <c r="AH10" s="21"/>
    </row>
    <row r="11" ht="15.0" customHeight="1">
      <c r="A11" s="21"/>
      <c r="B11" s="120" t="str">
        <f>IF($A11="","",IFERROR(HYPERLINK(VLOOKUP($A11,'Мои блогеры'!$A$2:$N$673,14,0),"🔗 открыть"),""))</f>
        <v/>
      </c>
      <c r="C11" s="11" t="str">
        <f>IFERROR(VLOOKUP($A11,'Мои блогеры'!$A:$N,5,0),"")</f>
        <v/>
      </c>
      <c r="D11" s="120" t="str">
        <f>IFERROR(VLOOKUP($A11,'Мои блогеры'!$A:$N,2,0),"")</f>
        <v/>
      </c>
      <c r="E11" s="21"/>
      <c r="F11" s="21"/>
      <c r="G11" s="21"/>
      <c r="H11" s="121"/>
      <c r="I11" s="21"/>
      <c r="J11" s="11" t="str">
        <f>IFERROR(VLOOKUP($A11,'Мои блогеры'!$A$2:$N$673,8,0),"")</f>
        <v/>
      </c>
      <c r="K11" s="122"/>
      <c r="L11" s="122"/>
      <c r="M11" s="11" t="str">
        <f t="shared" si="1"/>
        <v/>
      </c>
      <c r="N11" s="21"/>
      <c r="O11" s="153"/>
      <c r="P11" s="21"/>
      <c r="Q11" s="120" t="str">
        <f>IFERROR(VLOOKUP($A11,'Мои блогеры'!$A$2:$N$673,10,0)&amp;"-TRG","")</f>
        <v/>
      </c>
      <c r="R11" s="21"/>
      <c r="S11" s="21"/>
      <c r="T11" s="122"/>
      <c r="U11" s="123" t="str">
        <f t="shared" si="2"/>
        <v/>
      </c>
      <c r="V11" s="122"/>
      <c r="W11" s="122"/>
      <c r="X11" s="123" t="str">
        <f t="shared" si="3"/>
        <v/>
      </c>
      <c r="Y11" s="122"/>
      <c r="Z11" s="122"/>
      <c r="AA11" s="122"/>
      <c r="AB11" s="124"/>
      <c r="AC11" s="11" t="str">
        <f t="shared" si="4"/>
        <v/>
      </c>
      <c r="AD11" s="122"/>
      <c r="AE11" s="11" t="str">
        <f t="shared" si="5"/>
        <v/>
      </c>
      <c r="AF11" s="11" t="str">
        <f t="shared" si="6"/>
        <v/>
      </c>
      <c r="AG11" s="11" t="str">
        <f t="shared" si="7"/>
        <v/>
      </c>
      <c r="AH11" s="21"/>
    </row>
    <row r="12">
      <c r="A12" s="21"/>
      <c r="B12" s="120" t="str">
        <f>IF($A12="","",IFERROR(HYPERLINK(VLOOKUP($A12,'Мои блогеры'!$A$2:$N$673,14,0),"🔗 открыть"),""))</f>
        <v/>
      </c>
      <c r="C12" s="11" t="str">
        <f>IFERROR(VLOOKUP($A12,'Мои блогеры'!$A:$N,5,0),"")</f>
        <v/>
      </c>
      <c r="D12" s="120" t="str">
        <f>IFERROR(VLOOKUP($A12,'Мои блогеры'!$A:$N,2,0),"")</f>
        <v/>
      </c>
      <c r="E12" s="21"/>
      <c r="F12" s="21"/>
      <c r="G12" s="21"/>
      <c r="H12" s="121"/>
      <c r="I12" s="21"/>
      <c r="J12" s="11" t="str">
        <f>IFERROR(VLOOKUP($A12,'Мои блогеры'!$A$2:$N$673,8,0),"")</f>
        <v/>
      </c>
      <c r="K12" s="122"/>
      <c r="L12" s="122"/>
      <c r="M12" s="11" t="str">
        <f t="shared" si="1"/>
        <v/>
      </c>
      <c r="N12" s="21"/>
      <c r="O12" s="153"/>
      <c r="P12" s="21"/>
      <c r="Q12" s="120" t="str">
        <f>IFERROR(VLOOKUP($A12,'Мои блогеры'!$A$2:$N$673,10,0)&amp;"-TRG","")</f>
        <v/>
      </c>
      <c r="R12" s="21"/>
      <c r="S12" s="21"/>
      <c r="T12" s="122"/>
      <c r="U12" s="123" t="str">
        <f t="shared" si="2"/>
        <v/>
      </c>
      <c r="V12" s="122"/>
      <c r="W12" s="122"/>
      <c r="X12" s="123" t="str">
        <f t="shared" si="3"/>
        <v/>
      </c>
      <c r="Y12" s="122"/>
      <c r="Z12" s="122"/>
      <c r="AA12" s="122"/>
      <c r="AB12" s="124"/>
      <c r="AC12" s="11" t="str">
        <f t="shared" si="4"/>
        <v/>
      </c>
      <c r="AD12" s="122"/>
      <c r="AE12" s="11" t="str">
        <f t="shared" si="5"/>
        <v/>
      </c>
      <c r="AF12" s="11" t="str">
        <f t="shared" si="6"/>
        <v/>
      </c>
      <c r="AG12" s="11" t="str">
        <f t="shared" si="7"/>
        <v/>
      </c>
      <c r="AH12" s="21"/>
    </row>
    <row r="13" ht="15.0" customHeight="1">
      <c r="A13" s="21"/>
      <c r="B13" s="120" t="str">
        <f>IF($A13="","",IFERROR(HYPERLINK(VLOOKUP($A13,'Мои блогеры'!$A$2:$N$673,14,0),"🔗 открыть"),""))</f>
        <v/>
      </c>
      <c r="C13" s="11" t="str">
        <f>IFERROR(VLOOKUP($A13,'Мои блогеры'!$A:$N,5,0),"")</f>
        <v/>
      </c>
      <c r="D13" s="120" t="str">
        <f>IFERROR(VLOOKUP($A13,'Мои блогеры'!$A:$N,2,0),"")</f>
        <v/>
      </c>
      <c r="E13" s="21"/>
      <c r="F13" s="21"/>
      <c r="G13" s="21"/>
      <c r="H13" s="121"/>
      <c r="I13" s="21"/>
      <c r="J13" s="11" t="str">
        <f>IFERROR(VLOOKUP($A13,'Мои блогеры'!$A$2:$N$673,8,0),"")</f>
        <v/>
      </c>
      <c r="K13" s="122"/>
      <c r="L13" s="122"/>
      <c r="M13" s="11" t="str">
        <f t="shared" si="1"/>
        <v/>
      </c>
      <c r="N13" s="21"/>
      <c r="O13" s="153"/>
      <c r="P13" s="21"/>
      <c r="Q13" s="120" t="str">
        <f>IFERROR(VLOOKUP($A13,'Мои блогеры'!$A$2:$N$673,10,0)&amp;"-TRG","")</f>
        <v/>
      </c>
      <c r="R13" s="21"/>
      <c r="S13" s="21"/>
      <c r="T13" s="122"/>
      <c r="U13" s="123" t="str">
        <f t="shared" si="2"/>
        <v/>
      </c>
      <c r="V13" s="122"/>
      <c r="W13" s="122"/>
      <c r="X13" s="123" t="str">
        <f t="shared" si="3"/>
        <v/>
      </c>
      <c r="Y13" s="122"/>
      <c r="Z13" s="122"/>
      <c r="AA13" s="122"/>
      <c r="AB13" s="124"/>
      <c r="AC13" s="11" t="str">
        <f t="shared" si="4"/>
        <v/>
      </c>
      <c r="AD13" s="122"/>
      <c r="AE13" s="11" t="str">
        <f t="shared" si="5"/>
        <v/>
      </c>
      <c r="AF13" s="11" t="str">
        <f t="shared" si="6"/>
        <v/>
      </c>
      <c r="AG13" s="11" t="str">
        <f t="shared" si="7"/>
        <v/>
      </c>
      <c r="AH13" s="21"/>
    </row>
    <row r="14" ht="15.0" customHeight="1">
      <c r="A14" s="21"/>
      <c r="B14" s="120" t="str">
        <f>IF($A14="","",IFERROR(HYPERLINK(VLOOKUP($A14,'Мои блогеры'!$A$2:$N$673,14,0),"🔗 открыть"),""))</f>
        <v/>
      </c>
      <c r="C14" s="11" t="str">
        <f>IFERROR(VLOOKUP($A14,'Мои блогеры'!$A:$N,5,0),"")</f>
        <v/>
      </c>
      <c r="D14" s="120" t="str">
        <f>IFERROR(VLOOKUP($A14,'Мои блогеры'!$A:$N,2,0),"")</f>
        <v/>
      </c>
      <c r="E14" s="21"/>
      <c r="F14" s="21"/>
      <c r="G14" s="21"/>
      <c r="H14" s="121"/>
      <c r="I14" s="21"/>
      <c r="J14" s="11" t="str">
        <f>IFERROR(VLOOKUP($A14,'Мои блогеры'!$A$2:$N$673,8,0),"")</f>
        <v/>
      </c>
      <c r="K14" s="122"/>
      <c r="L14" s="122"/>
      <c r="M14" s="11" t="str">
        <f t="shared" si="1"/>
        <v/>
      </c>
      <c r="N14" s="21"/>
      <c r="O14" s="153"/>
      <c r="P14" s="21"/>
      <c r="Q14" s="120" t="str">
        <f>IFERROR(VLOOKUP($A14,'Мои блогеры'!$A$2:$N$673,10,0)&amp;"-TRG","")</f>
        <v/>
      </c>
      <c r="R14" s="21"/>
      <c r="S14" s="21"/>
      <c r="T14" s="122"/>
      <c r="U14" s="123" t="str">
        <f t="shared" si="2"/>
        <v/>
      </c>
      <c r="V14" s="122"/>
      <c r="W14" s="122"/>
      <c r="X14" s="123" t="str">
        <f t="shared" si="3"/>
        <v/>
      </c>
      <c r="Y14" s="122"/>
      <c r="Z14" s="122"/>
      <c r="AA14" s="122"/>
      <c r="AB14" s="124"/>
      <c r="AC14" s="11" t="str">
        <f t="shared" si="4"/>
        <v/>
      </c>
      <c r="AD14" s="122"/>
      <c r="AE14" s="11" t="str">
        <f t="shared" si="5"/>
        <v/>
      </c>
      <c r="AF14" s="11" t="str">
        <f t="shared" si="6"/>
        <v/>
      </c>
      <c r="AG14" s="11" t="str">
        <f t="shared" si="7"/>
        <v/>
      </c>
      <c r="AH14" s="21"/>
    </row>
    <row r="15" ht="15.0" customHeight="1">
      <c r="A15" s="21"/>
      <c r="B15" s="120" t="str">
        <f>IF($A15="","",IFERROR(HYPERLINK(VLOOKUP($A15,'Мои блогеры'!$A$2:$N$673,14,0),"🔗 открыть"),""))</f>
        <v/>
      </c>
      <c r="C15" s="11" t="str">
        <f>IFERROR(VLOOKUP($A15,'Мои блогеры'!$A:$N,5,0),"")</f>
        <v/>
      </c>
      <c r="D15" s="120" t="str">
        <f>IFERROR(VLOOKUP($A15,'Мои блогеры'!$A:$N,2,0),"")</f>
        <v/>
      </c>
      <c r="E15" s="21"/>
      <c r="F15" s="21"/>
      <c r="G15" s="21"/>
      <c r="H15" s="121"/>
      <c r="I15" s="21"/>
      <c r="J15" s="11" t="str">
        <f>IFERROR(VLOOKUP($A15,'Мои блогеры'!$A$2:$N$673,8,0),"")</f>
        <v/>
      </c>
      <c r="K15" s="122"/>
      <c r="L15" s="122"/>
      <c r="M15" s="11" t="str">
        <f t="shared" si="1"/>
        <v/>
      </c>
      <c r="N15" s="21"/>
      <c r="O15" s="153"/>
      <c r="P15" s="21"/>
      <c r="Q15" s="120" t="str">
        <f>IFERROR(VLOOKUP($A15,'Мои блогеры'!$A$2:$N$673,10,0)&amp;"-TRG","")</f>
        <v/>
      </c>
      <c r="R15" s="21"/>
      <c r="S15" s="21"/>
      <c r="T15" s="122"/>
      <c r="U15" s="123" t="str">
        <f t="shared" si="2"/>
        <v/>
      </c>
      <c r="V15" s="122"/>
      <c r="W15" s="122"/>
      <c r="X15" s="123" t="str">
        <f t="shared" si="3"/>
        <v/>
      </c>
      <c r="Y15" s="122"/>
      <c r="Z15" s="122"/>
      <c r="AA15" s="122"/>
      <c r="AB15" s="124"/>
      <c r="AC15" s="11" t="str">
        <f t="shared" si="4"/>
        <v/>
      </c>
      <c r="AD15" s="122"/>
      <c r="AE15" s="11" t="str">
        <f t="shared" si="5"/>
        <v/>
      </c>
      <c r="AF15" s="11" t="str">
        <f t="shared" si="6"/>
        <v/>
      </c>
      <c r="AG15" s="11" t="str">
        <f t="shared" si="7"/>
        <v/>
      </c>
      <c r="AH15" s="21"/>
    </row>
    <row r="16" ht="15.0" customHeight="1">
      <c r="A16" s="21"/>
      <c r="B16" s="120" t="str">
        <f>IF($A16="","",IFERROR(HYPERLINK(VLOOKUP($A16,'Мои блогеры'!$A$2:$N$673,14,0),"🔗 открыть"),""))</f>
        <v/>
      </c>
      <c r="C16" s="11" t="str">
        <f>IFERROR(VLOOKUP($A16,'Мои блогеры'!$A:$N,5,0),"")</f>
        <v/>
      </c>
      <c r="D16" s="120" t="str">
        <f>IFERROR(VLOOKUP($A16,'Мои блогеры'!$A:$N,2,0),"")</f>
        <v/>
      </c>
      <c r="E16" s="21"/>
      <c r="F16" s="21"/>
      <c r="G16" s="21"/>
      <c r="H16" s="121"/>
      <c r="I16" s="21"/>
      <c r="J16" s="11" t="str">
        <f>IFERROR(VLOOKUP($A16,'Мои блогеры'!$A$2:$N$673,8,0),"")</f>
        <v/>
      </c>
      <c r="K16" s="122"/>
      <c r="L16" s="122"/>
      <c r="M16" s="11" t="str">
        <f t="shared" si="1"/>
        <v/>
      </c>
      <c r="N16" s="21"/>
      <c r="O16" s="153"/>
      <c r="P16" s="21"/>
      <c r="Q16" s="120" t="str">
        <f>IFERROR(VLOOKUP($A16,'Мои блогеры'!$A$2:$N$673,10,0)&amp;"-TRG","")</f>
        <v/>
      </c>
      <c r="R16" s="21"/>
      <c r="S16" s="21"/>
      <c r="T16" s="122"/>
      <c r="U16" s="123" t="str">
        <f t="shared" si="2"/>
        <v/>
      </c>
      <c r="V16" s="122"/>
      <c r="W16" s="122"/>
      <c r="X16" s="123" t="str">
        <f t="shared" si="3"/>
        <v/>
      </c>
      <c r="Y16" s="122"/>
      <c r="Z16" s="122"/>
      <c r="AA16" s="122"/>
      <c r="AB16" s="124"/>
      <c r="AC16" s="11" t="str">
        <f t="shared" si="4"/>
        <v/>
      </c>
      <c r="AD16" s="122"/>
      <c r="AE16" s="11" t="str">
        <f t="shared" si="5"/>
        <v/>
      </c>
      <c r="AF16" s="11" t="str">
        <f t="shared" si="6"/>
        <v/>
      </c>
      <c r="AG16" s="11" t="str">
        <f t="shared" si="7"/>
        <v/>
      </c>
      <c r="AH16" s="21"/>
    </row>
    <row r="17" ht="15.0" customHeight="1">
      <c r="A17" s="21"/>
      <c r="B17" s="120" t="str">
        <f>IF($A17="","",IFERROR(HYPERLINK(VLOOKUP($A17,'Мои блогеры'!$A$2:$N$673,14,0),"🔗 открыть"),""))</f>
        <v/>
      </c>
      <c r="C17" s="11" t="str">
        <f>IFERROR(VLOOKUP($A17,'Мои блогеры'!$A:$N,5,0),"")</f>
        <v/>
      </c>
      <c r="D17" s="120" t="str">
        <f>IFERROR(VLOOKUP($A17,'Мои блогеры'!$A:$N,2,0),"")</f>
        <v/>
      </c>
      <c r="E17" s="21"/>
      <c r="F17" s="21"/>
      <c r="G17" s="21"/>
      <c r="H17" s="121"/>
      <c r="I17" s="21"/>
      <c r="J17" s="11" t="str">
        <f>IFERROR(VLOOKUP($A17,'Мои блогеры'!$A$2:$N$673,8,0),"")</f>
        <v/>
      </c>
      <c r="K17" s="122"/>
      <c r="L17" s="122"/>
      <c r="M17" s="11" t="str">
        <f t="shared" si="1"/>
        <v/>
      </c>
      <c r="N17" s="21"/>
      <c r="O17" s="153"/>
      <c r="P17" s="21"/>
      <c r="Q17" s="120" t="str">
        <f>IFERROR(VLOOKUP($A17,'Мои блогеры'!$A$2:$N$673,10,0)&amp;"-TRG","")</f>
        <v/>
      </c>
      <c r="R17" s="21"/>
      <c r="S17" s="21"/>
      <c r="T17" s="122"/>
      <c r="U17" s="123" t="str">
        <f t="shared" si="2"/>
        <v/>
      </c>
      <c r="V17" s="122"/>
      <c r="W17" s="122"/>
      <c r="X17" s="123" t="str">
        <f t="shared" si="3"/>
        <v/>
      </c>
      <c r="Y17" s="122"/>
      <c r="Z17" s="122"/>
      <c r="AA17" s="122"/>
      <c r="AB17" s="124"/>
      <c r="AC17" s="11" t="str">
        <f t="shared" si="4"/>
        <v/>
      </c>
      <c r="AD17" s="122"/>
      <c r="AE17" s="11" t="str">
        <f t="shared" si="5"/>
        <v/>
      </c>
      <c r="AF17" s="11" t="str">
        <f t="shared" si="6"/>
        <v/>
      </c>
      <c r="AG17" s="11" t="str">
        <f t="shared" si="7"/>
        <v/>
      </c>
      <c r="AH17" s="21"/>
    </row>
    <row r="18" ht="15.0" customHeight="1">
      <c r="A18" s="126" t="s">
        <v>1726</v>
      </c>
      <c r="B18" s="126"/>
      <c r="C18" s="127"/>
      <c r="D18" s="126"/>
      <c r="E18" s="126"/>
      <c r="F18" s="126"/>
      <c r="G18" s="126"/>
      <c r="H18" s="126"/>
      <c r="I18" s="126" t="str">
        <f>COUNTIF(I7:I17,"Вышло")&amp;" / "&amp;COUNTA(A7:A17)</f>
        <v>0 / 0</v>
      </c>
      <c r="J18" s="127">
        <f t="shared" ref="J18:M18" si="8">SUM(J7:J17)</f>
        <v>0</v>
      </c>
      <c r="K18" s="127">
        <f t="shared" si="8"/>
        <v>0</v>
      </c>
      <c r="L18" s="127">
        <f t="shared" si="8"/>
        <v>0</v>
      </c>
      <c r="M18" s="127">
        <f t="shared" si="8"/>
        <v>0</v>
      </c>
      <c r="N18" s="126"/>
      <c r="O18" s="163"/>
      <c r="P18" s="126"/>
      <c r="Q18" s="126"/>
      <c r="R18" s="126"/>
      <c r="S18" s="126"/>
      <c r="T18" s="127">
        <f>SUM(T7:T17)</f>
        <v>0</v>
      </c>
      <c r="U18" s="128" t="str">
        <f t="shared" si="2"/>
        <v/>
      </c>
      <c r="V18" s="127">
        <f t="shared" ref="V18:W18" si="9">SUM(V7:V17)</f>
        <v>0</v>
      </c>
      <c r="W18" s="127">
        <f t="shared" si="9"/>
        <v>0</v>
      </c>
      <c r="X18" s="128" t="str">
        <f>IF(N(V18)=0,"",M18/V18)</f>
        <v/>
      </c>
      <c r="Y18" s="127">
        <f t="shared" ref="Y18:AA18" si="10">SUM(Y7:Y17)</f>
        <v>0</v>
      </c>
      <c r="Z18" s="127">
        <f t="shared" si="10"/>
        <v>0</v>
      </c>
      <c r="AA18" s="127">
        <f t="shared" si="10"/>
        <v>0</v>
      </c>
      <c r="AB18" s="129"/>
      <c r="AC18" s="127">
        <f>SUM(AC7:AC17)</f>
        <v>0</v>
      </c>
      <c r="AD18" s="127"/>
      <c r="AE18" s="127">
        <f>SUM(AE7:AE17)</f>
        <v>0</v>
      </c>
      <c r="AF18" s="127" t="str">
        <f>IF(N(AC18)=0,"—",ROUND(M18/AC18,0))</f>
        <v>—</v>
      </c>
      <c r="AG18" s="127" t="str">
        <f>IF(N(Z18)=0,"—",ROUND(M18/Z18,0))</f>
        <v>—</v>
      </c>
      <c r="AH18" s="126"/>
    </row>
    <row r="19" ht="15.0" customHeight="1">
      <c r="A19" s="117" t="s">
        <v>1727</v>
      </c>
      <c r="B19" s="117"/>
      <c r="C19" s="130"/>
      <c r="D19" s="117"/>
      <c r="E19" s="117"/>
      <c r="F19" s="117"/>
      <c r="G19" s="117"/>
      <c r="H19" s="117"/>
      <c r="I19" s="117"/>
      <c r="J19" s="130"/>
      <c r="K19" s="130"/>
      <c r="L19" s="130"/>
      <c r="M19" s="130"/>
      <c r="N19" s="117"/>
      <c r="O19" s="157"/>
      <c r="P19" s="117"/>
      <c r="Q19" s="117"/>
      <c r="R19" s="117"/>
      <c r="S19" s="117"/>
      <c r="T19" s="130"/>
      <c r="U19" s="131"/>
      <c r="V19" s="130"/>
      <c r="W19" s="130"/>
      <c r="X19" s="131"/>
      <c r="Y19" s="130"/>
      <c r="Z19" s="130"/>
      <c r="AA19" s="130"/>
      <c r="AB19" s="132"/>
      <c r="AC19" s="130"/>
      <c r="AD19" s="130"/>
      <c r="AE19" s="130"/>
      <c r="AF19" s="130"/>
      <c r="AG19" s="130"/>
      <c r="AH19" s="117"/>
    </row>
    <row r="20" ht="15.0" customHeight="1">
      <c r="A20" s="256"/>
      <c r="B20" s="120" t="str">
        <f>IF($A20="","",IFERROR(HYPERLINK(VLOOKUP($A20,'Мои блогеры'!$A$2:$N$673,14,0),"🔗 открыть"),""))</f>
        <v/>
      </c>
      <c r="C20" s="11"/>
      <c r="D20" s="120"/>
      <c r="E20" s="21"/>
      <c r="F20" s="21"/>
      <c r="G20" s="21"/>
      <c r="H20" s="167"/>
      <c r="I20" s="21"/>
      <c r="J20" s="11" t="str">
        <f>IFERROR(VLOOKUP($A20,'Мои блогеры'!$A$2:$N$673,8,0),"")</f>
        <v/>
      </c>
      <c r="K20" s="122"/>
      <c r="L20" s="122"/>
      <c r="M20" s="11" t="str">
        <f t="shared" ref="M20:M32" si="11">IF(N($J20)+N($K20)+N($L20)=0,"",N($J20)+N($K20)+N($L20))</f>
        <v/>
      </c>
      <c r="N20" s="21"/>
      <c r="O20" s="153"/>
      <c r="P20" s="21"/>
      <c r="Q20" s="120" t="str">
        <f>IFERROR(VLOOKUP($A20,'Мои блогеры'!$A$2:$N$673,10,0)&amp;"-TRG","")</f>
        <v/>
      </c>
      <c r="R20" s="21"/>
      <c r="S20" s="21"/>
      <c r="T20" s="122"/>
      <c r="U20" s="123" t="str">
        <f t="shared" ref="U20:U33" si="12">IF(N($T20)=0,"",$M20/$T20)</f>
        <v/>
      </c>
      <c r="V20" s="122"/>
      <c r="W20" s="122"/>
      <c r="X20" s="123" t="str">
        <f t="shared" ref="X20:X32" si="13">IF(N($V20)=0,"",$M20/$V20)</f>
        <v/>
      </c>
      <c r="Y20" s="122"/>
      <c r="Z20" s="122"/>
      <c r="AA20" s="122"/>
      <c r="AB20" s="124"/>
      <c r="AC20" s="11" t="str">
        <f t="shared" ref="AC20:AC32" si="14">IF(OR(N($Z20)=0,$AB20=""),"",ROUND($Z20*$AB20,0))</f>
        <v/>
      </c>
      <c r="AD20" s="122"/>
      <c r="AE20" s="11" t="str">
        <f t="shared" ref="AE20:AE32" si="15">IF(OR(N($AC20)=0,$AD20=""),"",ROUND($AC20*$AD20,0))</f>
        <v/>
      </c>
      <c r="AF20" s="11" t="str">
        <f t="shared" ref="AF20:AF32" si="16">IF(N($AC20)=0,"",ROUND($M20/$AC20,0))</f>
        <v/>
      </c>
      <c r="AG20" s="11" t="str">
        <f t="shared" ref="AG20:AG32" si="17">IF(N($Z20)=0,"",ROUND($M20/$Z20,0))</f>
        <v/>
      </c>
      <c r="AH20" s="21"/>
    </row>
    <row r="21" ht="15.0" customHeight="1">
      <c r="A21" s="256"/>
      <c r="B21" s="120" t="str">
        <f>IF($A21="","",IFERROR(HYPERLINK(VLOOKUP($A21,'Мои блогеры'!$A$2:$N$673,14,0),"🔗 открыть"),""))</f>
        <v/>
      </c>
      <c r="C21" s="11"/>
      <c r="D21" s="120"/>
      <c r="E21" s="21"/>
      <c r="F21" s="21"/>
      <c r="G21" s="21"/>
      <c r="H21" s="121"/>
      <c r="I21" s="21"/>
      <c r="J21" s="11" t="str">
        <f>IFERROR(VLOOKUP($A21,'Мои блогеры'!$A$2:$N$673,8,0),"")</f>
        <v/>
      </c>
      <c r="K21" s="122"/>
      <c r="L21" s="122"/>
      <c r="M21" s="11" t="str">
        <f t="shared" si="11"/>
        <v/>
      </c>
      <c r="N21" s="21"/>
      <c r="O21" s="153"/>
      <c r="P21" s="21"/>
      <c r="Q21" s="120" t="str">
        <f>IFERROR(VLOOKUP($A21,'Мои блогеры'!$A$2:$N$673,10,0)&amp;"-TRG","")</f>
        <v/>
      </c>
      <c r="R21" s="21"/>
      <c r="S21" s="21"/>
      <c r="T21" s="122"/>
      <c r="U21" s="123" t="str">
        <f t="shared" si="12"/>
        <v/>
      </c>
      <c r="V21" s="122"/>
      <c r="W21" s="122"/>
      <c r="X21" s="123" t="str">
        <f t="shared" si="13"/>
        <v/>
      </c>
      <c r="Y21" s="122"/>
      <c r="Z21" s="122"/>
      <c r="AA21" s="122"/>
      <c r="AB21" s="124"/>
      <c r="AC21" s="11" t="str">
        <f t="shared" si="14"/>
        <v/>
      </c>
      <c r="AD21" s="122"/>
      <c r="AE21" s="11" t="str">
        <f t="shared" si="15"/>
        <v/>
      </c>
      <c r="AF21" s="11" t="str">
        <f t="shared" si="16"/>
        <v/>
      </c>
      <c r="AG21" s="11" t="str">
        <f t="shared" si="17"/>
        <v/>
      </c>
      <c r="AH21" s="21"/>
    </row>
    <row r="22" ht="15.0" customHeight="1">
      <c r="A22" s="21"/>
      <c r="B22" s="120" t="str">
        <f>IF($A22="","",IFERROR(HYPERLINK(VLOOKUP($A22,'Мои блогеры'!$A$2:$N$673,14,0),"🔗 открыть"),""))</f>
        <v/>
      </c>
      <c r="C22" s="11"/>
      <c r="D22" s="120"/>
      <c r="E22" s="21"/>
      <c r="F22" s="165"/>
      <c r="G22" s="21"/>
      <c r="H22" s="121"/>
      <c r="I22" s="21"/>
      <c r="J22" s="11" t="str">
        <f>IFERROR(VLOOKUP($A22,'Мои блогеры'!$A$2:$N$673,8,0),"")</f>
        <v/>
      </c>
      <c r="K22" s="122"/>
      <c r="L22" s="122"/>
      <c r="M22" s="11" t="str">
        <f t="shared" si="11"/>
        <v/>
      </c>
      <c r="N22" s="21"/>
      <c r="O22" s="153"/>
      <c r="P22" s="21"/>
      <c r="Q22" s="120" t="str">
        <f>IFERROR(VLOOKUP($A22,'Мои блогеры'!$A$2:$N$673,10,0)&amp;"-TRG","")</f>
        <v/>
      </c>
      <c r="R22" s="21"/>
      <c r="S22" s="21"/>
      <c r="T22" s="122"/>
      <c r="U22" s="123" t="str">
        <f t="shared" si="12"/>
        <v/>
      </c>
      <c r="V22" s="122"/>
      <c r="W22" s="122"/>
      <c r="X22" s="123" t="str">
        <f t="shared" si="13"/>
        <v/>
      </c>
      <c r="Y22" s="122"/>
      <c r="Z22" s="122"/>
      <c r="AA22" s="122"/>
      <c r="AB22" s="124"/>
      <c r="AC22" s="11" t="str">
        <f t="shared" si="14"/>
        <v/>
      </c>
      <c r="AD22" s="122"/>
      <c r="AE22" s="11" t="str">
        <f t="shared" si="15"/>
        <v/>
      </c>
      <c r="AF22" s="11" t="str">
        <f t="shared" si="16"/>
        <v/>
      </c>
      <c r="AG22" s="11" t="str">
        <f t="shared" si="17"/>
        <v/>
      </c>
      <c r="AH22" s="21"/>
    </row>
    <row r="23" ht="15.0" customHeight="1">
      <c r="A23" s="21"/>
      <c r="B23" s="120" t="str">
        <f>IF($A23="","",IFERROR(HYPERLINK(VLOOKUP($A23,'Мои блогеры'!$A$2:$N$673,14,0),"🔗 открыть"),""))</f>
        <v/>
      </c>
      <c r="C23" s="11"/>
      <c r="D23" s="120"/>
      <c r="E23" s="21"/>
      <c r="F23" s="165"/>
      <c r="G23" s="21"/>
      <c r="H23" s="167"/>
      <c r="I23" s="21"/>
      <c r="J23" s="11" t="str">
        <f>IFERROR(VLOOKUP($A23,'Мои блогеры'!$A$2:$N$673,8,0),"")</f>
        <v/>
      </c>
      <c r="K23" s="122"/>
      <c r="L23" s="122"/>
      <c r="M23" s="11" t="str">
        <f t="shared" si="11"/>
        <v/>
      </c>
      <c r="N23" s="21"/>
      <c r="O23" s="153"/>
      <c r="P23" s="21"/>
      <c r="Q23" s="120" t="str">
        <f>IFERROR(VLOOKUP($A23,'Мои блогеры'!$A$2:$N$673,10,0)&amp;"-TRG","")</f>
        <v/>
      </c>
      <c r="R23" s="21"/>
      <c r="S23" s="21"/>
      <c r="T23" s="122"/>
      <c r="U23" s="123" t="str">
        <f t="shared" si="12"/>
        <v/>
      </c>
      <c r="V23" s="122"/>
      <c r="W23" s="122"/>
      <c r="X23" s="123" t="str">
        <f t="shared" si="13"/>
        <v/>
      </c>
      <c r="Y23" s="122"/>
      <c r="Z23" s="122"/>
      <c r="AA23" s="122"/>
      <c r="AB23" s="124"/>
      <c r="AC23" s="11" t="str">
        <f t="shared" si="14"/>
        <v/>
      </c>
      <c r="AD23" s="122"/>
      <c r="AE23" s="11" t="str">
        <f t="shared" si="15"/>
        <v/>
      </c>
      <c r="AF23" s="11" t="str">
        <f t="shared" si="16"/>
        <v/>
      </c>
      <c r="AG23" s="11" t="str">
        <f t="shared" si="17"/>
        <v/>
      </c>
      <c r="AH23" s="21"/>
    </row>
    <row r="24" ht="15.0" customHeight="1">
      <c r="A24" s="21"/>
      <c r="B24" s="120" t="str">
        <f>IF($A24="","",IFERROR(HYPERLINK(VLOOKUP($A24,'Мои блогеры'!$A$2:$N$673,14,0),"🔗 открыть"),""))</f>
        <v/>
      </c>
      <c r="C24" s="11"/>
      <c r="D24" s="120"/>
      <c r="E24" s="21"/>
      <c r="F24" s="165"/>
      <c r="G24" s="21"/>
      <c r="H24" s="121"/>
      <c r="I24" s="21"/>
      <c r="J24" s="11" t="str">
        <f>IFERROR(VLOOKUP($A24,'Мои блогеры'!$A$2:$N$673,8,0),"")</f>
        <v/>
      </c>
      <c r="K24" s="122"/>
      <c r="L24" s="122"/>
      <c r="M24" s="11" t="str">
        <f t="shared" si="11"/>
        <v/>
      </c>
      <c r="N24" s="21"/>
      <c r="O24" s="153"/>
      <c r="P24" s="21"/>
      <c r="Q24" s="120" t="str">
        <f>IFERROR(VLOOKUP($A24,'Мои блогеры'!$A$2:$N$673,10,0)&amp;"-TRG","")</f>
        <v/>
      </c>
      <c r="R24" s="21"/>
      <c r="S24" s="21"/>
      <c r="T24" s="122"/>
      <c r="U24" s="123" t="str">
        <f t="shared" si="12"/>
        <v/>
      </c>
      <c r="V24" s="122"/>
      <c r="W24" s="122"/>
      <c r="X24" s="123" t="str">
        <f t="shared" si="13"/>
        <v/>
      </c>
      <c r="Y24" s="122"/>
      <c r="Z24" s="122"/>
      <c r="AA24" s="122"/>
      <c r="AB24" s="124"/>
      <c r="AC24" s="11" t="str">
        <f t="shared" si="14"/>
        <v/>
      </c>
      <c r="AD24" s="122"/>
      <c r="AE24" s="11" t="str">
        <f t="shared" si="15"/>
        <v/>
      </c>
      <c r="AF24" s="11" t="str">
        <f t="shared" si="16"/>
        <v/>
      </c>
      <c r="AG24" s="11" t="str">
        <f t="shared" si="17"/>
        <v/>
      </c>
      <c r="AH24" s="21"/>
    </row>
    <row r="25" ht="15.0" customHeight="1">
      <c r="A25" s="21"/>
      <c r="B25" s="120" t="str">
        <f>IF($A25="","",IFERROR(HYPERLINK(VLOOKUP($A25,'Мои блогеры'!$A$2:$N$673,14,0),"🔗 открыть"),""))</f>
        <v/>
      </c>
      <c r="C25" s="11" t="str">
        <f>IFERROR(VLOOKUP($A25,'Мои блогеры'!$A:$N,5,0),"")</f>
        <v/>
      </c>
      <c r="D25" s="120" t="str">
        <f>IFERROR(VLOOKUP($A25,'Мои блогеры'!$A:$N,2,0),"")</f>
        <v/>
      </c>
      <c r="E25" s="21"/>
      <c r="F25" s="21"/>
      <c r="G25" s="21"/>
      <c r="H25" s="121"/>
      <c r="I25" s="21"/>
      <c r="J25" s="11" t="str">
        <f>IFERROR(VLOOKUP($A25,'Мои блогеры'!$A$2:$N$673,8,0),"")</f>
        <v/>
      </c>
      <c r="K25" s="122"/>
      <c r="L25" s="122"/>
      <c r="M25" s="11" t="str">
        <f t="shared" si="11"/>
        <v/>
      </c>
      <c r="N25" s="21"/>
      <c r="O25" s="153"/>
      <c r="P25" s="21"/>
      <c r="Q25" s="120" t="str">
        <f>IFERROR(VLOOKUP($A25,'Мои блогеры'!$A$2:$N$673,10,0)&amp;"-TRG","")</f>
        <v/>
      </c>
      <c r="R25" s="21"/>
      <c r="S25" s="21"/>
      <c r="T25" s="122"/>
      <c r="U25" s="123" t="str">
        <f t="shared" si="12"/>
        <v/>
      </c>
      <c r="V25" s="122"/>
      <c r="W25" s="122"/>
      <c r="X25" s="123" t="str">
        <f t="shared" si="13"/>
        <v/>
      </c>
      <c r="Y25" s="122"/>
      <c r="Z25" s="122"/>
      <c r="AA25" s="122"/>
      <c r="AB25" s="124"/>
      <c r="AC25" s="11" t="str">
        <f t="shared" si="14"/>
        <v/>
      </c>
      <c r="AD25" s="122"/>
      <c r="AE25" s="11" t="str">
        <f t="shared" si="15"/>
        <v/>
      </c>
      <c r="AF25" s="11" t="str">
        <f t="shared" si="16"/>
        <v/>
      </c>
      <c r="AG25" s="11" t="str">
        <f t="shared" si="17"/>
        <v/>
      </c>
      <c r="AH25" s="21"/>
    </row>
    <row r="26" ht="15.0" customHeight="1">
      <c r="A26" s="21"/>
      <c r="B26" s="120" t="str">
        <f>IF($A26="","",IFERROR(HYPERLINK(VLOOKUP($A26,'Мои блогеры'!$A$2:$N$673,14,0),"🔗 открыть"),""))</f>
        <v/>
      </c>
      <c r="C26" s="11" t="str">
        <f>IFERROR(VLOOKUP($A26,'Мои блогеры'!$A:$N,5,0),"")</f>
        <v/>
      </c>
      <c r="D26" s="120" t="str">
        <f>IFERROR(VLOOKUP($A26,'Мои блогеры'!$A:$N,2,0),"")</f>
        <v/>
      </c>
      <c r="E26" s="21"/>
      <c r="F26" s="21"/>
      <c r="G26" s="21"/>
      <c r="H26" s="121"/>
      <c r="I26" s="21"/>
      <c r="J26" s="11" t="str">
        <f>IFERROR(VLOOKUP($A26,'Мои блогеры'!$A$2:$N$673,8,0),"")</f>
        <v/>
      </c>
      <c r="K26" s="122"/>
      <c r="L26" s="122"/>
      <c r="M26" s="11" t="str">
        <f t="shared" si="11"/>
        <v/>
      </c>
      <c r="N26" s="21"/>
      <c r="O26" s="153"/>
      <c r="P26" s="21"/>
      <c r="Q26" s="120" t="str">
        <f>IFERROR(VLOOKUP($A26,'Мои блогеры'!$A$2:$N$673,10,0)&amp;"-TRG","")</f>
        <v/>
      </c>
      <c r="R26" s="21"/>
      <c r="S26" s="21"/>
      <c r="T26" s="122"/>
      <c r="U26" s="123" t="str">
        <f t="shared" si="12"/>
        <v/>
      </c>
      <c r="V26" s="122"/>
      <c r="W26" s="122"/>
      <c r="X26" s="123" t="str">
        <f t="shared" si="13"/>
        <v/>
      </c>
      <c r="Y26" s="122"/>
      <c r="Z26" s="122"/>
      <c r="AA26" s="122"/>
      <c r="AB26" s="124"/>
      <c r="AC26" s="11" t="str">
        <f t="shared" si="14"/>
        <v/>
      </c>
      <c r="AD26" s="122"/>
      <c r="AE26" s="11" t="str">
        <f t="shared" si="15"/>
        <v/>
      </c>
      <c r="AF26" s="11" t="str">
        <f t="shared" si="16"/>
        <v/>
      </c>
      <c r="AG26" s="11" t="str">
        <f t="shared" si="17"/>
        <v/>
      </c>
      <c r="AH26" s="21"/>
    </row>
    <row r="27" ht="15.0" customHeight="1">
      <c r="A27" s="21"/>
      <c r="B27" s="120" t="str">
        <f>IF($A27="","",IFERROR(HYPERLINK(VLOOKUP($A27,'Мои блогеры'!$A$2:$N$673,14,0),"🔗 открыть"),""))</f>
        <v/>
      </c>
      <c r="C27" s="11" t="str">
        <f>IFERROR(VLOOKUP($A27,'Мои блогеры'!$A:$N,5,0),"")</f>
        <v/>
      </c>
      <c r="D27" s="120" t="str">
        <f>IFERROR(VLOOKUP($A27,'Мои блогеры'!$A:$N,2,0),"")</f>
        <v/>
      </c>
      <c r="E27" s="21"/>
      <c r="F27" s="21"/>
      <c r="G27" s="21"/>
      <c r="H27" s="121"/>
      <c r="I27" s="21"/>
      <c r="J27" s="11" t="str">
        <f>IFERROR(VLOOKUP($A27,'Мои блогеры'!$A$2:$N$673,8,0),"")</f>
        <v/>
      </c>
      <c r="K27" s="122"/>
      <c r="L27" s="122"/>
      <c r="M27" s="11" t="str">
        <f t="shared" si="11"/>
        <v/>
      </c>
      <c r="N27" s="21"/>
      <c r="O27" s="153"/>
      <c r="P27" s="21"/>
      <c r="Q27" s="120" t="str">
        <f>IFERROR(VLOOKUP($A27,'Мои блогеры'!$A$2:$N$673,10,0)&amp;"-TRG","")</f>
        <v/>
      </c>
      <c r="R27" s="21"/>
      <c r="S27" s="21"/>
      <c r="T27" s="122"/>
      <c r="U27" s="123" t="str">
        <f t="shared" si="12"/>
        <v/>
      </c>
      <c r="V27" s="122"/>
      <c r="W27" s="122"/>
      <c r="X27" s="123" t="str">
        <f t="shared" si="13"/>
        <v/>
      </c>
      <c r="Y27" s="122"/>
      <c r="Z27" s="122"/>
      <c r="AA27" s="122"/>
      <c r="AB27" s="124"/>
      <c r="AC27" s="11" t="str">
        <f t="shared" si="14"/>
        <v/>
      </c>
      <c r="AD27" s="122"/>
      <c r="AE27" s="11" t="str">
        <f t="shared" si="15"/>
        <v/>
      </c>
      <c r="AF27" s="11" t="str">
        <f t="shared" si="16"/>
        <v/>
      </c>
      <c r="AG27" s="11" t="str">
        <f t="shared" si="17"/>
        <v/>
      </c>
      <c r="AH27" s="21"/>
    </row>
    <row r="28" ht="15.0" customHeight="1">
      <c r="A28" s="21"/>
      <c r="B28" s="120" t="str">
        <f>IF($A28="","",IFERROR(HYPERLINK(VLOOKUP($A28,'Мои блогеры'!$A$2:$N$673,14,0),"🔗 открыть"),""))</f>
        <v/>
      </c>
      <c r="C28" s="11" t="str">
        <f>IFERROR(VLOOKUP($A28,'Мои блогеры'!$A:$N,5,0),"")</f>
        <v/>
      </c>
      <c r="D28" s="120" t="str">
        <f>IFERROR(VLOOKUP($A28,'Мои блогеры'!$A:$N,2,0),"")</f>
        <v/>
      </c>
      <c r="E28" s="21"/>
      <c r="F28" s="21"/>
      <c r="G28" s="21"/>
      <c r="H28" s="121"/>
      <c r="I28" s="21"/>
      <c r="J28" s="11" t="str">
        <f>IFERROR(VLOOKUP($A28,'Мои блогеры'!$A$2:$N$673,8,0),"")</f>
        <v/>
      </c>
      <c r="K28" s="122"/>
      <c r="L28" s="122"/>
      <c r="M28" s="11" t="str">
        <f t="shared" si="11"/>
        <v/>
      </c>
      <c r="N28" s="21"/>
      <c r="O28" s="153"/>
      <c r="P28" s="21"/>
      <c r="Q28" s="120" t="str">
        <f>IFERROR(VLOOKUP($A28,'Мои блогеры'!$A$2:$N$673,10,0)&amp;"-TRG","")</f>
        <v/>
      </c>
      <c r="R28" s="21"/>
      <c r="S28" s="21"/>
      <c r="T28" s="122"/>
      <c r="U28" s="123" t="str">
        <f t="shared" si="12"/>
        <v/>
      </c>
      <c r="V28" s="122"/>
      <c r="W28" s="122"/>
      <c r="X28" s="123" t="str">
        <f t="shared" si="13"/>
        <v/>
      </c>
      <c r="Y28" s="122"/>
      <c r="Z28" s="122"/>
      <c r="AA28" s="122"/>
      <c r="AB28" s="124"/>
      <c r="AC28" s="11" t="str">
        <f t="shared" si="14"/>
        <v/>
      </c>
      <c r="AD28" s="122"/>
      <c r="AE28" s="11" t="str">
        <f t="shared" si="15"/>
        <v/>
      </c>
      <c r="AF28" s="11" t="str">
        <f t="shared" si="16"/>
        <v/>
      </c>
      <c r="AG28" s="11" t="str">
        <f t="shared" si="17"/>
        <v/>
      </c>
      <c r="AH28" s="21"/>
    </row>
    <row r="29" ht="15.0" customHeight="1">
      <c r="A29" s="21"/>
      <c r="B29" s="120" t="str">
        <f>IF($A29="","",IFERROR(HYPERLINK(VLOOKUP($A29,'Мои блогеры'!$A$2:$N$673,14,0),"🔗 открыть"),""))</f>
        <v/>
      </c>
      <c r="C29" s="11" t="str">
        <f>IFERROR(VLOOKUP($A29,'Мои блогеры'!$A:$N,5,0),"")</f>
        <v/>
      </c>
      <c r="D29" s="120" t="str">
        <f>IFERROR(VLOOKUP($A29,'Мои блогеры'!$A:$N,2,0),"")</f>
        <v/>
      </c>
      <c r="E29" s="21"/>
      <c r="F29" s="21"/>
      <c r="G29" s="21"/>
      <c r="H29" s="121"/>
      <c r="I29" s="21"/>
      <c r="J29" s="11" t="str">
        <f>IFERROR(VLOOKUP($A29,'Мои блогеры'!$A$2:$N$673,8,0),"")</f>
        <v/>
      </c>
      <c r="K29" s="122"/>
      <c r="L29" s="122"/>
      <c r="M29" s="11" t="str">
        <f t="shared" si="11"/>
        <v/>
      </c>
      <c r="N29" s="21"/>
      <c r="O29" s="153"/>
      <c r="P29" s="21"/>
      <c r="Q29" s="120" t="str">
        <f>IFERROR(VLOOKUP($A29,'Мои блогеры'!$A$2:$N$673,10,0)&amp;"-TRG","")</f>
        <v/>
      </c>
      <c r="R29" s="21"/>
      <c r="S29" s="21"/>
      <c r="T29" s="122"/>
      <c r="U29" s="123" t="str">
        <f t="shared" si="12"/>
        <v/>
      </c>
      <c r="V29" s="122"/>
      <c r="W29" s="122"/>
      <c r="X29" s="123" t="str">
        <f t="shared" si="13"/>
        <v/>
      </c>
      <c r="Y29" s="122"/>
      <c r="Z29" s="122"/>
      <c r="AA29" s="122"/>
      <c r="AB29" s="124"/>
      <c r="AC29" s="11" t="str">
        <f t="shared" si="14"/>
        <v/>
      </c>
      <c r="AD29" s="122"/>
      <c r="AE29" s="11" t="str">
        <f t="shared" si="15"/>
        <v/>
      </c>
      <c r="AF29" s="11" t="str">
        <f t="shared" si="16"/>
        <v/>
      </c>
      <c r="AG29" s="11" t="str">
        <f t="shared" si="17"/>
        <v/>
      </c>
      <c r="AH29" s="21"/>
    </row>
    <row r="30" ht="15.0" customHeight="1">
      <c r="A30" s="21"/>
      <c r="B30" s="120" t="str">
        <f>IF($A30="","",IFERROR(HYPERLINK(VLOOKUP($A30,'Мои блогеры'!$A$2:$N$673,14,0),"🔗 открыть"),""))</f>
        <v/>
      </c>
      <c r="C30" s="11" t="str">
        <f>IFERROR(VLOOKUP($A30,'Мои блогеры'!$A:$N,5,0),"")</f>
        <v/>
      </c>
      <c r="D30" s="120" t="str">
        <f>IFERROR(VLOOKUP($A30,'Мои блогеры'!$A:$N,2,0),"")</f>
        <v/>
      </c>
      <c r="E30" s="21"/>
      <c r="F30" s="21"/>
      <c r="G30" s="21"/>
      <c r="H30" s="121"/>
      <c r="I30" s="21"/>
      <c r="J30" s="11" t="str">
        <f>IFERROR(VLOOKUP($A30,'Мои блогеры'!$A$2:$N$673,8,0),"")</f>
        <v/>
      </c>
      <c r="K30" s="122"/>
      <c r="L30" s="122"/>
      <c r="M30" s="11" t="str">
        <f t="shared" si="11"/>
        <v/>
      </c>
      <c r="N30" s="21"/>
      <c r="O30" s="153"/>
      <c r="P30" s="21"/>
      <c r="Q30" s="120" t="str">
        <f>IFERROR(VLOOKUP($A30,'Мои блогеры'!$A$2:$N$673,10,0)&amp;"-TRG","")</f>
        <v/>
      </c>
      <c r="R30" s="21"/>
      <c r="S30" s="21"/>
      <c r="T30" s="122"/>
      <c r="U30" s="123" t="str">
        <f t="shared" si="12"/>
        <v/>
      </c>
      <c r="V30" s="122"/>
      <c r="W30" s="122"/>
      <c r="X30" s="123" t="str">
        <f t="shared" si="13"/>
        <v/>
      </c>
      <c r="Y30" s="122"/>
      <c r="Z30" s="122"/>
      <c r="AA30" s="122"/>
      <c r="AB30" s="124"/>
      <c r="AC30" s="11" t="str">
        <f t="shared" si="14"/>
        <v/>
      </c>
      <c r="AD30" s="122"/>
      <c r="AE30" s="11" t="str">
        <f t="shared" si="15"/>
        <v/>
      </c>
      <c r="AF30" s="11" t="str">
        <f t="shared" si="16"/>
        <v/>
      </c>
      <c r="AG30" s="11" t="str">
        <f t="shared" si="17"/>
        <v/>
      </c>
      <c r="AH30" s="21"/>
    </row>
    <row r="31" ht="15.0" customHeight="1">
      <c r="A31" s="21"/>
      <c r="B31" s="120" t="str">
        <f>IF($A31="","",IFERROR(HYPERLINK(VLOOKUP($A31,'Мои блогеры'!$A$2:$N$673,14,0),"🔗 открыть"),""))</f>
        <v/>
      </c>
      <c r="C31" s="11" t="str">
        <f>IFERROR(VLOOKUP($A31,'Мои блогеры'!$A:$N,5,0),"")</f>
        <v/>
      </c>
      <c r="D31" s="120" t="str">
        <f>IFERROR(VLOOKUP($A31,'Мои блогеры'!$A:$N,2,0),"")</f>
        <v/>
      </c>
      <c r="E31" s="21"/>
      <c r="F31" s="21"/>
      <c r="G31" s="21"/>
      <c r="H31" s="121"/>
      <c r="I31" s="21"/>
      <c r="J31" s="11" t="str">
        <f>IFERROR(VLOOKUP($A31,'Мои блогеры'!$A$2:$N$673,8,0),"")</f>
        <v/>
      </c>
      <c r="K31" s="122"/>
      <c r="L31" s="122"/>
      <c r="M31" s="11" t="str">
        <f t="shared" si="11"/>
        <v/>
      </c>
      <c r="N31" s="21"/>
      <c r="O31" s="153"/>
      <c r="P31" s="21"/>
      <c r="Q31" s="120" t="str">
        <f>IFERROR(VLOOKUP($A31,'Мои блогеры'!$A$2:$N$673,10,0)&amp;"-TRG","")</f>
        <v/>
      </c>
      <c r="R31" s="21"/>
      <c r="S31" s="21"/>
      <c r="T31" s="122"/>
      <c r="U31" s="123" t="str">
        <f t="shared" si="12"/>
        <v/>
      </c>
      <c r="V31" s="122"/>
      <c r="W31" s="122"/>
      <c r="X31" s="123" t="str">
        <f t="shared" si="13"/>
        <v/>
      </c>
      <c r="Y31" s="122"/>
      <c r="Z31" s="122"/>
      <c r="AA31" s="122"/>
      <c r="AB31" s="124"/>
      <c r="AC31" s="11" t="str">
        <f t="shared" si="14"/>
        <v/>
      </c>
      <c r="AD31" s="122"/>
      <c r="AE31" s="11" t="str">
        <f t="shared" si="15"/>
        <v/>
      </c>
      <c r="AF31" s="11" t="str">
        <f t="shared" si="16"/>
        <v/>
      </c>
      <c r="AG31" s="11" t="str">
        <f t="shared" si="17"/>
        <v/>
      </c>
      <c r="AH31" s="21"/>
    </row>
    <row r="32" ht="15.0" customHeight="1">
      <c r="A32" s="21"/>
      <c r="B32" s="120" t="str">
        <f>IF($A32="","",IFERROR(HYPERLINK(VLOOKUP($A32,'Мои блогеры'!$A$2:$N$673,14,0),"🔗 открыть"),""))</f>
        <v/>
      </c>
      <c r="C32" s="11" t="str">
        <f>IFERROR(VLOOKUP($A32,'Мои блогеры'!$A:$N,5,0),"")</f>
        <v/>
      </c>
      <c r="D32" s="120" t="str">
        <f>IFERROR(VLOOKUP($A32,'Мои блогеры'!$A:$N,2,0),"")</f>
        <v/>
      </c>
      <c r="E32" s="21"/>
      <c r="F32" s="21"/>
      <c r="G32" s="21"/>
      <c r="H32" s="121"/>
      <c r="I32" s="21"/>
      <c r="J32" s="11" t="str">
        <f>IFERROR(VLOOKUP($A32,'Мои блогеры'!$A$2:$N$673,8,0),"")</f>
        <v/>
      </c>
      <c r="K32" s="122"/>
      <c r="L32" s="122"/>
      <c r="M32" s="11" t="str">
        <f t="shared" si="11"/>
        <v/>
      </c>
      <c r="N32" s="21"/>
      <c r="O32" s="153"/>
      <c r="P32" s="21"/>
      <c r="Q32" s="120" t="str">
        <f>IFERROR(VLOOKUP($A32,'Мои блогеры'!$A$2:$N$673,10,0)&amp;"-TRG","")</f>
        <v/>
      </c>
      <c r="R32" s="21"/>
      <c r="S32" s="21"/>
      <c r="T32" s="122"/>
      <c r="U32" s="123" t="str">
        <f t="shared" si="12"/>
        <v/>
      </c>
      <c r="V32" s="122"/>
      <c r="W32" s="122"/>
      <c r="X32" s="123" t="str">
        <f t="shared" si="13"/>
        <v/>
      </c>
      <c r="Y32" s="122"/>
      <c r="Z32" s="122"/>
      <c r="AA32" s="122"/>
      <c r="AB32" s="124"/>
      <c r="AC32" s="11" t="str">
        <f t="shared" si="14"/>
        <v/>
      </c>
      <c r="AD32" s="122"/>
      <c r="AE32" s="11" t="str">
        <f t="shared" si="15"/>
        <v/>
      </c>
      <c r="AF32" s="11" t="str">
        <f t="shared" si="16"/>
        <v/>
      </c>
      <c r="AG32" s="11" t="str">
        <f t="shared" si="17"/>
        <v/>
      </c>
      <c r="AH32" s="21"/>
    </row>
    <row r="33" ht="15.0" customHeight="1">
      <c r="A33" s="126" t="s">
        <v>1728</v>
      </c>
      <c r="B33" s="126"/>
      <c r="C33" s="127"/>
      <c r="D33" s="126"/>
      <c r="E33" s="126"/>
      <c r="F33" s="126"/>
      <c r="G33" s="126"/>
      <c r="H33" s="126"/>
      <c r="I33" s="126" t="str">
        <f>COUNTIF(I20:I32,"Вышло")&amp;" / "&amp;COUNTA(A20:A32)</f>
        <v>0 / 0</v>
      </c>
      <c r="J33" s="127">
        <f t="shared" ref="J33:M33" si="18">SUM(J20:J32)</f>
        <v>0</v>
      </c>
      <c r="K33" s="127">
        <f t="shared" si="18"/>
        <v>0</v>
      </c>
      <c r="L33" s="127">
        <f t="shared" si="18"/>
        <v>0</v>
      </c>
      <c r="M33" s="127">
        <f t="shared" si="18"/>
        <v>0</v>
      </c>
      <c r="N33" s="126"/>
      <c r="O33" s="163"/>
      <c r="P33" s="126"/>
      <c r="Q33" s="126"/>
      <c r="R33" s="126"/>
      <c r="S33" s="126"/>
      <c r="T33" s="127">
        <f>SUM(T20:T32)</f>
        <v>0</v>
      </c>
      <c r="U33" s="128" t="str">
        <f t="shared" si="12"/>
        <v/>
      </c>
      <c r="V33" s="127">
        <f t="shared" ref="V33:W33" si="19">SUM(V20:V32)</f>
        <v>0</v>
      </c>
      <c r="W33" s="127">
        <f t="shared" si="19"/>
        <v>0</v>
      </c>
      <c r="X33" s="128" t="str">
        <f>IF(N(V33)=0,"",M33/V33)</f>
        <v/>
      </c>
      <c r="Y33" s="127">
        <f t="shared" ref="Y33:AA33" si="20">SUM(Y20:Y32)</f>
        <v>0</v>
      </c>
      <c r="Z33" s="127">
        <f t="shared" si="20"/>
        <v>0</v>
      </c>
      <c r="AA33" s="127">
        <f t="shared" si="20"/>
        <v>0</v>
      </c>
      <c r="AB33" s="129"/>
      <c r="AC33" s="127">
        <f>SUM(AC20:AC32)</f>
        <v>0</v>
      </c>
      <c r="AD33" s="127"/>
      <c r="AE33" s="127">
        <f>SUM(AE20:AE32)</f>
        <v>0</v>
      </c>
      <c r="AF33" s="127" t="str">
        <f>IF(N(AC33)=0,"—",ROUND(M33/AC33,0))</f>
        <v>—</v>
      </c>
      <c r="AG33" s="127" t="str">
        <f>IF(N(Z33)=0,"—",ROUND(M33/Z33,0))</f>
        <v>—</v>
      </c>
      <c r="AH33" s="126"/>
    </row>
    <row r="34" ht="15.0" customHeight="1">
      <c r="A34" s="117" t="s">
        <v>1729</v>
      </c>
      <c r="B34" s="117"/>
      <c r="C34" s="130"/>
      <c r="D34" s="117"/>
      <c r="E34" s="117"/>
      <c r="F34" s="117"/>
      <c r="G34" s="117"/>
      <c r="H34" s="117"/>
      <c r="I34" s="117"/>
      <c r="J34" s="130"/>
      <c r="K34" s="130"/>
      <c r="L34" s="130"/>
      <c r="M34" s="130"/>
      <c r="N34" s="117"/>
      <c r="O34" s="157"/>
      <c r="P34" s="117"/>
      <c r="Q34" s="117"/>
      <c r="R34" s="117"/>
      <c r="S34" s="117"/>
      <c r="T34" s="130"/>
      <c r="U34" s="131"/>
      <c r="V34" s="130"/>
      <c r="W34" s="130"/>
      <c r="X34" s="131"/>
      <c r="Y34" s="130"/>
      <c r="Z34" s="130"/>
      <c r="AA34" s="130"/>
      <c r="AB34" s="132"/>
      <c r="AC34" s="130"/>
      <c r="AD34" s="130"/>
      <c r="AE34" s="130"/>
      <c r="AF34" s="130"/>
      <c r="AG34" s="130"/>
      <c r="AH34" s="117"/>
    </row>
    <row r="35" ht="15.0" customHeight="1">
      <c r="A35" s="256"/>
      <c r="B35" s="120" t="str">
        <f>IF($A35="","",IFERROR(HYPERLINK(VLOOKUP($A35,'Мои блогеры'!$A$2:$N$673,14,0),"🔗 открыть"),""))</f>
        <v/>
      </c>
      <c r="C35" s="11"/>
      <c r="D35" s="120"/>
      <c r="E35" s="21"/>
      <c r="F35" s="21"/>
      <c r="G35" s="21"/>
      <c r="H35" s="167"/>
      <c r="I35" s="21"/>
      <c r="J35" s="11" t="str">
        <f>IFERROR(VLOOKUP($A35,'Мои блогеры'!$A$2:$N$673,8,0),"")</f>
        <v/>
      </c>
      <c r="K35" s="122"/>
      <c r="L35" s="122"/>
      <c r="M35" s="11" t="str">
        <f t="shared" ref="M35:M45" si="21">IF(N($J35)+N($K35)+N($L35)=0,"",N($J35)+N($K35)+N($L35))</f>
        <v/>
      </c>
      <c r="N35" s="21"/>
      <c r="O35" s="153"/>
      <c r="P35" s="21"/>
      <c r="Q35" s="120" t="str">
        <f>IFERROR(VLOOKUP($A35,'Мои блогеры'!$A$2:$N$673,10,0)&amp;"-TRG","")</f>
        <v/>
      </c>
      <c r="R35" s="21"/>
      <c r="S35" s="21"/>
      <c r="T35" s="122"/>
      <c r="U35" s="123" t="str">
        <f t="shared" ref="U35:U46" si="22">IF(N($T35)=0,"",$M35/$T35)</f>
        <v/>
      </c>
      <c r="V35" s="122"/>
      <c r="W35" s="122"/>
      <c r="X35" s="123" t="str">
        <f t="shared" ref="X35:X45" si="23">IF(N($V35)=0,"",$M35/$V35)</f>
        <v/>
      </c>
      <c r="Y35" s="122"/>
      <c r="Z35" s="122"/>
      <c r="AA35" s="122"/>
      <c r="AB35" s="124"/>
      <c r="AC35" s="11" t="str">
        <f t="shared" ref="AC35:AC45" si="24">IF(OR(N($Z35)=0,$AB35=""),"",ROUND($Z35*$AB35,0))</f>
        <v/>
      </c>
      <c r="AD35" s="122"/>
      <c r="AE35" s="11" t="str">
        <f t="shared" ref="AE35:AE45" si="25">IF(OR(N($AC35)=0,$AD35=""),"",ROUND($AC35*$AD35,0))</f>
        <v/>
      </c>
      <c r="AF35" s="11" t="str">
        <f t="shared" ref="AF35:AF45" si="26">IF(N($AC35)=0,"",ROUND($M35/$AC35,0))</f>
        <v/>
      </c>
      <c r="AG35" s="11" t="str">
        <f t="shared" ref="AG35:AG45" si="27">IF(N($Z35)=0,"",ROUND($M35/$Z35,0))</f>
        <v/>
      </c>
      <c r="AH35" s="21"/>
    </row>
    <row r="36" ht="15.0" customHeight="1">
      <c r="A36" s="256"/>
      <c r="B36" s="120" t="str">
        <f>IF($A36="","",IFERROR(HYPERLINK(VLOOKUP($A36,'Мои блогеры'!$A$2:$N$673,14,0),"🔗 открыть"),""))</f>
        <v/>
      </c>
      <c r="C36" s="11"/>
      <c r="D36" s="120"/>
      <c r="E36" s="21"/>
      <c r="F36" s="21"/>
      <c r="G36" s="21"/>
      <c r="H36" s="121"/>
      <c r="I36" s="21"/>
      <c r="J36" s="11" t="str">
        <f>IFERROR(VLOOKUP($A36,'Мои блогеры'!$A$2:$N$673,8,0),"")</f>
        <v/>
      </c>
      <c r="K36" s="122"/>
      <c r="L36" s="122"/>
      <c r="M36" s="11" t="str">
        <f t="shared" si="21"/>
        <v/>
      </c>
      <c r="N36" s="21"/>
      <c r="O36" s="153"/>
      <c r="P36" s="21"/>
      <c r="Q36" s="120" t="str">
        <f>IFERROR(VLOOKUP($A36,'Мои блогеры'!$A$2:$N$673,10,0)&amp;"-TRG","")</f>
        <v/>
      </c>
      <c r="R36" s="21"/>
      <c r="S36" s="21"/>
      <c r="T36" s="122"/>
      <c r="U36" s="123" t="str">
        <f t="shared" si="22"/>
        <v/>
      </c>
      <c r="V36" s="122"/>
      <c r="W36" s="122"/>
      <c r="X36" s="123" t="str">
        <f t="shared" si="23"/>
        <v/>
      </c>
      <c r="Y36" s="122"/>
      <c r="Z36" s="122"/>
      <c r="AA36" s="122"/>
      <c r="AB36" s="124"/>
      <c r="AC36" s="11" t="str">
        <f t="shared" si="24"/>
        <v/>
      </c>
      <c r="AD36" s="122"/>
      <c r="AE36" s="11" t="str">
        <f t="shared" si="25"/>
        <v/>
      </c>
      <c r="AF36" s="11" t="str">
        <f t="shared" si="26"/>
        <v/>
      </c>
      <c r="AG36" s="11" t="str">
        <f t="shared" si="27"/>
        <v/>
      </c>
      <c r="AH36" s="21"/>
    </row>
    <row r="37" ht="15.75" customHeight="1">
      <c r="A37" s="21"/>
      <c r="B37" s="120" t="str">
        <f>IF($A37="","",IFERROR(HYPERLINK(VLOOKUP($A37,'Мои блогеры'!$A$2:$N$673,14,0),"🔗 открыть"),""))</f>
        <v/>
      </c>
      <c r="C37" s="11"/>
      <c r="D37" s="120"/>
      <c r="E37" s="21"/>
      <c r="F37" s="165"/>
      <c r="G37" s="21"/>
      <c r="H37" s="121"/>
      <c r="I37" s="21"/>
      <c r="J37" s="11" t="str">
        <f>IFERROR(VLOOKUP($A37,'Мои блогеры'!$A$2:$N$673,8,0),"")</f>
        <v/>
      </c>
      <c r="K37" s="122"/>
      <c r="L37" s="122"/>
      <c r="M37" s="11" t="str">
        <f t="shared" si="21"/>
        <v/>
      </c>
      <c r="N37" s="21"/>
      <c r="O37" s="153"/>
      <c r="P37" s="21"/>
      <c r="Q37" s="120" t="str">
        <f>IFERROR(VLOOKUP($A37,'Мои блогеры'!$A$2:$N$673,10,0)&amp;"-TRG","")</f>
        <v/>
      </c>
      <c r="R37" s="21"/>
      <c r="S37" s="21"/>
      <c r="T37" s="122"/>
      <c r="U37" s="123" t="str">
        <f t="shared" si="22"/>
        <v/>
      </c>
      <c r="V37" s="122"/>
      <c r="W37" s="122"/>
      <c r="X37" s="123" t="str">
        <f t="shared" si="23"/>
        <v/>
      </c>
      <c r="Y37" s="122"/>
      <c r="Z37" s="122"/>
      <c r="AA37" s="122"/>
      <c r="AB37" s="124"/>
      <c r="AC37" s="11" t="str">
        <f t="shared" si="24"/>
        <v/>
      </c>
      <c r="AD37" s="122"/>
      <c r="AE37" s="11" t="str">
        <f t="shared" si="25"/>
        <v/>
      </c>
      <c r="AF37" s="11" t="str">
        <f t="shared" si="26"/>
        <v/>
      </c>
      <c r="AG37" s="11" t="str">
        <f t="shared" si="27"/>
        <v/>
      </c>
      <c r="AH37" s="21"/>
    </row>
    <row r="38" ht="15.0" customHeight="1">
      <c r="A38" s="21"/>
      <c r="B38" s="120" t="str">
        <f>IF($A38="","",IFERROR(HYPERLINK(VLOOKUP($A38,'Мои блогеры'!$A$2:$N$673,14,0),"🔗 открыть"),""))</f>
        <v/>
      </c>
      <c r="C38" s="11" t="str">
        <f>IFERROR(VLOOKUP($A38,'Мои блогеры'!$A:$N,5,0),"")</f>
        <v/>
      </c>
      <c r="D38" s="120" t="str">
        <f>IFERROR(VLOOKUP($A38,'Мои блогеры'!$A:$N,2,0),"")</f>
        <v/>
      </c>
      <c r="E38" s="21"/>
      <c r="F38" s="21"/>
      <c r="G38" s="21"/>
      <c r="H38" s="121"/>
      <c r="I38" s="21"/>
      <c r="J38" s="11" t="str">
        <f>IFERROR(VLOOKUP($A38,'Мои блогеры'!$A$2:$N$673,8,0),"")</f>
        <v/>
      </c>
      <c r="K38" s="122"/>
      <c r="L38" s="122"/>
      <c r="M38" s="11" t="str">
        <f t="shared" si="21"/>
        <v/>
      </c>
      <c r="N38" s="21"/>
      <c r="O38" s="153"/>
      <c r="P38" s="21"/>
      <c r="Q38" s="120" t="str">
        <f>IFERROR(VLOOKUP($A38,'Мои блогеры'!$A$2:$N$673,10,0)&amp;"-TRG","")</f>
        <v/>
      </c>
      <c r="R38" s="21"/>
      <c r="S38" s="21"/>
      <c r="T38" s="122"/>
      <c r="U38" s="123" t="str">
        <f t="shared" si="22"/>
        <v/>
      </c>
      <c r="V38" s="122"/>
      <c r="W38" s="122"/>
      <c r="X38" s="123" t="str">
        <f t="shared" si="23"/>
        <v/>
      </c>
      <c r="Y38" s="122"/>
      <c r="Z38" s="122"/>
      <c r="AA38" s="122"/>
      <c r="AB38" s="124"/>
      <c r="AC38" s="11" t="str">
        <f t="shared" si="24"/>
        <v/>
      </c>
      <c r="AD38" s="122"/>
      <c r="AE38" s="11" t="str">
        <f t="shared" si="25"/>
        <v/>
      </c>
      <c r="AF38" s="11" t="str">
        <f t="shared" si="26"/>
        <v/>
      </c>
      <c r="AG38" s="11" t="str">
        <f t="shared" si="27"/>
        <v/>
      </c>
      <c r="AH38" s="21"/>
    </row>
    <row r="39" ht="15.0" customHeight="1">
      <c r="A39" s="21"/>
      <c r="B39" s="120" t="str">
        <f>IF($A39="","",IFERROR(HYPERLINK(VLOOKUP($A39,'Мои блогеры'!$A$2:$N$673,14,0),"🔗 открыть"),""))</f>
        <v/>
      </c>
      <c r="C39" s="11" t="str">
        <f>IFERROR(VLOOKUP($A39,'Мои блогеры'!$A:$N,5,0),"")</f>
        <v/>
      </c>
      <c r="D39" s="120" t="str">
        <f>IFERROR(VLOOKUP($A39,'Мои блогеры'!$A:$N,2,0),"")</f>
        <v/>
      </c>
      <c r="E39" s="21"/>
      <c r="F39" s="21"/>
      <c r="G39" s="21"/>
      <c r="H39" s="121"/>
      <c r="I39" s="21"/>
      <c r="J39" s="11" t="str">
        <f>IFERROR(VLOOKUP($A39,'Мои блогеры'!$A$2:$N$673,8,0),"")</f>
        <v/>
      </c>
      <c r="K39" s="122"/>
      <c r="L39" s="122"/>
      <c r="M39" s="11" t="str">
        <f t="shared" si="21"/>
        <v/>
      </c>
      <c r="N39" s="21"/>
      <c r="O39" s="153"/>
      <c r="P39" s="21"/>
      <c r="Q39" s="120" t="str">
        <f>IFERROR(VLOOKUP($A39,'Мои блогеры'!$A$2:$N$673,10,0)&amp;"-TRG","")</f>
        <v/>
      </c>
      <c r="R39" s="21"/>
      <c r="S39" s="21"/>
      <c r="T39" s="122"/>
      <c r="U39" s="123" t="str">
        <f t="shared" si="22"/>
        <v/>
      </c>
      <c r="V39" s="122"/>
      <c r="W39" s="122"/>
      <c r="X39" s="123" t="str">
        <f t="shared" si="23"/>
        <v/>
      </c>
      <c r="Y39" s="122"/>
      <c r="Z39" s="122"/>
      <c r="AA39" s="122"/>
      <c r="AB39" s="124"/>
      <c r="AC39" s="11" t="str">
        <f t="shared" si="24"/>
        <v/>
      </c>
      <c r="AD39" s="122"/>
      <c r="AE39" s="11" t="str">
        <f t="shared" si="25"/>
        <v/>
      </c>
      <c r="AF39" s="11" t="str">
        <f t="shared" si="26"/>
        <v/>
      </c>
      <c r="AG39" s="11" t="str">
        <f t="shared" si="27"/>
        <v/>
      </c>
      <c r="AH39" s="21"/>
    </row>
    <row r="40" ht="15.0" customHeight="1">
      <c r="A40" s="21"/>
      <c r="B40" s="120" t="str">
        <f>IF($A40="","",IFERROR(HYPERLINK(VLOOKUP($A40,'Мои блогеры'!$A$2:$N$673,14,0),"🔗 открыть"),""))</f>
        <v/>
      </c>
      <c r="C40" s="11" t="str">
        <f>IFERROR(VLOOKUP($A40,'Мои блогеры'!$A:$N,5,0),"")</f>
        <v/>
      </c>
      <c r="D40" s="120" t="str">
        <f>IFERROR(VLOOKUP($A40,'Мои блогеры'!$A:$N,2,0),"")</f>
        <v/>
      </c>
      <c r="E40" s="21"/>
      <c r="F40" s="21"/>
      <c r="G40" s="21"/>
      <c r="H40" s="121"/>
      <c r="I40" s="21"/>
      <c r="J40" s="11" t="str">
        <f>IFERROR(VLOOKUP($A40,'Мои блогеры'!$A$2:$N$673,8,0),"")</f>
        <v/>
      </c>
      <c r="K40" s="122"/>
      <c r="L40" s="122"/>
      <c r="M40" s="11" t="str">
        <f t="shared" si="21"/>
        <v/>
      </c>
      <c r="N40" s="21"/>
      <c r="O40" s="153"/>
      <c r="P40" s="21"/>
      <c r="Q40" s="120" t="str">
        <f>IFERROR(VLOOKUP($A40,'Мои блогеры'!$A$2:$N$673,10,0)&amp;"-TRG","")</f>
        <v/>
      </c>
      <c r="R40" s="21"/>
      <c r="S40" s="21"/>
      <c r="T40" s="122"/>
      <c r="U40" s="123" t="str">
        <f t="shared" si="22"/>
        <v/>
      </c>
      <c r="V40" s="122"/>
      <c r="W40" s="122"/>
      <c r="X40" s="123" t="str">
        <f t="shared" si="23"/>
        <v/>
      </c>
      <c r="Y40" s="122"/>
      <c r="Z40" s="122"/>
      <c r="AA40" s="122"/>
      <c r="AB40" s="124"/>
      <c r="AC40" s="11" t="str">
        <f t="shared" si="24"/>
        <v/>
      </c>
      <c r="AD40" s="122"/>
      <c r="AE40" s="11" t="str">
        <f t="shared" si="25"/>
        <v/>
      </c>
      <c r="AF40" s="11" t="str">
        <f t="shared" si="26"/>
        <v/>
      </c>
      <c r="AG40" s="11" t="str">
        <f t="shared" si="27"/>
        <v/>
      </c>
      <c r="AH40" s="21"/>
    </row>
    <row r="41" ht="15.0" customHeight="1">
      <c r="A41" s="21"/>
      <c r="B41" s="120" t="str">
        <f>IF($A41="","",IFERROR(HYPERLINK(VLOOKUP($A41,'Мои блогеры'!$A$2:$N$673,14,0),"🔗 открыть"),""))</f>
        <v/>
      </c>
      <c r="C41" s="11" t="str">
        <f>IFERROR(VLOOKUP($A41,'Мои блогеры'!$A:$N,5,0),"")</f>
        <v/>
      </c>
      <c r="D41" s="120" t="str">
        <f>IFERROR(VLOOKUP($A41,'Мои блогеры'!$A:$N,2,0),"")</f>
        <v/>
      </c>
      <c r="E41" s="21"/>
      <c r="F41" s="21"/>
      <c r="G41" s="21"/>
      <c r="H41" s="121"/>
      <c r="I41" s="21"/>
      <c r="J41" s="11" t="str">
        <f>IFERROR(VLOOKUP($A41,'Мои блогеры'!$A$2:$N$673,8,0),"")</f>
        <v/>
      </c>
      <c r="K41" s="122"/>
      <c r="L41" s="122"/>
      <c r="M41" s="11" t="str">
        <f t="shared" si="21"/>
        <v/>
      </c>
      <c r="N41" s="21"/>
      <c r="O41" s="153"/>
      <c r="P41" s="21"/>
      <c r="Q41" s="120" t="str">
        <f>IFERROR(VLOOKUP($A41,'Мои блогеры'!$A$2:$N$673,10,0)&amp;"-TRG","")</f>
        <v/>
      </c>
      <c r="R41" s="21"/>
      <c r="S41" s="21"/>
      <c r="T41" s="122"/>
      <c r="U41" s="123" t="str">
        <f t="shared" si="22"/>
        <v/>
      </c>
      <c r="V41" s="122"/>
      <c r="W41" s="122"/>
      <c r="X41" s="123" t="str">
        <f t="shared" si="23"/>
        <v/>
      </c>
      <c r="Y41" s="122"/>
      <c r="Z41" s="122"/>
      <c r="AA41" s="122"/>
      <c r="AB41" s="124"/>
      <c r="AC41" s="11" t="str">
        <f t="shared" si="24"/>
        <v/>
      </c>
      <c r="AD41" s="122"/>
      <c r="AE41" s="11" t="str">
        <f t="shared" si="25"/>
        <v/>
      </c>
      <c r="AF41" s="11" t="str">
        <f t="shared" si="26"/>
        <v/>
      </c>
      <c r="AG41" s="11" t="str">
        <f t="shared" si="27"/>
        <v/>
      </c>
      <c r="AH41" s="21"/>
    </row>
    <row r="42" ht="15.0" customHeight="1">
      <c r="A42" s="21"/>
      <c r="B42" s="120" t="str">
        <f>IF($A42="","",IFERROR(HYPERLINK(VLOOKUP($A42,'Мои блогеры'!$A$2:$N$673,14,0),"🔗 открыть"),""))</f>
        <v/>
      </c>
      <c r="C42" s="11" t="str">
        <f>IFERROR(VLOOKUP($A42,'Мои блогеры'!$A:$N,5,0),"")</f>
        <v/>
      </c>
      <c r="D42" s="120" t="str">
        <f>IFERROR(VLOOKUP($A42,'Мои блогеры'!$A:$N,2,0),"")</f>
        <v/>
      </c>
      <c r="E42" s="21"/>
      <c r="F42" s="21"/>
      <c r="G42" s="21"/>
      <c r="H42" s="121"/>
      <c r="I42" s="21"/>
      <c r="J42" s="11" t="str">
        <f>IFERROR(VLOOKUP($A42,'Мои блогеры'!$A$2:$N$673,8,0),"")</f>
        <v/>
      </c>
      <c r="K42" s="122"/>
      <c r="L42" s="122"/>
      <c r="M42" s="11" t="str">
        <f t="shared" si="21"/>
        <v/>
      </c>
      <c r="N42" s="21"/>
      <c r="O42" s="153"/>
      <c r="P42" s="21"/>
      <c r="Q42" s="120" t="str">
        <f>IFERROR(VLOOKUP($A42,'Мои блогеры'!$A$2:$N$673,10,0)&amp;"-TRG","")</f>
        <v/>
      </c>
      <c r="R42" s="21"/>
      <c r="S42" s="21"/>
      <c r="T42" s="122"/>
      <c r="U42" s="123" t="str">
        <f t="shared" si="22"/>
        <v/>
      </c>
      <c r="V42" s="122"/>
      <c r="W42" s="122"/>
      <c r="X42" s="123" t="str">
        <f t="shared" si="23"/>
        <v/>
      </c>
      <c r="Y42" s="122"/>
      <c r="Z42" s="122"/>
      <c r="AA42" s="122"/>
      <c r="AB42" s="124"/>
      <c r="AC42" s="11" t="str">
        <f t="shared" si="24"/>
        <v/>
      </c>
      <c r="AD42" s="122"/>
      <c r="AE42" s="11" t="str">
        <f t="shared" si="25"/>
        <v/>
      </c>
      <c r="AF42" s="11" t="str">
        <f t="shared" si="26"/>
        <v/>
      </c>
      <c r="AG42" s="11" t="str">
        <f t="shared" si="27"/>
        <v/>
      </c>
      <c r="AH42" s="21"/>
    </row>
    <row r="43" ht="15.0" customHeight="1">
      <c r="A43" s="21"/>
      <c r="B43" s="120" t="str">
        <f>IF($A43="","",IFERROR(HYPERLINK(VLOOKUP($A43,'Мои блогеры'!$A$2:$N$673,14,0),"🔗 открыть"),""))</f>
        <v/>
      </c>
      <c r="C43" s="11" t="str">
        <f>IFERROR(VLOOKUP($A43,'Мои блогеры'!$A:$N,5,0),"")</f>
        <v/>
      </c>
      <c r="D43" s="120" t="str">
        <f>IFERROR(VLOOKUP($A43,'Мои блогеры'!$A:$N,2,0),"")</f>
        <v/>
      </c>
      <c r="E43" s="21"/>
      <c r="F43" s="21"/>
      <c r="G43" s="21"/>
      <c r="H43" s="121"/>
      <c r="I43" s="21"/>
      <c r="J43" s="11" t="str">
        <f>IFERROR(VLOOKUP($A43,'Мои блогеры'!$A$2:$N$673,8,0),"")</f>
        <v/>
      </c>
      <c r="K43" s="122"/>
      <c r="L43" s="122"/>
      <c r="M43" s="11" t="str">
        <f t="shared" si="21"/>
        <v/>
      </c>
      <c r="N43" s="21"/>
      <c r="O43" s="153"/>
      <c r="P43" s="21"/>
      <c r="Q43" s="120" t="str">
        <f>IFERROR(VLOOKUP($A43,'Мои блогеры'!$A$2:$N$673,10,0)&amp;"-TRG","")</f>
        <v/>
      </c>
      <c r="R43" s="21"/>
      <c r="S43" s="21"/>
      <c r="T43" s="122"/>
      <c r="U43" s="123" t="str">
        <f t="shared" si="22"/>
        <v/>
      </c>
      <c r="V43" s="122"/>
      <c r="W43" s="122"/>
      <c r="X43" s="123" t="str">
        <f t="shared" si="23"/>
        <v/>
      </c>
      <c r="Y43" s="122"/>
      <c r="Z43" s="122"/>
      <c r="AA43" s="122"/>
      <c r="AB43" s="124"/>
      <c r="AC43" s="11" t="str">
        <f t="shared" si="24"/>
        <v/>
      </c>
      <c r="AD43" s="122"/>
      <c r="AE43" s="11" t="str">
        <f t="shared" si="25"/>
        <v/>
      </c>
      <c r="AF43" s="11" t="str">
        <f t="shared" si="26"/>
        <v/>
      </c>
      <c r="AG43" s="11" t="str">
        <f t="shared" si="27"/>
        <v/>
      </c>
      <c r="AH43" s="21"/>
    </row>
    <row r="44" ht="15.0" customHeight="1">
      <c r="A44" s="21"/>
      <c r="B44" s="120" t="str">
        <f>IF($A44="","",IFERROR(HYPERLINK(VLOOKUP($A44,'Мои блогеры'!$A$2:$N$673,14,0),"🔗 открыть"),""))</f>
        <v/>
      </c>
      <c r="C44" s="11" t="str">
        <f>IFERROR(VLOOKUP($A44,'Мои блогеры'!$A:$N,5,0),"")</f>
        <v/>
      </c>
      <c r="D44" s="120" t="str">
        <f>IFERROR(VLOOKUP($A44,'Мои блогеры'!$A:$N,2,0),"")</f>
        <v/>
      </c>
      <c r="E44" s="21"/>
      <c r="F44" s="21"/>
      <c r="G44" s="21"/>
      <c r="H44" s="121"/>
      <c r="I44" s="21"/>
      <c r="J44" s="11" t="str">
        <f>IFERROR(VLOOKUP($A44,'Мои блогеры'!$A$2:$N$673,8,0),"")</f>
        <v/>
      </c>
      <c r="K44" s="122"/>
      <c r="L44" s="122"/>
      <c r="M44" s="11" t="str">
        <f t="shared" si="21"/>
        <v/>
      </c>
      <c r="N44" s="21"/>
      <c r="O44" s="153"/>
      <c r="P44" s="21"/>
      <c r="Q44" s="120" t="str">
        <f>IFERROR(VLOOKUP($A44,'Мои блогеры'!$A$2:$N$673,10,0)&amp;"-TRG","")</f>
        <v/>
      </c>
      <c r="R44" s="21"/>
      <c r="S44" s="21"/>
      <c r="T44" s="122"/>
      <c r="U44" s="123" t="str">
        <f t="shared" si="22"/>
        <v/>
      </c>
      <c r="V44" s="122"/>
      <c r="W44" s="122"/>
      <c r="X44" s="123" t="str">
        <f t="shared" si="23"/>
        <v/>
      </c>
      <c r="Y44" s="122"/>
      <c r="Z44" s="122"/>
      <c r="AA44" s="122"/>
      <c r="AB44" s="124"/>
      <c r="AC44" s="11" t="str">
        <f t="shared" si="24"/>
        <v/>
      </c>
      <c r="AD44" s="122"/>
      <c r="AE44" s="11" t="str">
        <f t="shared" si="25"/>
        <v/>
      </c>
      <c r="AF44" s="11" t="str">
        <f t="shared" si="26"/>
        <v/>
      </c>
      <c r="AG44" s="11" t="str">
        <f t="shared" si="27"/>
        <v/>
      </c>
      <c r="AH44" s="21"/>
    </row>
    <row r="45" ht="15.0" customHeight="1">
      <c r="A45" s="21"/>
      <c r="B45" s="120" t="str">
        <f>IF($A45="","",IFERROR(HYPERLINK(VLOOKUP($A45,'Мои блогеры'!$A$2:$N$673,14,0),"🔗 открыть"),""))</f>
        <v/>
      </c>
      <c r="C45" s="11" t="str">
        <f>IFERROR(VLOOKUP($A45,'Мои блогеры'!$A:$N,5,0),"")</f>
        <v/>
      </c>
      <c r="D45" s="120" t="str">
        <f>IFERROR(VLOOKUP($A45,'Мои блогеры'!$A:$N,2,0),"")</f>
        <v/>
      </c>
      <c r="E45" s="21"/>
      <c r="F45" s="21"/>
      <c r="G45" s="21"/>
      <c r="H45" s="121"/>
      <c r="I45" s="21"/>
      <c r="J45" s="11" t="str">
        <f>IFERROR(VLOOKUP($A45,'Мои блогеры'!$A$2:$N$673,8,0),"")</f>
        <v/>
      </c>
      <c r="K45" s="122"/>
      <c r="L45" s="122"/>
      <c r="M45" s="11" t="str">
        <f t="shared" si="21"/>
        <v/>
      </c>
      <c r="N45" s="21"/>
      <c r="O45" s="153"/>
      <c r="P45" s="21"/>
      <c r="Q45" s="120" t="str">
        <f>IFERROR(VLOOKUP($A45,'Мои блогеры'!$A$2:$N$673,10,0)&amp;"-TRG","")</f>
        <v/>
      </c>
      <c r="R45" s="21"/>
      <c r="S45" s="21"/>
      <c r="T45" s="122"/>
      <c r="U45" s="123" t="str">
        <f t="shared" si="22"/>
        <v/>
      </c>
      <c r="V45" s="122"/>
      <c r="W45" s="122"/>
      <c r="X45" s="123" t="str">
        <f t="shared" si="23"/>
        <v/>
      </c>
      <c r="Y45" s="122"/>
      <c r="Z45" s="122"/>
      <c r="AA45" s="122"/>
      <c r="AB45" s="124"/>
      <c r="AC45" s="11" t="str">
        <f t="shared" si="24"/>
        <v/>
      </c>
      <c r="AD45" s="122"/>
      <c r="AE45" s="11" t="str">
        <f t="shared" si="25"/>
        <v/>
      </c>
      <c r="AF45" s="11" t="str">
        <f t="shared" si="26"/>
        <v/>
      </c>
      <c r="AG45" s="11" t="str">
        <f t="shared" si="27"/>
        <v/>
      </c>
      <c r="AH45" s="21"/>
    </row>
    <row r="46" ht="15.0" customHeight="1">
      <c r="A46" s="126" t="s">
        <v>1730</v>
      </c>
      <c r="B46" s="126"/>
      <c r="C46" s="127"/>
      <c r="D46" s="126"/>
      <c r="E46" s="126"/>
      <c r="F46" s="126"/>
      <c r="G46" s="126"/>
      <c r="H46" s="126"/>
      <c r="I46" s="126" t="str">
        <f>COUNTIF(I35:I45,"Вышло")&amp;" / "&amp;COUNTA(A35:A45)</f>
        <v>0 / 0</v>
      </c>
      <c r="J46" s="127">
        <f t="shared" ref="J46:M46" si="28">SUM(J35:J45)</f>
        <v>0</v>
      </c>
      <c r="K46" s="127">
        <f t="shared" si="28"/>
        <v>0</v>
      </c>
      <c r="L46" s="127">
        <f t="shared" si="28"/>
        <v>0</v>
      </c>
      <c r="M46" s="127">
        <f t="shared" si="28"/>
        <v>0</v>
      </c>
      <c r="N46" s="126"/>
      <c r="O46" s="163"/>
      <c r="P46" s="126"/>
      <c r="Q46" s="126"/>
      <c r="R46" s="126"/>
      <c r="S46" s="126"/>
      <c r="T46" s="127">
        <f>SUM(T35:T45)</f>
        <v>0</v>
      </c>
      <c r="U46" s="128" t="str">
        <f t="shared" si="22"/>
        <v/>
      </c>
      <c r="V46" s="127">
        <f t="shared" ref="V46:W46" si="29">SUM(V35:V45)</f>
        <v>0</v>
      </c>
      <c r="W46" s="127">
        <f t="shared" si="29"/>
        <v>0</v>
      </c>
      <c r="X46" s="128" t="str">
        <f>IF(N(V46)=0,"",M46/V46)</f>
        <v/>
      </c>
      <c r="Y46" s="127">
        <f t="shared" ref="Y46:AA46" si="30">SUM(Y35:Y45)</f>
        <v>0</v>
      </c>
      <c r="Z46" s="127">
        <f t="shared" si="30"/>
        <v>0</v>
      </c>
      <c r="AA46" s="127">
        <f t="shared" si="30"/>
        <v>0</v>
      </c>
      <c r="AB46" s="129"/>
      <c r="AC46" s="127">
        <f>SUM(AC35:AC45)</f>
        <v>0</v>
      </c>
      <c r="AD46" s="127"/>
      <c r="AE46" s="127">
        <f>SUM(AE35:AE45)</f>
        <v>0</v>
      </c>
      <c r="AF46" s="127" t="str">
        <f>IF(N(AC46)=0,"—",ROUND(M46/AC46,0))</f>
        <v>—</v>
      </c>
      <c r="AG46" s="127" t="str">
        <f>IF(N(Z46)=0,"—",ROUND(M46/Z46,0))</f>
        <v>—</v>
      </c>
      <c r="AH46" s="126"/>
    </row>
    <row r="47" ht="15.0" customHeight="1">
      <c r="A47" s="117" t="s">
        <v>1731</v>
      </c>
      <c r="B47" s="117"/>
      <c r="C47" s="130"/>
      <c r="D47" s="117"/>
      <c r="E47" s="117"/>
      <c r="F47" s="117"/>
      <c r="G47" s="117"/>
      <c r="H47" s="117"/>
      <c r="I47" s="117"/>
      <c r="J47" s="130"/>
      <c r="K47" s="130"/>
      <c r="L47" s="130"/>
      <c r="M47" s="130"/>
      <c r="N47" s="117"/>
      <c r="O47" s="157"/>
      <c r="P47" s="117"/>
      <c r="Q47" s="117"/>
      <c r="R47" s="117"/>
      <c r="S47" s="117"/>
      <c r="T47" s="130"/>
      <c r="U47" s="131"/>
      <c r="V47" s="130"/>
      <c r="W47" s="130"/>
      <c r="X47" s="131"/>
      <c r="Y47" s="130"/>
      <c r="Z47" s="130"/>
      <c r="AA47" s="130"/>
      <c r="AB47" s="132"/>
      <c r="AC47" s="130"/>
      <c r="AD47" s="130"/>
      <c r="AE47" s="130"/>
      <c r="AF47" s="130"/>
      <c r="AG47" s="130"/>
      <c r="AH47" s="117"/>
    </row>
    <row r="48" ht="15.0" customHeight="1">
      <c r="A48" s="256"/>
      <c r="B48" s="120" t="str">
        <f>IF($A48="","",IFERROR(HYPERLINK(VLOOKUP($A48,'Мои блогеры'!$A$2:$N$673,14,0),"🔗 открыть"),""))</f>
        <v/>
      </c>
      <c r="C48" s="11"/>
      <c r="D48" s="120"/>
      <c r="E48" s="21"/>
      <c r="F48" s="21"/>
      <c r="G48" s="21"/>
      <c r="H48" s="167"/>
      <c r="I48" s="21"/>
      <c r="J48" s="11" t="str">
        <f>IFERROR(VLOOKUP($A48,'Мои блогеры'!$A$2:$N$673,8,0),"")</f>
        <v/>
      </c>
      <c r="K48" s="122"/>
      <c r="L48" s="122"/>
      <c r="M48" s="11" t="str">
        <f t="shared" ref="M48:M58" si="31">IF(N($J48)+N($K48)+N($L48)=0,"",N($J48)+N($K48)+N($L48))</f>
        <v/>
      </c>
      <c r="N48" s="21"/>
      <c r="O48" s="153"/>
      <c r="P48" s="21"/>
      <c r="Q48" s="120" t="str">
        <f>IFERROR(VLOOKUP($A48,'Мои блогеры'!$A$2:$N$673,10,0)&amp;"-TRG","")</f>
        <v/>
      </c>
      <c r="R48" s="21"/>
      <c r="S48" s="21"/>
      <c r="T48" s="122"/>
      <c r="U48" s="123" t="str">
        <f t="shared" ref="U48:U59" si="32">IF(N($T48)=0,"",$M48/$T48)</f>
        <v/>
      </c>
      <c r="V48" s="122"/>
      <c r="W48" s="122"/>
      <c r="X48" s="123" t="str">
        <f t="shared" ref="X48:X58" si="33">IF(N($V48)=0,"",$M48/$V48)</f>
        <v/>
      </c>
      <c r="Y48" s="122"/>
      <c r="Z48" s="122"/>
      <c r="AA48" s="122"/>
      <c r="AB48" s="124"/>
      <c r="AC48" s="11" t="str">
        <f t="shared" ref="AC48:AC58" si="34">IF(OR(N($Z48)=0,$AB48=""),"",ROUND($Z48*$AB48,0))</f>
        <v/>
      </c>
      <c r="AD48" s="122"/>
      <c r="AE48" s="11" t="str">
        <f t="shared" ref="AE48:AE58" si="35">IF(OR(N($AC48)=0,$AD48=""),"",ROUND($AC48*$AD48,0))</f>
        <v/>
      </c>
      <c r="AF48" s="11" t="str">
        <f t="shared" ref="AF48:AF58" si="36">IF(N($AC48)=0,"",ROUND($M48/$AC48,0))</f>
        <v/>
      </c>
      <c r="AG48" s="11" t="str">
        <f t="shared" ref="AG48:AG58" si="37">IF(N($Z48)=0,"",ROUND($M48/$Z48,0))</f>
        <v/>
      </c>
      <c r="AH48" s="21"/>
    </row>
    <row r="49" ht="15.0" customHeight="1">
      <c r="A49" s="256"/>
      <c r="B49" s="120" t="str">
        <f>IF($A49="","",IFERROR(HYPERLINK(VLOOKUP($A49,'Мои блогеры'!$A$2:$N$673,14,0),"🔗 открыть"),""))</f>
        <v/>
      </c>
      <c r="C49" s="11"/>
      <c r="D49" s="120"/>
      <c r="E49" s="21"/>
      <c r="F49" s="21"/>
      <c r="G49" s="21"/>
      <c r="H49" s="121"/>
      <c r="I49" s="21"/>
      <c r="J49" s="11" t="str">
        <f>IFERROR(VLOOKUP($A49,'Мои блогеры'!$A$2:$N$673,8,0),"")</f>
        <v/>
      </c>
      <c r="K49" s="122"/>
      <c r="L49" s="122"/>
      <c r="M49" s="11" t="str">
        <f t="shared" si="31"/>
        <v/>
      </c>
      <c r="N49" s="21"/>
      <c r="O49" s="153"/>
      <c r="P49" s="21"/>
      <c r="Q49" s="120" t="str">
        <f>IFERROR(VLOOKUP($A49,'Мои блогеры'!$A$2:$N$673,10,0)&amp;"-TRG","")</f>
        <v/>
      </c>
      <c r="R49" s="21"/>
      <c r="S49" s="21"/>
      <c r="T49" s="122"/>
      <c r="U49" s="123" t="str">
        <f t="shared" si="32"/>
        <v/>
      </c>
      <c r="V49" s="122"/>
      <c r="W49" s="122"/>
      <c r="X49" s="123" t="str">
        <f t="shared" si="33"/>
        <v/>
      </c>
      <c r="Y49" s="122"/>
      <c r="Z49" s="122"/>
      <c r="AA49" s="122"/>
      <c r="AB49" s="124"/>
      <c r="AC49" s="11" t="str">
        <f t="shared" si="34"/>
        <v/>
      </c>
      <c r="AD49" s="122"/>
      <c r="AE49" s="11" t="str">
        <f t="shared" si="35"/>
        <v/>
      </c>
      <c r="AF49" s="11" t="str">
        <f t="shared" si="36"/>
        <v/>
      </c>
      <c r="AG49" s="11" t="str">
        <f t="shared" si="37"/>
        <v/>
      </c>
      <c r="AH49" s="21"/>
    </row>
    <row r="50" ht="15.0" customHeight="1">
      <c r="A50" s="21"/>
      <c r="B50" s="120" t="str">
        <f>IF($A50="","",IFERROR(HYPERLINK(VLOOKUP($A50,'Мои блогеры'!$A$2:$N$673,14,0),"🔗 открыть"),""))</f>
        <v/>
      </c>
      <c r="C50" s="11"/>
      <c r="D50" s="120"/>
      <c r="E50" s="21"/>
      <c r="F50" s="165"/>
      <c r="G50" s="21"/>
      <c r="H50" s="121"/>
      <c r="I50" s="21"/>
      <c r="J50" s="11" t="str">
        <f>IFERROR(VLOOKUP($A50,'Мои блогеры'!$A$2:$N$673,8,0),"")</f>
        <v/>
      </c>
      <c r="K50" s="122"/>
      <c r="L50" s="122"/>
      <c r="M50" s="11" t="str">
        <f t="shared" si="31"/>
        <v/>
      </c>
      <c r="N50" s="21"/>
      <c r="O50" s="153"/>
      <c r="P50" s="21"/>
      <c r="Q50" s="120" t="str">
        <f>IFERROR(VLOOKUP($A50,'Мои блогеры'!$A$2:$N$673,10,0)&amp;"-TRG","")</f>
        <v/>
      </c>
      <c r="R50" s="21"/>
      <c r="S50" s="21"/>
      <c r="T50" s="122"/>
      <c r="U50" s="123" t="str">
        <f t="shared" si="32"/>
        <v/>
      </c>
      <c r="V50" s="122"/>
      <c r="W50" s="122"/>
      <c r="X50" s="123" t="str">
        <f t="shared" si="33"/>
        <v/>
      </c>
      <c r="Y50" s="122"/>
      <c r="Z50" s="122"/>
      <c r="AA50" s="122"/>
      <c r="AB50" s="124"/>
      <c r="AC50" s="11" t="str">
        <f t="shared" si="34"/>
        <v/>
      </c>
      <c r="AD50" s="122"/>
      <c r="AE50" s="11" t="str">
        <f t="shared" si="35"/>
        <v/>
      </c>
      <c r="AF50" s="11" t="str">
        <f t="shared" si="36"/>
        <v/>
      </c>
      <c r="AG50" s="11" t="str">
        <f t="shared" si="37"/>
        <v/>
      </c>
      <c r="AH50" s="21"/>
    </row>
    <row r="51" ht="15.75" customHeight="1">
      <c r="A51" s="21"/>
      <c r="B51" s="120" t="str">
        <f>IF($A51="","",IFERROR(HYPERLINK(VLOOKUP($A51,'Мои блогеры'!$A$2:$N$673,14,0),"🔗 открыть"),""))</f>
        <v/>
      </c>
      <c r="C51" s="11" t="str">
        <f>IFERROR(VLOOKUP($A51,'Мои блогеры'!$A:$N,5,0),"")</f>
        <v/>
      </c>
      <c r="D51" s="120" t="str">
        <f>IFERROR(VLOOKUP($A51,'Мои блогеры'!$A:$N,2,0),"")</f>
        <v/>
      </c>
      <c r="E51" s="21"/>
      <c r="F51" s="21"/>
      <c r="G51" s="21"/>
      <c r="H51" s="121"/>
      <c r="I51" s="21"/>
      <c r="J51" s="11" t="str">
        <f>IFERROR(VLOOKUP($A51,'Мои блогеры'!$A$2:$N$673,8,0),"")</f>
        <v/>
      </c>
      <c r="K51" s="122"/>
      <c r="L51" s="122"/>
      <c r="M51" s="11" t="str">
        <f t="shared" si="31"/>
        <v/>
      </c>
      <c r="N51" s="21"/>
      <c r="O51" s="153"/>
      <c r="P51" s="21"/>
      <c r="Q51" s="120" t="str">
        <f>IFERROR(VLOOKUP($A51,'Мои блогеры'!$A$2:$N$673,10,0)&amp;"-TRG","")</f>
        <v/>
      </c>
      <c r="R51" s="21"/>
      <c r="S51" s="21"/>
      <c r="T51" s="122"/>
      <c r="U51" s="123" t="str">
        <f t="shared" si="32"/>
        <v/>
      </c>
      <c r="V51" s="122"/>
      <c r="W51" s="122"/>
      <c r="X51" s="123" t="str">
        <f t="shared" si="33"/>
        <v/>
      </c>
      <c r="Y51" s="122"/>
      <c r="Z51" s="122"/>
      <c r="AA51" s="122"/>
      <c r="AB51" s="124"/>
      <c r="AC51" s="11" t="str">
        <f t="shared" si="34"/>
        <v/>
      </c>
      <c r="AD51" s="122"/>
      <c r="AE51" s="11" t="str">
        <f t="shared" si="35"/>
        <v/>
      </c>
      <c r="AF51" s="11" t="str">
        <f t="shared" si="36"/>
        <v/>
      </c>
      <c r="AG51" s="11" t="str">
        <f t="shared" si="37"/>
        <v/>
      </c>
      <c r="AH51" s="21"/>
    </row>
    <row r="52" ht="15.75" customHeight="1">
      <c r="A52" s="21"/>
      <c r="B52" s="120" t="str">
        <f>IF($A52="","",IFERROR(HYPERLINK(VLOOKUP($A52,'Мои блогеры'!$A$2:$N$673,14,0),"🔗 открыть"),""))</f>
        <v/>
      </c>
      <c r="C52" s="11" t="str">
        <f>IFERROR(VLOOKUP($A52,'Мои блогеры'!$A:$N,5,0),"")</f>
        <v/>
      </c>
      <c r="D52" s="120" t="str">
        <f>IFERROR(VLOOKUP($A52,'Мои блогеры'!$A:$N,2,0),"")</f>
        <v/>
      </c>
      <c r="E52" s="21"/>
      <c r="F52" s="21"/>
      <c r="G52" s="21"/>
      <c r="H52" s="121"/>
      <c r="I52" s="21"/>
      <c r="J52" s="11" t="str">
        <f>IFERROR(VLOOKUP($A52,'Мои блогеры'!$A$2:$N$673,8,0),"")</f>
        <v/>
      </c>
      <c r="K52" s="122"/>
      <c r="L52" s="122"/>
      <c r="M52" s="11" t="str">
        <f t="shared" si="31"/>
        <v/>
      </c>
      <c r="N52" s="21"/>
      <c r="O52" s="153"/>
      <c r="P52" s="21"/>
      <c r="Q52" s="120" t="str">
        <f>IFERROR(VLOOKUP($A52,'Мои блогеры'!$A$2:$N$673,10,0)&amp;"-TRG","")</f>
        <v/>
      </c>
      <c r="R52" s="21"/>
      <c r="S52" s="21"/>
      <c r="T52" s="122"/>
      <c r="U52" s="123" t="str">
        <f t="shared" si="32"/>
        <v/>
      </c>
      <c r="V52" s="122"/>
      <c r="W52" s="122"/>
      <c r="X52" s="123" t="str">
        <f t="shared" si="33"/>
        <v/>
      </c>
      <c r="Y52" s="122"/>
      <c r="Z52" s="122"/>
      <c r="AA52" s="122"/>
      <c r="AB52" s="124"/>
      <c r="AC52" s="11" t="str">
        <f t="shared" si="34"/>
        <v/>
      </c>
      <c r="AD52" s="122"/>
      <c r="AE52" s="11" t="str">
        <f t="shared" si="35"/>
        <v/>
      </c>
      <c r="AF52" s="11" t="str">
        <f t="shared" si="36"/>
        <v/>
      </c>
      <c r="AG52" s="11" t="str">
        <f t="shared" si="37"/>
        <v/>
      </c>
      <c r="AH52" s="21"/>
    </row>
    <row r="53" ht="15.75" customHeight="1">
      <c r="A53" s="21"/>
      <c r="B53" s="120" t="str">
        <f>IF($A53="","",IFERROR(HYPERLINK(VLOOKUP($A53,'Мои блогеры'!$A$2:$N$673,14,0),"🔗 открыть"),""))</f>
        <v/>
      </c>
      <c r="C53" s="11" t="str">
        <f>IFERROR(VLOOKUP($A53,'Мои блогеры'!$A:$N,5,0),"")</f>
        <v/>
      </c>
      <c r="D53" s="120" t="str">
        <f>IFERROR(VLOOKUP($A53,'Мои блогеры'!$A:$N,2,0),"")</f>
        <v/>
      </c>
      <c r="E53" s="21"/>
      <c r="F53" s="21"/>
      <c r="G53" s="21"/>
      <c r="H53" s="121"/>
      <c r="I53" s="21"/>
      <c r="J53" s="11" t="str">
        <f>IFERROR(VLOOKUP($A53,'Мои блогеры'!$A$2:$N$673,8,0),"")</f>
        <v/>
      </c>
      <c r="K53" s="122"/>
      <c r="L53" s="122"/>
      <c r="M53" s="11" t="str">
        <f t="shared" si="31"/>
        <v/>
      </c>
      <c r="N53" s="21"/>
      <c r="O53" s="153"/>
      <c r="P53" s="21"/>
      <c r="Q53" s="120" t="str">
        <f>IFERROR(VLOOKUP($A53,'Мои блогеры'!$A$2:$N$673,10,0)&amp;"-TRG","")</f>
        <v/>
      </c>
      <c r="R53" s="21"/>
      <c r="S53" s="21"/>
      <c r="T53" s="122"/>
      <c r="U53" s="123" t="str">
        <f t="shared" si="32"/>
        <v/>
      </c>
      <c r="V53" s="122"/>
      <c r="W53" s="122"/>
      <c r="X53" s="123" t="str">
        <f t="shared" si="33"/>
        <v/>
      </c>
      <c r="Y53" s="122"/>
      <c r="Z53" s="122"/>
      <c r="AA53" s="122"/>
      <c r="AB53" s="124"/>
      <c r="AC53" s="11" t="str">
        <f t="shared" si="34"/>
        <v/>
      </c>
      <c r="AD53" s="122"/>
      <c r="AE53" s="11" t="str">
        <f t="shared" si="35"/>
        <v/>
      </c>
      <c r="AF53" s="11" t="str">
        <f t="shared" si="36"/>
        <v/>
      </c>
      <c r="AG53" s="11" t="str">
        <f t="shared" si="37"/>
        <v/>
      </c>
      <c r="AH53" s="21"/>
    </row>
    <row r="54" ht="15.75" customHeight="1">
      <c r="A54" s="21"/>
      <c r="B54" s="120" t="str">
        <f>IF($A54="","",IFERROR(HYPERLINK(VLOOKUP($A54,'Мои блогеры'!$A$2:$N$673,14,0),"🔗 открыть"),""))</f>
        <v/>
      </c>
      <c r="C54" s="11" t="str">
        <f>IFERROR(VLOOKUP($A54,'Мои блогеры'!$A:$N,5,0),"")</f>
        <v/>
      </c>
      <c r="D54" s="120" t="str">
        <f>IFERROR(VLOOKUP($A54,'Мои блогеры'!$A:$N,2,0),"")</f>
        <v/>
      </c>
      <c r="E54" s="21"/>
      <c r="F54" s="21"/>
      <c r="G54" s="21"/>
      <c r="H54" s="121"/>
      <c r="I54" s="21"/>
      <c r="J54" s="11" t="str">
        <f>IFERROR(VLOOKUP($A54,'Мои блогеры'!$A$2:$N$673,8,0),"")</f>
        <v/>
      </c>
      <c r="K54" s="122"/>
      <c r="L54" s="122"/>
      <c r="M54" s="11" t="str">
        <f t="shared" si="31"/>
        <v/>
      </c>
      <c r="N54" s="21"/>
      <c r="O54" s="153"/>
      <c r="P54" s="21"/>
      <c r="Q54" s="120" t="str">
        <f>IFERROR(VLOOKUP($A54,'Мои блогеры'!$A$2:$N$673,10,0)&amp;"-TRG","")</f>
        <v/>
      </c>
      <c r="R54" s="21"/>
      <c r="S54" s="21"/>
      <c r="T54" s="122"/>
      <c r="U54" s="123" t="str">
        <f t="shared" si="32"/>
        <v/>
      </c>
      <c r="V54" s="122"/>
      <c r="W54" s="122"/>
      <c r="X54" s="123" t="str">
        <f t="shared" si="33"/>
        <v/>
      </c>
      <c r="Y54" s="122"/>
      <c r="Z54" s="122"/>
      <c r="AA54" s="122"/>
      <c r="AB54" s="124"/>
      <c r="AC54" s="11" t="str">
        <f t="shared" si="34"/>
        <v/>
      </c>
      <c r="AD54" s="122"/>
      <c r="AE54" s="11" t="str">
        <f t="shared" si="35"/>
        <v/>
      </c>
      <c r="AF54" s="11" t="str">
        <f t="shared" si="36"/>
        <v/>
      </c>
      <c r="AG54" s="11" t="str">
        <f t="shared" si="37"/>
        <v/>
      </c>
      <c r="AH54" s="21"/>
    </row>
    <row r="55" ht="15.75" customHeight="1">
      <c r="A55" s="21"/>
      <c r="B55" s="120" t="str">
        <f>IF($A55="","",IFERROR(HYPERLINK(VLOOKUP($A55,'Мои блогеры'!$A$2:$N$673,14,0),"🔗 открыть"),""))</f>
        <v/>
      </c>
      <c r="C55" s="11" t="str">
        <f>IFERROR(VLOOKUP($A55,'Мои блогеры'!$A:$N,5,0),"")</f>
        <v/>
      </c>
      <c r="D55" s="120" t="str">
        <f>IFERROR(VLOOKUP($A55,'Мои блогеры'!$A:$N,2,0),"")</f>
        <v/>
      </c>
      <c r="E55" s="21"/>
      <c r="F55" s="21"/>
      <c r="G55" s="21"/>
      <c r="H55" s="121"/>
      <c r="I55" s="21"/>
      <c r="J55" s="11" t="str">
        <f>IFERROR(VLOOKUP($A55,'Мои блогеры'!$A$2:$N$673,8,0),"")</f>
        <v/>
      </c>
      <c r="K55" s="122"/>
      <c r="L55" s="122"/>
      <c r="M55" s="11" t="str">
        <f t="shared" si="31"/>
        <v/>
      </c>
      <c r="N55" s="21"/>
      <c r="O55" s="153"/>
      <c r="P55" s="21"/>
      <c r="Q55" s="120" t="str">
        <f>IFERROR(VLOOKUP($A55,'Мои блогеры'!$A$2:$N$673,10,0)&amp;"-TRG","")</f>
        <v/>
      </c>
      <c r="R55" s="21"/>
      <c r="S55" s="21"/>
      <c r="T55" s="122"/>
      <c r="U55" s="123" t="str">
        <f t="shared" si="32"/>
        <v/>
      </c>
      <c r="V55" s="122"/>
      <c r="W55" s="122"/>
      <c r="X55" s="123" t="str">
        <f t="shared" si="33"/>
        <v/>
      </c>
      <c r="Y55" s="122"/>
      <c r="Z55" s="122"/>
      <c r="AA55" s="122"/>
      <c r="AB55" s="124"/>
      <c r="AC55" s="11" t="str">
        <f t="shared" si="34"/>
        <v/>
      </c>
      <c r="AD55" s="122"/>
      <c r="AE55" s="11" t="str">
        <f t="shared" si="35"/>
        <v/>
      </c>
      <c r="AF55" s="11" t="str">
        <f t="shared" si="36"/>
        <v/>
      </c>
      <c r="AG55" s="11" t="str">
        <f t="shared" si="37"/>
        <v/>
      </c>
      <c r="AH55" s="21"/>
    </row>
    <row r="56" ht="15.75" customHeight="1">
      <c r="A56" s="21"/>
      <c r="B56" s="120" t="str">
        <f>IF($A56="","",IFERROR(HYPERLINK(VLOOKUP($A56,'Мои блогеры'!$A$2:$N$673,14,0),"🔗 открыть"),""))</f>
        <v/>
      </c>
      <c r="C56" s="11" t="str">
        <f>IFERROR(VLOOKUP($A56,'Мои блогеры'!$A:$N,5,0),"")</f>
        <v/>
      </c>
      <c r="D56" s="120" t="str">
        <f>IFERROR(VLOOKUP($A56,'Мои блогеры'!$A:$N,2,0),"")</f>
        <v/>
      </c>
      <c r="E56" s="21"/>
      <c r="F56" s="21"/>
      <c r="G56" s="21"/>
      <c r="H56" s="121"/>
      <c r="I56" s="21"/>
      <c r="J56" s="11" t="str">
        <f>IFERROR(VLOOKUP($A56,'Мои блогеры'!$A$2:$N$673,8,0),"")</f>
        <v/>
      </c>
      <c r="K56" s="122"/>
      <c r="L56" s="122"/>
      <c r="M56" s="11" t="str">
        <f t="shared" si="31"/>
        <v/>
      </c>
      <c r="N56" s="21"/>
      <c r="O56" s="153"/>
      <c r="P56" s="21"/>
      <c r="Q56" s="120" t="str">
        <f>IFERROR(VLOOKUP($A56,'Мои блогеры'!$A$2:$N$673,10,0)&amp;"-TRG","")</f>
        <v/>
      </c>
      <c r="R56" s="21"/>
      <c r="S56" s="21"/>
      <c r="T56" s="122"/>
      <c r="U56" s="123" t="str">
        <f t="shared" si="32"/>
        <v/>
      </c>
      <c r="V56" s="122"/>
      <c r="W56" s="122"/>
      <c r="X56" s="123" t="str">
        <f t="shared" si="33"/>
        <v/>
      </c>
      <c r="Y56" s="122"/>
      <c r="Z56" s="122"/>
      <c r="AA56" s="122"/>
      <c r="AB56" s="124"/>
      <c r="AC56" s="11" t="str">
        <f t="shared" si="34"/>
        <v/>
      </c>
      <c r="AD56" s="122"/>
      <c r="AE56" s="11" t="str">
        <f t="shared" si="35"/>
        <v/>
      </c>
      <c r="AF56" s="11" t="str">
        <f t="shared" si="36"/>
        <v/>
      </c>
      <c r="AG56" s="11" t="str">
        <f t="shared" si="37"/>
        <v/>
      </c>
      <c r="AH56" s="21"/>
    </row>
    <row r="57" ht="15.75" customHeight="1">
      <c r="A57" s="21"/>
      <c r="B57" s="120" t="str">
        <f>IF($A57="","",IFERROR(HYPERLINK(VLOOKUP($A57,'Мои блогеры'!$A$2:$N$673,14,0),"🔗 открыть"),""))</f>
        <v/>
      </c>
      <c r="C57" s="11" t="str">
        <f>IFERROR(VLOOKUP($A57,'Мои блогеры'!$A:$N,5,0),"")</f>
        <v/>
      </c>
      <c r="D57" s="120" t="str">
        <f>IFERROR(VLOOKUP($A57,'Мои блогеры'!$A:$N,2,0),"")</f>
        <v/>
      </c>
      <c r="E57" s="21"/>
      <c r="F57" s="21"/>
      <c r="G57" s="21"/>
      <c r="H57" s="121"/>
      <c r="I57" s="21"/>
      <c r="J57" s="11" t="str">
        <f>IFERROR(VLOOKUP($A57,'Мои блогеры'!$A$2:$N$673,8,0),"")</f>
        <v/>
      </c>
      <c r="K57" s="122"/>
      <c r="L57" s="122"/>
      <c r="M57" s="11" t="str">
        <f t="shared" si="31"/>
        <v/>
      </c>
      <c r="N57" s="21"/>
      <c r="O57" s="153"/>
      <c r="P57" s="21"/>
      <c r="Q57" s="120" t="str">
        <f>IFERROR(VLOOKUP($A57,'Мои блогеры'!$A$2:$N$673,10,0)&amp;"-TRG","")</f>
        <v/>
      </c>
      <c r="R57" s="21"/>
      <c r="S57" s="21"/>
      <c r="T57" s="122"/>
      <c r="U57" s="123" t="str">
        <f t="shared" si="32"/>
        <v/>
      </c>
      <c r="V57" s="122"/>
      <c r="W57" s="122"/>
      <c r="X57" s="123" t="str">
        <f t="shared" si="33"/>
        <v/>
      </c>
      <c r="Y57" s="122"/>
      <c r="Z57" s="122"/>
      <c r="AA57" s="122"/>
      <c r="AB57" s="124"/>
      <c r="AC57" s="11" t="str">
        <f t="shared" si="34"/>
        <v/>
      </c>
      <c r="AD57" s="122"/>
      <c r="AE57" s="11" t="str">
        <f t="shared" si="35"/>
        <v/>
      </c>
      <c r="AF57" s="11" t="str">
        <f t="shared" si="36"/>
        <v/>
      </c>
      <c r="AG57" s="11" t="str">
        <f t="shared" si="37"/>
        <v/>
      </c>
      <c r="AH57" s="21"/>
    </row>
    <row r="58" ht="15.75" customHeight="1">
      <c r="A58" s="21"/>
      <c r="B58" s="120" t="str">
        <f>IF($A58="","",IFERROR(HYPERLINK(VLOOKUP($A58,'Мои блогеры'!$A$2:$N$673,14,0),"🔗 открыть"),""))</f>
        <v/>
      </c>
      <c r="C58" s="11" t="str">
        <f>IFERROR(VLOOKUP($A58,'Мои блогеры'!$A:$N,5,0),"")</f>
        <v/>
      </c>
      <c r="D58" s="120" t="str">
        <f>IFERROR(VLOOKUP($A58,'Мои блогеры'!$A:$N,2,0),"")</f>
        <v/>
      </c>
      <c r="E58" s="21"/>
      <c r="F58" s="21"/>
      <c r="G58" s="21"/>
      <c r="H58" s="121"/>
      <c r="I58" s="21"/>
      <c r="J58" s="11" t="str">
        <f>IFERROR(VLOOKUP($A58,'Мои блогеры'!$A$2:$N$673,8,0),"")</f>
        <v/>
      </c>
      <c r="K58" s="122"/>
      <c r="L58" s="122"/>
      <c r="M58" s="11" t="str">
        <f t="shared" si="31"/>
        <v/>
      </c>
      <c r="N58" s="21"/>
      <c r="O58" s="153"/>
      <c r="P58" s="21"/>
      <c r="Q58" s="120" t="str">
        <f>IFERROR(VLOOKUP($A58,'Мои блогеры'!$A$2:$N$673,10,0)&amp;"-TRG","")</f>
        <v/>
      </c>
      <c r="R58" s="21"/>
      <c r="S58" s="21"/>
      <c r="T58" s="122"/>
      <c r="U58" s="123" t="str">
        <f t="shared" si="32"/>
        <v/>
      </c>
      <c r="V58" s="122"/>
      <c r="W58" s="122"/>
      <c r="X58" s="123" t="str">
        <f t="shared" si="33"/>
        <v/>
      </c>
      <c r="Y58" s="122"/>
      <c r="Z58" s="122"/>
      <c r="AA58" s="122"/>
      <c r="AB58" s="124"/>
      <c r="AC58" s="11" t="str">
        <f t="shared" si="34"/>
        <v/>
      </c>
      <c r="AD58" s="122"/>
      <c r="AE58" s="11" t="str">
        <f t="shared" si="35"/>
        <v/>
      </c>
      <c r="AF58" s="11" t="str">
        <f t="shared" si="36"/>
        <v/>
      </c>
      <c r="AG58" s="11" t="str">
        <f t="shared" si="37"/>
        <v/>
      </c>
      <c r="AH58" s="21"/>
    </row>
    <row r="59" ht="15.75" customHeight="1">
      <c r="A59" s="126" t="s">
        <v>1732</v>
      </c>
      <c r="B59" s="126"/>
      <c r="C59" s="127"/>
      <c r="D59" s="126"/>
      <c r="E59" s="126"/>
      <c r="F59" s="126"/>
      <c r="G59" s="126"/>
      <c r="H59" s="126"/>
      <c r="I59" s="126" t="str">
        <f>COUNTIF(I48:I58,"Вышло")&amp;" / "&amp;COUNTA(A48:A58)</f>
        <v>0 / 0</v>
      </c>
      <c r="J59" s="127">
        <f t="shared" ref="J59:M59" si="38">SUM(J48:J58)</f>
        <v>0</v>
      </c>
      <c r="K59" s="127">
        <f t="shared" si="38"/>
        <v>0</v>
      </c>
      <c r="L59" s="127">
        <f t="shared" si="38"/>
        <v>0</v>
      </c>
      <c r="M59" s="127">
        <f t="shared" si="38"/>
        <v>0</v>
      </c>
      <c r="N59" s="126"/>
      <c r="O59" s="163"/>
      <c r="P59" s="126"/>
      <c r="Q59" s="126"/>
      <c r="R59" s="126"/>
      <c r="S59" s="126"/>
      <c r="T59" s="127">
        <f>SUM(T48:T58)</f>
        <v>0</v>
      </c>
      <c r="U59" s="128" t="str">
        <f t="shared" si="32"/>
        <v/>
      </c>
      <c r="V59" s="127">
        <f t="shared" ref="V59:W59" si="39">SUM(V48:V58)</f>
        <v>0</v>
      </c>
      <c r="W59" s="127">
        <f t="shared" si="39"/>
        <v>0</v>
      </c>
      <c r="X59" s="128" t="str">
        <f>IF(N(V59)=0,"",M59/V59)</f>
        <v/>
      </c>
      <c r="Y59" s="127">
        <f t="shared" ref="Y59:AA59" si="40">SUM(Y48:Y58)</f>
        <v>0</v>
      </c>
      <c r="Z59" s="127">
        <f t="shared" si="40"/>
        <v>0</v>
      </c>
      <c r="AA59" s="127">
        <f t="shared" si="40"/>
        <v>0</v>
      </c>
      <c r="AB59" s="129"/>
      <c r="AC59" s="127">
        <f>SUM(AC48:AC58)</f>
        <v>0</v>
      </c>
      <c r="AD59" s="127"/>
      <c r="AE59" s="127">
        <f>SUM(AE48:AE58)</f>
        <v>0</v>
      </c>
      <c r="AF59" s="127" t="str">
        <f>IF(N(AC59)=0,"—",ROUND(M59/AC59,0))</f>
        <v>—</v>
      </c>
      <c r="AG59" s="127" t="str">
        <f>IF(N(Z59)=0,"—",ROUND(M59/Z59,0))</f>
        <v>—</v>
      </c>
      <c r="AH59" s="126"/>
    </row>
    <row r="60" ht="15.75" customHeight="1">
      <c r="A60" s="117" t="s">
        <v>1733</v>
      </c>
      <c r="B60" s="257"/>
      <c r="C60" s="258"/>
      <c r="D60" s="257"/>
      <c r="E60" s="257"/>
      <c r="F60" s="257"/>
      <c r="G60" s="257"/>
      <c r="H60" s="259"/>
      <c r="I60" s="257"/>
      <c r="J60" s="258"/>
      <c r="K60" s="258"/>
      <c r="L60" s="258"/>
      <c r="M60" s="258"/>
      <c r="N60" s="257"/>
      <c r="O60" s="257"/>
      <c r="P60" s="257"/>
      <c r="Q60" s="257"/>
      <c r="R60" s="257"/>
      <c r="S60" s="257"/>
      <c r="T60" s="258"/>
      <c r="U60" s="260"/>
      <c r="V60" s="258"/>
      <c r="W60" s="258"/>
      <c r="X60" s="260"/>
      <c r="Y60" s="258"/>
      <c r="Z60" s="258"/>
      <c r="AA60" s="258"/>
      <c r="AB60" s="261"/>
      <c r="AC60" s="258"/>
      <c r="AD60" s="258"/>
      <c r="AE60" s="258"/>
      <c r="AF60" s="258"/>
      <c r="AG60" s="258"/>
      <c r="AH60" s="21"/>
    </row>
    <row r="61" ht="15.75" customHeight="1">
      <c r="A61" s="243"/>
      <c r="B61" s="191" t="str">
        <f>IF($A61="","",IFERROR(HYPERLINK(VLOOKUP($A61,'Мои блогеры'!$A$2:$N$673,14,0),"🔗 открыть"),""))</f>
        <v/>
      </c>
      <c r="C61" s="191"/>
      <c r="D61" s="120" t="str">
        <f>IFERROR(VLOOKUP($A61,'Мои блогеры'!$A:$N,2,0),"")</f>
        <v/>
      </c>
      <c r="E61" s="194"/>
      <c r="F61" s="194"/>
      <c r="G61" s="262"/>
      <c r="H61" s="192"/>
      <c r="I61" s="21"/>
      <c r="J61" s="11" t="str">
        <f>IFERROR(VLOOKUP($A61,'Мои блогеры'!$A$2:$N$673,8,0),"")</f>
        <v/>
      </c>
      <c r="K61" s="193"/>
      <c r="L61" s="122"/>
      <c r="M61" s="11" t="str">
        <f t="shared" ref="M61:M67" si="41">IF(N($J61)+N($K61)+N($L61)=0,"",N($J61)+N($K61)+N($L61))</f>
        <v/>
      </c>
      <c r="N61" s="194"/>
      <c r="O61" s="194"/>
      <c r="P61" s="21"/>
      <c r="Q61" s="120" t="str">
        <f>IFERROR(VLOOKUP($A61,'Мои блогеры'!$A$2:$N$673,10,0)&amp;"-TRG","")</f>
        <v/>
      </c>
      <c r="R61" s="194"/>
      <c r="S61" s="193"/>
      <c r="T61" s="122"/>
      <c r="U61" s="123" t="str">
        <f t="shared" ref="U61:U68" si="42">IF(N($T61)=0,"",$M61/$T61)</f>
        <v/>
      </c>
      <c r="V61" s="193"/>
      <c r="W61" s="122"/>
      <c r="X61" s="123" t="str">
        <f t="shared" ref="X61:X67" si="43">IF(N($V61)=0,"",$M61/$V61)</f>
        <v/>
      </c>
      <c r="Y61" s="193"/>
      <c r="Z61" s="193"/>
      <c r="AA61" s="193"/>
      <c r="AB61" s="124"/>
      <c r="AC61" s="11" t="str">
        <f t="shared" ref="AC61:AC67" si="44">IF(OR(N($Z61)=0,$AB61=""),"",ROUND($Z61*$AB61,0))</f>
        <v/>
      </c>
      <c r="AD61" s="122"/>
      <c r="AE61" s="191" t="str">
        <f t="shared" ref="AE61:AE67" si="45">IF(OR(N($AC61)=0,$AD61=""),"",ROUND($AC61*$AD61,0))</f>
        <v/>
      </c>
      <c r="AF61" s="191" t="str">
        <f t="shared" ref="AF61:AF67" si="46">IF(N($AC61)=0,"",ROUND($M61/$AC61,0))</f>
        <v/>
      </c>
      <c r="AG61" s="11" t="str">
        <f t="shared" ref="AG61:AG63" si="47">IF(N($Z61)=0,"",ROUND($M61/$Z61,0))</f>
        <v/>
      </c>
      <c r="AH61" s="21"/>
    </row>
    <row r="62" ht="15.75" customHeight="1">
      <c r="A62" s="243"/>
      <c r="B62" s="191" t="str">
        <f>IF($A62="","",IFERROR(HYPERLINK(VLOOKUP($A62,'Мои блогеры'!$A$2:$N$673,14,0),"🔗 открыть"),""))</f>
        <v/>
      </c>
      <c r="C62" s="191"/>
      <c r="D62" s="120" t="str">
        <f>IFERROR(VLOOKUP($A62,'Мои блогеры'!$A:$N,2,0),"")</f>
        <v/>
      </c>
      <c r="E62" s="194"/>
      <c r="F62" s="194"/>
      <c r="G62" s="192"/>
      <c r="H62" s="192"/>
      <c r="I62" s="21"/>
      <c r="J62" s="11" t="str">
        <f>IFERROR(VLOOKUP($A62,'Мои блогеры'!$A$2:$N$673,8,0),"")</f>
        <v/>
      </c>
      <c r="K62" s="193"/>
      <c r="L62" s="122"/>
      <c r="M62" s="11" t="str">
        <f t="shared" si="41"/>
        <v/>
      </c>
      <c r="N62" s="194"/>
      <c r="O62" s="194"/>
      <c r="P62" s="21"/>
      <c r="Q62" s="120" t="str">
        <f>IFERROR(VLOOKUP($A62,'Мои блогеры'!$A$2:$N$673,10,0)&amp;"-TRG","")</f>
        <v/>
      </c>
      <c r="R62" s="194"/>
      <c r="S62" s="193"/>
      <c r="T62" s="122"/>
      <c r="U62" s="123" t="str">
        <f t="shared" si="42"/>
        <v/>
      </c>
      <c r="V62" s="193"/>
      <c r="W62" s="122"/>
      <c r="X62" s="123" t="str">
        <f t="shared" si="43"/>
        <v/>
      </c>
      <c r="Y62" s="193"/>
      <c r="Z62" s="193"/>
      <c r="AA62" s="193"/>
      <c r="AB62" s="124"/>
      <c r="AC62" s="11" t="str">
        <f t="shared" si="44"/>
        <v/>
      </c>
      <c r="AD62" s="122"/>
      <c r="AE62" s="191" t="str">
        <f t="shared" si="45"/>
        <v/>
      </c>
      <c r="AF62" s="191" t="str">
        <f t="shared" si="46"/>
        <v/>
      </c>
      <c r="AG62" s="11" t="str">
        <f t="shared" si="47"/>
        <v/>
      </c>
      <c r="AH62" s="21"/>
    </row>
    <row r="63" ht="15.75" customHeight="1">
      <c r="A63" s="243"/>
      <c r="B63" s="191" t="str">
        <f>IF($A63="","",IFERROR(HYPERLINK(VLOOKUP($A63,'Мои блогеры'!$A$2:$N$673,14,0),"🔗 открыть"),""))</f>
        <v/>
      </c>
      <c r="C63" s="191"/>
      <c r="D63" s="120" t="str">
        <f>IFERROR(VLOOKUP($A63,'Мои блогеры'!$A:$N,2,0),"")</f>
        <v/>
      </c>
      <c r="E63" s="194"/>
      <c r="F63" s="194"/>
      <c r="G63" s="192"/>
      <c r="H63" s="192"/>
      <c r="I63" s="21"/>
      <c r="J63" s="11" t="str">
        <f>IFERROR(VLOOKUP($A63,'Мои блогеры'!$A$2:$N$673,8,0),"")</f>
        <v/>
      </c>
      <c r="K63" s="193"/>
      <c r="L63" s="122"/>
      <c r="M63" s="11" t="str">
        <f t="shared" si="41"/>
        <v/>
      </c>
      <c r="N63" s="194"/>
      <c r="O63" s="194"/>
      <c r="P63" s="21"/>
      <c r="Q63" s="120" t="str">
        <f>IFERROR(VLOOKUP($A63,'Мои блогеры'!$A$2:$N$673,10,0)&amp;"-TRG","")</f>
        <v/>
      </c>
      <c r="R63" s="194"/>
      <c r="S63" s="193"/>
      <c r="T63" s="122"/>
      <c r="U63" s="123" t="str">
        <f t="shared" si="42"/>
        <v/>
      </c>
      <c r="V63" s="193"/>
      <c r="W63" s="122"/>
      <c r="X63" s="123" t="str">
        <f t="shared" si="43"/>
        <v/>
      </c>
      <c r="Y63" s="193"/>
      <c r="Z63" s="193"/>
      <c r="AA63" s="193"/>
      <c r="AB63" s="124"/>
      <c r="AC63" s="11" t="str">
        <f t="shared" si="44"/>
        <v/>
      </c>
      <c r="AD63" s="122"/>
      <c r="AE63" s="191" t="str">
        <f t="shared" si="45"/>
        <v/>
      </c>
      <c r="AF63" s="191" t="str">
        <f t="shared" si="46"/>
        <v/>
      </c>
      <c r="AG63" s="11" t="str">
        <f t="shared" si="47"/>
        <v/>
      </c>
      <c r="AH63" s="21"/>
    </row>
    <row r="64" ht="15.75" customHeight="1">
      <c r="A64" s="243"/>
      <c r="B64" s="191" t="str">
        <f>IF($A64="","",IFERROR(HYPERLINK(VLOOKUP($A64,'Мои блогеры'!$A$2:$N$673,14,0),"🔗 открыть"),""))</f>
        <v/>
      </c>
      <c r="C64" s="191" t="str">
        <f>IFERROR(VLOOKUP($A64,'Мои блогеры'!$A:$N,2,0),"")</f>
        <v/>
      </c>
      <c r="D64" s="120" t="str">
        <f>IFERROR(VLOOKUP($A64,'Мои блогеры'!$A:$N,2,0),"")</f>
        <v/>
      </c>
      <c r="E64" s="194"/>
      <c r="F64" s="194"/>
      <c r="G64" s="192"/>
      <c r="H64" s="192"/>
      <c r="I64" s="21"/>
      <c r="J64" s="11" t="str">
        <f>IFERROR(VLOOKUP($A64,'Мои блогеры'!$A$2:$N$673,8,0),"")</f>
        <v/>
      </c>
      <c r="K64" s="193"/>
      <c r="L64" s="122"/>
      <c r="M64" s="11" t="str">
        <f t="shared" si="41"/>
        <v/>
      </c>
      <c r="N64" s="194"/>
      <c r="O64" s="194"/>
      <c r="P64" s="21"/>
      <c r="Q64" s="120" t="str">
        <f>IFERROR(VLOOKUP($A64,'Мои блогеры'!$A$2:$N$673,10,0)&amp;"-TRG","")</f>
        <v/>
      </c>
      <c r="R64" s="194"/>
      <c r="S64" s="193"/>
      <c r="T64" s="122"/>
      <c r="U64" s="123" t="str">
        <f t="shared" si="42"/>
        <v/>
      </c>
      <c r="V64" s="193"/>
      <c r="W64" s="122"/>
      <c r="X64" s="123" t="str">
        <f t="shared" si="43"/>
        <v/>
      </c>
      <c r="Y64" s="193"/>
      <c r="Z64" s="193"/>
      <c r="AA64" s="193"/>
      <c r="AB64" s="124"/>
      <c r="AC64" s="11" t="str">
        <f t="shared" si="44"/>
        <v/>
      </c>
      <c r="AD64" s="122"/>
      <c r="AE64" s="191" t="str">
        <f t="shared" si="45"/>
        <v/>
      </c>
      <c r="AF64" s="191" t="str">
        <f t="shared" si="46"/>
        <v/>
      </c>
      <c r="AG64" s="11" t="str">
        <f t="shared" ref="AG64:AG67" si="48">IF(N($AC64)=0,"",ROUND($M64/$AC64,0))</f>
        <v/>
      </c>
      <c r="AH64" s="21"/>
    </row>
    <row r="65" ht="15.75" customHeight="1">
      <c r="A65" s="243"/>
      <c r="B65" s="191" t="str">
        <f>IF($A65="","",IFERROR(HYPERLINK(VLOOKUP($A65,'Мои блогеры'!$A$2:$N$673,14,0),"🔗 открыть"),""))</f>
        <v/>
      </c>
      <c r="C65" s="191" t="str">
        <f>IFERROR(VLOOKUP($A65,'Мои блогеры'!$A:$N,2,0),"")</f>
        <v/>
      </c>
      <c r="D65" s="120" t="str">
        <f>IFERROR(VLOOKUP($A65,'Мои блогеры'!$A:$N,2,0),"")</f>
        <v/>
      </c>
      <c r="E65" s="194"/>
      <c r="F65" s="194"/>
      <c r="G65" s="192"/>
      <c r="H65" s="192"/>
      <c r="I65" s="21"/>
      <c r="J65" s="11" t="str">
        <f>IFERROR(VLOOKUP($A65,'Мои блогеры'!$A$2:$N$673,8,0),"")</f>
        <v/>
      </c>
      <c r="K65" s="193"/>
      <c r="L65" s="122"/>
      <c r="M65" s="11" t="str">
        <f t="shared" si="41"/>
        <v/>
      </c>
      <c r="N65" s="194"/>
      <c r="O65" s="194"/>
      <c r="P65" s="21"/>
      <c r="Q65" s="120" t="str">
        <f>IFERROR(VLOOKUP($A65,'Мои блогеры'!$A$2:$N$673,10,0)&amp;"-TRG","")</f>
        <v/>
      </c>
      <c r="R65" s="194"/>
      <c r="S65" s="193"/>
      <c r="T65" s="122"/>
      <c r="U65" s="123" t="str">
        <f t="shared" si="42"/>
        <v/>
      </c>
      <c r="V65" s="193"/>
      <c r="W65" s="122"/>
      <c r="X65" s="123" t="str">
        <f t="shared" si="43"/>
        <v/>
      </c>
      <c r="Y65" s="193"/>
      <c r="Z65" s="193"/>
      <c r="AA65" s="193"/>
      <c r="AB65" s="124"/>
      <c r="AC65" s="11" t="str">
        <f t="shared" si="44"/>
        <v/>
      </c>
      <c r="AD65" s="122"/>
      <c r="AE65" s="191" t="str">
        <f t="shared" si="45"/>
        <v/>
      </c>
      <c r="AF65" s="191" t="str">
        <f t="shared" si="46"/>
        <v/>
      </c>
      <c r="AG65" s="11" t="str">
        <f t="shared" si="48"/>
        <v/>
      </c>
      <c r="AH65" s="21"/>
    </row>
    <row r="66" ht="15.75" customHeight="1">
      <c r="A66" s="243"/>
      <c r="B66" s="191" t="str">
        <f>IF($A66="","",IFERROR(HYPERLINK(VLOOKUP($A66,'Мои блогеры'!$A$2:$N$673,14,0),"🔗 открыть"),""))</f>
        <v/>
      </c>
      <c r="C66" s="191" t="str">
        <f>IFERROR(VLOOKUP($A66,'Мои блогеры'!$A:$N,2,0),"")</f>
        <v/>
      </c>
      <c r="D66" s="120" t="str">
        <f>IFERROR(VLOOKUP($A66,'Мои блогеры'!$A:$N,2,0),"")</f>
        <v/>
      </c>
      <c r="E66" s="194"/>
      <c r="F66" s="194"/>
      <c r="G66" s="192"/>
      <c r="H66" s="192"/>
      <c r="I66" s="21"/>
      <c r="J66" s="11" t="str">
        <f>IFERROR(VLOOKUP($A66,'Мои блогеры'!$A$2:$N$673,8,0),"")</f>
        <v/>
      </c>
      <c r="K66" s="193"/>
      <c r="L66" s="122"/>
      <c r="M66" s="11" t="str">
        <f t="shared" si="41"/>
        <v/>
      </c>
      <c r="N66" s="194"/>
      <c r="O66" s="194"/>
      <c r="P66" s="21"/>
      <c r="Q66" s="120" t="str">
        <f>IFERROR(VLOOKUP($A66,'Мои блогеры'!$A$2:$N$673,10,0)&amp;"-TRG","")</f>
        <v/>
      </c>
      <c r="R66" s="194"/>
      <c r="S66" s="193"/>
      <c r="T66" s="122"/>
      <c r="U66" s="123" t="str">
        <f t="shared" si="42"/>
        <v/>
      </c>
      <c r="V66" s="193"/>
      <c r="W66" s="122"/>
      <c r="X66" s="123" t="str">
        <f t="shared" si="43"/>
        <v/>
      </c>
      <c r="Y66" s="193"/>
      <c r="Z66" s="193"/>
      <c r="AA66" s="193"/>
      <c r="AB66" s="124"/>
      <c r="AC66" s="11" t="str">
        <f t="shared" si="44"/>
        <v/>
      </c>
      <c r="AD66" s="122"/>
      <c r="AE66" s="191" t="str">
        <f t="shared" si="45"/>
        <v/>
      </c>
      <c r="AF66" s="191" t="str">
        <f t="shared" si="46"/>
        <v/>
      </c>
      <c r="AG66" s="11" t="str">
        <f t="shared" si="48"/>
        <v/>
      </c>
      <c r="AH66" s="21"/>
    </row>
    <row r="67" ht="15.75" customHeight="1">
      <c r="A67" s="243"/>
      <c r="B67" s="191" t="str">
        <f>IF($A67="","",IFERROR(HYPERLINK(VLOOKUP($A67,'Мои блогеры'!$A$2:$N$673,14,0),"🔗 открыть"),""))</f>
        <v/>
      </c>
      <c r="C67" s="191" t="str">
        <f>IFERROR(VLOOKUP($A67,'Мои блогеры'!$A:$N,2,0),"")</f>
        <v/>
      </c>
      <c r="D67" s="120" t="str">
        <f>IFERROR(VLOOKUP($A67,'Мои блогеры'!$A:$N,2,0),"")</f>
        <v/>
      </c>
      <c r="E67" s="194"/>
      <c r="F67" s="194"/>
      <c r="G67" s="192"/>
      <c r="H67" s="192"/>
      <c r="I67" s="21"/>
      <c r="J67" s="11" t="str">
        <f>IFERROR(VLOOKUP($A67,'Мои блогеры'!$A$2:$N$673,8,0),"")</f>
        <v/>
      </c>
      <c r="K67" s="193"/>
      <c r="L67" s="122"/>
      <c r="M67" s="11" t="str">
        <f t="shared" si="41"/>
        <v/>
      </c>
      <c r="N67" s="194"/>
      <c r="O67" s="194"/>
      <c r="P67" s="21"/>
      <c r="Q67" s="120" t="str">
        <f>IFERROR(VLOOKUP($A67,'Мои блогеры'!$A$2:$N$673,10,0)&amp;"-TRG","")</f>
        <v/>
      </c>
      <c r="R67" s="194"/>
      <c r="S67" s="193"/>
      <c r="T67" s="122"/>
      <c r="U67" s="123" t="str">
        <f t="shared" si="42"/>
        <v/>
      </c>
      <c r="V67" s="193"/>
      <c r="W67" s="122"/>
      <c r="X67" s="123" t="str">
        <f t="shared" si="43"/>
        <v/>
      </c>
      <c r="Y67" s="193"/>
      <c r="Z67" s="193"/>
      <c r="AA67" s="193"/>
      <c r="AB67" s="124"/>
      <c r="AC67" s="11" t="str">
        <f t="shared" si="44"/>
        <v/>
      </c>
      <c r="AD67" s="122"/>
      <c r="AE67" s="191" t="str">
        <f t="shared" si="45"/>
        <v/>
      </c>
      <c r="AF67" s="191" t="str">
        <f t="shared" si="46"/>
        <v/>
      </c>
      <c r="AG67" s="11" t="str">
        <f t="shared" si="48"/>
        <v/>
      </c>
      <c r="AH67" s="21"/>
    </row>
    <row r="68" ht="15.75" customHeight="1">
      <c r="A68" s="126" t="s">
        <v>1734</v>
      </c>
      <c r="B68" s="126"/>
      <c r="C68" s="127"/>
      <c r="D68" s="126"/>
      <c r="E68" s="126"/>
      <c r="F68" s="126"/>
      <c r="G68" s="126"/>
      <c r="H68" s="126"/>
      <c r="I68" s="126" t="str">
        <f>COUNTIF(I61:I67,"Вышло")&amp;" / "&amp;COUNTA(A61:A67)</f>
        <v>0 / 0</v>
      </c>
      <c r="J68" s="127">
        <f t="shared" ref="J68:M68" si="49">SUM(J61:J67)</f>
        <v>0</v>
      </c>
      <c r="K68" s="127">
        <f t="shared" si="49"/>
        <v>0</v>
      </c>
      <c r="L68" s="127">
        <f t="shared" si="49"/>
        <v>0</v>
      </c>
      <c r="M68" s="127">
        <f t="shared" si="49"/>
        <v>0</v>
      </c>
      <c r="N68" s="126"/>
      <c r="O68" s="163"/>
      <c r="P68" s="126"/>
      <c r="Q68" s="126"/>
      <c r="R68" s="126"/>
      <c r="S68" s="126"/>
      <c r="T68" s="127">
        <f>SUM(T61:T67)</f>
        <v>0</v>
      </c>
      <c r="U68" s="128" t="str">
        <f t="shared" si="42"/>
        <v/>
      </c>
      <c r="V68" s="127">
        <f t="shared" ref="V68:W68" si="50">SUM(V61:V67)</f>
        <v>0</v>
      </c>
      <c r="W68" s="127">
        <f t="shared" si="50"/>
        <v>0</v>
      </c>
      <c r="X68" s="128" t="str">
        <f>IF(N(V68)=0,"",M68/V68)</f>
        <v/>
      </c>
      <c r="Y68" s="127">
        <f t="shared" ref="Y68:AA68" si="51">SUM(Y61:Y67)</f>
        <v>0</v>
      </c>
      <c r="Z68" s="127">
        <f t="shared" si="51"/>
        <v>0</v>
      </c>
      <c r="AA68" s="127">
        <f t="shared" si="51"/>
        <v>0</v>
      </c>
      <c r="AB68" s="129"/>
      <c r="AC68" s="127">
        <f>SUM(AC61:AC67)</f>
        <v>0</v>
      </c>
      <c r="AD68" s="127"/>
      <c r="AE68" s="127">
        <f>SUM(AE61:AE67)</f>
        <v>0</v>
      </c>
      <c r="AF68" s="127" t="str">
        <f t="shared" ref="AF68:AF69" si="54">IF(N(AC68)=0,"—",ROUND(M68/AC68,0))</f>
        <v>—</v>
      </c>
      <c r="AG68" s="127" t="str">
        <f t="shared" ref="AG68:AG69" si="55">IF(N(Z68)=0,"—",ROUND(M68/Z68,0))</f>
        <v>—</v>
      </c>
      <c r="AH68" s="126"/>
    </row>
    <row r="69" ht="15.75" customHeight="1">
      <c r="A69" s="133" t="s">
        <v>683</v>
      </c>
      <c r="B69" s="133"/>
      <c r="C69" s="134"/>
      <c r="D69" s="133"/>
      <c r="E69" s="133"/>
      <c r="F69" s="133"/>
      <c r="G69" s="133"/>
      <c r="H69" s="133"/>
      <c r="I69" s="133" t="str">
        <f>SUM(COUNTIF(I7:I17,"Вышло"),COUNTIF(I20:I32,"Вышло"),COUNTIF(I35:I45,"Вышло"),COUNTIF(I48:I58,"Вышло"),COUNTIF(I61:I67,"Вышло"))&amp;" / "&amp;SUM(COUNTA(A7:A17),COUNTA(A20:A32),COUNTA(A35:A45),COUNTA(A48:A58),COUNTA(A61:A67))</f>
        <v>0 / 0</v>
      </c>
      <c r="J69" s="134">
        <f t="shared" ref="J69:M69" si="52">J18+J33+J46+J59+J68</f>
        <v>0</v>
      </c>
      <c r="K69" s="134">
        <f t="shared" si="52"/>
        <v>0</v>
      </c>
      <c r="L69" s="134">
        <f t="shared" si="52"/>
        <v>0</v>
      </c>
      <c r="M69" s="134">
        <f t="shared" si="52"/>
        <v>0</v>
      </c>
      <c r="N69" s="133"/>
      <c r="O69" s="170"/>
      <c r="P69" s="133"/>
      <c r="Q69" s="133"/>
      <c r="R69" s="133"/>
      <c r="S69" s="133"/>
      <c r="T69" s="134">
        <f t="shared" ref="T69:AE69" si="53">T18+T33+T46+T59+T68</f>
        <v>0</v>
      </c>
      <c r="U69" s="135">
        <f t="shared" si="53"/>
        <v>0</v>
      </c>
      <c r="V69" s="134">
        <f t="shared" si="53"/>
        <v>0</v>
      </c>
      <c r="W69" s="134">
        <f t="shared" si="53"/>
        <v>0</v>
      </c>
      <c r="X69" s="135">
        <f t="shared" si="53"/>
        <v>0</v>
      </c>
      <c r="Y69" s="134">
        <f t="shared" si="53"/>
        <v>0</v>
      </c>
      <c r="Z69" s="134">
        <f t="shared" si="53"/>
        <v>0</v>
      </c>
      <c r="AA69" s="134">
        <f t="shared" si="53"/>
        <v>0</v>
      </c>
      <c r="AB69" s="136">
        <f t="shared" si="53"/>
        <v>0</v>
      </c>
      <c r="AC69" s="134">
        <f t="shared" si="53"/>
        <v>0</v>
      </c>
      <c r="AD69" s="134">
        <f t="shared" si="53"/>
        <v>0</v>
      </c>
      <c r="AE69" s="134">
        <f t="shared" si="53"/>
        <v>0</v>
      </c>
      <c r="AF69" s="134" t="str">
        <f t="shared" si="54"/>
        <v>—</v>
      </c>
      <c r="AG69" s="134" t="str">
        <f t="shared" si="55"/>
        <v>—</v>
      </c>
      <c r="AH69" s="133"/>
    </row>
    <row r="70" ht="15.75" customHeight="1">
      <c r="A70" s="137" t="s">
        <v>1735</v>
      </c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3"/>
      <c r="Q70" s="3"/>
      <c r="R70" s="3"/>
      <c r="S70" s="3"/>
      <c r="T70" s="3"/>
      <c r="U70" s="155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ht="36.0" customHeight="1">
      <c r="A71" s="138" t="s">
        <v>1</v>
      </c>
      <c r="B71" s="138" t="s">
        <v>872</v>
      </c>
      <c r="C71" s="138" t="s">
        <v>873</v>
      </c>
      <c r="D71" s="138" t="s">
        <v>859</v>
      </c>
      <c r="E71" s="138" t="s">
        <v>729</v>
      </c>
      <c r="F71" s="138" t="s">
        <v>730</v>
      </c>
      <c r="G71" s="138" t="s">
        <v>851</v>
      </c>
      <c r="H71" s="138" t="s">
        <v>731</v>
      </c>
      <c r="I71" s="138" t="s">
        <v>853</v>
      </c>
      <c r="J71" s="138" t="s">
        <v>656</v>
      </c>
      <c r="K71" s="138" t="s">
        <v>854</v>
      </c>
      <c r="L71" s="138" t="s">
        <v>874</v>
      </c>
      <c r="M71" s="138" t="s">
        <v>875</v>
      </c>
      <c r="N71" s="138" t="s">
        <v>876</v>
      </c>
      <c r="O71" s="138" t="s">
        <v>657</v>
      </c>
      <c r="P71" s="3"/>
      <c r="Q71" s="3"/>
      <c r="R71" s="3"/>
      <c r="S71" s="3"/>
      <c r="T71" s="3"/>
      <c r="U71" s="155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ht="15.75" customHeight="1">
      <c r="A72" s="139" t="s">
        <v>29</v>
      </c>
      <c r="B72" s="140">
        <f>SUMIFS($M$6:$M$68,$D$6:$D$68,"Telegram")+SUMIFS($M$6:$M$68,$D$6:$D$68,"Telegram ")+SUMIFS($M$6:$M$68,$D$6:$D$68,"Телеграм")+SUMIFS($M$6:$M$68,$D$6:$D$68,"ТГ")</f>
        <v>0</v>
      </c>
      <c r="C72" s="140">
        <f>SUMIFS($M$6:$M$68,$I$6:$I$68,"Вышло",$D$6:$D$68,"Telegram")+SUMIFS($M$6:$M$68,$I$6:$I$68,"Вышло",$D$6:$D$68,"Telegram ")+SUMIFS($M$6:$M$68,$I$6:$I$68,"Вышло",$D$6:$D$68,"Телеграм")+SUMIFS($M$6:$M$68,$I$6:$I$68,"Вышло",$D$6:$D$68,"ТГ")</f>
        <v>0</v>
      </c>
      <c r="D72" s="141">
        <f>COUNTIFS($I$6:$I$68,"Вышло",$D$6:$D$68,"Telegram")+COUNTIFS($I$6:$I$68,"Вышло",$D$6:$D$68,"Telegram ")+COUNTIFS($I$6:$I$68,"Вышло",$D$6:$D$68,"Телеграм")+COUNTIFS($I$6:$I$68,"Вышло",$D$6:$D$68,"ТГ")</f>
        <v>0</v>
      </c>
      <c r="E72" s="141">
        <f>SUMIFS($T$6:$T$68,$I$6:$I$68,"Вышло",$D$6:$D$68,"Telegram")+SUMIFS($T$6:$T$68,$I$6:$I$68,"Вышло",$D$6:$D$68,"Telegram ")+SUMIFS($T$6:$T$68,$I$6:$I$68,"Вышло",$D$6:$D$68,"Телеграм")+SUMIFS($T$6:$T$68,$I$6:$I$68,"Вышло",$D$6:$D$68,"ТГ")</f>
        <v>0</v>
      </c>
      <c r="F72" s="141">
        <f>SUMIFS($V$6:$V$68,$I$6:$I$68,"Вышло",$D$6:$D$68,"Telegram")+SUMIFS($V$6:$V$68,$I$6:$I$68,"Вышло",$D$6:$D$68,"Telegram ")+SUMIFS($V$6:$V$68,$I$6:$I$68,"Вышло",$D$6:$D$68,"Телеграм")+SUMIFS($V$6:$V$68,$I$6:$I$68,"Вышло",$D$6:$D$68,"ТГ")</f>
        <v>0</v>
      </c>
      <c r="G72" s="141">
        <f>SUMIFS($W$6:$W$68,$I$6:$I$68,"Вышло",$D$6:$D$68,"Telegram")+SUMIFS($W$6:$W$68,$I$6:$I$68,"Вышло",$D$6:$D$68,"Telegram ")+SUMIFS($W$6:$W$68,$I$6:$I$68,"Вышло",$D$6:$D$68,"Телеграм")+SUMIFS($W$6:$W$68,$I$6:$I$68,"Вышло",$D$6:$D$68,"ТГ")</f>
        <v>0</v>
      </c>
      <c r="H72" s="141">
        <f t="shared" ref="H72:H79" si="56">0</f>
        <v>0</v>
      </c>
      <c r="I72" s="141">
        <f>SUMIFS($Y$6:$Y$68,$I$6:$I$68,"Вышло",$D$6:$D$68,"Telegram")+SUMIFS($Y$6:$Y$68,$I$6:$I$68,"Вышло",$D$6:$D$68,"Telegram ")+SUMIFS($Y$6:$Y$68,$I$6:$I$68,"Вышло",$D$6:$D$68,"Телеграм")+SUMIFS($Y$6:$Y$68,$I$6:$I$68,"Вышло",$D$6:$D$68,"ТГ")</f>
        <v>0</v>
      </c>
      <c r="J72" s="141">
        <f>SUMIFS($Z$6:$Z$68,$I$6:$I$68,"Вышло",$D$6:$D$68,"Telegram")+SUMIFS($Z$6:$Z$68,$I$6:$I$68,"Вышло",$D$6:$D$68,"Telegram ")+SUMIFS($Z$6:$Z$68,$I$6:$I$68,"Вышло",$D$6:$D$68,"Телеграм")+SUMIFS($Z$6:$Z$68,$I$6:$I$68,"Вышло",$D$6:$D$68,"ТГ")</f>
        <v>0</v>
      </c>
      <c r="K72" s="140">
        <f>SUMIFS($AA$6:$AA$68,$I$6:$I$68,"Вышло",$D$6:$D$68,"Telegram")+SUMIFS($AA$6:$AA$68,$I$6:$I$68,"Вышло",$D$6:$D$68,"Telegram ")+SUMIFS($AA$6:$AA$68,$I$6:$I$68,"Вышло",$D$6:$D$68,"Телеграм")+SUMIFS($AA$6:$AA$68,$I$6:$I$68,"Вышло",$D$6:$D$68,"ТГ")</f>
        <v>0</v>
      </c>
      <c r="L72" s="140" t="str">
        <f>IF((SUMIFS($V$6:$V$68,$I$6:$I$68,"Вышло",$D$6:$D$68,"Telegram",$E$6:$E$68,"Сайт")+SUMIFS($V$6:$V$68,$I$6:$I$68,"Вышло",$D$6:$D$68,"Telegram",$E$6:$E$68,"сайт")+SUMIFS($V$6:$V$68,$I$6:$I$68,"Вышло",$D$6:$D$68,"Telegram ",$E$6:$E$68,"Сайт")+SUMIFS($V$6:$V$68,$I$6:$I$68,"Вышло",$D$6:$D$68,"Telegram ",$E$6:$E$68,"сайт")+SUMIFS($V$6:$V$68,$I$6:$I$68,"Вышло",$D$6:$D$68,"Телеграм",$E$6:$E$68,"Сайт")+SUMIFS($V$6:$V$68,$I$6:$I$68,"Вышло",$D$6:$D$68,"Телеграм",$E$6:$E$68,"сайт")+SUMIFS($V$6:$V$68,$I$6:$I$68,"Вышло",$D$6:$D$68,"ТГ",$E$6:$E$68,"Сайт")+SUMIFS($V$6:$V$68,$I$6:$I$68,"Вышло",$D$6:$D$68,"ТГ",$E$6:$E$68,"сайт")+SUMIFS($V$6:$V$68,$I$6:$I$68,"Вышло",$D$6:$D$68,"Telegram",$E$6:$E$68,"Ozon")+SUMIFS($V$6:$V$68,$I$6:$I$68,"Вышло",$D$6:$D$68,"Telegram",$E$6:$E$68,"OZON")+SUMIFS($V$6:$V$68,$I$6:$I$68,"Вышло",$D$6:$D$68,"Telegram",$E$6:$E$68,"Озон")+SUMIFS($V$6:$V$68,$I$6:$I$68,"Вышло",$D$6:$D$68,"Telegram",$E$6:$E$68,"озон")+SUMIFS($V$6:$V$68,$I$6:$I$68,"Вышло",$D$6:$D$68,"Telegram ",$E$6:$E$68,"Ozon")+SUMIFS($V$6:$V$68,$I$6:$I$68,"Вышло",$D$6:$D$68,"Telegram ",$E$6:$E$68,"OZON")+SUMIFS($V$6:$V$68,$I$6:$I$68,"Вышло",$D$6:$D$68,"Telegram ",$E$6:$E$68,"Озон")+SUMIFS($V$6:$V$68,$I$6:$I$68,"Вышло",$D$6:$D$68,"Telegram ",$E$6:$E$68,"озон")+SUMIFS($V$6:$V$68,$I$6:$I$68,"Вышло",$D$6:$D$68,"Телеграм",$E$6:$E$68,"Ozon")+SUMIFS($V$6:$V$68,$I$6:$I$68,"Вышло",$D$6:$D$68,"Телеграм",$E$6:$E$68,"OZON")+SUMIFS($V$6:$V$68,$I$6:$I$68,"Вышло",$D$6:$D$68,"Телеграм",$E$6:$E$68,"Озон")+SUMIFS($V$6:$V$68,$I$6:$I$68,"Вышло",$D$6:$D$68,"Телеграм",$E$6:$E$68,"озон")+SUMIFS($V$6:$V$68,$I$6:$I$68,"Вышло",$D$6:$D$68,"ТГ",$E$6:$E$68,"Ozon")+SUMIFS($V$6:$V$68,$I$6:$I$68,"Вышло",$D$6:$D$68,"ТГ",$E$6:$E$68,"OZON")+SUMIFS($V$6:$V$68,$I$6:$I$68,"Вышло",$D$6:$D$68,"ТГ",$E$6:$E$68,"Озон")+SUMIFS($V$6:$V$68,$I$6:$I$68,"Вышло",$D$6:$D$68,"ТГ",$E$6:$E$68,"озон"))=0,"—",ROUND((SUMIFS($M$6:$M$68,$I$6:$I$68,"Вышло",$D$6:$D$68,"Telegram",$E$6:$E$68,"Сайт",$V$6:$V$68,"&gt;0")+SUMIFS($M$6:$M$68,$I$6:$I$68,"Вышло",$D$6:$D$68,"Telegram",$E$6:$E$68,"сайт",$V$6:$V$68,"&gt;0")+SUMIFS($M$6:$M$68,$I$6:$I$68,"Вышло",$D$6:$D$68,"Telegram ",$E$6:$E$68,"Сайт",$V$6:$V$68,"&gt;0")+SUMIFS($M$6:$M$68,$I$6:$I$68,"Вышло",$D$6:$D$68,"Telegram ",$E$6:$E$68,"сайт",$V$6:$V$68,"&gt;0")+SUMIFS($M$6:$M$68,$I$6:$I$68,"Вышло",$D$6:$D$68,"Телеграм",$E$6:$E$68,"Сайт",$V$6:$V$68,"&gt;0")+SUMIFS($M$6:$M$68,$I$6:$I$68,"Вышло",$D$6:$D$68,"Телеграм",$E$6:$E$68,"сайт",$V$6:$V$68,"&gt;0")+SUMIFS($M$6:$M$68,$I$6:$I$68,"Вышло",$D$6:$D$68,"ТГ",$E$6:$E$68,"Сайт",$V$6:$V$68,"&gt;0")+SUMIFS($M$6:$M$68,$I$6:$I$68,"Вышло",$D$6:$D$68,"ТГ",$E$6:$E$68,"сайт",$V$6:$V$68,"&gt;0")+SUMIFS($M$6:$M$68,$I$6:$I$68,"Вышло",$D$6:$D$68,"Telegram",$E$6:$E$68,"Сайт",$V$6:$V$68,"&lt;=0",$P$6:$P$68,"&lt;&gt;")+SUMIFS($M$6:$M$68,$I$6:$I$68,"Вышло",$D$6:$D$68,"Telegram",$E$6:$E$68,"сайт",$V$6:$V$68,"&lt;=0",$P$6:$P$68,"&lt;&gt;")+SUMIFS($M$6:$M$68,$I$6:$I$68,"Вышло",$D$6:$D$68,"Telegram ",$E$6:$E$68,"Сайт",$V$6:$V$68,"&lt;=0",$P$6:$P$68,"&lt;&gt;")+SUMIFS($M$6:$M$68,$I$6:$I$68,"Вышло",$D$6:$D$68,"Telegram ",$E$6:$E$68,"сайт",$V$6:$V$68,"&lt;=0",$P$6:$P$68,"&lt;&gt;")+SUMIFS($M$6:$M$68,$I$6:$I$68,"Вышло",$D$6:$D$68,"Телеграм",$E$6:$E$68,"Сайт",$V$6:$V$68,"&lt;=0",$P$6:$P$68,"&lt;&gt;")+SUMIFS($M$6:$M$68,$I$6:$I$68,"Вышло",$D$6:$D$68,"Телеграм",$E$6:$E$68,"сайт",$V$6:$V$68,"&lt;=0",$P$6:$P$68,"&lt;&gt;")+SUMIFS($M$6:$M$68,$I$6:$I$68,"Вышло",$D$6:$D$68,"ТГ",$E$6:$E$68,"Сайт",$V$6:$V$68,"&lt;=0",$P$6:$P$68,"&lt;&gt;")+SUMIFS($M$6:$M$68,$I$6:$I$68,"Вышло",$D$6:$D$68,"ТГ",$E$6:$E$68,"сайт",$V$6:$V$68,"&lt;=0",$P$6:$P$68,"&lt;&gt;")+SUMIFS($M$6:$M$68,$I$6:$I$68,"Вышло",$D$6:$D$68,"Telegram",$E$6:$E$68,"Ozon",$V$6:$V$68,"&gt;0")+SUMIFS($M$6:$M$68,$I$6:$I$68,"Вышло",$D$6:$D$68,"Telegram",$E$6:$E$68,"OZON",$V$6:$V$68,"&gt;0")+SUMIFS($M$6:$M$68,$I$6:$I$68,"Вышло",$D$6:$D$68,"Telegram",$E$6:$E$68,"Озон",$V$6:$V$68,"&gt;0")+SUMIFS($M$6:$M$68,$I$6:$I$68,"Вышло",$D$6:$D$68,"Telegram",$E$6:$E$68,"озон",$V$6:$V$68,"&gt;0")+SUMIFS($M$6:$M$68,$I$6:$I$68,"Вышло",$D$6:$D$68,"Telegram ",$E$6:$E$68,"Ozon",$V$6:$V$68,"&gt;0")+SUMIFS($M$6:$M$68,$I$6:$I$68,"Вышло",$D$6:$D$68,"Telegram ",$E$6:$E$68,"OZON",$V$6:$V$68,"&gt;0")+SUMIFS($M$6:$M$68,$I$6:$I$68,"Вышло",$D$6:$D$68,"Telegram ",$E$6:$E$68,"Озон",$V$6:$V$68,"&gt;0")+SUMIFS($M$6:$M$68,$I$6:$I$68,"Вышло",$D$6:$D$68,"Telegram ",$E$6:$E$68,"озон",$V$6:$V$68,"&gt;0")+SUMIFS($M$6:$M$68,$I$6:$I$68,"Вышло",$D$6:$D$68,"Телеграм",$E$6:$E$68,"Ozon",$V$6:$V$68,"&gt;0")+SUMIFS($M$6:$M$68,$I$6:$I$68,"Вышло",$D$6:$D$68,"Телеграм",$E$6:$E$68,"OZON",$V$6:$V$68,"&gt;0")+SUMIFS($M$6:$M$68,$I$6:$I$68,"Вышло",$D$6:$D$68,"Телеграм",$E$6:$E$68,"Озон",$V$6:$V$68,"&gt;0")+SUMIFS($M$6:$M$68,$I$6:$I$68,"Вышло",$D$6:$D$68,"Телеграм",$E$6:$E$68,"озон",$V$6:$V$68,"&gt;0")+SUMIFS($M$6:$M$68,$I$6:$I$68,"Вышло",$D$6:$D$68,"ТГ",$E$6:$E$68,"Ozon",$V$6:$V$68,"&gt;0")+SUMIFS($M$6:$M$68,$I$6:$I$68,"Вышло",$D$6:$D$68,"ТГ",$E$6:$E$68,"OZON",$V$6:$V$68,"&gt;0")+SUMIFS($M$6:$M$68,$I$6:$I$68,"Вышло",$D$6:$D$68,"ТГ",$E$6:$E$68,"Озон",$V$6:$V$68,"&gt;0")+SUMIFS($M$6:$M$68,$I$6:$I$68,"Вышло",$D$6:$D$68,"ТГ",$E$6:$E$68,"озон",$V$6:$V$68,"&gt;0")+SUMIFS($M$6:$M$68,$I$6:$I$68,"Вышло",$D$6:$D$68,"Telegram",$E$6:$E$68,"Ozon",$V$6:$V$68,"&lt;=0",$P$6:$P$68,"&lt;&gt;")+SUMIFS($M$6:$M$68,$I$6:$I$68,"Вышло",$D$6:$D$68,"Telegram",$E$6:$E$68,"OZON",$V$6:$V$68,"&lt;=0",$P$6:$P$68,"&lt;&gt;")+SUMIFS($M$6:$M$68,$I$6:$I$68,"Вышло",$D$6:$D$68,"Telegram",$E$6:$E$68,"Озон",$V$6:$V$68,"&lt;=0",$P$6:$P$68,"&lt;&gt;")+SUMIFS($M$6:$M$68,$I$6:$I$68,"Вышло",$D$6:$D$68,"Telegram",$E$6:$E$68,"озон",$V$6:$V$68,"&lt;=0",$P$6:$P$68,"&lt;&gt;")+SUMIFS($M$6:$M$68,$I$6:$I$68,"Вышло",$D$6:$D$68,"Telegram ",$E$6:$E$68,"Ozon",$V$6:$V$68,"&lt;=0",$P$6:$P$68,"&lt;&gt;")+SUMIFS($M$6:$M$68,$I$6:$I$68,"Вышло",$D$6:$D$68,"Telegram ",$E$6:$E$68,"OZON",$V$6:$V$68,"&lt;=0",$P$6:$P$68,"&lt;&gt;")+SUMIFS($M$6:$M$68,$I$6:$I$68,"Вышло",$D$6:$D$68,"Telegram ",$E$6:$E$68,"Озон",$V$6:$V$68,"&lt;=0",$P$6:$P$68,"&lt;&gt;")+SUMIFS($M$6:$M$68,$I$6:$I$68,"Вышло",$D$6:$D$68,"Telegram ",$E$6:$E$68,"озон",$V$6:$V$68,"&lt;=0",$P$6:$P$68,"&lt;&gt;")+SUMIFS($M$6:$M$68,$I$6:$I$68,"Вышло",$D$6:$D$68,"Телеграм",$E$6:$E$68,"Ozon",$V$6:$V$68,"&lt;=0",$P$6:$P$68,"&lt;&gt;")+SUMIFS($M$6:$M$68,$I$6:$I$68,"Вышло",$D$6:$D$68,"Телеграм",$E$6:$E$68,"OZON",$V$6:$V$68,"&lt;=0",$P$6:$P$68,"&lt;&gt;")+SUMIFS($M$6:$M$68,$I$6:$I$68,"Вышло",$D$6:$D$68,"Телеграм",$E$6:$E$68,"Озон",$V$6:$V$68,"&lt;=0",$P$6:$P$68,"&lt;&gt;")+SUMIFS($M$6:$M$68,$I$6:$I$68,"Вышло",$D$6:$D$68,"Телеграм",$E$6:$E$68,"озон",$V$6:$V$68,"&lt;=0",$P$6:$P$68,"&lt;&gt;")+SUMIFS($M$6:$M$68,$I$6:$I$68,"Вышло",$D$6:$D$68,"ТГ",$E$6:$E$68,"Ozon",$V$6:$V$68,"&lt;=0",$P$6:$P$68,"&lt;&gt;")+SUMIFS($M$6:$M$68,$I$6:$I$68,"Вышло",$D$6:$D$68,"ТГ",$E$6:$E$68,"OZON",$V$6:$V$68,"&lt;=0",$P$6:$P$68,"&lt;&gt;")+SUMIFS($M$6:$M$68,$I$6:$I$68,"Вышло",$D$6:$D$68,"ТГ",$E$6:$E$68,"Озон",$V$6:$V$68,"&lt;=0",$P$6:$P$68,"&lt;&gt;")+SUMIFS($M$6:$M$68,$I$6:$I$68,"Вышло",$D$6:$D$68,"ТГ",$E$6:$E$68,"озон",$V$6:$V$68,"&lt;=0",$P$6:$P$68,"&lt;&gt;"))/(SUMIFS($V$6:$V$68,$I$6:$I$68,"Вышло",$D$6:$D$68,"Telegram",$E$6:$E$68,"Сайт")+SUMIFS($V$6:$V$68,$I$6:$I$68,"Вышло",$D$6:$D$68,"Telegram",$E$6:$E$68,"сайт")+SUMIFS($V$6:$V$68,$I$6:$I$68,"Вышло",$D$6:$D$68,"Telegram ",$E$6:$E$68,"Сайт")+SUMIFS($V$6:$V$68,$I$6:$I$68,"Вышло",$D$6:$D$68,"Telegram ",$E$6:$E$68,"сайт")+SUMIFS($V$6:$V$68,$I$6:$I$68,"Вышло",$D$6:$D$68,"Телеграм",$E$6:$E$68,"Сайт")+SUMIFS($V$6:$V$68,$I$6:$I$68,"Вышло",$D$6:$D$68,"Телеграм",$E$6:$E$68,"сайт")+SUMIFS($V$6:$V$68,$I$6:$I$68,"Вышло",$D$6:$D$68,"ТГ",$E$6:$E$68,"Сайт")+SUMIFS($V$6:$V$68,$I$6:$I$68,"Вышло",$D$6:$D$68,"ТГ",$E$6:$E$68,"сайт")+SUMIFS($V$6:$V$68,$I$6:$I$68,"Вышло",$D$6:$D$68,"Telegram",$E$6:$E$68,"Ozon")+SUMIFS($V$6:$V$68,$I$6:$I$68,"Вышло",$D$6:$D$68,"Telegram",$E$6:$E$68,"OZON")+SUMIFS($V$6:$V$68,$I$6:$I$68,"Вышло",$D$6:$D$68,"Telegram",$E$6:$E$68,"Озон")+SUMIFS($V$6:$V$68,$I$6:$I$68,"Вышло",$D$6:$D$68,"Telegram",$E$6:$E$68,"озон")+SUMIFS($V$6:$V$68,$I$6:$I$68,"Вышло",$D$6:$D$68,"Telegram ",$E$6:$E$68,"Ozon")+SUMIFS($V$6:$V$68,$I$6:$I$68,"Вышло",$D$6:$D$68,"Telegram ",$E$6:$E$68,"OZON")+SUMIFS($V$6:$V$68,$I$6:$I$68,"Вышло",$D$6:$D$68,"Telegram ",$E$6:$E$68,"Озон")+SUMIFS($V$6:$V$68,$I$6:$I$68,"Вышло",$D$6:$D$68,"Telegram ",$E$6:$E$68,"озон")+SUMIFS($V$6:$V$68,$I$6:$I$68,"Вышло",$D$6:$D$68,"Телеграм",$E$6:$E$68,"Ozon")+SUMIFS($V$6:$V$68,$I$6:$I$68,"Вышло",$D$6:$D$68,"Телеграм",$E$6:$E$68,"OZON")+SUMIFS($V$6:$V$68,$I$6:$I$68,"Вышло",$D$6:$D$68,"Телеграм",$E$6:$E$68,"Озон")+SUMIFS($V$6:$V$68,$I$6:$I$68,"Вышло",$D$6:$D$68,"Телеграм",$E$6:$E$68,"озон")+SUMIFS($V$6:$V$68,$I$6:$I$68,"Вышло",$D$6:$D$68,"ТГ",$E$6:$E$68,"Ozon")+SUMIFS($V$6:$V$68,$I$6:$I$68,"Вышло",$D$6:$D$68,"ТГ",$E$6:$E$68,"OZON")+SUMIFS($V$6:$V$68,$I$6:$I$68,"Вышло",$D$6:$D$68,"ТГ",$E$6:$E$68,"Озон")+SUMIFS($V$6:$V$68,$I$6:$I$68,"Вышло",$D$6:$D$68,"ТГ",$E$6:$E$68,"озон")),0))</f>
        <v>—</v>
      </c>
      <c r="M72" s="140" t="str">
        <f>IF((SUMIFS($W$6:$W$68,$I$6:$I$68,"Вышло",$D$6:$D$68,"Telegram",$E$6:$E$68,"WB")+SUMIFS($W$6:$W$68,$I$6:$I$68,"Вышло",$D$6:$D$68,"Telegram",$E$6:$E$68,"ВБ")+SUMIFS($W$6:$W$68,$I$6:$I$68,"Вышло",$D$6:$D$68,"Telegram ",$E$6:$E$68,"WB")+SUMIFS($W$6:$W$68,$I$6:$I$68,"Вышло",$D$6:$D$68,"Telegram ",$E$6:$E$68,"ВБ")+SUMIFS($W$6:$W$68,$I$6:$I$68,"Вышло",$D$6:$D$68,"Телеграм",$E$6:$E$68,"WB")+SUMIFS($W$6:$W$68,$I$6:$I$68,"Вышло",$D$6:$D$68,"Телеграм",$E$6:$E$68,"ВБ")+SUMIFS($W$6:$W$68,$I$6:$I$68,"Вышло",$D$6:$D$68,"ТГ",$E$6:$E$68,"WB")+SUMIFS($W$6:$W$68,$I$6:$I$68,"Вышло",$D$6:$D$68,"ТГ",$E$6:$E$68,"ВБ"))=0,"—",ROUND((SUMIFS($M$6:$M$68,$I$6:$I$68,"Вышло",$D$6:$D$68,"Telegram",$E$6:$E$68,"WB")+SUMIFS($M$6:$M$68,$I$6:$I$68,"Вышло",$D$6:$D$68,"Telegram",$E$6:$E$68,"ВБ")+SUMIFS($M$6:$M$68,$I$6:$I$68,"Вышло",$D$6:$D$68,"Telegram ",$E$6:$E$68,"WB")+SUMIFS($M$6:$M$68,$I$6:$I$68,"Вышло",$D$6:$D$68,"Telegram ",$E$6:$E$68,"ВБ")+SUMIFS($M$6:$M$68,$I$6:$I$68,"Вышло",$D$6:$D$68,"Телеграм",$E$6:$E$68,"WB")+SUMIFS($M$6:$M$68,$I$6:$I$68,"Вышло",$D$6:$D$68,"Телеграм",$E$6:$E$68,"ВБ")+SUMIFS($M$6:$M$68,$I$6:$I$68,"Вышло",$D$6:$D$68,"ТГ",$E$6:$E$68,"WB")+SUMIFS($M$6:$M$68,$I$6:$I$68,"Вышло",$D$6:$D$68,"ТГ",$E$6:$E$68,"ВБ")-(SUMIFS($M$6:$M$68,$I$6:$I$68,"Вышло",$D$6:$D$68,"Telegram",$E$6:$E$68,"WB",$W$6:$W$68,"&lt;=0",$V$6:$V$68,"&gt;0")+SUMIFS($M$6:$M$68,$I$6:$I$68,"Вышло",$D$6:$D$68,"Telegram",$E$6:$E$68,"ВБ",$W$6:$W$68,"&lt;=0",$V$6:$V$68,"&gt;0")+SUMIFS($M$6:$M$68,$I$6:$I$68,"Вышло",$D$6:$D$68,"Telegram ",$E$6:$E$68,"WB",$W$6:$W$68,"&lt;=0",$V$6:$V$68,"&gt;0")+SUMIFS($M$6:$M$68,$I$6:$I$68,"Вышло",$D$6:$D$68,"Telegram ",$E$6:$E$68,"ВБ",$W$6:$W$68,"&lt;=0",$V$6:$V$68,"&gt;0")+SUMIFS($M$6:$M$68,$I$6:$I$68,"Вышло",$D$6:$D$68,"Телеграм",$E$6:$E$68,"WB",$W$6:$W$68,"&lt;=0",$V$6:$V$68,"&gt;0")+SUMIFS($M$6:$M$68,$I$6:$I$68,"Вышло",$D$6:$D$68,"Телеграм",$E$6:$E$68,"ВБ",$W$6:$W$68,"&lt;=0",$V$6:$V$68,"&gt;0")+SUMIFS($M$6:$M$68,$I$6:$I$68,"Вышло",$D$6:$D$68,"ТГ",$E$6:$E$68,"WB",$W$6:$W$68,"&lt;=0",$V$6:$V$68,"&gt;0")+SUMIFS($M$6:$M$68,$I$6:$I$68,"Вышло",$D$6:$D$68,"ТГ",$E$6:$E$68,"ВБ",$W$6:$W$68,"&lt;=0",$V$6:$V$68,"&gt;0")))/(SUMIFS($W$6:$W$68,$I$6:$I$68,"Вышло",$D$6:$D$68,"Telegram",$E$6:$E$68,"WB")+SUMIFS($W$6:$W$68,$I$6:$I$68,"Вышло",$D$6:$D$68,"Telegram",$E$6:$E$68,"ВБ")+SUMIFS($W$6:$W$68,$I$6:$I$68,"Вышло",$D$6:$D$68,"Telegram ",$E$6:$E$68,"WB")+SUMIFS($W$6:$W$68,$I$6:$I$68,"Вышло",$D$6:$D$68,"Telegram ",$E$6:$E$68,"ВБ")+SUMIFS($W$6:$W$68,$I$6:$I$68,"Вышло",$D$6:$D$68,"Телеграм",$E$6:$E$68,"WB")+SUMIFS($W$6:$W$68,$I$6:$I$68,"Вышло",$D$6:$D$68,"Телеграм",$E$6:$E$68,"ВБ")+SUMIFS($W$6:$W$68,$I$6:$I$68,"Вышло",$D$6:$D$68,"ТГ",$E$6:$E$68,"WB")+SUMIFS($W$6:$W$68,$I$6:$I$68,"Вышло",$D$6:$D$68,"ТГ",$E$6:$E$68,"ВБ")),0))</f>
        <v>—</v>
      </c>
      <c r="N72" s="140" t="str">
        <f t="shared" ref="N72:N80" si="57">"—"</f>
        <v>—</v>
      </c>
      <c r="O72" s="140" t="str">
        <f>IF((SUMIFS($Z$6:$Z$68,$I$6:$I$68,"Вышло",$D$6:$D$68,"Telegram")+SUMIFS($Z$6:$Z$68,$I$6:$I$68,"Вышло",$D$6:$D$68,"Telegram ")+SUMIFS($Z$6:$Z$68,$I$6:$I$68,"Вышло",$D$6:$D$68,"Телеграм")+SUMIFS($Z$6:$Z$68,$I$6:$I$68,"Вышло",$D$6:$D$68,"ТГ"))=0,"—",ROUND((SUMIFS($M$6:$M$68,$I$6:$I$68,"Вышло",$D$6:$D$68,"Telegram")+SUMIFS($M$6:$M$68,$I$6:$I$68,"Вышло",$D$6:$D$68,"Telegram ")+SUMIFS($M$6:$M$68,$I$6:$I$68,"Вышло",$D$6:$D$68,"Телеграм")+SUMIFS($M$6:$M$68,$I$6:$I$68,"Вышло",$D$6:$D$68,"ТГ"))/(SUMIFS($Z$6:$Z$68,$I$6:$I$68,"Вышло",$D$6:$D$68,"Telegram")+SUMIFS($Z$6:$Z$68,$I$6:$I$68,"Вышло",$D$6:$D$68,"Telegram ")+SUMIFS($Z$6:$Z$68,$I$6:$I$68,"Вышло",$D$6:$D$68,"Телеграм")+SUMIFS($Z$6:$Z$68,$I$6:$I$68,"Вышло",$D$6:$D$68,"ТГ")),0))</f>
        <v>—</v>
      </c>
      <c r="P72" s="3"/>
      <c r="Q72" s="3"/>
      <c r="R72" s="3"/>
      <c r="S72" s="3"/>
      <c r="T72" s="3"/>
      <c r="U72" s="155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ht="15.75" customHeight="1">
      <c r="A73" s="139" t="s">
        <v>37</v>
      </c>
      <c r="B73" s="140">
        <f>SUMIFS($M$6:$M$68,$D$6:$D$68,"MAX")+SUMIFS($M$6:$M$68,$D$6:$D$68,"Макс")+SUMIFS($M$6:$M$68,$D$6:$D$68,"МАКС")</f>
        <v>0</v>
      </c>
      <c r="C73" s="140">
        <f>SUMIFS($M$6:$M$68,$I$6:$I$68,"Вышло",$D$6:$D$68,"MAX")+SUMIFS($M$6:$M$68,$I$6:$I$68,"Вышло",$D$6:$D$68,"Макс")+SUMIFS($M$6:$M$68,$I$6:$I$68,"Вышло",$D$6:$D$68,"МАКС")</f>
        <v>0</v>
      </c>
      <c r="D73" s="141">
        <f>COUNTIFS($I$6:$I$68,"Вышло",$D$6:$D$68,"MAX")+COUNTIFS($I$6:$I$68,"Вышло",$D$6:$D$68,"Макс")</f>
        <v>0</v>
      </c>
      <c r="E73" s="141">
        <f>SUMIFS($T$6:$T$68,$I$6:$I$68,"Вышло",$D$6:$D$68,"MAX")+SUMIFS($T$6:$T$68,$I$6:$I$68,"Вышло",$D$6:$D$68,"Макс")+SUMIFS($T$6:$T$68,$I$6:$I$68,"Вышло",$D$6:$D$68,"МАКС")</f>
        <v>0</v>
      </c>
      <c r="F73" s="141">
        <f>SUMIFS($V$6:$V$68,$I$6:$I$68,"Вышло",$D$6:$D$68,"MAX")+SUMIFS($V$6:$V$68,$I$6:$I$68,"Вышло",$D$6:$D$68,"Макс")+SUMIFS($V$6:$V$68,$I$6:$I$68,"Вышло",$D$6:$D$68,"МАКС")</f>
        <v>0</v>
      </c>
      <c r="G73" s="141">
        <f>SUMIFS($W$6:$W$68,$I$6:$I$68,"Вышло",$D$6:$D$68,"MAX")+SUMIFS($W$6:$W$68,$I$6:$I$68,"Вышло",$D$6:$D$68,"Макс")+SUMIFS($W$6:$W$68,$I$6:$I$68,"Вышло",$D$6:$D$68,"МАКС")</f>
        <v>0</v>
      </c>
      <c r="H73" s="141">
        <f t="shared" si="56"/>
        <v>0</v>
      </c>
      <c r="I73" s="141">
        <f>SUMIFS($Y$6:$Y$68,$I$6:$I$68,"Вышло",$D$6:$D$68,"MAX")+SUMIFS($Y$6:$Y$68,$I$6:$I$68,"Вышло",$D$6:$D$68,"Макс")+SUMIFS($Y$6:$Y$68,$I$6:$I$68,"Вышло",$D$6:$D$68,"МАКС")</f>
        <v>0</v>
      </c>
      <c r="J73" s="141">
        <f>SUMIFS($Z$6:$Z$68,$I$6:$I$68,"Вышло",$D$6:$D$68,"MAX")+SUMIFS($Z$6:$Z$68,$I$6:$I$68,"Вышло",$D$6:$D$68,"Макс")+SUMIFS($Z$6:$Z$68,$I$6:$I$68,"Вышло",$D$6:$D$68,"МАКС")</f>
        <v>0</v>
      </c>
      <c r="K73" s="140">
        <f>SUMIFS($AA$6:$AA$68,$I$6:$I$68,"Вышло",$D$6:$D$68,"MAX")+SUMIFS($AA$6:$AA$68,$I$6:$I$68,"Вышло",$D$6:$D$68,"Макс")+SUMIFS($AA$6:$AA$68,$I$6:$I$68,"Вышло",$D$6:$D$68,"МАКС")</f>
        <v>0</v>
      </c>
      <c r="L73" s="140" t="str">
        <f>IF((SUMIFS($V$6:$V$68,$I$6:$I$68,"Вышло",$D$6:$D$68,"MAX",$E$6:$E$68,"Сайт")+SUMIFS($V$6:$V$68,$I$6:$I$68,"Вышло",$D$6:$D$68,"MAX",$E$6:$E$68,"сайт")+SUMIFS($V$6:$V$68,$I$6:$I$68,"Вышло",$D$6:$D$68,"Макс",$E$6:$E$68,"Сайт")+SUMIFS($V$6:$V$68,$I$6:$I$68,"Вышло",$D$6:$D$68,"Макс",$E$6:$E$68,"сайт")+SUMIFS($V$6:$V$68,$I$6:$I$68,"Вышло",$D$6:$D$68,"МАКС",$E$6:$E$68,"Сайт")+SUMIFS($V$6:$V$68,$I$6:$I$68,"Вышло",$D$6:$D$68,"МАКС",$E$6:$E$68,"сайт")+SUMIFS($V$6:$V$68,$I$6:$I$68,"Вышло",$D$6:$D$68,"MAX",$E$6:$E$68,"Ozon")+SUMIFS($V$6:$V$68,$I$6:$I$68,"Вышло",$D$6:$D$68,"MAX",$E$6:$E$68,"OZON")+SUMIFS($V$6:$V$68,$I$6:$I$68,"Вышло",$D$6:$D$68,"MAX",$E$6:$E$68,"Озон")+SUMIFS($V$6:$V$68,$I$6:$I$68,"Вышло",$D$6:$D$68,"MAX",$E$6:$E$68,"озон")+SUMIFS($V$6:$V$68,$I$6:$I$68,"Вышло",$D$6:$D$68,"Макс",$E$6:$E$68,"Ozon")+SUMIFS($V$6:$V$68,$I$6:$I$68,"Вышло",$D$6:$D$68,"Макс",$E$6:$E$68,"OZON")+SUMIFS($V$6:$V$68,$I$6:$I$68,"Вышло",$D$6:$D$68,"Макс",$E$6:$E$68,"Озон")+SUMIFS($V$6:$V$68,$I$6:$I$68,"Вышло",$D$6:$D$68,"Макс",$E$6:$E$68,"озон")+SUMIFS($V$6:$V$68,$I$6:$I$68,"Вышло",$D$6:$D$68,"МАКС",$E$6:$E$68,"Ozon")+SUMIFS($V$6:$V$68,$I$6:$I$68,"Вышло",$D$6:$D$68,"МАКС",$E$6:$E$68,"OZON")+SUMIFS($V$6:$V$68,$I$6:$I$68,"Вышло",$D$6:$D$68,"МАКС",$E$6:$E$68,"Озон")+SUMIFS($V$6:$V$68,$I$6:$I$68,"Вышло",$D$6:$D$68,"МАКС",$E$6:$E$68,"озон"))=0,"—",ROUND((SUMIFS($M$6:$M$68,$I$6:$I$68,"Вышло",$D$6:$D$68,"MAX",$E$6:$E$68,"Сайт",$V$6:$V$68,"&gt;0")+SUMIFS($M$6:$M$68,$I$6:$I$68,"Вышло",$D$6:$D$68,"MAX",$E$6:$E$68,"сайт",$V$6:$V$68,"&gt;0")+SUMIFS($M$6:$M$68,$I$6:$I$68,"Вышло",$D$6:$D$68,"Макс",$E$6:$E$68,"Сайт",$V$6:$V$68,"&gt;0")+SUMIFS($M$6:$M$68,$I$6:$I$68,"Вышло",$D$6:$D$68,"Макс",$E$6:$E$68,"сайт",$V$6:$V$68,"&gt;0")+SUMIFS($M$6:$M$68,$I$6:$I$68,"Вышло",$D$6:$D$68,"МАКС",$E$6:$E$68,"Сайт",$V$6:$V$68,"&gt;0")+SUMIFS($M$6:$M$68,$I$6:$I$68,"Вышло",$D$6:$D$68,"МАКС",$E$6:$E$68,"сайт",$V$6:$V$68,"&gt;0")+SUMIFS($M$6:$M$68,$I$6:$I$68,"Вышло",$D$6:$D$68,"MAX",$E$6:$E$68,"Сайт",$V$6:$V$68,"&lt;=0",$P$6:$P$68,"&lt;&gt;")+SUMIFS($M$6:$M$68,$I$6:$I$68,"Вышло",$D$6:$D$68,"MAX",$E$6:$E$68,"сайт",$V$6:$V$68,"&lt;=0",$P$6:$P$68,"&lt;&gt;")+SUMIFS($M$6:$M$68,$I$6:$I$68,"Вышло",$D$6:$D$68,"Макс",$E$6:$E$68,"Сайт",$V$6:$V$68,"&lt;=0",$P$6:$P$68,"&lt;&gt;")+SUMIFS($M$6:$M$68,$I$6:$I$68,"Вышло",$D$6:$D$68,"Макс",$E$6:$E$68,"сайт",$V$6:$V$68,"&lt;=0",$P$6:$P$68,"&lt;&gt;")+SUMIFS($M$6:$M$68,$I$6:$I$68,"Вышло",$D$6:$D$68,"МАКС",$E$6:$E$68,"Сайт",$V$6:$V$68,"&lt;=0",$P$6:$P$68,"&lt;&gt;")+SUMIFS($M$6:$M$68,$I$6:$I$68,"Вышло",$D$6:$D$68,"МАКС",$E$6:$E$68,"сайт",$V$6:$V$68,"&lt;=0",$P$6:$P$68,"&lt;&gt;")+SUMIFS($M$6:$M$68,$I$6:$I$68,"Вышло",$D$6:$D$68,"MAX",$E$6:$E$68,"Ozon",$V$6:$V$68,"&gt;0")+SUMIFS($M$6:$M$68,$I$6:$I$68,"Вышло",$D$6:$D$68,"MAX",$E$6:$E$68,"OZON",$V$6:$V$68,"&gt;0")+SUMIFS($M$6:$M$68,$I$6:$I$68,"Вышло",$D$6:$D$68,"MAX",$E$6:$E$68,"Озон",$V$6:$V$68,"&gt;0")+SUMIFS($M$6:$M$68,$I$6:$I$68,"Вышло",$D$6:$D$68,"MAX",$E$6:$E$68,"озон",$V$6:$V$68,"&gt;0")+SUMIFS($M$6:$M$68,$I$6:$I$68,"Вышло",$D$6:$D$68,"Макс",$E$6:$E$68,"Ozon",$V$6:$V$68,"&gt;0")+SUMIFS($M$6:$M$68,$I$6:$I$68,"Вышло",$D$6:$D$68,"Макс",$E$6:$E$68,"OZON",$V$6:$V$68,"&gt;0")+SUMIFS($M$6:$M$68,$I$6:$I$68,"Вышло",$D$6:$D$68,"Макс",$E$6:$E$68,"Озон",$V$6:$V$68,"&gt;0")+SUMIFS($M$6:$M$68,$I$6:$I$68,"Вышло",$D$6:$D$68,"Макс",$E$6:$E$68,"озон",$V$6:$V$68,"&gt;0")+SUMIFS($M$6:$M$68,$I$6:$I$68,"Вышло",$D$6:$D$68,"МАКС",$E$6:$E$68,"Ozon",$V$6:$V$68,"&gt;0")+SUMIFS($M$6:$M$68,$I$6:$I$68,"Вышло",$D$6:$D$68,"МАКС",$E$6:$E$68,"OZON",$V$6:$V$68,"&gt;0")+SUMIFS($M$6:$M$68,$I$6:$I$68,"Вышло",$D$6:$D$68,"МАКС",$E$6:$E$68,"Озон",$V$6:$V$68,"&gt;0")+SUMIFS($M$6:$M$68,$I$6:$I$68,"Вышло",$D$6:$D$68,"МАКС",$E$6:$E$68,"озон",$V$6:$V$68,"&gt;0")+SUMIFS($M$6:$M$68,$I$6:$I$68,"Вышло",$D$6:$D$68,"MAX",$E$6:$E$68,"Ozon",$V$6:$V$68,"&lt;=0",$P$6:$P$68,"&lt;&gt;")+SUMIFS($M$6:$M$68,$I$6:$I$68,"Вышло",$D$6:$D$68,"MAX",$E$6:$E$68,"OZON",$V$6:$V$68,"&lt;=0",$P$6:$P$68,"&lt;&gt;")+SUMIFS($M$6:$M$68,$I$6:$I$68,"Вышло",$D$6:$D$68,"MAX",$E$6:$E$68,"Озон",$V$6:$V$68,"&lt;=0",$P$6:$P$68,"&lt;&gt;")+SUMIFS($M$6:$M$68,$I$6:$I$68,"Вышло",$D$6:$D$68,"MAX",$E$6:$E$68,"озон",$V$6:$V$68,"&lt;=0",$P$6:$P$68,"&lt;&gt;")+SUMIFS($M$6:$M$68,$I$6:$I$68,"Вышло",$D$6:$D$68,"Макс",$E$6:$E$68,"Ozon",$V$6:$V$68,"&lt;=0",$P$6:$P$68,"&lt;&gt;")+SUMIFS($M$6:$M$68,$I$6:$I$68,"Вышло",$D$6:$D$68,"Макс",$E$6:$E$68,"OZON",$V$6:$V$68,"&lt;=0",$P$6:$P$68,"&lt;&gt;")+SUMIFS($M$6:$M$68,$I$6:$I$68,"Вышло",$D$6:$D$68,"Макс",$E$6:$E$68,"Озон",$V$6:$V$68,"&lt;=0",$P$6:$P$68,"&lt;&gt;")+SUMIFS($M$6:$M$68,$I$6:$I$68,"Вышло",$D$6:$D$68,"Макс",$E$6:$E$68,"озон",$V$6:$V$68,"&lt;=0",$P$6:$P$68,"&lt;&gt;")+SUMIFS($M$6:$M$68,$I$6:$I$68,"Вышло",$D$6:$D$68,"МАКС",$E$6:$E$68,"Ozon",$V$6:$V$68,"&lt;=0",$P$6:$P$68,"&lt;&gt;")+SUMIFS($M$6:$M$68,$I$6:$I$68,"Вышло",$D$6:$D$68,"МАКС",$E$6:$E$68,"OZON",$V$6:$V$68,"&lt;=0",$P$6:$P$68,"&lt;&gt;")+SUMIFS($M$6:$M$68,$I$6:$I$68,"Вышло",$D$6:$D$68,"МАКС",$E$6:$E$68,"Озон",$V$6:$V$68,"&lt;=0",$P$6:$P$68,"&lt;&gt;")+SUMIFS($M$6:$M$68,$I$6:$I$68,"Вышло",$D$6:$D$68,"МАКС",$E$6:$E$68,"озон",$V$6:$V$68,"&lt;=0",$P$6:$P$68,"&lt;&gt;"))/(SUMIFS($V$6:$V$68,$I$6:$I$68,"Вышло",$D$6:$D$68,"MAX",$E$6:$E$68,"Сайт")+SUMIFS($V$6:$V$68,$I$6:$I$68,"Вышло",$D$6:$D$68,"MAX",$E$6:$E$68,"сайт")+SUMIFS($V$6:$V$68,$I$6:$I$68,"Вышло",$D$6:$D$68,"Макс",$E$6:$E$68,"Сайт")+SUMIFS($V$6:$V$68,$I$6:$I$68,"Вышло",$D$6:$D$68,"Макс",$E$6:$E$68,"сайт")+SUMIFS($V$6:$V$68,$I$6:$I$68,"Вышло",$D$6:$D$68,"МАКС",$E$6:$E$68,"Сайт")+SUMIFS($V$6:$V$68,$I$6:$I$68,"Вышло",$D$6:$D$68,"МАКС",$E$6:$E$68,"сайт")+SUMIFS($V$6:$V$68,$I$6:$I$68,"Вышло",$D$6:$D$68,"MAX",$E$6:$E$68,"Ozon")+SUMIFS($V$6:$V$68,$I$6:$I$68,"Вышло",$D$6:$D$68,"MAX",$E$6:$E$68,"OZON")+SUMIFS($V$6:$V$68,$I$6:$I$68,"Вышло",$D$6:$D$68,"MAX",$E$6:$E$68,"Озон")+SUMIFS($V$6:$V$68,$I$6:$I$68,"Вышло",$D$6:$D$68,"MAX",$E$6:$E$68,"озон")+SUMIFS($V$6:$V$68,$I$6:$I$68,"Вышло",$D$6:$D$68,"Макс",$E$6:$E$68,"Ozon")+SUMIFS($V$6:$V$68,$I$6:$I$68,"Вышло",$D$6:$D$68,"Макс",$E$6:$E$68,"OZON")+SUMIFS($V$6:$V$68,$I$6:$I$68,"Вышло",$D$6:$D$68,"Макс",$E$6:$E$68,"Озон")+SUMIFS($V$6:$V$68,$I$6:$I$68,"Вышло",$D$6:$D$68,"Макс",$E$6:$E$68,"озон")+SUMIFS($V$6:$V$68,$I$6:$I$68,"Вышло",$D$6:$D$68,"МАКС",$E$6:$E$68,"Ozon")+SUMIFS($V$6:$V$68,$I$6:$I$68,"Вышло",$D$6:$D$68,"МАКС",$E$6:$E$68,"OZON")+SUMIFS($V$6:$V$68,$I$6:$I$68,"Вышло",$D$6:$D$68,"МАКС",$E$6:$E$68,"Озон")+SUMIFS($V$6:$V$68,$I$6:$I$68,"Вышло",$D$6:$D$68,"МАКС",$E$6:$E$68,"озон")),0))</f>
        <v>—</v>
      </c>
      <c r="M73" s="140" t="str">
        <f>IF((SUMIFS($W$6:$W$68,$I$6:$I$68,"Вышло",$D$6:$D$68,"MAX",$E$6:$E$68,"WB")+SUMIFS($W$6:$W$68,$I$6:$I$68,"Вышло",$D$6:$D$68,"MAX",$E$6:$E$68,"ВБ")+SUMIFS($W$6:$W$68,$I$6:$I$68,"Вышло",$D$6:$D$68,"Макс",$E$6:$E$68,"WB")+SUMIFS($W$6:$W$68,$I$6:$I$68,"Вышло",$D$6:$D$68,"Макс",$E$6:$E$68,"ВБ")+SUMIFS($W$6:$W$68,$I$6:$I$68,"Вышло",$D$6:$D$68,"МАКС",$E$6:$E$68,"WB")+SUMIFS($W$6:$W$68,$I$6:$I$68,"Вышло",$D$6:$D$68,"МАКС",$E$6:$E$68,"ВБ"))=0,"—",ROUND((SUMIFS($M$6:$M$68,$I$6:$I$68,"Вышло",$D$6:$D$68,"MAX",$E$6:$E$68,"WB")+SUMIFS($M$6:$M$68,$I$6:$I$68,"Вышло",$D$6:$D$68,"MAX",$E$6:$E$68,"ВБ")+SUMIFS($M$6:$M$68,$I$6:$I$68,"Вышло",$D$6:$D$68,"Макс",$E$6:$E$68,"WB")+SUMIFS($M$6:$M$68,$I$6:$I$68,"Вышло",$D$6:$D$68,"Макс",$E$6:$E$68,"ВБ")+SUMIFS($M$6:$M$68,$I$6:$I$68,"Вышло",$D$6:$D$68,"МАКС",$E$6:$E$68,"WB")+SUMIFS($M$6:$M$68,$I$6:$I$68,"Вышло",$D$6:$D$68,"МАКС",$E$6:$E$68,"ВБ")-(SUMIFS($M$6:$M$68,$I$6:$I$68,"Вышло",$D$6:$D$68,"MAX",$E$6:$E$68,"WB",$W$6:$W$68,"&lt;=0",$V$6:$V$68,"&gt;0")+SUMIFS($M$6:$M$68,$I$6:$I$68,"Вышло",$D$6:$D$68,"MAX",$E$6:$E$68,"ВБ",$W$6:$W$68,"&lt;=0",$V$6:$V$68,"&gt;0")+SUMIFS($M$6:$M$68,$I$6:$I$68,"Вышло",$D$6:$D$68,"Макс",$E$6:$E$68,"WB",$W$6:$W$68,"&lt;=0",$V$6:$V$68,"&gt;0")+SUMIFS($M$6:$M$68,$I$6:$I$68,"Вышло",$D$6:$D$68,"Макс",$E$6:$E$68,"ВБ",$W$6:$W$68,"&lt;=0",$V$6:$V$68,"&gt;0")+SUMIFS($M$6:$M$68,$I$6:$I$68,"Вышло",$D$6:$D$68,"МАКС",$E$6:$E$68,"WB",$W$6:$W$68,"&lt;=0",$V$6:$V$68,"&gt;0")+SUMIFS($M$6:$M$68,$I$6:$I$68,"Вышло",$D$6:$D$68,"МАКС",$E$6:$E$68,"ВБ",$W$6:$W$68,"&lt;=0",$V$6:$V$68,"&gt;0")))/(SUMIFS($W$6:$W$68,$I$6:$I$68,"Вышло",$D$6:$D$68,"MAX",$E$6:$E$68,"WB")+SUMIFS($W$6:$W$68,$I$6:$I$68,"Вышло",$D$6:$D$68,"MAX",$E$6:$E$68,"ВБ")+SUMIFS($W$6:$W$68,$I$6:$I$68,"Вышло",$D$6:$D$68,"Макс",$E$6:$E$68,"WB")+SUMIFS($W$6:$W$68,$I$6:$I$68,"Вышло",$D$6:$D$68,"Макс",$E$6:$E$68,"ВБ")+SUMIFS($W$6:$W$68,$I$6:$I$68,"Вышло",$D$6:$D$68,"МАКС",$E$6:$E$68,"WB")+SUMIFS($W$6:$W$68,$I$6:$I$68,"Вышло",$D$6:$D$68,"МАКС",$E$6:$E$68,"ВБ")),0))</f>
        <v>—</v>
      </c>
      <c r="N73" s="140" t="str">
        <f t="shared" si="57"/>
        <v>—</v>
      </c>
      <c r="O73" s="140" t="str">
        <f>IF((SUMIFS($Z$6:$Z$68,$I$6:$I$68,"Вышло",$D$6:$D$68,"MAX")+SUMIFS($Z$6:$Z$68,$I$6:$I$68,"Вышло",$D$6:$D$68,"Макс")+SUMIFS($Z$6:$Z$68,$I$6:$I$68,"Вышло",$D$6:$D$68,"МАКС"))=0,"—",ROUND((SUMIFS($M$6:$M$68,$I$6:$I$68,"Вышло",$D$6:$D$68,"MAX")+SUMIFS($M$6:$M$68,$I$6:$I$68,"Вышло",$D$6:$D$68,"Макс")+SUMIFS($M$6:$M$68,$I$6:$I$68,"Вышло",$D$6:$D$68,"МАКС"))/(SUMIFS($Z$6:$Z$68,$I$6:$I$68,"Вышло",$D$6:$D$68,"MAX")+SUMIFS($Z$6:$Z$68,$I$6:$I$68,"Вышло",$D$6:$D$68,"Макс")+SUMIFS($Z$6:$Z$68,$I$6:$I$68,"Вышло",$D$6:$D$68,"МАКС")),0))</f>
        <v>—</v>
      </c>
      <c r="P73" s="3"/>
      <c r="Q73" s="3"/>
      <c r="R73" s="3"/>
      <c r="S73" s="3"/>
      <c r="T73" s="3"/>
      <c r="U73" s="155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ht="15.75" customHeight="1">
      <c r="A74" s="139" t="s">
        <v>244</v>
      </c>
      <c r="B74" s="140">
        <f>SUMIFS($M$6:$M$68,$D$6:$D$68,"VK")+SUMIFS($M$6:$M$68,$D$6:$D$68,"Vk")+SUMIFS($M$6:$M$68,$D$6:$D$68,"ВК")</f>
        <v>0</v>
      </c>
      <c r="C74" s="140">
        <f>SUMIFS($M$6:$M$68,$I$6:$I$68,"Вышло",$D$6:$D$68,"VK")+SUMIFS($M$6:$M$68,$I$6:$I$68,"Вышло",$D$6:$D$68,"Vk")+SUMIFS($M$6:$M$68,$I$6:$I$68,"Вышло",$D$6:$D$68,"ВК")</f>
        <v>0</v>
      </c>
      <c r="D74" s="141">
        <f>COUNTIFS($I$6:$I$68,"Вышло",$D$6:$D$68,"VK")+COUNTIFS($I$6:$I$68,"Вышло",$D$6:$D$68,"ВК")</f>
        <v>0</v>
      </c>
      <c r="E74" s="141">
        <f>SUMIFS($T$6:$T$68,$I$6:$I$68,"Вышло",$D$6:$D$68,"VK")+SUMIFS($T$6:$T$68,$I$6:$I$68,"Вышло",$D$6:$D$68,"Vk")+SUMIFS($T$6:$T$68,$I$6:$I$68,"Вышло",$D$6:$D$68,"ВК")</f>
        <v>0</v>
      </c>
      <c r="F74" s="141">
        <f>SUMIFS($V$6:$V$68,$I$6:$I$68,"Вышло",$D$6:$D$68,"VK")+SUMIFS($V$6:$V$68,$I$6:$I$68,"Вышло",$D$6:$D$68,"Vk")+SUMIFS($V$6:$V$68,$I$6:$I$68,"Вышло",$D$6:$D$68,"ВК")</f>
        <v>0</v>
      </c>
      <c r="G74" s="141">
        <f>SUMIFS($W$6:$W$68,$I$6:$I$68,"Вышло",$D$6:$D$68,"VK")+SUMIFS($W$6:$W$68,$I$6:$I$68,"Вышло",$D$6:$D$68,"Vk")+SUMIFS($W$6:$W$68,$I$6:$I$68,"Вышло",$D$6:$D$68,"ВК")</f>
        <v>0</v>
      </c>
      <c r="H74" s="141">
        <f t="shared" si="56"/>
        <v>0</v>
      </c>
      <c r="I74" s="141">
        <f>SUMIFS($Y$6:$Y$68,$I$6:$I$68,"Вышло",$D$6:$D$68,"VK")+SUMIFS($Y$6:$Y$68,$I$6:$I$68,"Вышло",$D$6:$D$68,"Vk")+SUMIFS($Y$6:$Y$68,$I$6:$I$68,"Вышло",$D$6:$D$68,"ВК")</f>
        <v>0</v>
      </c>
      <c r="J74" s="141">
        <f>SUMIFS($Z$6:$Z$68,$I$6:$I$68,"Вышло",$D$6:$D$68,"VK")+SUMIFS($Z$6:$Z$68,$I$6:$I$68,"Вышло",$D$6:$D$68,"Vk")+SUMIFS($Z$6:$Z$68,$I$6:$I$68,"Вышло",$D$6:$D$68,"ВК")</f>
        <v>0</v>
      </c>
      <c r="K74" s="140">
        <f>SUMIFS($AA$6:$AA$68,$I$6:$I$68,"Вышло",$D$6:$D$68,"VK")+SUMIFS($AA$6:$AA$68,$I$6:$I$68,"Вышло",$D$6:$D$68,"Vk")+SUMIFS($AA$6:$AA$68,$I$6:$I$68,"Вышло",$D$6:$D$68,"ВК")</f>
        <v>0</v>
      </c>
      <c r="L74" s="140" t="str">
        <f>IF((SUMIFS($V$6:$V$68,$I$6:$I$68,"Вышло",$D$6:$D$68,"VK",$E$6:$E$68,"Сайт")+SUMIFS($V$6:$V$68,$I$6:$I$68,"Вышло",$D$6:$D$68,"VK",$E$6:$E$68,"сайт")+SUMIFS($V$6:$V$68,$I$6:$I$68,"Вышло",$D$6:$D$68,"Vk",$E$6:$E$68,"Сайт")+SUMIFS($V$6:$V$68,$I$6:$I$68,"Вышло",$D$6:$D$68,"Vk",$E$6:$E$68,"сайт")+SUMIFS($V$6:$V$68,$I$6:$I$68,"Вышло",$D$6:$D$68,"ВК",$E$6:$E$68,"Сайт")+SUMIFS($V$6:$V$68,$I$6:$I$68,"Вышло",$D$6:$D$68,"ВК",$E$6:$E$68,"сайт")+SUMIFS($V$6:$V$68,$I$6:$I$68,"Вышло",$D$6:$D$68,"VK",$E$6:$E$68,"Ozon")+SUMIFS($V$6:$V$68,$I$6:$I$68,"Вышло",$D$6:$D$68,"VK",$E$6:$E$68,"OZON")+SUMIFS($V$6:$V$68,$I$6:$I$68,"Вышло",$D$6:$D$68,"VK",$E$6:$E$68,"Озон")+SUMIFS($V$6:$V$68,$I$6:$I$68,"Вышло",$D$6:$D$68,"VK",$E$6:$E$68,"озон")+SUMIFS($V$6:$V$68,$I$6:$I$68,"Вышло",$D$6:$D$68,"Vk",$E$6:$E$68,"Ozon")+SUMIFS($V$6:$V$68,$I$6:$I$68,"Вышло",$D$6:$D$68,"Vk",$E$6:$E$68,"OZON")+SUMIFS($V$6:$V$68,$I$6:$I$68,"Вышло",$D$6:$D$68,"Vk",$E$6:$E$68,"Озон")+SUMIFS($V$6:$V$68,$I$6:$I$68,"Вышло",$D$6:$D$68,"Vk",$E$6:$E$68,"озон")+SUMIFS($V$6:$V$68,$I$6:$I$68,"Вышло",$D$6:$D$68,"ВК",$E$6:$E$68,"Ozon")+SUMIFS($V$6:$V$68,$I$6:$I$68,"Вышло",$D$6:$D$68,"ВК",$E$6:$E$68,"OZON")+SUMIFS($V$6:$V$68,$I$6:$I$68,"Вышло",$D$6:$D$68,"ВК",$E$6:$E$68,"Озон")+SUMIFS($V$6:$V$68,$I$6:$I$68,"Вышло",$D$6:$D$68,"ВК",$E$6:$E$68,"озон"))=0,"—",ROUND((SUMIFS($M$6:$M$68,$I$6:$I$68,"Вышло",$D$6:$D$68,"VK",$E$6:$E$68,"Сайт",$V$6:$V$68,"&gt;0")+SUMIFS($M$6:$M$68,$I$6:$I$68,"Вышло",$D$6:$D$68,"VK",$E$6:$E$68,"сайт",$V$6:$V$68,"&gt;0")+SUMIFS($M$6:$M$68,$I$6:$I$68,"Вышло",$D$6:$D$68,"Vk",$E$6:$E$68,"Сайт",$V$6:$V$68,"&gt;0")+SUMIFS($M$6:$M$68,$I$6:$I$68,"Вышло",$D$6:$D$68,"Vk",$E$6:$E$68,"сайт",$V$6:$V$68,"&gt;0")+SUMIFS($M$6:$M$68,$I$6:$I$68,"Вышло",$D$6:$D$68,"ВК",$E$6:$E$68,"Сайт",$V$6:$V$68,"&gt;0")+SUMIFS($M$6:$M$68,$I$6:$I$68,"Вышло",$D$6:$D$68,"ВК",$E$6:$E$68,"сайт",$V$6:$V$68,"&gt;0")+SUMIFS($M$6:$M$68,$I$6:$I$68,"Вышло",$D$6:$D$68,"VK",$E$6:$E$68,"Сайт",$V$6:$V$68,"&lt;=0",$P$6:$P$68,"&lt;&gt;")+SUMIFS($M$6:$M$68,$I$6:$I$68,"Вышло",$D$6:$D$68,"VK",$E$6:$E$68,"сайт",$V$6:$V$68,"&lt;=0",$P$6:$P$68,"&lt;&gt;")+SUMIFS($M$6:$M$68,$I$6:$I$68,"Вышло",$D$6:$D$68,"Vk",$E$6:$E$68,"Сайт",$V$6:$V$68,"&lt;=0",$P$6:$P$68,"&lt;&gt;")+SUMIFS($M$6:$M$68,$I$6:$I$68,"Вышло",$D$6:$D$68,"Vk",$E$6:$E$68,"сайт",$V$6:$V$68,"&lt;=0",$P$6:$P$68,"&lt;&gt;")+SUMIFS($M$6:$M$68,$I$6:$I$68,"Вышло",$D$6:$D$68,"ВК",$E$6:$E$68,"Сайт",$V$6:$V$68,"&lt;=0",$P$6:$P$68,"&lt;&gt;")+SUMIFS($M$6:$M$68,$I$6:$I$68,"Вышло",$D$6:$D$68,"ВК",$E$6:$E$68,"сайт",$V$6:$V$68,"&lt;=0",$P$6:$P$68,"&lt;&gt;")+SUMIFS($M$6:$M$68,$I$6:$I$68,"Вышло",$D$6:$D$68,"VK",$E$6:$E$68,"Ozon",$V$6:$V$68,"&gt;0")+SUMIFS($M$6:$M$68,$I$6:$I$68,"Вышло",$D$6:$D$68,"VK",$E$6:$E$68,"OZON",$V$6:$V$68,"&gt;0")+SUMIFS($M$6:$M$68,$I$6:$I$68,"Вышло",$D$6:$D$68,"VK",$E$6:$E$68,"Озон",$V$6:$V$68,"&gt;0")+SUMIFS($M$6:$M$68,$I$6:$I$68,"Вышло",$D$6:$D$68,"VK",$E$6:$E$68,"озон",$V$6:$V$68,"&gt;0")+SUMIFS($M$6:$M$68,$I$6:$I$68,"Вышло",$D$6:$D$68,"Vk",$E$6:$E$68,"Ozon",$V$6:$V$68,"&gt;0")+SUMIFS($M$6:$M$68,$I$6:$I$68,"Вышло",$D$6:$D$68,"Vk",$E$6:$E$68,"OZON",$V$6:$V$68,"&gt;0")+SUMIFS($M$6:$M$68,$I$6:$I$68,"Вышло",$D$6:$D$68,"Vk",$E$6:$E$68,"Озон",$V$6:$V$68,"&gt;0")+SUMIFS($M$6:$M$68,$I$6:$I$68,"Вышло",$D$6:$D$68,"Vk",$E$6:$E$68,"озон",$V$6:$V$68,"&gt;0")+SUMIFS($M$6:$M$68,$I$6:$I$68,"Вышло",$D$6:$D$68,"ВК",$E$6:$E$68,"Ozon",$V$6:$V$68,"&gt;0")+SUMIFS($M$6:$M$68,$I$6:$I$68,"Вышло",$D$6:$D$68,"ВК",$E$6:$E$68,"OZON",$V$6:$V$68,"&gt;0")+SUMIFS($M$6:$M$68,$I$6:$I$68,"Вышло",$D$6:$D$68,"ВК",$E$6:$E$68,"Озон",$V$6:$V$68,"&gt;0")+SUMIFS($M$6:$M$68,$I$6:$I$68,"Вышло",$D$6:$D$68,"ВК",$E$6:$E$68,"озон",$V$6:$V$68,"&gt;0")+SUMIFS($M$6:$M$68,$I$6:$I$68,"Вышло",$D$6:$D$68,"VK",$E$6:$E$68,"Ozon",$V$6:$V$68,"&lt;=0",$P$6:$P$68,"&lt;&gt;")+SUMIFS($M$6:$M$68,$I$6:$I$68,"Вышло",$D$6:$D$68,"VK",$E$6:$E$68,"OZON",$V$6:$V$68,"&lt;=0",$P$6:$P$68,"&lt;&gt;")+SUMIFS($M$6:$M$68,$I$6:$I$68,"Вышло",$D$6:$D$68,"VK",$E$6:$E$68,"Озон",$V$6:$V$68,"&lt;=0",$P$6:$P$68,"&lt;&gt;")+SUMIFS($M$6:$M$68,$I$6:$I$68,"Вышло",$D$6:$D$68,"VK",$E$6:$E$68,"озон",$V$6:$V$68,"&lt;=0",$P$6:$P$68,"&lt;&gt;")+SUMIFS($M$6:$M$68,$I$6:$I$68,"Вышло",$D$6:$D$68,"Vk",$E$6:$E$68,"Ozon",$V$6:$V$68,"&lt;=0",$P$6:$P$68,"&lt;&gt;")+SUMIFS($M$6:$M$68,$I$6:$I$68,"Вышло",$D$6:$D$68,"Vk",$E$6:$E$68,"OZON",$V$6:$V$68,"&lt;=0",$P$6:$P$68,"&lt;&gt;")+SUMIFS($M$6:$M$68,$I$6:$I$68,"Вышло",$D$6:$D$68,"Vk",$E$6:$E$68,"Озон",$V$6:$V$68,"&lt;=0",$P$6:$P$68,"&lt;&gt;")+SUMIFS($M$6:$M$68,$I$6:$I$68,"Вышло",$D$6:$D$68,"Vk",$E$6:$E$68,"озон",$V$6:$V$68,"&lt;=0",$P$6:$P$68,"&lt;&gt;")+SUMIFS($M$6:$M$68,$I$6:$I$68,"Вышло",$D$6:$D$68,"ВК",$E$6:$E$68,"Ozon",$V$6:$V$68,"&lt;=0",$P$6:$P$68,"&lt;&gt;")+SUMIFS($M$6:$M$68,$I$6:$I$68,"Вышло",$D$6:$D$68,"ВК",$E$6:$E$68,"OZON",$V$6:$V$68,"&lt;=0",$P$6:$P$68,"&lt;&gt;")+SUMIFS($M$6:$M$68,$I$6:$I$68,"Вышло",$D$6:$D$68,"ВК",$E$6:$E$68,"Озон",$V$6:$V$68,"&lt;=0",$P$6:$P$68,"&lt;&gt;")+SUMIFS($M$6:$M$68,$I$6:$I$68,"Вышло",$D$6:$D$68,"ВК",$E$6:$E$68,"озон",$V$6:$V$68,"&lt;=0",$P$6:$P$68,"&lt;&gt;"))/(SUMIFS($V$6:$V$68,$I$6:$I$68,"Вышло",$D$6:$D$68,"VK",$E$6:$E$68,"Сайт")+SUMIFS($V$6:$V$68,$I$6:$I$68,"Вышло",$D$6:$D$68,"VK",$E$6:$E$68,"сайт")+SUMIFS($V$6:$V$68,$I$6:$I$68,"Вышло",$D$6:$D$68,"Vk",$E$6:$E$68,"Сайт")+SUMIFS($V$6:$V$68,$I$6:$I$68,"Вышло",$D$6:$D$68,"Vk",$E$6:$E$68,"сайт")+SUMIFS($V$6:$V$68,$I$6:$I$68,"Вышло",$D$6:$D$68,"ВК",$E$6:$E$68,"Сайт")+SUMIFS($V$6:$V$68,$I$6:$I$68,"Вышло",$D$6:$D$68,"ВК",$E$6:$E$68,"сайт")+SUMIFS($V$6:$V$68,$I$6:$I$68,"Вышло",$D$6:$D$68,"VK",$E$6:$E$68,"Ozon")+SUMIFS($V$6:$V$68,$I$6:$I$68,"Вышло",$D$6:$D$68,"VK",$E$6:$E$68,"OZON")+SUMIFS($V$6:$V$68,$I$6:$I$68,"Вышло",$D$6:$D$68,"VK",$E$6:$E$68,"Озон")+SUMIFS($V$6:$V$68,$I$6:$I$68,"Вышло",$D$6:$D$68,"VK",$E$6:$E$68,"озон")+SUMIFS($V$6:$V$68,$I$6:$I$68,"Вышло",$D$6:$D$68,"Vk",$E$6:$E$68,"Ozon")+SUMIFS($V$6:$V$68,$I$6:$I$68,"Вышло",$D$6:$D$68,"Vk",$E$6:$E$68,"OZON")+SUMIFS($V$6:$V$68,$I$6:$I$68,"Вышло",$D$6:$D$68,"Vk",$E$6:$E$68,"Озон")+SUMIFS($V$6:$V$68,$I$6:$I$68,"Вышло",$D$6:$D$68,"Vk",$E$6:$E$68,"озон")+SUMIFS($V$6:$V$68,$I$6:$I$68,"Вышло",$D$6:$D$68,"ВК",$E$6:$E$68,"Ozon")+SUMIFS($V$6:$V$68,$I$6:$I$68,"Вышло",$D$6:$D$68,"ВК",$E$6:$E$68,"OZON")+SUMIFS($V$6:$V$68,$I$6:$I$68,"Вышло",$D$6:$D$68,"ВК",$E$6:$E$68,"Озон")+SUMIFS($V$6:$V$68,$I$6:$I$68,"Вышло",$D$6:$D$68,"ВК",$E$6:$E$68,"озон")),0))</f>
        <v>—</v>
      </c>
      <c r="M74" s="140" t="str">
        <f>IF((SUMIFS($W$6:$W$68,$I$6:$I$68,"Вышло",$D$6:$D$68,"VK",$E$6:$E$68,"WB")+SUMIFS($W$6:$W$68,$I$6:$I$68,"Вышло",$D$6:$D$68,"VK",$E$6:$E$68,"ВБ")+SUMIFS($W$6:$W$68,$I$6:$I$68,"Вышло",$D$6:$D$68,"Vk",$E$6:$E$68,"WB")+SUMIFS($W$6:$W$68,$I$6:$I$68,"Вышло",$D$6:$D$68,"Vk",$E$6:$E$68,"ВБ")+SUMIFS($W$6:$W$68,$I$6:$I$68,"Вышло",$D$6:$D$68,"ВК",$E$6:$E$68,"WB")+SUMIFS($W$6:$W$68,$I$6:$I$68,"Вышло",$D$6:$D$68,"ВК",$E$6:$E$68,"ВБ"))=0,"—",ROUND((SUMIFS($M$6:$M$68,$I$6:$I$68,"Вышло",$D$6:$D$68,"VK",$E$6:$E$68,"WB")+SUMIFS($M$6:$M$68,$I$6:$I$68,"Вышло",$D$6:$D$68,"VK",$E$6:$E$68,"ВБ")+SUMIFS($M$6:$M$68,$I$6:$I$68,"Вышло",$D$6:$D$68,"Vk",$E$6:$E$68,"WB")+SUMIFS($M$6:$M$68,$I$6:$I$68,"Вышло",$D$6:$D$68,"Vk",$E$6:$E$68,"ВБ")+SUMIFS($M$6:$M$68,$I$6:$I$68,"Вышло",$D$6:$D$68,"ВК",$E$6:$E$68,"WB")+SUMIFS($M$6:$M$68,$I$6:$I$68,"Вышло",$D$6:$D$68,"ВК",$E$6:$E$68,"ВБ")-(SUMIFS($M$6:$M$68,$I$6:$I$68,"Вышло",$D$6:$D$68,"VK",$E$6:$E$68,"WB",$W$6:$W$68,"&lt;=0",$V$6:$V$68,"&gt;0")+SUMIFS($M$6:$M$68,$I$6:$I$68,"Вышло",$D$6:$D$68,"VK",$E$6:$E$68,"ВБ",$W$6:$W$68,"&lt;=0",$V$6:$V$68,"&gt;0")+SUMIFS($M$6:$M$68,$I$6:$I$68,"Вышло",$D$6:$D$68,"Vk",$E$6:$E$68,"WB",$W$6:$W$68,"&lt;=0",$V$6:$V$68,"&gt;0")+SUMIFS($M$6:$M$68,$I$6:$I$68,"Вышло",$D$6:$D$68,"Vk",$E$6:$E$68,"ВБ",$W$6:$W$68,"&lt;=0",$V$6:$V$68,"&gt;0")+SUMIFS($M$6:$M$68,$I$6:$I$68,"Вышло",$D$6:$D$68,"ВК",$E$6:$E$68,"WB",$W$6:$W$68,"&lt;=0",$V$6:$V$68,"&gt;0")+SUMIFS($M$6:$M$68,$I$6:$I$68,"Вышло",$D$6:$D$68,"ВК",$E$6:$E$68,"ВБ",$W$6:$W$68,"&lt;=0",$V$6:$V$68,"&gt;0")))/(SUMIFS($W$6:$W$68,$I$6:$I$68,"Вышло",$D$6:$D$68,"VK",$E$6:$E$68,"WB")+SUMIFS($W$6:$W$68,$I$6:$I$68,"Вышло",$D$6:$D$68,"VK",$E$6:$E$68,"ВБ")+SUMIFS($W$6:$W$68,$I$6:$I$68,"Вышло",$D$6:$D$68,"Vk",$E$6:$E$68,"WB")+SUMIFS($W$6:$W$68,$I$6:$I$68,"Вышло",$D$6:$D$68,"Vk",$E$6:$E$68,"ВБ")+SUMIFS($W$6:$W$68,$I$6:$I$68,"Вышло",$D$6:$D$68,"ВК",$E$6:$E$68,"WB")+SUMIFS($W$6:$W$68,$I$6:$I$68,"Вышло",$D$6:$D$68,"ВК",$E$6:$E$68,"ВБ")),0))</f>
        <v>—</v>
      </c>
      <c r="N74" s="140" t="str">
        <f t="shared" si="57"/>
        <v>—</v>
      </c>
      <c r="O74" s="140" t="str">
        <f>IF((SUMIFS($Z$6:$Z$68,$I$6:$I$68,"Вышло",$D$6:$D$68,"VK")+SUMIFS($Z$6:$Z$68,$I$6:$I$68,"Вышло",$D$6:$D$68,"Vk")+SUMIFS($Z$6:$Z$68,$I$6:$I$68,"Вышло",$D$6:$D$68,"ВК"))=0,"—",ROUND((SUMIFS($M$6:$M$68,$I$6:$I$68,"Вышло",$D$6:$D$68,"VK")+SUMIFS($M$6:$M$68,$I$6:$I$68,"Вышло",$D$6:$D$68,"Vk")+SUMIFS($M$6:$M$68,$I$6:$I$68,"Вышло",$D$6:$D$68,"ВК"))/(SUMIFS($Z$6:$Z$68,$I$6:$I$68,"Вышло",$D$6:$D$68,"VK")+SUMIFS($Z$6:$Z$68,$I$6:$I$68,"Вышло",$D$6:$D$68,"Vk")+SUMIFS($Z$6:$Z$68,$I$6:$I$68,"Вышло",$D$6:$D$68,"ВК")),0))</f>
        <v>—</v>
      </c>
      <c r="P74" s="3"/>
      <c r="Q74" s="3"/>
      <c r="R74" s="3"/>
      <c r="S74" s="3"/>
      <c r="T74" s="3"/>
      <c r="U74" s="155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ht="15.75" customHeight="1">
      <c r="A75" s="139" t="s">
        <v>24</v>
      </c>
      <c r="B75" s="140">
        <f>SUMIFS($M$6:$M$68,$D$6:$D$68,"YouTube")+SUMIFS($M$6:$M$68,$D$6:$D$68,"Youtube")</f>
        <v>0</v>
      </c>
      <c r="C75" s="140">
        <f>SUMIFS($M$6:$M$68,$I$6:$I$68,"Вышло",$D$6:$D$68,"YouTube")+SUMIFS($M$6:$M$68,$I$6:$I$68,"Вышло",$D$6:$D$68,"Youtube")</f>
        <v>0</v>
      </c>
      <c r="D75" s="141">
        <f>COUNTIFS($I$6:$I$68,"Вышло",$D$6:$D$68,"YouTube")</f>
        <v>0</v>
      </c>
      <c r="E75" s="141">
        <f>SUMIFS($T$6:$T$68,$I$6:$I$68,"Вышло",$D$6:$D$68,"YouTube")+SUMIFS($T$6:$T$68,$I$6:$I$68,"Вышло",$D$6:$D$68,"Youtube")</f>
        <v>0</v>
      </c>
      <c r="F75" s="141">
        <f>SUMIFS($V$6:$V$68,$I$6:$I$68,"Вышло",$D$6:$D$68,"YouTube")+SUMIFS($V$6:$V$68,$I$6:$I$68,"Вышло",$D$6:$D$68,"Youtube")</f>
        <v>0</v>
      </c>
      <c r="G75" s="141">
        <f>SUMIFS($W$6:$W$68,$I$6:$I$68,"Вышло",$D$6:$D$68,"YouTube")+SUMIFS($W$6:$W$68,$I$6:$I$68,"Вышло",$D$6:$D$68,"Youtube")</f>
        <v>0</v>
      </c>
      <c r="H75" s="141">
        <f t="shared" si="56"/>
        <v>0</v>
      </c>
      <c r="I75" s="141">
        <f>SUMIFS($Y$6:$Y$68,$I$6:$I$68,"Вышло",$D$6:$D$68,"YouTube")+SUMIFS($Y$6:$Y$68,$I$6:$I$68,"Вышло",$D$6:$D$68,"Youtube")</f>
        <v>0</v>
      </c>
      <c r="J75" s="141">
        <f>SUMIFS($Z$6:$Z$68,$I$6:$I$68,"Вышло",$D$6:$D$68,"YouTube")+SUMIFS($Z$6:$Z$68,$I$6:$I$68,"Вышло",$D$6:$D$68,"Youtube")</f>
        <v>0</v>
      </c>
      <c r="K75" s="140">
        <f>SUMIFS($AA$6:$AA$68,$I$6:$I$68,"Вышло",$D$6:$D$68,"YouTube")+SUMIFS($AA$6:$AA$68,$I$6:$I$68,"Вышло",$D$6:$D$68,"Youtube")</f>
        <v>0</v>
      </c>
      <c r="L75" s="140" t="str">
        <f>IF((SUMIFS($V$6:$V$68,$I$6:$I$68,"Вышло",$D$6:$D$68,"YouTube",$E$6:$E$68,"Сайт")+SUMIFS($V$6:$V$68,$I$6:$I$68,"Вышло",$D$6:$D$68,"YouTube",$E$6:$E$68,"сайт")+SUMIFS($V$6:$V$68,$I$6:$I$68,"Вышло",$D$6:$D$68,"Youtube",$E$6:$E$68,"Сайт")+SUMIFS($V$6:$V$68,$I$6:$I$68,"Вышло",$D$6:$D$68,"Youtube",$E$6:$E$68,"сайт")+SUMIFS($V$6:$V$68,$I$6:$I$68,"Вышло",$D$6:$D$68,"YouTube",$E$6:$E$68,"Ozon")+SUMIFS($V$6:$V$68,$I$6:$I$68,"Вышло",$D$6:$D$68,"YouTube",$E$6:$E$68,"OZON")+SUMIFS($V$6:$V$68,$I$6:$I$68,"Вышло",$D$6:$D$68,"YouTube",$E$6:$E$68,"Озон")+SUMIFS($V$6:$V$68,$I$6:$I$68,"Вышло",$D$6:$D$68,"YouTube",$E$6:$E$68,"озон")+SUMIFS($V$6:$V$68,$I$6:$I$68,"Вышло",$D$6:$D$68,"Youtube",$E$6:$E$68,"Ozon")+SUMIFS($V$6:$V$68,$I$6:$I$68,"Вышло",$D$6:$D$68,"Youtube",$E$6:$E$68,"OZON")+SUMIFS($V$6:$V$68,$I$6:$I$68,"Вышло",$D$6:$D$68,"Youtube",$E$6:$E$68,"Озон")+SUMIFS($V$6:$V$68,$I$6:$I$68,"Вышло",$D$6:$D$68,"Youtube",$E$6:$E$68,"озон"))=0,"—",ROUND((SUMIFS($M$6:$M$68,$I$6:$I$68,"Вышло",$D$6:$D$68,"YouTube",$E$6:$E$68,"Сайт",$V$6:$V$68,"&gt;0")+SUMIFS($M$6:$M$68,$I$6:$I$68,"Вышло",$D$6:$D$68,"YouTube",$E$6:$E$68,"сайт",$V$6:$V$68,"&gt;0")+SUMIFS($M$6:$M$68,$I$6:$I$68,"Вышло",$D$6:$D$68,"Youtube",$E$6:$E$68,"Сайт",$V$6:$V$68,"&gt;0")+SUMIFS($M$6:$M$68,$I$6:$I$68,"Вышло",$D$6:$D$68,"Youtube",$E$6:$E$68,"сайт",$V$6:$V$68,"&gt;0")+SUMIFS($M$6:$M$68,$I$6:$I$68,"Вышло",$D$6:$D$68,"YouTube",$E$6:$E$68,"Сайт",$V$6:$V$68,"&lt;=0",$P$6:$P$68,"&lt;&gt;")+SUMIFS($M$6:$M$68,$I$6:$I$68,"Вышло",$D$6:$D$68,"YouTube",$E$6:$E$68,"сайт",$V$6:$V$68,"&lt;=0",$P$6:$P$68,"&lt;&gt;")+SUMIFS($M$6:$M$68,$I$6:$I$68,"Вышло",$D$6:$D$68,"Youtube",$E$6:$E$68,"Сайт",$V$6:$V$68,"&lt;=0",$P$6:$P$68,"&lt;&gt;")+SUMIFS($M$6:$M$68,$I$6:$I$68,"Вышло",$D$6:$D$68,"Youtube",$E$6:$E$68,"сайт",$V$6:$V$68,"&lt;=0",$P$6:$P$68,"&lt;&gt;")+SUMIFS($M$6:$M$68,$I$6:$I$68,"Вышло",$D$6:$D$68,"YouTube",$E$6:$E$68,"Ozon",$V$6:$V$68,"&gt;0")+SUMIFS($M$6:$M$68,$I$6:$I$68,"Вышло",$D$6:$D$68,"YouTube",$E$6:$E$68,"OZON",$V$6:$V$68,"&gt;0")+SUMIFS($M$6:$M$68,$I$6:$I$68,"Вышло",$D$6:$D$68,"YouTube",$E$6:$E$68,"Озон",$V$6:$V$68,"&gt;0")+SUMIFS($M$6:$M$68,$I$6:$I$68,"Вышло",$D$6:$D$68,"YouTube",$E$6:$E$68,"озон",$V$6:$V$68,"&gt;0")+SUMIFS($M$6:$M$68,$I$6:$I$68,"Вышло",$D$6:$D$68,"Youtube",$E$6:$E$68,"Ozon",$V$6:$V$68,"&gt;0")+SUMIFS($M$6:$M$68,$I$6:$I$68,"Вышло",$D$6:$D$68,"Youtube",$E$6:$E$68,"OZON",$V$6:$V$68,"&gt;0")+SUMIFS($M$6:$M$68,$I$6:$I$68,"Вышло",$D$6:$D$68,"Youtube",$E$6:$E$68,"Озон",$V$6:$V$68,"&gt;0")+SUMIFS($M$6:$M$68,$I$6:$I$68,"Вышло",$D$6:$D$68,"Youtube",$E$6:$E$68,"озон",$V$6:$V$68,"&gt;0")+SUMIFS($M$6:$M$68,$I$6:$I$68,"Вышло",$D$6:$D$68,"YouTube",$E$6:$E$68,"Ozon",$V$6:$V$68,"&lt;=0",$P$6:$P$68,"&lt;&gt;")+SUMIFS($M$6:$M$68,$I$6:$I$68,"Вышло",$D$6:$D$68,"YouTube",$E$6:$E$68,"OZON",$V$6:$V$68,"&lt;=0",$P$6:$P$68,"&lt;&gt;")+SUMIFS($M$6:$M$68,$I$6:$I$68,"Вышло",$D$6:$D$68,"YouTube",$E$6:$E$68,"Озон",$V$6:$V$68,"&lt;=0",$P$6:$P$68,"&lt;&gt;")+SUMIFS($M$6:$M$68,$I$6:$I$68,"Вышло",$D$6:$D$68,"YouTube",$E$6:$E$68,"озон",$V$6:$V$68,"&lt;=0",$P$6:$P$68,"&lt;&gt;")+SUMIFS($M$6:$M$68,$I$6:$I$68,"Вышло",$D$6:$D$68,"Youtube",$E$6:$E$68,"Ozon",$V$6:$V$68,"&lt;=0",$P$6:$P$68,"&lt;&gt;")+SUMIFS($M$6:$M$68,$I$6:$I$68,"Вышло",$D$6:$D$68,"Youtube",$E$6:$E$68,"OZON",$V$6:$V$68,"&lt;=0",$P$6:$P$68,"&lt;&gt;")+SUMIFS($M$6:$M$68,$I$6:$I$68,"Вышло",$D$6:$D$68,"Youtube",$E$6:$E$68,"Озон",$V$6:$V$68,"&lt;=0",$P$6:$P$68,"&lt;&gt;")+SUMIFS($M$6:$M$68,$I$6:$I$68,"Вышло",$D$6:$D$68,"Youtube",$E$6:$E$68,"озон",$V$6:$V$68,"&lt;=0",$P$6:$P$68,"&lt;&gt;"))/(SUMIFS($V$6:$V$68,$I$6:$I$68,"Вышло",$D$6:$D$68,"YouTube",$E$6:$E$68,"Сайт")+SUMIFS($V$6:$V$68,$I$6:$I$68,"Вышло",$D$6:$D$68,"YouTube",$E$6:$E$68,"сайт")+SUMIFS($V$6:$V$68,$I$6:$I$68,"Вышло",$D$6:$D$68,"Youtube",$E$6:$E$68,"Сайт")+SUMIFS($V$6:$V$68,$I$6:$I$68,"Вышло",$D$6:$D$68,"Youtube",$E$6:$E$68,"сайт")+SUMIFS($V$6:$V$68,$I$6:$I$68,"Вышло",$D$6:$D$68,"YouTube",$E$6:$E$68,"Ozon")+SUMIFS($V$6:$V$68,$I$6:$I$68,"Вышло",$D$6:$D$68,"YouTube",$E$6:$E$68,"OZON")+SUMIFS($V$6:$V$68,$I$6:$I$68,"Вышло",$D$6:$D$68,"YouTube",$E$6:$E$68,"Озон")+SUMIFS($V$6:$V$68,$I$6:$I$68,"Вышло",$D$6:$D$68,"YouTube",$E$6:$E$68,"озон")+SUMIFS($V$6:$V$68,$I$6:$I$68,"Вышло",$D$6:$D$68,"Youtube",$E$6:$E$68,"Ozon")+SUMIFS($V$6:$V$68,$I$6:$I$68,"Вышло",$D$6:$D$68,"Youtube",$E$6:$E$68,"OZON")+SUMIFS($V$6:$V$68,$I$6:$I$68,"Вышло",$D$6:$D$68,"Youtube",$E$6:$E$68,"Озон")+SUMIFS($V$6:$V$68,$I$6:$I$68,"Вышло",$D$6:$D$68,"Youtube",$E$6:$E$68,"озон")),0))</f>
        <v>—</v>
      </c>
      <c r="M75" s="140" t="str">
        <f>IF((SUMIFS($W$6:$W$68,$I$6:$I$68,"Вышло",$D$6:$D$68,"YouTube",$E$6:$E$68,"WB")+SUMIFS($W$6:$W$68,$I$6:$I$68,"Вышло",$D$6:$D$68,"YouTube",$E$6:$E$68,"ВБ")+SUMIFS($W$6:$W$68,$I$6:$I$68,"Вышло",$D$6:$D$68,"Youtube",$E$6:$E$68,"WB")+SUMIFS($W$6:$W$68,$I$6:$I$68,"Вышло",$D$6:$D$68,"Youtube",$E$6:$E$68,"ВБ"))=0,"—",ROUND((SUMIFS($M$6:$M$68,$I$6:$I$68,"Вышло",$D$6:$D$68,"YouTube",$E$6:$E$68,"WB")+SUMIFS($M$6:$M$68,$I$6:$I$68,"Вышло",$D$6:$D$68,"YouTube",$E$6:$E$68,"ВБ")+SUMIFS($M$6:$M$68,$I$6:$I$68,"Вышло",$D$6:$D$68,"Youtube",$E$6:$E$68,"WB")+SUMIFS($M$6:$M$68,$I$6:$I$68,"Вышло",$D$6:$D$68,"Youtube",$E$6:$E$68,"ВБ")-(SUMIFS($M$6:$M$68,$I$6:$I$68,"Вышло",$D$6:$D$68,"YouTube",$E$6:$E$68,"WB",$W$6:$W$68,"&lt;=0",$V$6:$V$68,"&gt;0")+SUMIFS($M$6:$M$68,$I$6:$I$68,"Вышло",$D$6:$D$68,"YouTube",$E$6:$E$68,"ВБ",$W$6:$W$68,"&lt;=0",$V$6:$V$68,"&gt;0")+SUMIFS($M$6:$M$68,$I$6:$I$68,"Вышло",$D$6:$D$68,"Youtube",$E$6:$E$68,"WB",$W$6:$W$68,"&lt;=0",$V$6:$V$68,"&gt;0")+SUMIFS($M$6:$M$68,$I$6:$I$68,"Вышло",$D$6:$D$68,"Youtube",$E$6:$E$68,"ВБ",$W$6:$W$68,"&lt;=0",$V$6:$V$68,"&gt;0")))/(SUMIFS($W$6:$W$68,$I$6:$I$68,"Вышло",$D$6:$D$68,"YouTube",$E$6:$E$68,"WB")+SUMIFS($W$6:$W$68,$I$6:$I$68,"Вышло",$D$6:$D$68,"YouTube",$E$6:$E$68,"ВБ")+SUMIFS($W$6:$W$68,$I$6:$I$68,"Вышло",$D$6:$D$68,"Youtube",$E$6:$E$68,"WB")+SUMIFS($W$6:$W$68,$I$6:$I$68,"Вышло",$D$6:$D$68,"Youtube",$E$6:$E$68,"ВБ")),0))</f>
        <v>—</v>
      </c>
      <c r="N75" s="140" t="str">
        <f t="shared" si="57"/>
        <v>—</v>
      </c>
      <c r="O75" s="140" t="str">
        <f>IF((SUMIFS($Z$6:$Z$68,$I$6:$I$68,"Вышло",$D$6:$D$68,"YouTube")+SUMIFS($Z$6:$Z$68,$I$6:$I$68,"Вышло",$D$6:$D$68,"Youtube"))=0,"—",ROUND((SUMIFS($M$6:$M$68,$I$6:$I$68,"Вышло",$D$6:$D$68,"YouTube")+SUMIFS($M$6:$M$68,$I$6:$I$68,"Вышло",$D$6:$D$68,"Youtube"))/(SUMIFS($Z$6:$Z$68,$I$6:$I$68,"Вышло",$D$6:$D$68,"YouTube")+SUMIFS($Z$6:$Z$68,$I$6:$I$68,"Вышло",$D$6:$D$68,"Youtube")),0))</f>
        <v>—</v>
      </c>
      <c r="P75" s="3"/>
      <c r="Q75" s="3"/>
      <c r="R75" s="3"/>
      <c r="S75" s="3"/>
      <c r="T75" s="3"/>
      <c r="U75" s="155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ht="15.75" customHeight="1">
      <c r="A76" s="139" t="s">
        <v>120</v>
      </c>
      <c r="B76" s="140">
        <f>SUMIFS($M$6:$M$68,$D$6:$D$68,"TikTok")+SUMIFS($M$6:$M$68,$D$6:$D$68,"Tiktok")</f>
        <v>0</v>
      </c>
      <c r="C76" s="140">
        <f>SUMIFS($M$6:$M$68,$I$6:$I$68,"Вышло",$D$6:$D$68,"TikTok")+SUMIFS($M$6:$M$68,$I$6:$I$68,"Вышло",$D$6:$D$68,"Tiktok")</f>
        <v>0</v>
      </c>
      <c r="D76" s="141">
        <f>COUNTIFS($I$6:$I$68,"Вышло",$D$6:$D$68,"TikTok")</f>
        <v>0</v>
      </c>
      <c r="E76" s="141">
        <f>SUMIFS($T$6:$T$68,$I$6:$I$68,"Вышло",$D$6:$D$68,"TikTok")+SUMIFS($T$6:$T$68,$I$6:$I$68,"Вышло",$D$6:$D$68,"Tiktok")</f>
        <v>0</v>
      </c>
      <c r="F76" s="141">
        <f>SUMIFS($V$6:$V$68,$I$6:$I$68,"Вышло",$D$6:$D$68,"TikTok")+SUMIFS($V$6:$V$68,$I$6:$I$68,"Вышло",$D$6:$D$68,"Tiktok")</f>
        <v>0</v>
      </c>
      <c r="G76" s="141">
        <f>SUMIFS($W$6:$W$68,$I$6:$I$68,"Вышло",$D$6:$D$68,"TikTok")+SUMIFS($W$6:$W$68,$I$6:$I$68,"Вышло",$D$6:$D$68,"Tiktok")</f>
        <v>0</v>
      </c>
      <c r="H76" s="141">
        <f t="shared" si="56"/>
        <v>0</v>
      </c>
      <c r="I76" s="141">
        <f>SUMIFS($Y$6:$Y$68,$I$6:$I$68,"Вышло",$D$6:$D$68,"TikTok")+SUMIFS($Y$6:$Y$68,$I$6:$I$68,"Вышло",$D$6:$D$68,"Tiktok")</f>
        <v>0</v>
      </c>
      <c r="J76" s="141">
        <f>SUMIFS($Z$6:$Z$68,$I$6:$I$68,"Вышло",$D$6:$D$68,"TikTok")+SUMIFS($Z$6:$Z$68,$I$6:$I$68,"Вышло",$D$6:$D$68,"Tiktok")</f>
        <v>0</v>
      </c>
      <c r="K76" s="140">
        <f>SUMIFS($AA$6:$AA$68,$I$6:$I$68,"Вышло",$D$6:$D$68,"TikTok")+SUMIFS($AA$6:$AA$68,$I$6:$I$68,"Вышло",$D$6:$D$68,"Tiktok")</f>
        <v>0</v>
      </c>
      <c r="L76" s="140" t="str">
        <f>IF((SUMIFS($V$6:$V$68,$I$6:$I$68,"Вышло",$D$6:$D$68,"TikTok",$E$6:$E$68,"Сайт")+SUMIFS($V$6:$V$68,$I$6:$I$68,"Вышло",$D$6:$D$68,"TikTok",$E$6:$E$68,"сайт")+SUMIFS($V$6:$V$68,$I$6:$I$68,"Вышло",$D$6:$D$68,"Tiktok",$E$6:$E$68,"Сайт")+SUMIFS($V$6:$V$68,$I$6:$I$68,"Вышло",$D$6:$D$68,"Tiktok",$E$6:$E$68,"сайт")+SUMIFS($V$6:$V$68,$I$6:$I$68,"Вышло",$D$6:$D$68,"TikTok",$E$6:$E$68,"Ozon")+SUMIFS($V$6:$V$68,$I$6:$I$68,"Вышло",$D$6:$D$68,"TikTok",$E$6:$E$68,"OZON")+SUMIFS($V$6:$V$68,$I$6:$I$68,"Вышло",$D$6:$D$68,"TikTok",$E$6:$E$68,"Озон")+SUMIFS($V$6:$V$68,$I$6:$I$68,"Вышло",$D$6:$D$68,"TikTok",$E$6:$E$68,"озон")+SUMIFS($V$6:$V$68,$I$6:$I$68,"Вышло",$D$6:$D$68,"Tiktok",$E$6:$E$68,"Ozon")+SUMIFS($V$6:$V$68,$I$6:$I$68,"Вышло",$D$6:$D$68,"Tiktok",$E$6:$E$68,"OZON")+SUMIFS($V$6:$V$68,$I$6:$I$68,"Вышло",$D$6:$D$68,"Tiktok",$E$6:$E$68,"Озон")+SUMIFS($V$6:$V$68,$I$6:$I$68,"Вышло",$D$6:$D$68,"Tiktok",$E$6:$E$68,"озон"))=0,"—",ROUND((SUMIFS($M$6:$M$68,$I$6:$I$68,"Вышло",$D$6:$D$68,"TikTok",$E$6:$E$68,"Сайт",$V$6:$V$68,"&gt;0")+SUMIFS($M$6:$M$68,$I$6:$I$68,"Вышло",$D$6:$D$68,"TikTok",$E$6:$E$68,"сайт",$V$6:$V$68,"&gt;0")+SUMIFS($M$6:$M$68,$I$6:$I$68,"Вышло",$D$6:$D$68,"Tiktok",$E$6:$E$68,"Сайт",$V$6:$V$68,"&gt;0")+SUMIFS($M$6:$M$68,$I$6:$I$68,"Вышло",$D$6:$D$68,"Tiktok",$E$6:$E$68,"сайт",$V$6:$V$68,"&gt;0")+SUMIFS($M$6:$M$68,$I$6:$I$68,"Вышло",$D$6:$D$68,"TikTok",$E$6:$E$68,"Сайт",$V$6:$V$68,"&lt;=0",$P$6:$P$68,"&lt;&gt;")+SUMIFS($M$6:$M$68,$I$6:$I$68,"Вышло",$D$6:$D$68,"TikTok",$E$6:$E$68,"сайт",$V$6:$V$68,"&lt;=0",$P$6:$P$68,"&lt;&gt;")+SUMIFS($M$6:$M$68,$I$6:$I$68,"Вышло",$D$6:$D$68,"Tiktok",$E$6:$E$68,"Сайт",$V$6:$V$68,"&lt;=0",$P$6:$P$68,"&lt;&gt;")+SUMIFS($M$6:$M$68,$I$6:$I$68,"Вышло",$D$6:$D$68,"Tiktok",$E$6:$E$68,"сайт",$V$6:$V$68,"&lt;=0",$P$6:$P$68,"&lt;&gt;")+SUMIFS($M$6:$M$68,$I$6:$I$68,"Вышло",$D$6:$D$68,"TikTok",$E$6:$E$68,"Ozon",$V$6:$V$68,"&gt;0")+SUMIFS($M$6:$M$68,$I$6:$I$68,"Вышло",$D$6:$D$68,"TikTok",$E$6:$E$68,"OZON",$V$6:$V$68,"&gt;0")+SUMIFS($M$6:$M$68,$I$6:$I$68,"Вышло",$D$6:$D$68,"TikTok",$E$6:$E$68,"Озон",$V$6:$V$68,"&gt;0")+SUMIFS($M$6:$M$68,$I$6:$I$68,"Вышло",$D$6:$D$68,"TikTok",$E$6:$E$68,"озон",$V$6:$V$68,"&gt;0")+SUMIFS($M$6:$M$68,$I$6:$I$68,"Вышло",$D$6:$D$68,"Tiktok",$E$6:$E$68,"Ozon",$V$6:$V$68,"&gt;0")+SUMIFS($M$6:$M$68,$I$6:$I$68,"Вышло",$D$6:$D$68,"Tiktok",$E$6:$E$68,"OZON",$V$6:$V$68,"&gt;0")+SUMIFS($M$6:$M$68,$I$6:$I$68,"Вышло",$D$6:$D$68,"Tiktok",$E$6:$E$68,"Озон",$V$6:$V$68,"&gt;0")+SUMIFS($M$6:$M$68,$I$6:$I$68,"Вышло",$D$6:$D$68,"Tiktok",$E$6:$E$68,"озон",$V$6:$V$68,"&gt;0")+SUMIFS($M$6:$M$68,$I$6:$I$68,"Вышло",$D$6:$D$68,"TikTok",$E$6:$E$68,"Ozon",$V$6:$V$68,"&lt;=0",$P$6:$P$68,"&lt;&gt;")+SUMIFS($M$6:$M$68,$I$6:$I$68,"Вышло",$D$6:$D$68,"TikTok",$E$6:$E$68,"OZON",$V$6:$V$68,"&lt;=0",$P$6:$P$68,"&lt;&gt;")+SUMIFS($M$6:$M$68,$I$6:$I$68,"Вышло",$D$6:$D$68,"TikTok",$E$6:$E$68,"Озон",$V$6:$V$68,"&lt;=0",$P$6:$P$68,"&lt;&gt;")+SUMIFS($M$6:$M$68,$I$6:$I$68,"Вышло",$D$6:$D$68,"TikTok",$E$6:$E$68,"озон",$V$6:$V$68,"&lt;=0",$P$6:$P$68,"&lt;&gt;")+SUMIFS($M$6:$M$68,$I$6:$I$68,"Вышло",$D$6:$D$68,"Tiktok",$E$6:$E$68,"Ozon",$V$6:$V$68,"&lt;=0",$P$6:$P$68,"&lt;&gt;")+SUMIFS($M$6:$M$68,$I$6:$I$68,"Вышло",$D$6:$D$68,"Tiktok",$E$6:$E$68,"OZON",$V$6:$V$68,"&lt;=0",$P$6:$P$68,"&lt;&gt;")+SUMIFS($M$6:$M$68,$I$6:$I$68,"Вышло",$D$6:$D$68,"Tiktok",$E$6:$E$68,"Озон",$V$6:$V$68,"&lt;=0",$P$6:$P$68,"&lt;&gt;")+SUMIFS($M$6:$M$68,$I$6:$I$68,"Вышло",$D$6:$D$68,"Tiktok",$E$6:$E$68,"озон",$V$6:$V$68,"&lt;=0",$P$6:$P$68,"&lt;&gt;"))/(SUMIFS($V$6:$V$68,$I$6:$I$68,"Вышло",$D$6:$D$68,"TikTok",$E$6:$E$68,"Сайт")+SUMIFS($V$6:$V$68,$I$6:$I$68,"Вышло",$D$6:$D$68,"TikTok",$E$6:$E$68,"сайт")+SUMIFS($V$6:$V$68,$I$6:$I$68,"Вышло",$D$6:$D$68,"Tiktok",$E$6:$E$68,"Сайт")+SUMIFS($V$6:$V$68,$I$6:$I$68,"Вышло",$D$6:$D$68,"Tiktok",$E$6:$E$68,"сайт")+SUMIFS($V$6:$V$68,$I$6:$I$68,"Вышло",$D$6:$D$68,"TikTok",$E$6:$E$68,"Ozon")+SUMIFS($V$6:$V$68,$I$6:$I$68,"Вышло",$D$6:$D$68,"TikTok",$E$6:$E$68,"OZON")+SUMIFS($V$6:$V$68,$I$6:$I$68,"Вышло",$D$6:$D$68,"TikTok",$E$6:$E$68,"Озон")+SUMIFS($V$6:$V$68,$I$6:$I$68,"Вышло",$D$6:$D$68,"TikTok",$E$6:$E$68,"озон")+SUMIFS($V$6:$V$68,$I$6:$I$68,"Вышло",$D$6:$D$68,"Tiktok",$E$6:$E$68,"Ozon")+SUMIFS($V$6:$V$68,$I$6:$I$68,"Вышло",$D$6:$D$68,"Tiktok",$E$6:$E$68,"OZON")+SUMIFS($V$6:$V$68,$I$6:$I$68,"Вышло",$D$6:$D$68,"Tiktok",$E$6:$E$68,"Озон")+SUMIFS($V$6:$V$68,$I$6:$I$68,"Вышло",$D$6:$D$68,"Tiktok",$E$6:$E$68,"озон")),0))</f>
        <v>—</v>
      </c>
      <c r="M76" s="140" t="str">
        <f>IF((SUMIFS($W$6:$W$68,$I$6:$I$68,"Вышло",$D$6:$D$68,"TikTok",$E$6:$E$68,"WB")+SUMIFS($W$6:$W$68,$I$6:$I$68,"Вышло",$D$6:$D$68,"TikTok",$E$6:$E$68,"ВБ")+SUMIFS($W$6:$W$68,$I$6:$I$68,"Вышло",$D$6:$D$68,"Tiktok",$E$6:$E$68,"WB")+SUMIFS($W$6:$W$68,$I$6:$I$68,"Вышло",$D$6:$D$68,"Tiktok",$E$6:$E$68,"ВБ"))=0,"—",ROUND((SUMIFS($M$6:$M$68,$I$6:$I$68,"Вышло",$D$6:$D$68,"TikTok",$E$6:$E$68,"WB")+SUMIFS($M$6:$M$68,$I$6:$I$68,"Вышло",$D$6:$D$68,"TikTok",$E$6:$E$68,"ВБ")+SUMIFS($M$6:$M$68,$I$6:$I$68,"Вышло",$D$6:$D$68,"Tiktok",$E$6:$E$68,"WB")+SUMIFS($M$6:$M$68,$I$6:$I$68,"Вышло",$D$6:$D$68,"Tiktok",$E$6:$E$68,"ВБ")-(SUMIFS($M$6:$M$68,$I$6:$I$68,"Вышло",$D$6:$D$68,"TikTok",$E$6:$E$68,"WB",$W$6:$W$68,"&lt;=0",$V$6:$V$68,"&gt;0")+SUMIFS($M$6:$M$68,$I$6:$I$68,"Вышло",$D$6:$D$68,"TikTok",$E$6:$E$68,"ВБ",$W$6:$W$68,"&lt;=0",$V$6:$V$68,"&gt;0")+SUMIFS($M$6:$M$68,$I$6:$I$68,"Вышло",$D$6:$D$68,"Tiktok",$E$6:$E$68,"WB",$W$6:$W$68,"&lt;=0",$V$6:$V$68,"&gt;0")+SUMIFS($M$6:$M$68,$I$6:$I$68,"Вышло",$D$6:$D$68,"Tiktok",$E$6:$E$68,"ВБ",$W$6:$W$68,"&lt;=0",$V$6:$V$68,"&gt;0")))/(SUMIFS($W$6:$W$68,$I$6:$I$68,"Вышло",$D$6:$D$68,"TikTok",$E$6:$E$68,"WB")+SUMIFS($W$6:$W$68,$I$6:$I$68,"Вышло",$D$6:$D$68,"TikTok",$E$6:$E$68,"ВБ")+SUMIFS($W$6:$W$68,$I$6:$I$68,"Вышло",$D$6:$D$68,"Tiktok",$E$6:$E$68,"WB")+SUMIFS($W$6:$W$68,$I$6:$I$68,"Вышло",$D$6:$D$68,"Tiktok",$E$6:$E$68,"ВБ")),0))</f>
        <v>—</v>
      </c>
      <c r="N76" s="140" t="str">
        <f t="shared" si="57"/>
        <v>—</v>
      </c>
      <c r="O76" s="140" t="str">
        <f>IF((SUMIFS($Z$6:$Z$68,$I$6:$I$68,"Вышло",$D$6:$D$68,"TikTok")+SUMIFS($Z$6:$Z$68,$I$6:$I$68,"Вышло",$D$6:$D$68,"Tiktok"))=0,"—",ROUND((SUMIFS($M$6:$M$68,$I$6:$I$68,"Вышло",$D$6:$D$68,"TikTok")+SUMIFS($M$6:$M$68,$I$6:$I$68,"Вышло",$D$6:$D$68,"Tiktok"))/(SUMIFS($Z$6:$Z$68,$I$6:$I$68,"Вышло",$D$6:$D$68,"TikTok")+SUMIFS($Z$6:$Z$68,$I$6:$I$68,"Вышло",$D$6:$D$68,"Tiktok")),0))</f>
        <v>—</v>
      </c>
      <c r="P76" s="3"/>
      <c r="Q76" s="3"/>
      <c r="R76" s="3"/>
      <c r="S76" s="3"/>
      <c r="T76" s="3"/>
      <c r="U76" s="155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ht="15.75" customHeight="1">
      <c r="A77" s="139" t="s">
        <v>297</v>
      </c>
      <c r="B77" s="140">
        <f>SUMIFS($M$6:$M$68,$D$6:$D$68,"Rutube")</f>
        <v>0</v>
      </c>
      <c r="C77" s="140">
        <f>SUMIFS($M$6:$M$68,$I$6:$I$68,"Вышло",$D$6:$D$68,"Rutube")</f>
        <v>0</v>
      </c>
      <c r="D77" s="141">
        <f>COUNTIFS($I$6:$I$68,"Вышло",$D$6:$D$68,"Rutube")</f>
        <v>0</v>
      </c>
      <c r="E77" s="141">
        <f>SUMIFS($T$6:$T$68,$I$6:$I$68,"Вышло",$D$6:$D$68,"Rutube")</f>
        <v>0</v>
      </c>
      <c r="F77" s="141">
        <f>SUMIFS($V$6:$V$68,$I$6:$I$68,"Вышло",$D$6:$D$68,"Rutube")</f>
        <v>0</v>
      </c>
      <c r="G77" s="141">
        <f>SUMIFS($W$6:$W$68,$I$6:$I$68,"Вышло",$D$6:$D$68,"Rutube")</f>
        <v>0</v>
      </c>
      <c r="H77" s="141">
        <f t="shared" si="56"/>
        <v>0</v>
      </c>
      <c r="I77" s="141">
        <f>SUMIFS($Y$6:$Y$68,$I$6:$I$68,"Вышло",$D$6:$D$68,"Rutube")</f>
        <v>0</v>
      </c>
      <c r="J77" s="141">
        <f>SUMIFS($Z$6:$Z$68,$I$6:$I$68,"Вышло",$D$6:$D$68,"Rutube")</f>
        <v>0</v>
      </c>
      <c r="K77" s="140">
        <f>SUMIFS($AA$6:$AA$68,$I$6:$I$68,"Вышло",$D$6:$D$68,"Rutube")</f>
        <v>0</v>
      </c>
      <c r="L77" s="140" t="str">
        <f>IF((SUMIFS($V$6:$V$68,$I$6:$I$68,"Вышло",$D$6:$D$68,"Rutube",$E$6:$E$68,"Сайт")+SUMIFS($V$6:$V$68,$I$6:$I$68,"Вышло",$D$6:$D$68,"Rutube",$E$6:$E$68,"сайт")+SUMIFS($V$6:$V$68,$I$6:$I$68,"Вышло",$D$6:$D$68,"Rutube",$E$6:$E$68,"Ozon")+SUMIFS($V$6:$V$68,$I$6:$I$68,"Вышло",$D$6:$D$68,"Rutube",$E$6:$E$68,"OZON")+SUMIFS($V$6:$V$68,$I$6:$I$68,"Вышло",$D$6:$D$68,"Rutube",$E$6:$E$68,"Озон")+SUMIFS($V$6:$V$68,$I$6:$I$68,"Вышло",$D$6:$D$68,"Rutube",$E$6:$E$68,"озон"))=0,"—",ROUND((SUMIFS($M$6:$M$68,$I$6:$I$68,"Вышло",$D$6:$D$68,"Rutube",$E$6:$E$68,"Сайт",$V$6:$V$68,"&gt;0")+SUMIFS($M$6:$M$68,$I$6:$I$68,"Вышло",$D$6:$D$68,"Rutube",$E$6:$E$68,"сайт",$V$6:$V$68,"&gt;0")+SUMIFS($M$6:$M$68,$I$6:$I$68,"Вышло",$D$6:$D$68,"Rutube",$E$6:$E$68,"Сайт",$V$6:$V$68,"&lt;=0",$P$6:$P$68,"&lt;&gt;")+SUMIFS($M$6:$M$68,$I$6:$I$68,"Вышло",$D$6:$D$68,"Rutube",$E$6:$E$68,"сайт",$V$6:$V$68,"&lt;=0",$P$6:$P$68,"&lt;&gt;")+SUMIFS($M$6:$M$68,$I$6:$I$68,"Вышло",$D$6:$D$68,"Rutube",$E$6:$E$68,"Ozon",$V$6:$V$68,"&gt;0")+SUMIFS($M$6:$M$68,$I$6:$I$68,"Вышло",$D$6:$D$68,"Rutube",$E$6:$E$68,"OZON",$V$6:$V$68,"&gt;0")+SUMIFS($M$6:$M$68,$I$6:$I$68,"Вышло",$D$6:$D$68,"Rutube",$E$6:$E$68,"Озон",$V$6:$V$68,"&gt;0")+SUMIFS($M$6:$M$68,$I$6:$I$68,"Вышло",$D$6:$D$68,"Rutube",$E$6:$E$68,"озон",$V$6:$V$68,"&gt;0")+SUMIFS($M$6:$M$68,$I$6:$I$68,"Вышло",$D$6:$D$68,"Rutube",$E$6:$E$68,"Ozon",$V$6:$V$68,"&lt;=0",$P$6:$P$68,"&lt;&gt;")+SUMIFS($M$6:$M$68,$I$6:$I$68,"Вышло",$D$6:$D$68,"Rutube",$E$6:$E$68,"OZON",$V$6:$V$68,"&lt;=0",$P$6:$P$68,"&lt;&gt;")+SUMIFS($M$6:$M$68,$I$6:$I$68,"Вышло",$D$6:$D$68,"Rutube",$E$6:$E$68,"Озон",$V$6:$V$68,"&lt;=0",$P$6:$P$68,"&lt;&gt;")+SUMIFS($M$6:$M$68,$I$6:$I$68,"Вышло",$D$6:$D$68,"Rutube",$E$6:$E$68,"озон",$V$6:$V$68,"&lt;=0",$P$6:$P$68,"&lt;&gt;"))/(SUMIFS($V$6:$V$68,$I$6:$I$68,"Вышло",$D$6:$D$68,"Rutube",$E$6:$E$68,"Сайт")+SUMIFS($V$6:$V$68,$I$6:$I$68,"Вышло",$D$6:$D$68,"Rutube",$E$6:$E$68,"сайт")+SUMIFS($V$6:$V$68,$I$6:$I$68,"Вышло",$D$6:$D$68,"Rutube",$E$6:$E$68,"Ozon")+SUMIFS($V$6:$V$68,$I$6:$I$68,"Вышло",$D$6:$D$68,"Rutube",$E$6:$E$68,"OZON")+SUMIFS($V$6:$V$68,$I$6:$I$68,"Вышло",$D$6:$D$68,"Rutube",$E$6:$E$68,"Озон")+SUMIFS($V$6:$V$68,$I$6:$I$68,"Вышло",$D$6:$D$68,"Rutube",$E$6:$E$68,"озон")),0))</f>
        <v>—</v>
      </c>
      <c r="M77" s="140" t="str">
        <f>IF((SUMIFS($W$6:$W$68,$I$6:$I$68,"Вышло",$D$6:$D$68,"Rutube",$E$6:$E$68,"WB")+SUMIFS($W$6:$W$68,$I$6:$I$68,"Вышло",$D$6:$D$68,"Rutube",$E$6:$E$68,"ВБ"))=0,"—",ROUND((SUMIFS($M$6:$M$68,$I$6:$I$68,"Вышло",$D$6:$D$68,"Rutube",$E$6:$E$68,"WB")+SUMIFS($M$6:$M$68,$I$6:$I$68,"Вышло",$D$6:$D$68,"Rutube",$E$6:$E$68,"ВБ")-(SUMIFS($M$6:$M$68,$I$6:$I$68,"Вышло",$D$6:$D$68,"Rutube",$E$6:$E$68,"WB",$W$6:$W$68,"&lt;=0",$V$6:$V$68,"&gt;0")+SUMIFS($M$6:$M$68,$I$6:$I$68,"Вышло",$D$6:$D$68,"Rutube",$E$6:$E$68,"ВБ",$W$6:$W$68,"&lt;=0",$V$6:$V$68,"&gt;0")))/(SUMIFS($W$6:$W$68,$I$6:$I$68,"Вышло",$D$6:$D$68,"Rutube",$E$6:$E$68,"WB")+SUMIFS($W$6:$W$68,$I$6:$I$68,"Вышло",$D$6:$D$68,"Rutube",$E$6:$E$68,"ВБ")),0))</f>
        <v>—</v>
      </c>
      <c r="N77" s="140" t="str">
        <f t="shared" si="57"/>
        <v>—</v>
      </c>
      <c r="O77" s="140" t="str">
        <f>IF((SUMIFS($Z$6:$Z$68,$I$6:$I$68,"Вышло",$D$6:$D$68,"Rutube"))=0,"—",ROUND((SUMIFS($M$6:$M$68,$I$6:$I$68,"Вышло",$D$6:$D$68,"Rutube"))/(SUMIFS($Z$6:$Z$68,$I$6:$I$68,"Вышло",$D$6:$D$68,"Rutube")),0))</f>
        <v>—</v>
      </c>
      <c r="P77" s="3"/>
      <c r="Q77" s="3"/>
      <c r="R77" s="3"/>
      <c r="S77" s="3"/>
      <c r="T77" s="3"/>
      <c r="U77" s="155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ht="15.75" customHeight="1">
      <c r="A78" s="139" t="s">
        <v>665</v>
      </c>
      <c r="B78" s="140">
        <f>SUMIFS($M$6:$M$68,$D$6:$D$68,"Instagram")+SUMIFS($M$6:$M$68,$D$6:$D$68,"Inst")</f>
        <v>0</v>
      </c>
      <c r="C78" s="140">
        <f>SUMIFS($M$6:$M$68,$I$6:$I$68,"Вышло",$D$6:$D$68,"Instagram")+SUMIFS($M$6:$M$68,$I$6:$I$68,"Вышло",$D$6:$D$68,"Inst")</f>
        <v>0</v>
      </c>
      <c r="D78" s="141">
        <f>COUNTIFS($I$6:$I$68,"Вышло",$D$6:$D$68,"Instagram")+COUNTIFS($I$6:$I$68,"Вышло",$D$6:$D$68,"Inst")</f>
        <v>0</v>
      </c>
      <c r="E78" s="141">
        <f>SUMIFS($T$6:$T$68,$I$6:$I$68,"Вышло",$D$6:$D$68,"Instagram")+SUMIFS($T$6:$T$68,$I$6:$I$68,"Вышло",$D$6:$D$68,"Inst")</f>
        <v>0</v>
      </c>
      <c r="F78" s="141">
        <f>SUMIFS($V$6:$V$68,$I$6:$I$68,"Вышло",$D$6:$D$68,"Instagram")+SUMIFS($V$6:$V$68,$I$6:$I$68,"Вышло",$D$6:$D$68,"Inst")</f>
        <v>0</v>
      </c>
      <c r="G78" s="141">
        <f>SUMIFS($W$6:$W$68,$I$6:$I$68,"Вышло",$D$6:$D$68,"Instagram")+SUMIFS($W$6:$W$68,$I$6:$I$68,"Вышло",$D$6:$D$68,"Inst")</f>
        <v>0</v>
      </c>
      <c r="H78" s="141">
        <f t="shared" si="56"/>
        <v>0</v>
      </c>
      <c r="I78" s="141">
        <f>SUMIFS($Y$6:$Y$68,$I$6:$I$68,"Вышло",$D$6:$D$68,"Instagram")+SUMIFS($Y$6:$Y$68,$I$6:$I$68,"Вышло",$D$6:$D$68,"Inst")</f>
        <v>0</v>
      </c>
      <c r="J78" s="141">
        <f>SUMIFS($Z$6:$Z$68,$I$6:$I$68,"Вышло",$D$6:$D$68,"Instagram")+SUMIFS($Z$6:$Z$68,$I$6:$I$68,"Вышло",$D$6:$D$68,"Inst")</f>
        <v>0</v>
      </c>
      <c r="K78" s="140">
        <f>SUMIFS($AA$6:$AA$68,$I$6:$I$68,"Вышло",$D$6:$D$68,"Instagram")+SUMIFS($AA$6:$AA$68,$I$6:$I$68,"Вышло",$D$6:$D$68,"Inst")</f>
        <v>0</v>
      </c>
      <c r="L78" s="140" t="str">
        <f>IF((SUMIFS($V$6:$V$68,$I$6:$I$68,"Вышло",$D$6:$D$68,"Instagram",$E$6:$E$68,"Сайт")+SUMIFS($V$6:$V$68,$I$6:$I$68,"Вышло",$D$6:$D$68,"Instagram",$E$6:$E$68,"сайт")+SUMIFS($V$6:$V$68,$I$6:$I$68,"Вышло",$D$6:$D$68,"Inst",$E$6:$E$68,"Сайт")+SUMIFS($V$6:$V$68,$I$6:$I$68,"Вышло",$D$6:$D$68,"Inst",$E$6:$E$68,"сайт")+SUMIFS($V$6:$V$68,$I$6:$I$68,"Вышло",$D$6:$D$68,"Instagram",$E$6:$E$68,"Ozon")+SUMIFS($V$6:$V$68,$I$6:$I$68,"Вышло",$D$6:$D$68,"Instagram",$E$6:$E$68,"OZON")+SUMIFS($V$6:$V$68,$I$6:$I$68,"Вышло",$D$6:$D$68,"Instagram",$E$6:$E$68,"Озон")+SUMIFS($V$6:$V$68,$I$6:$I$68,"Вышло",$D$6:$D$68,"Instagram",$E$6:$E$68,"озон")+SUMIFS($V$6:$V$68,$I$6:$I$68,"Вышло",$D$6:$D$68,"Inst",$E$6:$E$68,"Ozon")+SUMIFS($V$6:$V$68,$I$6:$I$68,"Вышло",$D$6:$D$68,"Inst",$E$6:$E$68,"OZON")+SUMIFS($V$6:$V$68,$I$6:$I$68,"Вышло",$D$6:$D$68,"Inst",$E$6:$E$68,"Озон")+SUMIFS($V$6:$V$68,$I$6:$I$68,"Вышло",$D$6:$D$68,"Inst",$E$6:$E$68,"озон"))=0,"—",ROUND((SUMIFS($M$6:$M$68,$I$6:$I$68,"Вышло",$D$6:$D$68,"Instagram",$E$6:$E$68,"Сайт",$V$6:$V$68,"&gt;0")+SUMIFS($M$6:$M$68,$I$6:$I$68,"Вышло",$D$6:$D$68,"Instagram",$E$6:$E$68,"сайт",$V$6:$V$68,"&gt;0")+SUMIFS($M$6:$M$68,$I$6:$I$68,"Вышло",$D$6:$D$68,"Inst",$E$6:$E$68,"Сайт",$V$6:$V$68,"&gt;0")+SUMIFS($M$6:$M$68,$I$6:$I$68,"Вышло",$D$6:$D$68,"Inst",$E$6:$E$68,"сайт",$V$6:$V$68,"&gt;0")+SUMIFS($M$6:$M$68,$I$6:$I$68,"Вышло",$D$6:$D$68,"Instagram",$E$6:$E$68,"Сайт",$V$6:$V$68,"&lt;=0",$P$6:$P$68,"&lt;&gt;")+SUMIFS($M$6:$M$68,$I$6:$I$68,"Вышло",$D$6:$D$68,"Instagram",$E$6:$E$68,"сайт",$V$6:$V$68,"&lt;=0",$P$6:$P$68,"&lt;&gt;")+SUMIFS($M$6:$M$68,$I$6:$I$68,"Вышло",$D$6:$D$68,"Inst",$E$6:$E$68,"Сайт",$V$6:$V$68,"&lt;=0",$P$6:$P$68,"&lt;&gt;")+SUMIFS($M$6:$M$68,$I$6:$I$68,"Вышло",$D$6:$D$68,"Inst",$E$6:$E$68,"сайт",$V$6:$V$68,"&lt;=0",$P$6:$P$68,"&lt;&gt;")+SUMIFS($M$6:$M$68,$I$6:$I$68,"Вышло",$D$6:$D$68,"Instagram",$E$6:$E$68,"Ozon",$V$6:$V$68,"&gt;0")+SUMIFS($M$6:$M$68,$I$6:$I$68,"Вышло",$D$6:$D$68,"Instagram",$E$6:$E$68,"OZON",$V$6:$V$68,"&gt;0")+SUMIFS($M$6:$M$68,$I$6:$I$68,"Вышло",$D$6:$D$68,"Instagram",$E$6:$E$68,"Озон",$V$6:$V$68,"&gt;0")+SUMIFS($M$6:$M$68,$I$6:$I$68,"Вышло",$D$6:$D$68,"Instagram",$E$6:$E$68,"озон",$V$6:$V$68,"&gt;0")+SUMIFS($M$6:$M$68,$I$6:$I$68,"Вышло",$D$6:$D$68,"Inst",$E$6:$E$68,"Ozon",$V$6:$V$68,"&gt;0")+SUMIFS($M$6:$M$68,$I$6:$I$68,"Вышло",$D$6:$D$68,"Inst",$E$6:$E$68,"OZON",$V$6:$V$68,"&gt;0")+SUMIFS($M$6:$M$68,$I$6:$I$68,"Вышло",$D$6:$D$68,"Inst",$E$6:$E$68,"Озон",$V$6:$V$68,"&gt;0")+SUMIFS($M$6:$M$68,$I$6:$I$68,"Вышло",$D$6:$D$68,"Inst",$E$6:$E$68,"озон",$V$6:$V$68,"&gt;0")+SUMIFS($M$6:$M$68,$I$6:$I$68,"Вышло",$D$6:$D$68,"Instagram",$E$6:$E$68,"Ozon",$V$6:$V$68,"&lt;=0",$P$6:$P$68,"&lt;&gt;")+SUMIFS($M$6:$M$68,$I$6:$I$68,"Вышло",$D$6:$D$68,"Instagram",$E$6:$E$68,"OZON",$V$6:$V$68,"&lt;=0",$P$6:$P$68,"&lt;&gt;")+SUMIFS($M$6:$M$68,$I$6:$I$68,"Вышло",$D$6:$D$68,"Instagram",$E$6:$E$68,"Озон",$V$6:$V$68,"&lt;=0",$P$6:$P$68,"&lt;&gt;")+SUMIFS($M$6:$M$68,$I$6:$I$68,"Вышло",$D$6:$D$68,"Instagram",$E$6:$E$68,"озон",$V$6:$V$68,"&lt;=0",$P$6:$P$68,"&lt;&gt;")+SUMIFS($M$6:$M$68,$I$6:$I$68,"Вышло",$D$6:$D$68,"Inst",$E$6:$E$68,"Ozon",$V$6:$V$68,"&lt;=0",$P$6:$P$68,"&lt;&gt;")+SUMIFS($M$6:$M$68,$I$6:$I$68,"Вышло",$D$6:$D$68,"Inst",$E$6:$E$68,"OZON",$V$6:$V$68,"&lt;=0",$P$6:$P$68,"&lt;&gt;")+SUMIFS($M$6:$M$68,$I$6:$I$68,"Вышло",$D$6:$D$68,"Inst",$E$6:$E$68,"Озон",$V$6:$V$68,"&lt;=0",$P$6:$P$68,"&lt;&gt;")+SUMIFS($M$6:$M$68,$I$6:$I$68,"Вышло",$D$6:$D$68,"Inst",$E$6:$E$68,"озон",$V$6:$V$68,"&lt;=0",$P$6:$P$68,"&lt;&gt;"))/(SUMIFS($V$6:$V$68,$I$6:$I$68,"Вышло",$D$6:$D$68,"Instagram",$E$6:$E$68,"Сайт")+SUMIFS($V$6:$V$68,$I$6:$I$68,"Вышло",$D$6:$D$68,"Instagram",$E$6:$E$68,"сайт")+SUMIFS($V$6:$V$68,$I$6:$I$68,"Вышло",$D$6:$D$68,"Inst",$E$6:$E$68,"Сайт")+SUMIFS($V$6:$V$68,$I$6:$I$68,"Вышло",$D$6:$D$68,"Inst",$E$6:$E$68,"сайт")+SUMIFS($V$6:$V$68,$I$6:$I$68,"Вышло",$D$6:$D$68,"Instagram",$E$6:$E$68,"Ozon")+SUMIFS($V$6:$V$68,$I$6:$I$68,"Вышло",$D$6:$D$68,"Instagram",$E$6:$E$68,"OZON")+SUMIFS($V$6:$V$68,$I$6:$I$68,"Вышло",$D$6:$D$68,"Instagram",$E$6:$E$68,"Озон")+SUMIFS($V$6:$V$68,$I$6:$I$68,"Вышло",$D$6:$D$68,"Instagram",$E$6:$E$68,"озон")+SUMIFS($V$6:$V$68,$I$6:$I$68,"Вышло",$D$6:$D$68,"Inst",$E$6:$E$68,"Ozon")+SUMIFS($V$6:$V$68,$I$6:$I$68,"Вышло",$D$6:$D$68,"Inst",$E$6:$E$68,"OZON")+SUMIFS($V$6:$V$68,$I$6:$I$68,"Вышло",$D$6:$D$68,"Inst",$E$6:$E$68,"Озон")+SUMIFS($V$6:$V$68,$I$6:$I$68,"Вышло",$D$6:$D$68,"Inst",$E$6:$E$68,"озон")),0))</f>
        <v>—</v>
      </c>
      <c r="M78" s="140" t="str">
        <f>IF((SUMIFS($W$6:$W$68,$I$6:$I$68,"Вышло",$D$6:$D$68,"Instagram",$E$6:$E$68,"WB")+SUMIFS($W$6:$W$68,$I$6:$I$68,"Вышло",$D$6:$D$68,"Instagram",$E$6:$E$68,"ВБ")+SUMIFS($W$6:$W$68,$I$6:$I$68,"Вышло",$D$6:$D$68,"Inst",$E$6:$E$68,"WB")+SUMIFS($W$6:$W$68,$I$6:$I$68,"Вышло",$D$6:$D$68,"Inst",$E$6:$E$68,"ВБ"))=0,"—",ROUND((SUMIFS($M$6:$M$68,$I$6:$I$68,"Вышло",$D$6:$D$68,"Instagram",$E$6:$E$68,"WB")+SUMIFS($M$6:$M$68,$I$6:$I$68,"Вышло",$D$6:$D$68,"Instagram",$E$6:$E$68,"ВБ")+SUMIFS($M$6:$M$68,$I$6:$I$68,"Вышло",$D$6:$D$68,"Inst",$E$6:$E$68,"WB")+SUMIFS($M$6:$M$68,$I$6:$I$68,"Вышло",$D$6:$D$68,"Inst",$E$6:$E$68,"ВБ")-(SUMIFS($M$6:$M$68,$I$6:$I$68,"Вышло",$D$6:$D$68,"Instagram",$E$6:$E$68,"WB",$W$6:$W$68,"&lt;=0",$V$6:$V$68,"&gt;0")+SUMIFS($M$6:$M$68,$I$6:$I$68,"Вышло",$D$6:$D$68,"Instagram",$E$6:$E$68,"ВБ",$W$6:$W$68,"&lt;=0",$V$6:$V$68,"&gt;0")+SUMIFS($M$6:$M$68,$I$6:$I$68,"Вышло",$D$6:$D$68,"Inst",$E$6:$E$68,"WB",$W$6:$W$68,"&lt;=0",$V$6:$V$68,"&gt;0")+SUMIFS($M$6:$M$68,$I$6:$I$68,"Вышло",$D$6:$D$68,"Inst",$E$6:$E$68,"ВБ",$W$6:$W$68,"&lt;=0",$V$6:$V$68,"&gt;0")))/(SUMIFS($W$6:$W$68,$I$6:$I$68,"Вышло",$D$6:$D$68,"Instagram",$E$6:$E$68,"WB")+SUMIFS($W$6:$W$68,$I$6:$I$68,"Вышло",$D$6:$D$68,"Instagram",$E$6:$E$68,"ВБ")+SUMIFS($W$6:$W$68,$I$6:$I$68,"Вышло",$D$6:$D$68,"Inst",$E$6:$E$68,"WB")+SUMIFS($W$6:$W$68,$I$6:$I$68,"Вышло",$D$6:$D$68,"Inst",$E$6:$E$68,"ВБ")),0))</f>
        <v>—</v>
      </c>
      <c r="N78" s="140" t="str">
        <f t="shared" si="57"/>
        <v>—</v>
      </c>
      <c r="O78" s="140" t="str">
        <f>IF((SUMIFS($Z$6:$Z$68,$I$6:$I$68,"Вышло",$D$6:$D$68,"Instagram")+SUMIFS($Z$6:$Z$68,$I$6:$I$68,"Вышло",$D$6:$D$68,"Inst"))=0,"—",ROUND((SUMIFS($M$6:$M$68,$I$6:$I$68,"Вышло",$D$6:$D$68,"Instagram")+SUMIFS($M$6:$M$68,$I$6:$I$68,"Вышло",$D$6:$D$68,"Inst"))/(SUMIFS($Z$6:$Z$68,$I$6:$I$68,"Вышло",$D$6:$D$68,"Instagram")+SUMIFS($Z$6:$Z$68,$I$6:$I$68,"Вышло",$D$6:$D$68,"Inst")),0))</f>
        <v>—</v>
      </c>
      <c r="P78" s="3"/>
      <c r="Q78" s="3"/>
      <c r="R78" s="3"/>
      <c r="S78" s="3"/>
      <c r="T78" s="3"/>
      <c r="U78" s="155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</row>
    <row r="79" ht="15.75" customHeight="1">
      <c r="A79" s="139" t="s">
        <v>860</v>
      </c>
      <c r="B79" s="140">
        <f>SUMIFS($M$6:$M$68,$D$6:$D$68,"WB")</f>
        <v>0</v>
      </c>
      <c r="C79" s="140">
        <f>SUMIFS($M$6:$M$68,$I$6:$I$68,"Вышло",$D$6:$D$68,"WB")</f>
        <v>0</v>
      </c>
      <c r="D79" s="141">
        <f>COUNTIFS($I$6:$I$68,"Вышло",$D$6:$D$68,"WB")</f>
        <v>0</v>
      </c>
      <c r="E79" s="141">
        <f>SUMIFS($T$6:$T$68,$I$6:$I$68,"Вышло",$D$6:$D$68,"WB")</f>
        <v>0</v>
      </c>
      <c r="F79" s="141">
        <f>SUMIFS($V$6:$V$68,$I$6:$I$68,"Вышло",$D$6:$D$68,"WB")</f>
        <v>0</v>
      </c>
      <c r="G79" s="141">
        <f>SUMIFS($W$6:$W$68,$I$6:$I$68,"Вышло",$D$6:$D$68,"WB")</f>
        <v>0</v>
      </c>
      <c r="H79" s="141">
        <f t="shared" si="56"/>
        <v>0</v>
      </c>
      <c r="I79" s="141">
        <f>SUMIFS($Y$6:$Y$68,$I$6:$I$68,"Вышло",$D$6:$D$68,"WB")</f>
        <v>0</v>
      </c>
      <c r="J79" s="141">
        <f>SUMIFS($Z$6:$Z$68,$I$6:$I$68,"Вышло",$D$6:$D$68,"WB")</f>
        <v>0</v>
      </c>
      <c r="K79" s="140">
        <f>SUMIFS($AA$6:$AA$68,$I$6:$I$68,"Вышло",$D$6:$D$68,"WB")</f>
        <v>0</v>
      </c>
      <c r="L79" s="140" t="str">
        <f>IF((SUMIFS($V$6:$V$68,$I$6:$I$68,"Вышло",$D$6:$D$68,"WB",$E$6:$E$68,"Сайт")+SUMIFS($V$6:$V$68,$I$6:$I$68,"Вышло",$D$6:$D$68,"WB",$E$6:$E$68,"сайт")+SUMIFS($V$6:$V$68,$I$6:$I$68,"Вышло",$D$6:$D$68,"WB",$E$6:$E$68,"Ozon")+SUMIFS($V$6:$V$68,$I$6:$I$68,"Вышло",$D$6:$D$68,"WB",$E$6:$E$68,"OZON")+SUMIFS($V$6:$V$68,$I$6:$I$68,"Вышло",$D$6:$D$68,"WB",$E$6:$E$68,"Озон")+SUMIFS($V$6:$V$68,$I$6:$I$68,"Вышло",$D$6:$D$68,"WB",$E$6:$E$68,"озон"))=0,"—",ROUND((SUMIFS($M$6:$M$68,$I$6:$I$68,"Вышло",$D$6:$D$68,"WB",$E$6:$E$68,"Сайт",$V$6:$V$68,"&gt;0")+SUMIFS($M$6:$M$68,$I$6:$I$68,"Вышло",$D$6:$D$68,"WB",$E$6:$E$68,"сайт",$V$6:$V$68,"&gt;0")+SUMIFS($M$6:$M$68,$I$6:$I$68,"Вышло",$D$6:$D$68,"WB",$E$6:$E$68,"Сайт",$V$6:$V$68,"&lt;=0",$P$6:$P$68,"&lt;&gt;")+SUMIFS($M$6:$M$68,$I$6:$I$68,"Вышло",$D$6:$D$68,"WB",$E$6:$E$68,"сайт",$V$6:$V$68,"&lt;=0",$P$6:$P$68,"&lt;&gt;")+SUMIFS($M$6:$M$68,$I$6:$I$68,"Вышло",$D$6:$D$68,"WB",$E$6:$E$68,"Ozon",$V$6:$V$68,"&gt;0")+SUMIFS($M$6:$M$68,$I$6:$I$68,"Вышло",$D$6:$D$68,"WB",$E$6:$E$68,"OZON",$V$6:$V$68,"&gt;0")+SUMIFS($M$6:$M$68,$I$6:$I$68,"Вышло",$D$6:$D$68,"WB",$E$6:$E$68,"Озон",$V$6:$V$68,"&gt;0")+SUMIFS($M$6:$M$68,$I$6:$I$68,"Вышло",$D$6:$D$68,"WB",$E$6:$E$68,"озон",$V$6:$V$68,"&gt;0")+SUMIFS($M$6:$M$68,$I$6:$I$68,"Вышло",$D$6:$D$68,"WB",$E$6:$E$68,"Ozon",$V$6:$V$68,"&lt;=0",$P$6:$P$68,"&lt;&gt;")+SUMIFS($M$6:$M$68,$I$6:$I$68,"Вышло",$D$6:$D$68,"WB",$E$6:$E$68,"OZON",$V$6:$V$68,"&lt;=0",$P$6:$P$68,"&lt;&gt;")+SUMIFS($M$6:$M$68,$I$6:$I$68,"Вышло",$D$6:$D$68,"WB",$E$6:$E$68,"Озон",$V$6:$V$68,"&lt;=0",$P$6:$P$68,"&lt;&gt;")+SUMIFS($M$6:$M$68,$I$6:$I$68,"Вышло",$D$6:$D$68,"WB",$E$6:$E$68,"озон",$V$6:$V$68,"&lt;=0",$P$6:$P$68,"&lt;&gt;"))/(SUMIFS($V$6:$V$68,$I$6:$I$68,"Вышло",$D$6:$D$68,"WB",$E$6:$E$68,"Сайт")+SUMIFS($V$6:$V$68,$I$6:$I$68,"Вышло",$D$6:$D$68,"WB",$E$6:$E$68,"сайт")+SUMIFS($V$6:$V$68,$I$6:$I$68,"Вышло",$D$6:$D$68,"WB",$E$6:$E$68,"Ozon")+SUMIFS($V$6:$V$68,$I$6:$I$68,"Вышло",$D$6:$D$68,"WB",$E$6:$E$68,"OZON")+SUMIFS($V$6:$V$68,$I$6:$I$68,"Вышло",$D$6:$D$68,"WB",$E$6:$E$68,"Озон")+SUMIFS($V$6:$V$68,$I$6:$I$68,"Вышло",$D$6:$D$68,"WB",$E$6:$E$68,"озон")),0))</f>
        <v>—</v>
      </c>
      <c r="M79" s="140" t="str">
        <f>IF((SUMIFS($W$6:$W$68,$I$6:$I$68,"Вышло",$D$6:$D$68,"WB",$E$6:$E$68,"WB")+SUMIFS($W$6:$W$68,$I$6:$I$68,"Вышло",$D$6:$D$68,"WB",$E$6:$E$68,"ВБ"))=0,"—",ROUND((SUMIFS($M$6:$M$68,$I$6:$I$68,"Вышло",$D$6:$D$68,"WB",$E$6:$E$68,"WB")+SUMIFS($M$6:$M$68,$I$6:$I$68,"Вышло",$D$6:$D$68,"WB",$E$6:$E$68,"ВБ")-(SUMIFS($M$6:$M$68,$I$6:$I$68,"Вышло",$D$6:$D$68,"WB",$E$6:$E$68,"WB",$W$6:$W$68,"&lt;=0",$V$6:$V$68,"&gt;0")+SUMIFS($M$6:$M$68,$I$6:$I$68,"Вышло",$D$6:$D$68,"WB",$E$6:$E$68,"ВБ",$W$6:$W$68,"&lt;=0",$V$6:$V$68,"&gt;0")))/(SUMIFS($W$6:$W$68,$I$6:$I$68,"Вышло",$D$6:$D$68,"WB",$E$6:$E$68,"WB")+SUMIFS($W$6:$W$68,$I$6:$I$68,"Вышло",$D$6:$D$68,"WB",$E$6:$E$68,"ВБ")),0))</f>
        <v>—</v>
      </c>
      <c r="N79" s="140" t="str">
        <f t="shared" si="57"/>
        <v>—</v>
      </c>
      <c r="O79" s="140" t="str">
        <f>IF((SUMIFS($Z$6:$Z$68,$I$6:$I$68,"Вышло",$D$6:$D$68,"WB"))=0,"—",ROUND((SUMIFS($M$6:$M$68,$I$6:$I$68,"Вышло",$D$6:$D$68,"WB"))/(SUMIFS($Z$6:$Z$68,$I$6:$I$68,"Вышло",$D$6:$D$68,"WB")),0))</f>
        <v>—</v>
      </c>
      <c r="P79" s="3"/>
      <c r="Q79" s="3"/>
      <c r="R79" s="3"/>
      <c r="S79" s="3"/>
      <c r="T79" s="3"/>
      <c r="U79" s="155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</row>
    <row r="80" ht="15.75" customHeight="1">
      <c r="A80" s="142" t="s">
        <v>877</v>
      </c>
      <c r="B80" s="143">
        <f t="shared" ref="B80:K80" si="58">SUM(B72:B79)</f>
        <v>0</v>
      </c>
      <c r="C80" s="143">
        <f t="shared" si="58"/>
        <v>0</v>
      </c>
      <c r="D80" s="144">
        <f t="shared" si="58"/>
        <v>0</v>
      </c>
      <c r="E80" s="144">
        <f t="shared" si="58"/>
        <v>0</v>
      </c>
      <c r="F80" s="144">
        <f t="shared" si="58"/>
        <v>0</v>
      </c>
      <c r="G80" s="144">
        <f t="shared" si="58"/>
        <v>0</v>
      </c>
      <c r="H80" s="144">
        <f t="shared" si="58"/>
        <v>0</v>
      </c>
      <c r="I80" s="144">
        <f t="shared" si="58"/>
        <v>0</v>
      </c>
      <c r="J80" s="144">
        <f t="shared" si="58"/>
        <v>0</v>
      </c>
      <c r="K80" s="143">
        <f t="shared" si="58"/>
        <v>0</v>
      </c>
      <c r="L80" s="143" t="str">
        <f>IF(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=0,"—",ROUND(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+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/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,0))</f>
        <v>—</v>
      </c>
      <c r="M80" s="143" t="str">
        <f>IF((SUMIFS($W$6:$W$68,$I$6:$I$68,"Вышло",$E$6:$E$68,"WB")+SUMIFS($W$6:$W$68,$I$6:$I$68,"Вышло",$E$6:$E$68,"ВБ"))=0,"—",ROUND((SUMIFS($M$6:$M$68,$I$6:$I$68,"Вышло",$E$6:$E$68,"WB")+SUMIFS($M$6:$M$68,$I$6:$I$68,"Вышло",$E$6:$E$68,"ВБ")-(SUMIFS($M$6:$M$68,$I$6:$I$68,"Вышло",$E$6:$E$68,"WB",$W$6:$W$68,"&lt;=0",$V$6:$V$68,"&gt;0")+SUMIFS($M$6:$M$68,$I$6:$I$68,"Вышло",$E$6:$E$68,"ВБ",$W$6:$W$68,"&lt;=0",$V$6:$V$68,"&gt;0")))/(SUMIFS($W$6:$W$68,$I$6:$I$68,"Вышло",$E$6:$E$68,"WB")+SUMIFS($W$6:$W$68,$I$6:$I$68,"Вышло",$E$6:$E$68,"ВБ")),0))</f>
        <v>—</v>
      </c>
      <c r="N80" s="143" t="str">
        <f t="shared" si="57"/>
        <v>—</v>
      </c>
      <c r="O80" s="143" t="str">
        <f>IF((SUMIFS($Z$6:$Z$68,$I$6:$I$68,"Вышло"))=0,"—",ROUND((SUMIFS($M$6:$M$68,$I$6:$I$68,"Вышло"))/(SUMIFS($Z$6:$Z$68,$I$6:$I$68,"Вышло")),0))</f>
        <v>—</v>
      </c>
      <c r="P80" s="3"/>
      <c r="Q80" s="3"/>
      <c r="R80" s="3"/>
      <c r="S80" s="3"/>
      <c r="T80" s="3"/>
      <c r="U80" s="155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</row>
    <row r="81" ht="15.75" customHeight="1">
      <c r="A81" s="145"/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3"/>
      <c r="Q81" s="3"/>
      <c r="R81" s="3"/>
      <c r="S81" s="3"/>
      <c r="T81" s="3"/>
      <c r="U81" s="155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</row>
    <row r="82" ht="15.75" customHeight="1">
      <c r="A82" s="137" t="s">
        <v>1736</v>
      </c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3"/>
      <c r="Q82" s="3"/>
      <c r="R82" s="3"/>
      <c r="S82" s="3"/>
      <c r="T82" s="3"/>
      <c r="U82" s="155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</row>
    <row r="83" ht="36.0" customHeight="1">
      <c r="A83" s="138" t="s">
        <v>726</v>
      </c>
      <c r="B83" s="138" t="s">
        <v>872</v>
      </c>
      <c r="C83" s="138" t="s">
        <v>873</v>
      </c>
      <c r="D83" s="138" t="s">
        <v>859</v>
      </c>
      <c r="E83" s="138" t="s">
        <v>729</v>
      </c>
      <c r="F83" s="138" t="s">
        <v>730</v>
      </c>
      <c r="G83" s="138" t="s">
        <v>851</v>
      </c>
      <c r="H83" s="138" t="s">
        <v>731</v>
      </c>
      <c r="I83" s="138" t="s">
        <v>853</v>
      </c>
      <c r="J83" s="138" t="s">
        <v>656</v>
      </c>
      <c r="K83" s="138" t="s">
        <v>854</v>
      </c>
      <c r="L83" s="138" t="s">
        <v>874</v>
      </c>
      <c r="M83" s="138" t="s">
        <v>875</v>
      </c>
      <c r="N83" s="138" t="s">
        <v>876</v>
      </c>
      <c r="O83" s="138" t="s">
        <v>657</v>
      </c>
      <c r="P83" s="3"/>
      <c r="Q83" s="3"/>
      <c r="R83" s="3"/>
      <c r="S83" s="3"/>
      <c r="T83" s="3"/>
      <c r="U83" s="155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</row>
    <row r="84" ht="15.75" customHeight="1">
      <c r="A84" s="139" t="s">
        <v>735</v>
      </c>
      <c r="B84" s="140">
        <f>SUMIFS($M$6:$M$68,$D$6:$D$68,"Telegram")+SUMIFS($M$6:$M$68,$D$6:$D$68,"Telegram ")+SUMIFS($M$6:$M$68,$D$6:$D$68,"Телеграм")+SUMIFS($M$6:$M$68,$D$6:$D$68,"ТГ")+SUMIFS($M$6:$M$68,$D$6:$D$68,"MAX")+SUMIFS($M$6:$M$68,$D$6:$D$68,"Макс")+SUMIFS($M$6:$M$68,$D$6:$D$68,"МАКС")+SUMIFS($M$6:$M$68,$D$6:$D$68,"VK")+SUMIFS($M$6:$M$68,$D$6:$D$68,"Vk")+SUMIFS($M$6:$M$68,$D$6:$D$68,"ВК")+SUMIFS($M$6:$M$68,$D$6:$D$68,"YouTube")+SUMIFS($M$6:$M$68,$D$6:$D$68,"Youtube")+SUMIFS($M$6:$M$68,$D$6:$D$68,"TikTok")+SUMIFS($M$6:$M$68,$D$6:$D$68,"Tiktok")+SUMIFS($M$6:$M$68,$D$6:$D$68,"Rutube")+SUMIFS($M$6:$M$68,$D$6:$D$68,"Instagram")+SUMIFS($M$6:$M$68,$D$6:$D$68,"Inst")+SUMIFS($M$6:$M$68,$D$6:$D$68,"WB")</f>
        <v>0</v>
      </c>
      <c r="C84" s="140">
        <f>SUMIFS($M$6:$M$68,$I$6:$I$68,"Вышло")</f>
        <v>0</v>
      </c>
      <c r="D84" s="141">
        <f>COUNTIFS($I$6:$I$68,"Вышло")</f>
        <v>0</v>
      </c>
      <c r="E84" s="141">
        <f>SUMIFS($T$6:$T$68,$I$6:$I$68,"Вышло")</f>
        <v>0</v>
      </c>
      <c r="F84" s="141">
        <f>SUMIFS($V$6:$V$68,$I$6:$I$68,"Вышло")</f>
        <v>0</v>
      </c>
      <c r="G84" s="141">
        <f>SUMIFS($W$6:$W$68,$I$6:$I$68,"Вышло")</f>
        <v>0</v>
      </c>
      <c r="H84" s="141">
        <f>0</f>
        <v>0</v>
      </c>
      <c r="I84" s="141">
        <f>SUMIFS($Y$6:$Y$68,$I$6:$I$68,"Вышло")</f>
        <v>0</v>
      </c>
      <c r="J84" s="141">
        <f>SUMIFS($Z$6:$Z$68,$I$6:$I$68,"Вышло")</f>
        <v>0</v>
      </c>
      <c r="K84" s="140">
        <f>SUMIFS($AA$6:$AA$68,$I$6:$I$68,"Вышло")</f>
        <v>0</v>
      </c>
      <c r="L84" s="140" t="str">
        <f>IF(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=0,"—",ROUND(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+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/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,0))</f>
        <v>—</v>
      </c>
      <c r="M84" s="140" t="str">
        <f>IF((SUMIFS($W$6:$W$68,$I$6:$I$68,"Вышло",$E$6:$E$68,"WB")+SUMIFS($W$6:$W$68,$I$6:$I$68,"Вышло",$E$6:$E$68,"ВБ"))=0,"—",ROUND((SUMIFS($M$6:$M$68,$I$6:$I$68,"Вышло",$E$6:$E$68,"WB")+SUMIFS($M$6:$M$68,$I$6:$I$68,"Вышло",$E$6:$E$68,"ВБ")-(SUMIFS($M$6:$M$68,$I$6:$I$68,"Вышло",$E$6:$E$68,"WB",$W$6:$W$68,"&lt;=0",$V$6:$V$68,"&gt;0")+SUMIFS($M$6:$M$68,$I$6:$I$68,"Вышло",$E$6:$E$68,"ВБ",$W$6:$W$68,"&lt;=0",$V$6:$V$68,"&gt;0")))/(SUMIFS($W$6:$W$68,$I$6:$I$68,"Вышло",$E$6:$E$68,"WB")+SUMIFS($W$6:$W$68,$I$6:$I$68,"Вышло",$E$6:$E$68,"ВБ")),0))</f>
        <v>—</v>
      </c>
      <c r="N84" s="140" t="str">
        <f>"—"</f>
        <v>—</v>
      </c>
      <c r="O84" s="140" t="str">
        <f>IF((SUMIFS($Z$6:$Z$68,$I$6:$I$68,"Вышло"))=0,"—",ROUND((SUMIFS($M$6:$M$68,$I$6:$I$68,"Вышло"))/(SUMIFS($Z$6:$Z$68,$I$6:$I$68,"Вышло")),0))</f>
        <v>—</v>
      </c>
      <c r="P84" s="3"/>
      <c r="Q84" s="3"/>
      <c r="R84" s="3"/>
      <c r="S84" s="3"/>
      <c r="T84" s="3"/>
      <c r="U84" s="155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</row>
    <row r="85" ht="15.75" customHeight="1">
      <c r="A85" s="139" t="s">
        <v>736</v>
      </c>
      <c r="B85" s="140">
        <f t="shared" ref="B85:K85" si="59">0</f>
        <v>0</v>
      </c>
      <c r="C85" s="140">
        <f t="shared" si="59"/>
        <v>0</v>
      </c>
      <c r="D85" s="141">
        <f t="shared" si="59"/>
        <v>0</v>
      </c>
      <c r="E85" s="141">
        <f t="shared" si="59"/>
        <v>0</v>
      </c>
      <c r="F85" s="141">
        <f t="shared" si="59"/>
        <v>0</v>
      </c>
      <c r="G85" s="141">
        <f t="shared" si="59"/>
        <v>0</v>
      </c>
      <c r="H85" s="141">
        <f t="shared" si="59"/>
        <v>0</v>
      </c>
      <c r="I85" s="141">
        <f t="shared" si="59"/>
        <v>0</v>
      </c>
      <c r="J85" s="141">
        <f t="shared" si="59"/>
        <v>0</v>
      </c>
      <c r="K85" s="140">
        <f t="shared" si="59"/>
        <v>0</v>
      </c>
      <c r="L85" s="140" t="s">
        <v>879</v>
      </c>
      <c r="M85" s="140" t="s">
        <v>879</v>
      </c>
      <c r="N85" s="140" t="s">
        <v>879</v>
      </c>
      <c r="O85" s="140" t="s">
        <v>879</v>
      </c>
      <c r="P85" s="3"/>
      <c r="Q85" s="3"/>
      <c r="R85" s="3"/>
      <c r="S85" s="3"/>
      <c r="T85" s="3"/>
      <c r="U85" s="155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ht="15.75" customHeight="1">
      <c r="A86" s="139" t="s">
        <v>737</v>
      </c>
      <c r="B86" s="140">
        <f t="shared" ref="B86:K86" si="60">0</f>
        <v>0</v>
      </c>
      <c r="C86" s="140">
        <f t="shared" si="60"/>
        <v>0</v>
      </c>
      <c r="D86" s="141">
        <f t="shared" si="60"/>
        <v>0</v>
      </c>
      <c r="E86" s="141">
        <f t="shared" si="60"/>
        <v>0</v>
      </c>
      <c r="F86" s="141">
        <f t="shared" si="60"/>
        <v>0</v>
      </c>
      <c r="G86" s="141">
        <f t="shared" si="60"/>
        <v>0</v>
      </c>
      <c r="H86" s="141">
        <f t="shared" si="60"/>
        <v>0</v>
      </c>
      <c r="I86" s="141">
        <f t="shared" si="60"/>
        <v>0</v>
      </c>
      <c r="J86" s="141">
        <f t="shared" si="60"/>
        <v>0</v>
      </c>
      <c r="K86" s="140">
        <f t="shared" si="60"/>
        <v>0</v>
      </c>
      <c r="L86" s="140" t="s">
        <v>879</v>
      </c>
      <c r="M86" s="140" t="s">
        <v>879</v>
      </c>
      <c r="N86" s="140" t="s">
        <v>879</v>
      </c>
      <c r="O86" s="140" t="s">
        <v>879</v>
      </c>
      <c r="P86" s="3"/>
      <c r="Q86" s="3"/>
      <c r="R86" s="3"/>
      <c r="S86" s="3"/>
      <c r="T86" s="3"/>
      <c r="U86" s="155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ht="15.75" customHeight="1">
      <c r="A87" s="142" t="s">
        <v>877</v>
      </c>
      <c r="B87" s="143">
        <f t="shared" ref="B87:K87" si="61">SUM(B84:B86)</f>
        <v>0</v>
      </c>
      <c r="C87" s="143">
        <f t="shared" si="61"/>
        <v>0</v>
      </c>
      <c r="D87" s="144">
        <f t="shared" si="61"/>
        <v>0</v>
      </c>
      <c r="E87" s="144">
        <f t="shared" si="61"/>
        <v>0</v>
      </c>
      <c r="F87" s="144">
        <f t="shared" si="61"/>
        <v>0</v>
      </c>
      <c r="G87" s="144">
        <f t="shared" si="61"/>
        <v>0</v>
      </c>
      <c r="H87" s="144">
        <f t="shared" si="61"/>
        <v>0</v>
      </c>
      <c r="I87" s="144">
        <f t="shared" si="61"/>
        <v>0</v>
      </c>
      <c r="J87" s="144">
        <f t="shared" si="61"/>
        <v>0</v>
      </c>
      <c r="K87" s="143">
        <f t="shared" si="61"/>
        <v>0</v>
      </c>
      <c r="L87" s="143" t="str">
        <f>IF(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=0,"—",ROUND(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+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/(SUMIFS($V$6:$V$68,$I$6:$I$68,"Вышло",$E$6:$E$68,"Сайт")+SUMIFS($V$6:$V$68,$I$6:$I$68,"Вышло",$E$6:$E$68,"сайт")+SUMIFS($V$6:$V$68,$I$6:$I$68,"Вышло",$E$6:$E$68,"Ozon")+SUMIFS($V$6:$V$68,$I$6:$I$68,"Вышло",$E$6:$E$68,"OZON")+SUMIFS($V$6:$V$68,$I$6:$I$68,"Вышло",$E$6:$E$68,"Озон")+SUMIFS($V$6:$V$68,$I$6:$I$68,"Вышло",$E$6:$E$68,"озон")),0))</f>
        <v>—</v>
      </c>
      <c r="M87" s="143" t="str">
        <f>IF((SUMIFS($W$6:$W$68,$I$6:$I$68,"Вышло",$E$6:$E$68,"WB")+SUMIFS($W$6:$W$68,$I$6:$I$68,"Вышло",$E$6:$E$68,"ВБ"))=0,"—",ROUND((SUMIFS($M$6:$M$68,$I$6:$I$68,"Вышло",$E$6:$E$68,"WB")+SUMIFS($M$6:$M$68,$I$6:$I$68,"Вышло",$E$6:$E$68,"ВБ")-(SUMIFS($M$6:$M$68,$I$6:$I$68,"Вышло",$E$6:$E$68,"WB",$W$6:$W$68,"&lt;=0",$V$6:$V$68,"&gt;0")+SUMIFS($M$6:$M$68,$I$6:$I$68,"Вышло",$E$6:$E$68,"ВБ",$W$6:$W$68,"&lt;=0",$V$6:$V$68,"&gt;0")))/(SUMIFS($W$6:$W$68,$I$6:$I$68,"Вышло",$E$6:$E$68,"WB")+SUMIFS($W$6:$W$68,$I$6:$I$68,"Вышло",$E$6:$E$68,"ВБ")),0))</f>
        <v>—</v>
      </c>
      <c r="N87" s="143" t="str">
        <f>"—"</f>
        <v>—</v>
      </c>
      <c r="O87" s="143" t="str">
        <f>IF((SUMIFS($Z$6:$Z$68,$I$6:$I$68,"Вышло"))=0,"—",ROUND((SUMIFS($M$6:$M$68,$I$6:$I$68,"Вышло"))/(SUMIFS($Z$6:$Z$68,$I$6:$I$68,"Вышло")),0))</f>
        <v>—</v>
      </c>
      <c r="P87" s="3"/>
      <c r="Q87" s="3"/>
      <c r="R87" s="3"/>
      <c r="S87" s="3"/>
      <c r="T87" s="3"/>
      <c r="U87" s="155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ht="15.75" customHeight="1">
      <c r="A88" s="145"/>
      <c r="B88" s="145"/>
      <c r="C88" s="145"/>
      <c r="D88" s="145"/>
      <c r="E88" s="145"/>
      <c r="F88" s="145"/>
      <c r="G88" s="145"/>
      <c r="H88" s="145"/>
      <c r="I88" s="145"/>
      <c r="J88" s="145"/>
      <c r="K88" s="145"/>
      <c r="L88" s="145"/>
      <c r="M88" s="145"/>
      <c r="N88" s="145"/>
      <c r="O88" s="145"/>
      <c r="P88" s="3"/>
      <c r="Q88" s="3"/>
      <c r="R88" s="3"/>
      <c r="S88" s="3"/>
      <c r="T88" s="3"/>
      <c r="U88" s="155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</row>
    <row r="89" ht="15.75" customHeight="1">
      <c r="A89" s="137" t="s">
        <v>1737</v>
      </c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3"/>
      <c r="Q89" s="3"/>
      <c r="R89" s="3"/>
      <c r="S89" s="3"/>
      <c r="T89" s="3"/>
      <c r="U89" s="155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ht="33.75" customHeight="1">
      <c r="A90" s="138" t="s">
        <v>881</v>
      </c>
      <c r="B90" s="138" t="s">
        <v>873</v>
      </c>
      <c r="C90" s="138" t="s">
        <v>882</v>
      </c>
      <c r="D90" s="138" t="s">
        <v>883</v>
      </c>
      <c r="E90" s="138" t="s">
        <v>884</v>
      </c>
      <c r="F90" s="138" t="s">
        <v>859</v>
      </c>
      <c r="G90" s="138" t="s">
        <v>729</v>
      </c>
      <c r="H90" s="138" t="s">
        <v>885</v>
      </c>
      <c r="I90" s="145"/>
      <c r="J90" s="145"/>
      <c r="K90" s="145"/>
      <c r="L90" s="145"/>
      <c r="M90" s="145"/>
      <c r="N90" s="145"/>
      <c r="O90" s="145"/>
      <c r="P90" s="3"/>
      <c r="Q90" s="3"/>
      <c r="R90" s="3"/>
      <c r="S90" s="3"/>
      <c r="T90" s="3"/>
      <c r="U90" s="155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ht="27.75" customHeight="1">
      <c r="A91" s="146" t="s">
        <v>886</v>
      </c>
      <c r="B91" s="147">
        <f>SUMIFS($M$6:$M$68,$I$6:$I$68,"Вышло",$E$6:$E$68,"БОТ")+SUMIFS($M$6:$M$68,$I$6:$I$68,"Вышло",$E$6:$E$68,"Бот")+SUMIFS($M$6:$M$68,$I$6:$I$68,"Вышло",$E$6:$E$68,"бот")</f>
        <v>0</v>
      </c>
      <c r="C91" s="146" t="s">
        <v>731</v>
      </c>
      <c r="D91" s="148">
        <f>0</f>
        <v>0</v>
      </c>
      <c r="E91" s="147" t="str">
        <f>IF((0)=0,"—",ROUND((SUMIFS($M$6:$M$68,$I$6:$I$68,"Вышло",$E$6:$E$68,"БОТ")+SUMIFS($M$6:$M$68,$I$6:$I$68,"Вышло",$E$6:$E$68,"Бот")+SUMIFS($M$6:$M$68,$I$6:$I$68,"Вышло",$E$6:$E$68,"бот"))/(0),0))</f>
        <v>—</v>
      </c>
      <c r="F91" s="148">
        <f>COUNTIFS($I$6:$I$68,"Вышло",$E$6:$E$68,"БОТ")</f>
        <v>0</v>
      </c>
      <c r="G91" s="148">
        <f>SUMIFS($T$6:$T$68,$I$6:$I$68,"Вышло",$E$6:$E$68,"БОТ")+SUMIFS($T$6:$T$68,$I$6:$I$68,"Вышло",$E$6:$E$68,"Бот")+SUMIFS($T$6:$T$68,$I$6:$I$68,"Вышло",$E$6:$E$68,"бот")</f>
        <v>0</v>
      </c>
      <c r="H91" s="146" t="s">
        <v>887</v>
      </c>
      <c r="I91" s="145"/>
      <c r="J91" s="145"/>
      <c r="K91" s="145"/>
      <c r="L91" s="145"/>
      <c r="M91" s="145"/>
      <c r="N91" s="145"/>
      <c r="O91" s="145"/>
      <c r="P91" s="3"/>
      <c r="Q91" s="3"/>
      <c r="R91" s="3"/>
      <c r="S91" s="3"/>
      <c r="T91" s="3"/>
      <c r="U91" s="155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ht="27.75" customHeight="1">
      <c r="A92" s="146" t="s">
        <v>888</v>
      </c>
      <c r="B92" s="147">
        <f>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</f>
        <v>0</v>
      </c>
      <c r="C92" s="146" t="s">
        <v>730</v>
      </c>
      <c r="D92" s="148">
        <f>SUMIFS($V$6:$V$68,$I$6:$I$68,"Вышло",$E$6:$E$68,"Сайт")+SUMIFS($V$6:$V$68,$I$6:$I$68,"Вышло",$E$6:$E$68,"сайт")</f>
        <v>0</v>
      </c>
      <c r="E92" s="147" t="str">
        <f>IF((SUMIFS($V$6:$V$68,$I$6:$I$68,"Вышло",$E$6:$E$68,"Сайт")+SUMIFS($V$6:$V$68,$I$6:$I$68,"Вышло",$E$6:$E$68,"сайт"))=0,"—",ROUND(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)/(SUMIFS($V$6:$V$68,$I$6:$I$68,"Вышло",$E$6:$E$68,"Сайт")+SUMIFS($V$6:$V$68,$I$6:$I$68,"Вышло",$E$6:$E$68,"сайт")),0))</f>
        <v>—</v>
      </c>
      <c r="F92" s="148">
        <f>COUNTIFS($I$6:$I$68,"Вышло",$E$6:$E$68,"Сайт",$V$6:$V$68,"&gt;0")+COUNTIFS($I$6:$I$68,"Вышло",$E$6:$E$68,"Сайт",$V$6:$V$68,"&lt;=0",$P$6:$P$68,"&lt;&gt;")</f>
        <v>0</v>
      </c>
      <c r="G92" s="148">
        <f>SUMIFS($T$6:$T$68,$I$6:$I$68,"Вышло",$E$6:$E$68,"Сайт")+SUMIFS($T$6:$T$68,$I$6:$I$68,"Вышло",$E$6:$E$68,"сайт")</f>
        <v>0</v>
      </c>
      <c r="H92" s="146" t="s">
        <v>889</v>
      </c>
      <c r="I92" s="145"/>
      <c r="J92" s="145"/>
      <c r="K92" s="145"/>
      <c r="L92" s="145"/>
      <c r="M92" s="145"/>
      <c r="N92" s="145"/>
      <c r="O92" s="145"/>
      <c r="P92" s="3"/>
      <c r="Q92" s="3"/>
      <c r="R92" s="3"/>
      <c r="S92" s="3"/>
      <c r="T92" s="3"/>
      <c r="U92" s="155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ht="27.75" customHeight="1">
      <c r="A93" s="146" t="s">
        <v>890</v>
      </c>
      <c r="B93" s="147">
        <f>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</f>
        <v>0</v>
      </c>
      <c r="C93" s="146" t="s">
        <v>730</v>
      </c>
      <c r="D93" s="148">
        <f>SUMIFS($V$6:$V$68,$I$6:$I$68,"Вышло",$E$6:$E$68,"Ozon")+SUMIFS($V$6:$V$68,$I$6:$I$68,"Вышло",$E$6:$E$68,"OZON")+SUMIFS($V$6:$V$68,$I$6:$I$68,"Вышло",$E$6:$E$68,"Озон")+SUMIFS($V$6:$V$68,$I$6:$I$68,"Вышло",$E$6:$E$68,"озон")</f>
        <v>0</v>
      </c>
      <c r="E93" s="147" t="str">
        <f>IF((SUMIFS($V$6:$V$68,$I$6:$I$68,"Вышло",$E$6:$E$68,"Ozon")+SUMIFS($V$6:$V$68,$I$6:$I$68,"Вышло",$E$6:$E$68,"OZON")+SUMIFS($V$6:$V$68,$I$6:$I$68,"Вышло",$E$6:$E$68,"Озон")+SUMIFS($V$6:$V$68,$I$6:$I$68,"Вышло",$E$6:$E$68,"озон"))=0,"—",ROUND((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/(SUMIFS($V$6:$V$68,$I$6:$I$68,"Вышло",$E$6:$E$68,"Ozon")+SUMIFS($V$6:$V$68,$I$6:$I$68,"Вышло",$E$6:$E$68,"OZON")+SUMIFS($V$6:$V$68,$I$6:$I$68,"Вышло",$E$6:$E$68,"Озон")+SUMIFS($V$6:$V$68,$I$6:$I$68,"Вышло",$E$6:$E$68,"озон")),0))</f>
        <v>—</v>
      </c>
      <c r="F93" s="148">
        <f>COUNTIFS($I$6:$I$68,"Вышло",$E$6:$E$68,"Ozon",$V$6:$V$68,"&gt;0")+COUNTIFS($I$6:$I$68,"Вышло",$E$6:$E$68,"Озон",$V$6:$V$68,"&gt;0")+COUNTIFS($I$6:$I$68,"Вышло",$E$6:$E$68,"Ozon",$V$6:$V$68,"&lt;=0",$P$6:$P$68,"&lt;&gt;")+COUNTIFS($I$6:$I$68,"Вышло",$E$6:$E$68,"Озон",$V$6:$V$68,"&lt;=0",$P$6:$P$68,"&lt;&gt;")</f>
        <v>0</v>
      </c>
      <c r="G93" s="148">
        <f>SUMIFS($T$6:$T$68,$I$6:$I$68,"Вышло",$E$6:$E$68,"Ozon")+SUMIFS($T$6:$T$68,$I$6:$I$68,"Вышло",$E$6:$E$68,"OZON")+SUMIFS($T$6:$T$68,$I$6:$I$68,"Вышло",$E$6:$E$68,"Озон")+SUMIFS($T$6:$T$68,$I$6:$I$68,"Вышло",$E$6:$E$68,"озон")</f>
        <v>0</v>
      </c>
      <c r="H93" s="146" t="s">
        <v>891</v>
      </c>
      <c r="I93" s="145"/>
      <c r="J93" s="145"/>
      <c r="K93" s="145"/>
      <c r="L93" s="145"/>
      <c r="M93" s="145"/>
      <c r="N93" s="145"/>
      <c r="O93" s="145"/>
      <c r="P93" s="3"/>
      <c r="Q93" s="3"/>
      <c r="R93" s="3"/>
      <c r="S93" s="3"/>
      <c r="T93" s="3"/>
      <c r="U93" s="155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ht="27.75" customHeight="1">
      <c r="A94" s="146" t="s">
        <v>892</v>
      </c>
      <c r="B94" s="147">
        <f>SUMIFS($M$6:$M$68,$I$6:$I$68,"Вышло",$E$6:$E$68,"WB")+SUMIFS($M$6:$M$68,$I$6:$I$68,"Вышло",$E$6:$E$68,"ВБ")-(SUMIFS($M$6:$M$68,$I$6:$I$68,"Вышло",$E$6:$E$68,"WB",$W$6:$W$68,"&lt;=0",$V$6:$V$68,"&gt;0")+SUMIFS($M$6:$M$68,$I$6:$I$68,"Вышло",$E$6:$E$68,"ВБ",$W$6:$W$68,"&lt;=0",$V$6:$V$68,"&gt;0"))</f>
        <v>0</v>
      </c>
      <c r="C94" s="146" t="s">
        <v>851</v>
      </c>
      <c r="D94" s="148">
        <f>SUMIFS($W$6:$W$68,$I$6:$I$68,"Вышло",$E$6:$E$68,"WB")+SUMIFS($W$6:$W$68,$I$6:$I$68,"Вышло",$E$6:$E$68,"ВБ")</f>
        <v>0</v>
      </c>
      <c r="E94" s="147" t="str">
        <f>IF((SUMIFS($W$6:$W$68,$I$6:$I$68,"Вышло",$E$6:$E$68,"WB")+SUMIFS($W$6:$W$68,$I$6:$I$68,"Вышло",$E$6:$E$68,"ВБ"))=0,"—",ROUND((SUMIFS($M$6:$M$68,$I$6:$I$68,"Вышло",$E$6:$E$68,"WB")+SUMIFS($M$6:$M$68,$I$6:$I$68,"Вышло",$E$6:$E$68,"ВБ")-(SUMIFS($M$6:$M$68,$I$6:$I$68,"Вышло",$E$6:$E$68,"WB",$W$6:$W$68,"&lt;=0",$V$6:$V$68,"&gt;0")+SUMIFS($M$6:$M$68,$I$6:$I$68,"Вышло",$E$6:$E$68,"ВБ",$W$6:$W$68,"&lt;=0",$V$6:$V$68,"&gt;0")))/(SUMIFS($W$6:$W$68,$I$6:$I$68,"Вышло",$E$6:$E$68,"WB")+SUMIFS($W$6:$W$68,$I$6:$I$68,"Вышло",$E$6:$E$68,"ВБ")),0))</f>
        <v>—</v>
      </c>
      <c r="F94" s="148">
        <f>COUNTIFS($I$6:$I$68,"Вышло",$E$6:$E$68,"WB")+COUNTIFS($I$6:$I$68,"Вышло",$E$6:$E$68,"ВБ")-(COUNTIFS($I$6:$I$68,"Вышло",$E$6:$E$68,"WB",$W$6:$W$68,"&lt;=0",$V$6:$V$68,"&gt;0")+COUNTIFS($I$6:$I$68,"Вышло",$E$6:$E$68,"ВБ",$W$6:$W$68,"&lt;=0",$V$6:$V$68,"&gt;0"))</f>
        <v>0</v>
      </c>
      <c r="G94" s="148">
        <f>SUMIFS($T$6:$T$68,$I$6:$I$68,"Вышло",$E$6:$E$68,"WB")+SUMIFS($T$6:$T$68,$I$6:$I$68,"Вышло",$E$6:$E$68,"ВБ")-(SUMIFS($T$6:$T$68,$I$6:$I$68,"Вышло",$E$6:$E$68,"WB",$W$6:$W$68,"&lt;=0",$V$6:$V$68,"&gt;0")+SUMIFS($T$6:$T$68,$I$6:$I$68,"Вышло",$E$6:$E$68,"ВБ",$W$6:$W$68,"&lt;=0",$V$6:$V$68,"&gt;0"))</f>
        <v>0</v>
      </c>
      <c r="H94" s="146" t="s">
        <v>893</v>
      </c>
      <c r="I94" s="145"/>
      <c r="J94" s="145"/>
      <c r="K94" s="145"/>
      <c r="L94" s="145"/>
      <c r="M94" s="145"/>
      <c r="N94" s="145"/>
      <c r="O94" s="145"/>
      <c r="P94" s="3"/>
      <c r="Q94" s="3"/>
      <c r="R94" s="3"/>
      <c r="S94" s="3"/>
      <c r="T94" s="3"/>
      <c r="U94" s="155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ht="27.75" customHeight="1">
      <c r="A95" s="146" t="s">
        <v>894</v>
      </c>
      <c r="B95" s="147">
        <f>SUMIFS($M$6:$M$68,$I$6:$I$68,"Вышло",$E$6:$E$68,"Сайт")+SUMIFS($M$6:$M$68,$I$6:$I$68,"Вышло",$E$6:$E$68,"сайт")-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)-(SUMIFS($M$6:$M$68,$I$6:$I$68,"Вышло",$E$6:$E$68,"Сайт",$V$6:$V$68,"&lt;=0",$W$6:$W$68,"&gt;0")+SUMIFS($M$6:$M$68,$I$6:$I$68,"Вышло",$E$6:$E$68,"сайт",$V$6:$V$68,"&lt;=0",$W$6:$W$68,"&gt;0")-(SUMIFS($M$6:$M$68,$I$6:$I$68,"Вышло",$E$6:$E$68,"Сайт",$V$6:$V$68,"&lt;=0",$W$6:$W$68,"&gt;0",$P$6:$P$68,"&lt;&gt;")+SUMIFS($M$6:$M$68,$I$6:$I$68,"Вышло",$E$6:$E$68,"сайт",$V$6:$V$68,"&lt;=0",$W$6:$W$68,"&gt;0",$P$6:$P$68,"&lt;&gt;")))+SUMIFS($M$6:$M$68,$I$6:$I$68,"Вышло",$E$6:$E$68,"Ozon")+SUMIFS($M$6:$M$68,$I$6:$I$68,"Вышло",$E$6:$E$68,"OZON")+SUMIFS($M$6:$M$68,$I$6:$I$68,"Вышло",$E$6:$E$68,"Озон")+SUMIFS($M$6:$M$68,$I$6:$I$68,"Вышло",$E$6:$E$68,"озон")-(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-(SUMIFS($M$6:$M$68,$I$6:$I$68,"Вышло",$E$6:$E$68,"Ozon",$V$6:$V$68,"&lt;=0",$W$6:$W$68,"&gt;0")+SUMIFS($M$6:$M$68,$I$6:$I$68,"Вышло",$E$6:$E$68,"OZON",$V$6:$V$68,"&lt;=0",$W$6:$W$68,"&gt;0")+SUMIFS($M$6:$M$68,$I$6:$I$68,"Вышло",$E$6:$E$68,"Озон",$V$6:$V$68,"&lt;=0",$W$6:$W$68,"&gt;0")+SUMIFS($M$6:$M$68,$I$6:$I$68,"Вышло",$E$6:$E$68,"озон",$V$6:$V$68,"&lt;=0",$W$6:$W$68,"&gt;0")-(SUMIFS($M$6:$M$68,$I$6:$I$68,"Вышло",$E$6:$E$68,"Ozon",$V$6:$V$68,"&lt;=0",$W$6:$W$68,"&gt;0",$P$6:$P$68,"&lt;&gt;")+SUMIFS($M$6:$M$68,$I$6:$I$68,"Вышло",$E$6:$E$68,"OZON",$V$6:$V$68,"&lt;=0",$W$6:$W$68,"&gt;0",$P$6:$P$68,"&lt;&gt;")+SUMIFS($M$6:$M$68,$I$6:$I$68,"Вышло",$E$6:$E$68,"Озон",$V$6:$V$68,"&lt;=0",$W$6:$W$68,"&gt;0",$P$6:$P$68,"&lt;&gt;")+SUMIFS($M$6:$M$68,$I$6:$I$68,"Вышло",$E$6:$E$68,"озон",$V$6:$V$68,"&lt;=0",$W$6:$W$68,"&gt;0",$P$6:$P$68,"&lt;&gt;")))</f>
        <v>0</v>
      </c>
      <c r="C95" s="146" t="s">
        <v>656</v>
      </c>
      <c r="D95" s="148">
        <f>SUMIFS($Z$6:$Z$68,$I$6:$I$68,"Вышло",$E$6:$E$68,"Сайт")+SUMIFS($Z$6:$Z$68,$I$6:$I$68,"Вышло",$E$6:$E$68,"сайт")-(SUMIFS($Z$6:$Z$68,$I$6:$I$68,"Вышло",$E$6:$E$68,"Сайт")+SUMIFS($Z$6:$Z$68,$I$6:$I$68,"Вышло",$E$6:$E$68,"сайт"))-(SUMIFS($Z$6:$Z$68,$I$6:$I$68,"Вышло",$E$6:$E$68,"Сайт",$V$6:$V$68,"&lt;=0",$W$6:$W$68,"&gt;0")+SUMIFS($Z$6:$Z$68,$I$6:$I$68,"Вышло",$E$6:$E$68,"сайт",$V$6:$V$68,"&lt;=0",$W$6:$W$68,"&gt;0")-(SUMIFS($Z$6:$Z$68,$I$6:$I$68,"Вышло",$E$6:$E$68,"Сайт",$V$6:$V$68,"&lt;=0",$W$6:$W$68,"&gt;0",$P$6:$P$68,"&lt;&gt;")+SUMIFS($Z$6:$Z$68,$I$6:$I$68,"Вышло",$E$6:$E$68,"сайт",$V$6:$V$68,"&lt;=0",$W$6:$W$68,"&gt;0",$P$6:$P$68,"&lt;&gt;")))+SUMIFS($Z$6:$Z$68,$I$6:$I$68,"Вышло",$E$6:$E$68,"Ozon")+SUMIFS($Z$6:$Z$68,$I$6:$I$68,"Вышло",$E$6:$E$68,"OZON")+SUMIFS($Z$6:$Z$68,$I$6:$I$68,"Вышло",$E$6:$E$68,"Озон")+SUMIFS($Z$6:$Z$68,$I$6:$I$68,"Вышло",$E$6:$E$68,"озон")-(SUMIFS($Z$6:$Z$68,$I$6:$I$68,"Вышло",$E$6:$E$68,"Ozon")+SUMIFS($Z$6:$Z$68,$I$6:$I$68,"Вышло",$E$6:$E$68,"OZON")+SUMIFS($Z$6:$Z$68,$I$6:$I$68,"Вышло",$E$6:$E$68,"Озон")+SUMIFS($Z$6:$Z$68,$I$6:$I$68,"Вышло",$E$6:$E$68,"озон"))-(SUMIFS($Z$6:$Z$68,$I$6:$I$68,"Вышло",$E$6:$E$68,"Ozon",$V$6:$V$68,"&lt;=0",$W$6:$W$68,"&gt;0")+SUMIFS($Z$6:$Z$68,$I$6:$I$68,"Вышло",$E$6:$E$68,"OZON",$V$6:$V$68,"&lt;=0",$W$6:$W$68,"&gt;0")+SUMIFS($Z$6:$Z$68,$I$6:$I$68,"Вышло",$E$6:$E$68,"Озон",$V$6:$V$68,"&lt;=0",$W$6:$W$68,"&gt;0")+SUMIFS($Z$6:$Z$68,$I$6:$I$68,"Вышло",$E$6:$E$68,"озон",$V$6:$V$68,"&lt;=0",$W$6:$W$68,"&gt;0")-(SUMIFS($Z$6:$Z$68,$I$6:$I$68,"Вышло",$E$6:$E$68,"Ozon",$V$6:$V$68,"&lt;=0",$W$6:$W$68,"&gt;0",$P$6:$P$68,"&lt;&gt;")+SUMIFS($Z$6:$Z$68,$I$6:$I$68,"Вышло",$E$6:$E$68,"OZON",$V$6:$V$68,"&lt;=0",$W$6:$W$68,"&gt;0",$P$6:$P$68,"&lt;&gt;")+SUMIFS($Z$6:$Z$68,$I$6:$I$68,"Вышло",$E$6:$E$68,"Озон",$V$6:$V$68,"&lt;=0",$W$6:$W$68,"&gt;0",$P$6:$P$68,"&lt;&gt;")+SUMIFS($Z$6:$Z$68,$I$6:$I$68,"Вышло",$E$6:$E$68,"озон",$V$6:$V$68,"&lt;=0",$W$6:$W$68,"&gt;0",$P$6:$P$68,"&lt;&gt;")))</f>
        <v>0</v>
      </c>
      <c r="E95" s="147" t="str">
        <f>IF((SUMIFS($Z$6:$Z$68,$I$6:$I$68,"Вышло",$E$6:$E$68,"Сайт")+SUMIFS($Z$6:$Z$68,$I$6:$I$68,"Вышло",$E$6:$E$68,"сайт")-(SUMIFS($Z$6:$Z$68,$I$6:$I$68,"Вышло",$E$6:$E$68,"Сайт")+SUMIFS($Z$6:$Z$68,$I$6:$I$68,"Вышло",$E$6:$E$68,"сайт"))-(SUMIFS($Z$6:$Z$68,$I$6:$I$68,"Вышло",$E$6:$E$68,"Сайт",$V$6:$V$68,"&lt;=0",$W$6:$W$68,"&gt;0")+SUMIFS($Z$6:$Z$68,$I$6:$I$68,"Вышло",$E$6:$E$68,"сайт",$V$6:$V$68,"&lt;=0",$W$6:$W$68,"&gt;0")-(SUMIFS($Z$6:$Z$68,$I$6:$I$68,"Вышло",$E$6:$E$68,"Сайт",$V$6:$V$68,"&lt;=0",$W$6:$W$68,"&gt;0",$P$6:$P$68,"&lt;&gt;")+SUMIFS($Z$6:$Z$68,$I$6:$I$68,"Вышло",$E$6:$E$68,"сайт",$V$6:$V$68,"&lt;=0",$W$6:$W$68,"&gt;0",$P$6:$P$68,"&lt;&gt;")))+SUMIFS($Z$6:$Z$68,$I$6:$I$68,"Вышло",$E$6:$E$68,"Ozon")+SUMIFS($Z$6:$Z$68,$I$6:$I$68,"Вышло",$E$6:$E$68,"OZON")+SUMIFS($Z$6:$Z$68,$I$6:$I$68,"Вышло",$E$6:$E$68,"Озон")+SUMIFS($Z$6:$Z$68,$I$6:$I$68,"Вышло",$E$6:$E$68,"озон")-(SUMIFS($Z$6:$Z$68,$I$6:$I$68,"Вышло",$E$6:$E$68,"Ozon")+SUMIFS($Z$6:$Z$68,$I$6:$I$68,"Вышло",$E$6:$E$68,"OZON")+SUMIFS($Z$6:$Z$68,$I$6:$I$68,"Вышло",$E$6:$E$68,"Озон")+SUMIFS($Z$6:$Z$68,$I$6:$I$68,"Вышло",$E$6:$E$68,"озон"))-(SUMIFS($Z$6:$Z$68,$I$6:$I$68,"Вышло",$E$6:$E$68,"Ozon",$V$6:$V$68,"&lt;=0",$W$6:$W$68,"&gt;0")+SUMIFS($Z$6:$Z$68,$I$6:$I$68,"Вышло",$E$6:$E$68,"OZON",$V$6:$V$68,"&lt;=0",$W$6:$W$68,"&gt;0")+SUMIFS($Z$6:$Z$68,$I$6:$I$68,"Вышло",$E$6:$E$68,"Озон",$V$6:$V$68,"&lt;=0",$W$6:$W$68,"&gt;0")+SUMIFS($Z$6:$Z$68,$I$6:$I$68,"Вышло",$E$6:$E$68,"озон",$V$6:$V$68,"&lt;=0",$W$6:$W$68,"&gt;0")-(SUMIFS($Z$6:$Z$68,$I$6:$I$68,"Вышло",$E$6:$E$68,"Ozon",$V$6:$V$68,"&lt;=0",$W$6:$W$68,"&gt;0",$P$6:$P$68,"&lt;&gt;")+SUMIFS($Z$6:$Z$68,$I$6:$I$68,"Вышло",$E$6:$E$68,"OZON",$V$6:$V$68,"&lt;=0",$W$6:$W$68,"&gt;0",$P$6:$P$68,"&lt;&gt;")+SUMIFS($Z$6:$Z$68,$I$6:$I$68,"Вышло",$E$6:$E$68,"Озон",$V$6:$V$68,"&lt;=0",$W$6:$W$68,"&gt;0",$P$6:$P$68,"&lt;&gt;")+SUMIFS($Z$6:$Z$68,$I$6:$I$68,"Вышло",$E$6:$E$68,"озон",$V$6:$V$68,"&lt;=0",$W$6:$W$68,"&gt;0",$P$6:$P$68,"&lt;&gt;"))))=0,"—",ROUND((SUMIFS($M$6:$M$68,$I$6:$I$68,"Вышло",$E$6:$E$68,"Сайт")+SUMIFS($M$6:$M$68,$I$6:$I$68,"Вышло",$E$6:$E$68,"сайт")-(SUMIFS($M$6:$M$68,$I$6:$I$68,"Вышло",$E$6:$E$68,"Сайт",$V$6:$V$68,"&gt;0")+SUMIFS($M$6:$M$68,$I$6:$I$68,"Вышло",$E$6:$E$68,"сайт",$V$6:$V$68,"&gt;0")+SUMIFS($M$6:$M$68,$I$6:$I$68,"Вышло",$E$6:$E$68,"Сайт",$V$6:$V$68,"&lt;=0",$P$6:$P$68,"&lt;&gt;")+SUMIFS($M$6:$M$68,$I$6:$I$68,"Вышло",$E$6:$E$68,"сайт",$V$6:$V$68,"&lt;=0",$P$6:$P$68,"&lt;&gt;"))-(SUMIFS($M$6:$M$68,$I$6:$I$68,"Вышло",$E$6:$E$68,"Сайт",$V$6:$V$68,"&lt;=0",$W$6:$W$68,"&gt;0")+SUMIFS($M$6:$M$68,$I$6:$I$68,"Вышло",$E$6:$E$68,"сайт",$V$6:$V$68,"&lt;=0",$W$6:$W$68,"&gt;0")-(SUMIFS($M$6:$M$68,$I$6:$I$68,"Вышло",$E$6:$E$68,"Сайт",$V$6:$V$68,"&lt;=0",$W$6:$W$68,"&gt;0",$P$6:$P$68,"&lt;&gt;")+SUMIFS($M$6:$M$68,$I$6:$I$68,"Вышло",$E$6:$E$68,"сайт",$V$6:$V$68,"&lt;=0",$W$6:$W$68,"&gt;0",$P$6:$P$68,"&lt;&gt;")))+SUMIFS($M$6:$M$68,$I$6:$I$68,"Вышло",$E$6:$E$68,"Ozon")+SUMIFS($M$6:$M$68,$I$6:$I$68,"Вышло",$E$6:$E$68,"OZON")+SUMIFS($M$6:$M$68,$I$6:$I$68,"Вышло",$E$6:$E$68,"Озон")+SUMIFS($M$6:$M$68,$I$6:$I$68,"Вышло",$E$6:$E$68,"озон")-(SUMIFS($M$6:$M$68,$I$6:$I$68,"Вышло",$E$6:$E$68,"Ozon",$V$6:$V$68,"&gt;0")+SUMIFS($M$6:$M$68,$I$6:$I$68,"Вышло",$E$6:$E$68,"OZON",$V$6:$V$68,"&gt;0")+SUMIFS($M$6:$M$68,$I$6:$I$68,"Вышло",$E$6:$E$68,"Озон",$V$6:$V$68,"&gt;0")+SUMIFS($M$6:$M$68,$I$6:$I$68,"Вышло",$E$6:$E$68,"озон",$V$6:$V$68,"&gt;0")+SUMIFS($M$6:$M$68,$I$6:$I$68,"Вышло",$E$6:$E$68,"Ozon",$V$6:$V$68,"&lt;=0",$P$6:$P$68,"&lt;&gt;")+SUMIFS($M$6:$M$68,$I$6:$I$68,"Вышло",$E$6:$E$68,"OZON",$V$6:$V$68,"&lt;=0",$P$6:$P$68,"&lt;&gt;")+SUMIFS($M$6:$M$68,$I$6:$I$68,"Вышло",$E$6:$E$68,"Озон",$V$6:$V$68,"&lt;=0",$P$6:$P$68,"&lt;&gt;")+SUMIFS($M$6:$M$68,$I$6:$I$68,"Вышло",$E$6:$E$68,"озон",$V$6:$V$68,"&lt;=0",$P$6:$P$68,"&lt;&gt;"))-(SUMIFS($M$6:$M$68,$I$6:$I$68,"Вышло",$E$6:$E$68,"Ozon",$V$6:$V$68,"&lt;=0",$W$6:$W$68,"&gt;0")+SUMIFS($M$6:$M$68,$I$6:$I$68,"Вышло",$E$6:$E$68,"OZON",$V$6:$V$68,"&lt;=0",$W$6:$W$68,"&gt;0")+SUMIFS($M$6:$M$68,$I$6:$I$68,"Вышло",$E$6:$E$68,"Озон",$V$6:$V$68,"&lt;=0",$W$6:$W$68,"&gt;0")+SUMIFS($M$6:$M$68,$I$6:$I$68,"Вышло",$E$6:$E$68,"озон",$V$6:$V$68,"&lt;=0",$W$6:$W$68,"&gt;0")-(SUMIFS($M$6:$M$68,$I$6:$I$68,"Вышло",$E$6:$E$68,"Ozon",$V$6:$V$68,"&lt;=0",$W$6:$W$68,"&gt;0",$P$6:$P$68,"&lt;&gt;")+SUMIFS($M$6:$M$68,$I$6:$I$68,"Вышло",$E$6:$E$68,"OZON",$V$6:$V$68,"&lt;=0",$W$6:$W$68,"&gt;0",$P$6:$P$68,"&lt;&gt;")+SUMIFS($M$6:$M$68,$I$6:$I$68,"Вышло",$E$6:$E$68,"Озон",$V$6:$V$68,"&lt;=0",$W$6:$W$68,"&gt;0",$P$6:$P$68,"&lt;&gt;")+SUMIFS($M$6:$M$68,$I$6:$I$68,"Вышло",$E$6:$E$68,"озон",$V$6:$V$68,"&lt;=0",$W$6:$W$68,"&gt;0",$P$6:$P$68,"&lt;&gt;"))))/(SUMIFS($Z$6:$Z$68,$I$6:$I$68,"Вышло",$E$6:$E$68,"Сайт")+SUMIFS($Z$6:$Z$68,$I$6:$I$68,"Вышло",$E$6:$E$68,"сайт")-(SUMIFS($Z$6:$Z$68,$I$6:$I$68,"Вышло",$E$6:$E$68,"Сайт")+SUMIFS($Z$6:$Z$68,$I$6:$I$68,"Вышло",$E$6:$E$68,"сайт"))-(SUMIFS($Z$6:$Z$68,$I$6:$I$68,"Вышло",$E$6:$E$68,"Сайт",$V$6:$V$68,"&lt;=0",$W$6:$W$68,"&gt;0")+SUMIFS($Z$6:$Z$68,$I$6:$I$68,"Вышло",$E$6:$E$68,"сайт",$V$6:$V$68,"&lt;=0",$W$6:$W$68,"&gt;0")-(SUMIFS($Z$6:$Z$68,$I$6:$I$68,"Вышло",$E$6:$E$68,"Сайт",$V$6:$V$68,"&lt;=0",$W$6:$W$68,"&gt;0",$P$6:$P$68,"&lt;&gt;")+SUMIFS($Z$6:$Z$68,$I$6:$I$68,"Вышло",$E$6:$E$68,"сайт",$V$6:$V$68,"&lt;=0",$W$6:$W$68,"&gt;0",$P$6:$P$68,"&lt;&gt;")))+SUMIFS($Z$6:$Z$68,$I$6:$I$68,"Вышло",$E$6:$E$68,"Ozon")+SUMIFS($Z$6:$Z$68,$I$6:$I$68,"Вышло",$E$6:$E$68,"OZON")+SUMIFS($Z$6:$Z$68,$I$6:$I$68,"Вышло",$E$6:$E$68,"Озон")+SUMIFS($Z$6:$Z$68,$I$6:$I$68,"Вышло",$E$6:$E$68,"озон")-(SUMIFS($Z$6:$Z$68,$I$6:$I$68,"Вышло",$E$6:$E$68,"Ozon")+SUMIFS($Z$6:$Z$68,$I$6:$I$68,"Вышло",$E$6:$E$68,"OZON")+SUMIFS($Z$6:$Z$68,$I$6:$I$68,"Вышло",$E$6:$E$68,"Озон")+SUMIFS($Z$6:$Z$68,$I$6:$I$68,"Вышло",$E$6:$E$68,"озон"))-(SUMIFS($Z$6:$Z$68,$I$6:$I$68,"Вышло",$E$6:$E$68,"Ozon",$V$6:$V$68,"&lt;=0",$W$6:$W$68,"&gt;0")+SUMIFS($Z$6:$Z$68,$I$6:$I$68,"Вышло",$E$6:$E$68,"OZON",$V$6:$V$68,"&lt;=0",$W$6:$W$68,"&gt;0")+SUMIFS($Z$6:$Z$68,$I$6:$I$68,"Вышло",$E$6:$E$68,"Озон",$V$6:$V$68,"&lt;=0",$W$6:$W$68,"&gt;0")+SUMIFS($Z$6:$Z$68,$I$6:$I$68,"Вышло",$E$6:$E$68,"озон",$V$6:$V$68,"&lt;=0",$W$6:$W$68,"&gt;0")-(SUMIFS($Z$6:$Z$68,$I$6:$I$68,"Вышло",$E$6:$E$68,"Ozon",$V$6:$V$68,"&lt;=0",$W$6:$W$68,"&gt;0",$P$6:$P$68,"&lt;&gt;")+SUMIFS($Z$6:$Z$68,$I$6:$I$68,"Вышло",$E$6:$E$68,"OZON",$V$6:$V$68,"&lt;=0",$W$6:$W$68,"&gt;0",$P$6:$P$68,"&lt;&gt;")+SUMIFS($Z$6:$Z$68,$I$6:$I$68,"Вышло",$E$6:$E$68,"Озон",$V$6:$V$68,"&lt;=0",$W$6:$W$68,"&gt;0",$P$6:$P$68,"&lt;&gt;")+SUMIFS($Z$6:$Z$68,$I$6:$I$68,"Вышло",$E$6:$E$68,"озон",$V$6:$V$68,"&lt;=0",$W$6:$W$68,"&gt;0",$P$6:$P$68,"&lt;&gt;")))),0))</f>
        <v>—</v>
      </c>
      <c r="F95" s="148">
        <f>COUNTIFS($I$6:$I$68,"Вышло",$E$6:$E$68,"Сайт")-(COUNTIFS($I$6:$I$68,"Вышло",$E$6:$E$68,"Сайт",$V$6:$V$68,"&gt;0")+COUNTIFS($I$6:$I$68,"Вышло",$E$6:$E$68,"Сайт",$V$6:$V$68,"&lt;=0",$P$6:$P$68,"&lt;&gt;"))-(COUNTIFS($I$6:$I$68,"Вышло",$E$6:$E$68,"Сайт",$V$6:$V$68,"&lt;=0",$W$6:$W$68,"&gt;0")-(COUNTIFS($I$6:$I$68,"Вышло",$E$6:$E$68,"Сайт",$V$6:$V$68,"&lt;=0",$W$6:$W$68,"&gt;0",$P$6:$P$68,"&lt;&gt;")))+COUNTIFS($I$6:$I$68,"Вышло",$E$6:$E$68,"Ozon")+COUNTIFS($I$6:$I$68,"Вышло",$E$6:$E$68,"Озон")-(COUNTIFS($I$6:$I$68,"Вышло",$E$6:$E$68,"Ozon",$V$6:$V$68,"&gt;0")+COUNTIFS($I$6:$I$68,"Вышло",$E$6:$E$68,"Озон",$V$6:$V$68,"&gt;0")+COUNTIFS($I$6:$I$68,"Вышло",$E$6:$E$68,"Ozon",$V$6:$V$68,"&lt;=0",$P$6:$P$68,"&lt;&gt;")+COUNTIFS($I$6:$I$68,"Вышло",$E$6:$E$68,"Озон",$V$6:$V$68,"&lt;=0",$P$6:$P$68,"&lt;&gt;"))-(COUNTIFS($I$6:$I$68,"Вышло",$E$6:$E$68,"Ozon",$V$6:$V$68,"&lt;=0",$W$6:$W$68,"&gt;0")+COUNTIFS($I$6:$I$68,"Вышло",$E$6:$E$68,"Озон",$V$6:$V$68,"&lt;=0",$W$6:$W$68,"&gt;0")-(COUNTIFS($I$6:$I$68,"Вышло",$E$6:$E$68,"Ozon",$V$6:$V$68,"&lt;=0",$W$6:$W$68,"&gt;0",$P$6:$P$68,"&lt;&gt;")+COUNTIFS($I$6:$I$68,"Вышло",$E$6:$E$68,"Озон",$V$6:$V$68,"&lt;=0",$W$6:$W$68,"&gt;0",$P$6:$P$68,"&lt;&gt;")))</f>
        <v>0</v>
      </c>
      <c r="G95" s="148">
        <f>SUMIFS($T$6:$T$68,$I$6:$I$68,"Вышло",$E$6:$E$68,"Сайт")+SUMIFS($T$6:$T$68,$I$6:$I$68,"Вышло",$E$6:$E$68,"сайт")-(SUMIFS($T$6:$T$68,$I$6:$I$68,"Вышло",$E$6:$E$68,"Сайт")+SUMIFS($T$6:$T$68,$I$6:$I$68,"Вышло",$E$6:$E$68,"сайт"))-(SUMIFS($T$6:$T$68,$I$6:$I$68,"Вышло",$E$6:$E$68,"Сайт",$V$6:$V$68,"&lt;=0",$W$6:$W$68,"&gt;0")+SUMIFS($T$6:$T$68,$I$6:$I$68,"Вышло",$E$6:$E$68,"сайт",$V$6:$V$68,"&lt;=0",$W$6:$W$68,"&gt;0")-(SUMIFS($T$6:$T$68,$I$6:$I$68,"Вышло",$E$6:$E$68,"Сайт",$V$6:$V$68,"&lt;=0",$W$6:$W$68,"&gt;0",$P$6:$P$68,"&lt;&gt;")+SUMIFS($T$6:$T$68,$I$6:$I$68,"Вышло",$E$6:$E$68,"сайт",$V$6:$V$68,"&lt;=0",$W$6:$W$68,"&gt;0",$P$6:$P$68,"&lt;&gt;")))+SUMIFS($T$6:$T$68,$I$6:$I$68,"Вышло",$E$6:$E$68,"Ozon")+SUMIFS($T$6:$T$68,$I$6:$I$68,"Вышло",$E$6:$E$68,"OZON")+SUMIFS($T$6:$T$68,$I$6:$I$68,"Вышло",$E$6:$E$68,"Озон")+SUMIFS($T$6:$T$68,$I$6:$I$68,"Вышло",$E$6:$E$68,"озон")-(SUMIFS($T$6:$T$68,$I$6:$I$68,"Вышло",$E$6:$E$68,"Ozon")+SUMIFS($T$6:$T$68,$I$6:$I$68,"Вышло",$E$6:$E$68,"OZON")+SUMIFS($T$6:$T$68,$I$6:$I$68,"Вышло",$E$6:$E$68,"Озон")+SUMIFS($T$6:$T$68,$I$6:$I$68,"Вышло",$E$6:$E$68,"озон"))-(SUMIFS($T$6:$T$68,$I$6:$I$68,"Вышло",$E$6:$E$68,"Ozon",$V$6:$V$68,"&lt;=0",$W$6:$W$68,"&gt;0")+SUMIFS($T$6:$T$68,$I$6:$I$68,"Вышло",$E$6:$E$68,"OZON",$V$6:$V$68,"&lt;=0",$W$6:$W$68,"&gt;0")+SUMIFS($T$6:$T$68,$I$6:$I$68,"Вышло",$E$6:$E$68,"Озон",$V$6:$V$68,"&lt;=0",$W$6:$W$68,"&gt;0")+SUMIFS($T$6:$T$68,$I$6:$I$68,"Вышло",$E$6:$E$68,"озон",$V$6:$V$68,"&lt;=0",$W$6:$W$68,"&gt;0")-(SUMIFS($T$6:$T$68,$I$6:$I$68,"Вышло",$E$6:$E$68,"Ozon",$V$6:$V$68,"&lt;=0",$W$6:$W$68,"&gt;0",$P$6:$P$68,"&lt;&gt;")+SUMIFS($T$6:$T$68,$I$6:$I$68,"Вышло",$E$6:$E$68,"OZON",$V$6:$V$68,"&lt;=0",$W$6:$W$68,"&gt;0",$P$6:$P$68,"&lt;&gt;")+SUMIFS($T$6:$T$68,$I$6:$I$68,"Вышло",$E$6:$E$68,"Озон",$V$6:$V$68,"&lt;=0",$W$6:$W$68,"&gt;0",$P$6:$P$68,"&lt;&gt;")+SUMIFS($T$6:$T$68,$I$6:$I$68,"Вышло",$E$6:$E$68,"озон",$V$6:$V$68,"&lt;=0",$W$6:$W$68,"&gt;0",$P$6:$P$68,"&lt;&gt;")))</f>
        <v>0</v>
      </c>
      <c r="H95" s="146" t="s">
        <v>895</v>
      </c>
      <c r="I95" s="145"/>
      <c r="J95" s="145"/>
      <c r="K95" s="145"/>
      <c r="L95" s="145"/>
      <c r="M95" s="145"/>
      <c r="N95" s="145"/>
      <c r="O95" s="145"/>
      <c r="P95" s="3"/>
      <c r="Q95" s="3"/>
      <c r="R95" s="3"/>
      <c r="S95" s="3"/>
      <c r="T95" s="3"/>
      <c r="U95" s="155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ht="27.75" customHeight="1">
      <c r="A96" s="146" t="s">
        <v>896</v>
      </c>
      <c r="B96" s="147">
        <f>SUMIFS($M$6:$M$68,$I$6:$I$68,"Вышло")-(SUMIFS($M$6:$M$68,$I$6:$I$68,"Вышло",$E$6:$E$68,"БОТ")+SUMIFS($M$6:$M$68,$I$6:$I$68,"Вышло",$E$6:$E$68,"Бот")+SUMIFS($M$6:$M$68,$I$6:$I$68,"Вышло",$E$6:$E$68,"бот")+SUMIFS($M$6:$M$68,$I$6:$I$68,"Вышло",$E$6:$E$68,"WB")+SUMIFS($M$6:$M$68,$I$6:$I$68,"Вышло",$E$6:$E$68,"ВБ")+SUMIFS($M$6:$M$68,$I$6:$I$68,"Вышло",$E$6:$E$68,"Сайт")+SUMIFS($M$6:$M$68,$I$6:$I$68,"Вышло",$E$6:$E$68,"сайт")+SUMIFS($M$6:$M$68,$I$6:$I$68,"Вышло",$E$6:$E$68,"Ozon")+SUMIFS($M$6:$M$68,$I$6:$I$68,"Вышло",$E$6:$E$68,"OZON")+SUMIFS($M$6:$M$68,$I$6:$I$68,"Вышло",$E$6:$E$68,"Озон")+SUMIFS($M$6:$M$68,$I$6:$I$68,"Вышло",$E$6:$E$68,"озон"))+SUMIFS($M$6:$M$68,$I$6:$I$68,"Вышло",$E$6:$E$68,"WB",$W$6:$W$68,"&lt;=0",$V$6:$V$68,"&gt;0")+SUMIFS($M$6:$M$68,$I$6:$I$68,"Вышло",$E$6:$E$68,"ВБ",$W$6:$W$68,"&lt;=0",$V$6:$V$68,"&gt;0")+SUMIFS($M$6:$M$68,$I$6:$I$68,"Вышло",$E$6:$E$68,"Сайт",$V$6:$V$68,"&lt;=0",$W$6:$W$68,"&gt;0")+SUMIFS($M$6:$M$68,$I$6:$I$68,"Вышло",$E$6:$E$68,"сайт",$V$6:$V$68,"&lt;=0",$W$6:$W$68,"&gt;0")-(SUMIFS($M$6:$M$68,$I$6:$I$68,"Вышло",$E$6:$E$68,"Сайт",$V$6:$V$68,"&lt;=0",$W$6:$W$68,"&gt;0",$P$6:$P$68,"&lt;&gt;")+SUMIFS($M$6:$M$68,$I$6:$I$68,"Вышло",$E$6:$E$68,"сайт",$V$6:$V$68,"&lt;=0",$W$6:$W$68,"&gt;0",$P$6:$P$68,"&lt;&gt;"))+SUMIFS($M$6:$M$68,$I$6:$I$68,"Вышло",$E$6:$E$68,"Ozon",$V$6:$V$68,"&lt;=0",$W$6:$W$68,"&gt;0")+SUMIFS($M$6:$M$68,$I$6:$I$68,"Вышло",$E$6:$E$68,"OZON",$V$6:$V$68,"&lt;=0",$W$6:$W$68,"&gt;0")+SUMIFS($M$6:$M$68,$I$6:$I$68,"Вышло",$E$6:$E$68,"Озон",$V$6:$V$68,"&lt;=0",$W$6:$W$68,"&gt;0")+SUMIFS($M$6:$M$68,$I$6:$I$68,"Вышло",$E$6:$E$68,"озон",$V$6:$V$68,"&lt;=0",$W$6:$W$68,"&gt;0")-(SUMIFS($M$6:$M$68,$I$6:$I$68,"Вышло",$E$6:$E$68,"Ozon",$V$6:$V$68,"&lt;=0",$W$6:$W$68,"&gt;0",$P$6:$P$68,"&lt;&gt;")+SUMIFS($M$6:$M$68,$I$6:$I$68,"Вышло",$E$6:$E$68,"OZON",$V$6:$V$68,"&lt;=0",$W$6:$W$68,"&gt;0",$P$6:$P$68,"&lt;&gt;")+SUMIFS($M$6:$M$68,$I$6:$I$68,"Вышло",$E$6:$E$68,"Озон",$V$6:$V$68,"&lt;=0",$W$6:$W$68,"&gt;0",$P$6:$P$68,"&lt;&gt;")+SUMIFS($M$6:$M$68,$I$6:$I$68,"Вышло",$E$6:$E$68,"озон",$V$6:$V$68,"&lt;=0",$W$6:$W$68,"&gt;0",$P$6:$P$68,"&lt;&gt;"))</f>
        <v>0</v>
      </c>
      <c r="C96" s="146" t="s">
        <v>879</v>
      </c>
      <c r="D96" s="148" t="str">
        <f t="shared" ref="D96:E96" si="62">"—"</f>
        <v>—</v>
      </c>
      <c r="E96" s="147" t="str">
        <f t="shared" si="62"/>
        <v>—</v>
      </c>
      <c r="F96" s="148">
        <f>COUNTIFS($I$6:$I$68,"Вышло")-(COUNTIFS($I$6:$I$68,"Вышло",$E$6:$E$68,"БОТ")+COUNTIFS($I$6:$I$68,"Вышло",$E$6:$E$68,"WB")+COUNTIFS($I$6:$I$68,"Вышло",$E$6:$E$68,"ВБ")+COUNTIFS($I$6:$I$68,"Вышло",$E$6:$E$68,"Сайт")+COUNTIFS($I$6:$I$68,"Вышло",$E$6:$E$68,"Ozon")+COUNTIFS($I$6:$I$68,"Вышло",$E$6:$E$68,"Озон"))+COUNTIFS($I$6:$I$68,"Вышло",$E$6:$E$68,"WB",$W$6:$W$68,"&lt;=0",$V$6:$V$68,"&gt;0")+COUNTIFS($I$6:$I$68,"Вышло",$E$6:$E$68,"ВБ",$W$6:$W$68,"&lt;=0",$V$6:$V$68,"&gt;0")+COUNTIFS($I$6:$I$68,"Вышло",$E$6:$E$68,"Сайт",$V$6:$V$68,"&lt;=0",$W$6:$W$68,"&gt;0")-(COUNTIFS($I$6:$I$68,"Вышло",$E$6:$E$68,"Сайт",$V$6:$V$68,"&lt;=0",$W$6:$W$68,"&gt;0",$P$6:$P$68,"&lt;&gt;"))+COUNTIFS($I$6:$I$68,"Вышло",$E$6:$E$68,"Ozon",$V$6:$V$68,"&lt;=0",$W$6:$W$68,"&gt;0")+COUNTIFS($I$6:$I$68,"Вышло",$E$6:$E$68,"Озон",$V$6:$V$68,"&lt;=0",$W$6:$W$68,"&gt;0")-(COUNTIFS($I$6:$I$68,"Вышло",$E$6:$E$68,"Ozon",$V$6:$V$68,"&lt;=0",$W$6:$W$68,"&gt;0",$P$6:$P$68,"&lt;&gt;")+COUNTIFS($I$6:$I$68,"Вышло",$E$6:$E$68,"Озон",$V$6:$V$68,"&lt;=0",$W$6:$W$68,"&gt;0",$P$6:$P$68,"&lt;&gt;"))</f>
        <v>0</v>
      </c>
      <c r="G96" s="148">
        <f>SUMIFS($T$6:$T$68,$I$6:$I$68,"Вышло")-(SUMIFS($T$6:$T$68,$I$6:$I$68,"Вышло",$E$6:$E$68,"БОТ")+SUMIFS($T$6:$T$68,$I$6:$I$68,"Вышло",$E$6:$E$68,"Бот")+SUMIFS($T$6:$T$68,$I$6:$I$68,"Вышло",$E$6:$E$68,"бот")+SUMIFS($T$6:$T$68,$I$6:$I$68,"Вышло",$E$6:$E$68,"WB")+SUMIFS($T$6:$T$68,$I$6:$I$68,"Вышло",$E$6:$E$68,"ВБ")+SUMIFS($T$6:$T$68,$I$6:$I$68,"Вышло",$E$6:$E$68,"Сайт")+SUMIFS($T$6:$T$68,$I$6:$I$68,"Вышло",$E$6:$E$68,"сайт")+SUMIFS($T$6:$T$68,$I$6:$I$68,"Вышло",$E$6:$E$68,"Ozon")+SUMIFS($T$6:$T$68,$I$6:$I$68,"Вышло",$E$6:$E$68,"OZON")+SUMIFS($T$6:$T$68,$I$6:$I$68,"Вышло",$E$6:$E$68,"Озон")+SUMIFS($T$6:$T$68,$I$6:$I$68,"Вышло",$E$6:$E$68,"озон"))+SUMIFS($T$6:$T$68,$I$6:$I$68,"Вышло",$E$6:$E$68,"WB",$W$6:$W$68,"&lt;=0",$V$6:$V$68,"&gt;0")+SUMIFS($T$6:$T$68,$I$6:$I$68,"Вышло",$E$6:$E$68,"ВБ",$W$6:$W$68,"&lt;=0",$V$6:$V$68,"&gt;0")+SUMIFS($T$6:$T$68,$I$6:$I$68,"Вышло",$E$6:$E$68,"Сайт",$V$6:$V$68,"&lt;=0",$W$6:$W$68,"&gt;0")+SUMIFS($T$6:$T$68,$I$6:$I$68,"Вышло",$E$6:$E$68,"сайт",$V$6:$V$68,"&lt;=0",$W$6:$W$68,"&gt;0")-(SUMIFS($T$6:$T$68,$I$6:$I$68,"Вышло",$E$6:$E$68,"Сайт",$V$6:$V$68,"&lt;=0",$W$6:$W$68,"&gt;0",$P$6:$P$68,"&lt;&gt;")+SUMIFS($T$6:$T$68,$I$6:$I$68,"Вышло",$E$6:$E$68,"сайт",$V$6:$V$68,"&lt;=0",$W$6:$W$68,"&gt;0",$P$6:$P$68,"&lt;&gt;"))+SUMIFS($T$6:$T$68,$I$6:$I$68,"Вышло",$E$6:$E$68,"Ozon",$V$6:$V$68,"&lt;=0",$W$6:$W$68,"&gt;0")+SUMIFS($T$6:$T$68,$I$6:$I$68,"Вышло",$E$6:$E$68,"OZON",$V$6:$V$68,"&lt;=0",$W$6:$W$68,"&gt;0")+SUMIFS($T$6:$T$68,$I$6:$I$68,"Вышло",$E$6:$E$68,"Озон",$V$6:$V$68,"&lt;=0",$W$6:$W$68,"&gt;0")+SUMIFS($T$6:$T$68,$I$6:$I$68,"Вышло",$E$6:$E$68,"озон",$V$6:$V$68,"&lt;=0",$W$6:$W$68,"&gt;0")-(SUMIFS($T$6:$T$68,$I$6:$I$68,"Вышло",$E$6:$E$68,"Ozon",$V$6:$V$68,"&lt;=0",$W$6:$W$68,"&gt;0",$P$6:$P$68,"&lt;&gt;")+SUMIFS($T$6:$T$68,$I$6:$I$68,"Вышло",$E$6:$E$68,"OZON",$V$6:$V$68,"&lt;=0",$W$6:$W$68,"&gt;0",$P$6:$P$68,"&lt;&gt;")+SUMIFS($T$6:$T$68,$I$6:$I$68,"Вышло",$E$6:$E$68,"Озон",$V$6:$V$68,"&lt;=0",$W$6:$W$68,"&gt;0",$P$6:$P$68,"&lt;&gt;")+SUMIFS($T$6:$T$68,$I$6:$I$68,"Вышло",$E$6:$E$68,"озон",$V$6:$V$68,"&lt;=0",$W$6:$W$68,"&gt;0",$P$6:$P$68,"&lt;&gt;"))</f>
        <v>0</v>
      </c>
      <c r="H96" s="146" t="s">
        <v>897</v>
      </c>
      <c r="I96" s="145"/>
      <c r="J96" s="145"/>
      <c r="K96" s="145"/>
      <c r="L96" s="145"/>
      <c r="M96" s="145"/>
      <c r="N96" s="145"/>
      <c r="O96" s="145"/>
      <c r="P96" s="3"/>
      <c r="Q96" s="3"/>
      <c r="R96" s="3"/>
      <c r="S96" s="3"/>
      <c r="T96" s="3"/>
      <c r="U96" s="155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ht="15.75" customHeight="1">
      <c r="A97" s="142" t="s">
        <v>877</v>
      </c>
      <c r="B97" s="143">
        <f>SUM(B91:B96)</f>
        <v>0</v>
      </c>
      <c r="C97" s="142" t="s">
        <v>879</v>
      </c>
      <c r="D97" s="144" t="s">
        <v>879</v>
      </c>
      <c r="E97" s="143" t="s">
        <v>879</v>
      </c>
      <c r="F97" s="144">
        <f t="shared" ref="F97:G97" si="63">SUM(F91:F96)</f>
        <v>0</v>
      </c>
      <c r="G97" s="144">
        <f t="shared" si="63"/>
        <v>0</v>
      </c>
      <c r="H97" s="142"/>
      <c r="I97" s="145"/>
      <c r="J97" s="145"/>
      <c r="K97" s="145"/>
      <c r="L97" s="145"/>
      <c r="M97" s="145"/>
      <c r="N97" s="145"/>
      <c r="O97" s="145"/>
      <c r="P97" s="3"/>
      <c r="Q97" s="3"/>
      <c r="R97" s="3"/>
      <c r="S97" s="3"/>
      <c r="T97" s="3"/>
      <c r="U97" s="155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ht="15.75" customHeight="1">
      <c r="A98" s="145"/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3"/>
      <c r="Q98" s="3"/>
      <c r="R98" s="3"/>
      <c r="S98" s="3"/>
      <c r="T98" s="3"/>
      <c r="U98" s="155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ht="15.75" customHeight="1">
      <c r="A99" s="137" t="s">
        <v>1738</v>
      </c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3"/>
      <c r="Q99" s="3"/>
      <c r="R99" s="3"/>
      <c r="S99" s="3"/>
      <c r="T99" s="3"/>
      <c r="U99" s="155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ht="15.75" customHeight="1">
      <c r="A100" s="138" t="s">
        <v>899</v>
      </c>
      <c r="B100" s="138" t="s">
        <v>780</v>
      </c>
      <c r="C100" s="138" t="s">
        <v>12</v>
      </c>
      <c r="D100" s="145"/>
      <c r="E100" s="145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3"/>
      <c r="Q100" s="3"/>
      <c r="R100" s="3"/>
      <c r="S100" s="3"/>
      <c r="T100" s="3"/>
      <c r="U100" s="155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ht="15.75" customHeight="1">
      <c r="A101" s="139" t="str">
        <f>"Площадки = фактический расход"</f>
        <v>Площадки = фактический расход</v>
      </c>
      <c r="B101" s="139" t="str">
        <f>IF(ABS(C80-B97)&lt;0.01,"OK","ПРОВЕРИТЬ")</f>
        <v>OK</v>
      </c>
      <c r="C101" s="140">
        <f>C80-B97</f>
        <v>0</v>
      </c>
      <c r="D101" s="145"/>
      <c r="E101" s="145"/>
      <c r="F101" s="145"/>
      <c r="G101" s="145"/>
      <c r="H101" s="145"/>
      <c r="I101" s="145"/>
      <c r="J101" s="145"/>
      <c r="K101" s="145"/>
      <c r="L101" s="145"/>
      <c r="M101" s="145"/>
      <c r="N101" s="145"/>
      <c r="O101" s="145"/>
      <c r="P101" s="3"/>
      <c r="Q101" s="3"/>
      <c r="R101" s="3"/>
      <c r="S101" s="3"/>
      <c r="T101" s="3"/>
      <c r="U101" s="155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ht="15.75" customHeight="1">
      <c r="A102" s="139" t="str">
        <f>"Продукты = фактический расход"</f>
        <v>Продукты = фактический расход</v>
      </c>
      <c r="B102" s="139" t="str">
        <f>IF(ABS(C87-B97)&lt;0.01,"OK","ПРОВЕРИТЬ")</f>
        <v>OK</v>
      </c>
      <c r="C102" s="140">
        <f>C87-B97</f>
        <v>0</v>
      </c>
      <c r="D102" s="145"/>
      <c r="E102" s="145"/>
      <c r="F102" s="145"/>
      <c r="G102" s="145"/>
      <c r="H102" s="145"/>
      <c r="I102" s="145"/>
      <c r="J102" s="145"/>
      <c r="K102" s="145"/>
      <c r="L102" s="145"/>
      <c r="M102" s="145"/>
      <c r="N102" s="145"/>
      <c r="O102" s="145"/>
      <c r="P102" s="3"/>
      <c r="Q102" s="3"/>
      <c r="R102" s="3"/>
      <c r="S102" s="3"/>
      <c r="T102" s="3"/>
      <c r="U102" s="155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ht="15.75" customHeight="1">
      <c r="A103" s="139" t="str">
        <f>"Воронки без двойного учёта"</f>
        <v>Воронки без двойного учёта</v>
      </c>
      <c r="B103" s="139" t="str">
        <f>IF(ABS(B97-(SUMIFS($M$6:$M$68,$I$6:$I$68,"Вышло")))&lt;0.01,"OK","ПРОВЕРИТЬ")</f>
        <v>OK</v>
      </c>
      <c r="C103" s="140">
        <f>B97-(SUMIFS($M$6:$M$68,$I$6:$I$68,"Вышло"))</f>
        <v>0</v>
      </c>
      <c r="D103" s="145"/>
      <c r="E103" s="145"/>
      <c r="F103" s="145"/>
      <c r="G103" s="145"/>
      <c r="H103" s="145"/>
      <c r="I103" s="145"/>
      <c r="J103" s="145"/>
      <c r="K103" s="145"/>
      <c r="L103" s="145"/>
      <c r="M103" s="145"/>
      <c r="N103" s="145"/>
      <c r="O103" s="145"/>
      <c r="P103" s="3"/>
      <c r="Q103" s="3"/>
      <c r="R103" s="3"/>
      <c r="S103" s="3"/>
      <c r="T103" s="3"/>
      <c r="U103" s="155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ht="15.75" customHeight="1">
      <c r="A104" s="139" t="str">
        <f>"Неоднозначные строки"</f>
        <v>Неоднозначные строки</v>
      </c>
      <c r="B104" s="139" t="str">
        <f>IF(B96=0,"OK","ТРЕБУЕТ УТОЧНЕНИЯ")</f>
        <v>OK</v>
      </c>
      <c r="C104" s="140">
        <f>B96</f>
        <v>0</v>
      </c>
      <c r="D104" s="145"/>
      <c r="E104" s="145"/>
      <c r="F104" s="145"/>
      <c r="G104" s="145"/>
      <c r="H104" s="145"/>
      <c r="I104" s="145"/>
      <c r="J104" s="145"/>
      <c r="K104" s="145"/>
      <c r="L104" s="145"/>
      <c r="M104" s="145"/>
      <c r="N104" s="145"/>
      <c r="O104" s="145"/>
      <c r="P104" s="3"/>
      <c r="Q104" s="3"/>
      <c r="R104" s="3"/>
      <c r="S104" s="3"/>
      <c r="T104" s="3"/>
      <c r="U104" s="155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ht="15.75" customHeight="1">
      <c r="A105" s="145"/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  <c r="P105" s="3"/>
      <c r="Q105" s="3"/>
      <c r="R105" s="3"/>
      <c r="S105" s="3"/>
      <c r="T105" s="3"/>
      <c r="U105" s="155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ht="15.75" customHeight="1">
      <c r="A106" s="137" t="s">
        <v>900</v>
      </c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3"/>
      <c r="Q106" s="3"/>
      <c r="R106" s="3"/>
      <c r="S106" s="3"/>
      <c r="T106" s="3"/>
      <c r="U106" s="155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ht="15.75" customHeight="1">
      <c r="A107" s="138" t="s">
        <v>901</v>
      </c>
      <c r="B107" s="138" t="s">
        <v>778</v>
      </c>
      <c r="C107" s="138" t="s">
        <v>835</v>
      </c>
      <c r="D107" s="138" t="s">
        <v>728</v>
      </c>
      <c r="E107" s="138" t="s">
        <v>902</v>
      </c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3"/>
      <c r="Q107" s="3"/>
      <c r="R107" s="3"/>
      <c r="S107" s="3"/>
      <c r="T107" s="3"/>
      <c r="U107" s="155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ht="36.0" customHeight="1">
      <c r="A108" s="146" t="s">
        <v>879</v>
      </c>
      <c r="B108" s="146" t="s">
        <v>1017</v>
      </c>
      <c r="C108" s="146" t="s">
        <v>879</v>
      </c>
      <c r="D108" s="147">
        <v>0.0</v>
      </c>
      <c r="E108" s="146" t="s">
        <v>879</v>
      </c>
      <c r="F108" s="145"/>
      <c r="G108" s="145"/>
      <c r="H108" s="145"/>
      <c r="I108" s="145"/>
      <c r="J108" s="145"/>
      <c r="K108" s="145"/>
      <c r="L108" s="145"/>
      <c r="M108" s="145"/>
      <c r="N108" s="145"/>
      <c r="O108" s="145"/>
      <c r="P108" s="3"/>
      <c r="Q108" s="3"/>
      <c r="R108" s="3"/>
      <c r="S108" s="3"/>
      <c r="T108" s="3"/>
      <c r="U108" s="155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ht="15.75" customHeight="1">
      <c r="A109" s="145"/>
      <c r="B109" s="145"/>
      <c r="C109" s="145"/>
      <c r="D109" s="145"/>
      <c r="E109" s="145"/>
      <c r="F109" s="145"/>
      <c r="G109" s="145"/>
      <c r="H109" s="145"/>
      <c r="I109" s="145"/>
      <c r="J109" s="145"/>
      <c r="K109" s="145"/>
      <c r="L109" s="145"/>
      <c r="M109" s="145"/>
      <c r="N109" s="145"/>
      <c r="O109" s="145"/>
      <c r="P109" s="3"/>
      <c r="Q109" s="3"/>
      <c r="R109" s="3"/>
      <c r="S109" s="3"/>
      <c r="T109" s="3"/>
      <c r="U109" s="155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ht="15.75" customHeight="1">
      <c r="A110" s="145"/>
      <c r="B110" s="145"/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  <c r="M110" s="145"/>
      <c r="N110" s="145"/>
      <c r="O110" s="145"/>
      <c r="P110" s="3"/>
      <c r="Q110" s="3"/>
      <c r="R110" s="3"/>
      <c r="S110" s="3"/>
      <c r="T110" s="3"/>
      <c r="U110" s="155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ht="15.75" customHeight="1">
      <c r="A111" s="145"/>
      <c r="B111" s="145"/>
      <c r="C111" s="145"/>
      <c r="D111" s="145"/>
      <c r="E111" s="145"/>
      <c r="F111" s="145"/>
      <c r="G111" s="145"/>
      <c r="H111" s="145"/>
      <c r="I111" s="145"/>
      <c r="J111" s="145"/>
      <c r="K111" s="145"/>
      <c r="L111" s="145"/>
      <c r="M111" s="145"/>
      <c r="N111" s="145"/>
      <c r="O111" s="145"/>
      <c r="P111" s="3"/>
      <c r="Q111" s="3"/>
      <c r="R111" s="3"/>
      <c r="S111" s="3"/>
      <c r="T111" s="3"/>
      <c r="U111" s="155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ht="15.75" customHeight="1">
      <c r="A112" s="145"/>
      <c r="B112" s="145"/>
      <c r="C112" s="145"/>
      <c r="D112" s="145"/>
      <c r="E112" s="145"/>
      <c r="F112" s="145"/>
      <c r="G112" s="145"/>
      <c r="H112" s="145"/>
      <c r="I112" s="145"/>
      <c r="J112" s="145"/>
      <c r="K112" s="145"/>
      <c r="L112" s="145"/>
      <c r="M112" s="145"/>
      <c r="N112" s="145"/>
      <c r="O112" s="145"/>
      <c r="P112" s="3"/>
      <c r="Q112" s="3"/>
      <c r="R112" s="3"/>
      <c r="S112" s="3"/>
      <c r="T112" s="3"/>
      <c r="U112" s="155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ht="15.75" customHeight="1">
      <c r="A113" s="145"/>
      <c r="B113" s="145"/>
      <c r="C113" s="145"/>
      <c r="D113" s="145"/>
      <c r="E113" s="145"/>
      <c r="F113" s="145"/>
      <c r="G113" s="145"/>
      <c r="H113" s="145"/>
      <c r="I113" s="145"/>
      <c r="J113" s="145"/>
      <c r="K113" s="145"/>
      <c r="L113" s="145"/>
      <c r="M113" s="145"/>
      <c r="N113" s="145"/>
      <c r="O113" s="145"/>
      <c r="P113" s="3"/>
      <c r="Q113" s="3"/>
      <c r="R113" s="3"/>
      <c r="S113" s="3"/>
      <c r="T113" s="3"/>
      <c r="U113" s="155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ht="15.75" customHeight="1">
      <c r="A114" s="145"/>
      <c r="B114" s="145"/>
      <c r="C114" s="145"/>
      <c r="D114" s="145"/>
      <c r="E114" s="145"/>
      <c r="F114" s="145"/>
      <c r="G114" s="145"/>
      <c r="H114" s="145"/>
      <c r="I114" s="145"/>
      <c r="J114" s="145"/>
      <c r="K114" s="145"/>
      <c r="L114" s="145"/>
      <c r="M114" s="145"/>
      <c r="N114" s="145"/>
      <c r="O114" s="145"/>
      <c r="P114" s="3"/>
      <c r="Q114" s="3"/>
      <c r="R114" s="3"/>
      <c r="S114" s="3"/>
      <c r="T114" s="3"/>
      <c r="U114" s="155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ht="15.75" customHeight="1">
      <c r="A115" s="145"/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5"/>
      <c r="P115" s="3"/>
      <c r="Q115" s="3"/>
      <c r="R115" s="3"/>
      <c r="S115" s="3"/>
      <c r="T115" s="3"/>
      <c r="U115" s="155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ht="15.75" customHeight="1">
      <c r="A116" s="145"/>
      <c r="B116" s="145"/>
      <c r="C116" s="145"/>
      <c r="D116" s="145"/>
      <c r="E116" s="145"/>
      <c r="F116" s="145"/>
      <c r="G116" s="145"/>
      <c r="H116" s="145"/>
      <c r="I116" s="145"/>
      <c r="J116" s="145"/>
      <c r="K116" s="145"/>
      <c r="L116" s="145"/>
      <c r="M116" s="145"/>
      <c r="N116" s="145"/>
      <c r="O116" s="145"/>
      <c r="P116" s="3"/>
      <c r="Q116" s="3"/>
      <c r="R116" s="3"/>
      <c r="S116" s="3"/>
      <c r="T116" s="3"/>
      <c r="U116" s="155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ht="15.75" customHeight="1">
      <c r="A117" s="145"/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M117" s="145"/>
      <c r="N117" s="145"/>
      <c r="O117" s="145"/>
      <c r="P117" s="3"/>
      <c r="Q117" s="3"/>
      <c r="R117" s="3"/>
      <c r="S117" s="3"/>
      <c r="T117" s="3"/>
      <c r="U117" s="155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ht="15.75" customHeight="1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M118" s="145"/>
      <c r="N118" s="145"/>
      <c r="O118" s="145"/>
      <c r="P118" s="3"/>
      <c r="Q118" s="3"/>
      <c r="R118" s="3"/>
      <c r="S118" s="3"/>
      <c r="T118" s="3"/>
      <c r="U118" s="155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ht="15.75" customHeight="1">
      <c r="A119" s="145"/>
      <c r="B119" s="145"/>
      <c r="C119" s="145"/>
      <c r="D119" s="145"/>
      <c r="E119" s="145"/>
      <c r="F119" s="145"/>
      <c r="G119" s="145"/>
      <c r="H119" s="145"/>
      <c r="I119" s="145"/>
      <c r="J119" s="145"/>
      <c r="K119" s="145"/>
      <c r="L119" s="145"/>
      <c r="M119" s="145"/>
      <c r="N119" s="145"/>
      <c r="O119" s="145"/>
      <c r="P119" s="3"/>
      <c r="Q119" s="3"/>
      <c r="R119" s="3"/>
      <c r="S119" s="3"/>
      <c r="T119" s="3"/>
      <c r="U119" s="155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ht="15.75" customHeight="1">
      <c r="A120" s="145"/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3"/>
      <c r="Q120" s="3"/>
      <c r="R120" s="3"/>
      <c r="S120" s="3"/>
      <c r="T120" s="3"/>
      <c r="U120" s="155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ht="15.75" customHeight="1">
      <c r="A121" s="145"/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 s="3"/>
      <c r="Q121" s="3"/>
      <c r="R121" s="3"/>
      <c r="S121" s="3"/>
      <c r="T121" s="3"/>
      <c r="U121" s="155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ht="15.75" customHeight="1">
      <c r="A122" s="145"/>
      <c r="B122" s="145"/>
      <c r="C122" s="145"/>
      <c r="D122" s="145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 s="3"/>
      <c r="Q122" s="3"/>
      <c r="R122" s="3"/>
      <c r="S122" s="3"/>
      <c r="T122" s="3"/>
      <c r="U122" s="155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ht="15.75" customHeight="1">
      <c r="A123" s="145"/>
      <c r="B123" s="145"/>
      <c r="C123" s="145"/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 s="3"/>
      <c r="Q123" s="3"/>
      <c r="R123" s="3"/>
      <c r="S123" s="3"/>
      <c r="T123" s="3"/>
      <c r="U123" s="155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ht="15.75" customHeight="1">
      <c r="A124" s="145"/>
      <c r="B124" s="145"/>
      <c r="C124" s="145"/>
      <c r="D124" s="145"/>
      <c r="E124" s="145"/>
      <c r="F124" s="145"/>
      <c r="G124" s="145"/>
      <c r="H124" s="145"/>
      <c r="I124" s="145"/>
      <c r="J124" s="145"/>
      <c r="K124" s="145"/>
      <c r="L124" s="145"/>
      <c r="M124" s="145"/>
      <c r="N124" s="145"/>
      <c r="O124" s="145"/>
      <c r="P124" s="3"/>
      <c r="Q124" s="3"/>
      <c r="R124" s="3"/>
      <c r="S124" s="3"/>
      <c r="T124" s="3"/>
      <c r="U124" s="155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ht="15.75" customHeight="1">
      <c r="A125" s="145"/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3"/>
      <c r="Q125" s="3"/>
      <c r="R125" s="3"/>
      <c r="S125" s="3"/>
      <c r="T125" s="3"/>
      <c r="U125" s="155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55"/>
      <c r="P126" s="3"/>
      <c r="Q126" s="3"/>
      <c r="R126" s="3"/>
      <c r="S126" s="3"/>
      <c r="T126" s="3"/>
      <c r="U126" s="155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55"/>
      <c r="P127" s="3"/>
      <c r="Q127" s="3"/>
      <c r="R127" s="3"/>
      <c r="S127" s="3"/>
      <c r="T127" s="3"/>
      <c r="U127" s="155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55"/>
      <c r="P128" s="3"/>
      <c r="Q128" s="3"/>
      <c r="R128" s="3"/>
      <c r="S128" s="3"/>
      <c r="T128" s="3"/>
      <c r="U128" s="155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55"/>
      <c r="P129" s="3"/>
      <c r="Q129" s="3"/>
      <c r="R129" s="3"/>
      <c r="S129" s="3"/>
      <c r="T129" s="3"/>
      <c r="U129" s="155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55"/>
      <c r="P130" s="3"/>
      <c r="Q130" s="3"/>
      <c r="R130" s="3"/>
      <c r="S130" s="3"/>
      <c r="T130" s="3"/>
      <c r="U130" s="155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55"/>
      <c r="P131" s="3"/>
      <c r="Q131" s="3"/>
      <c r="R131" s="3"/>
      <c r="S131" s="3"/>
      <c r="T131" s="3"/>
      <c r="U131" s="155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55"/>
      <c r="P132" s="3"/>
      <c r="Q132" s="3"/>
      <c r="R132" s="3"/>
      <c r="S132" s="3"/>
      <c r="T132" s="3"/>
      <c r="U132" s="155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55"/>
      <c r="P133" s="3"/>
      <c r="Q133" s="3"/>
      <c r="R133" s="3"/>
      <c r="S133" s="3"/>
      <c r="T133" s="3"/>
      <c r="U133" s="155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55"/>
      <c r="P134" s="3"/>
      <c r="Q134" s="3"/>
      <c r="R134" s="3"/>
      <c r="S134" s="3"/>
      <c r="T134" s="3"/>
      <c r="U134" s="155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55"/>
      <c r="P135" s="3"/>
      <c r="Q135" s="3"/>
      <c r="R135" s="3"/>
      <c r="S135" s="3"/>
      <c r="T135" s="3"/>
      <c r="U135" s="155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55"/>
      <c r="P136" s="3"/>
      <c r="Q136" s="3"/>
      <c r="R136" s="3"/>
      <c r="S136" s="3"/>
      <c r="T136" s="3"/>
      <c r="U136" s="155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55"/>
      <c r="P137" s="3"/>
      <c r="Q137" s="3"/>
      <c r="R137" s="3"/>
      <c r="S137" s="3"/>
      <c r="T137" s="3"/>
      <c r="U137" s="155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55"/>
      <c r="P138" s="3"/>
      <c r="Q138" s="3"/>
      <c r="R138" s="3"/>
      <c r="S138" s="3"/>
      <c r="T138" s="3"/>
      <c r="U138" s="155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55"/>
      <c r="P139" s="3"/>
      <c r="Q139" s="3"/>
      <c r="R139" s="3"/>
      <c r="S139" s="3"/>
      <c r="T139" s="3"/>
      <c r="U139" s="155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55"/>
      <c r="P140" s="3"/>
      <c r="Q140" s="3"/>
      <c r="R140" s="3"/>
      <c r="S140" s="3"/>
      <c r="T140" s="3"/>
      <c r="U140" s="155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55"/>
      <c r="P141" s="3"/>
      <c r="Q141" s="3"/>
      <c r="R141" s="3"/>
      <c r="S141" s="3"/>
      <c r="T141" s="3"/>
      <c r="U141" s="155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55"/>
      <c r="P142" s="3"/>
      <c r="Q142" s="3"/>
      <c r="R142" s="3"/>
      <c r="S142" s="3"/>
      <c r="T142" s="3"/>
      <c r="U142" s="155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55"/>
      <c r="P143" s="3"/>
      <c r="Q143" s="3"/>
      <c r="R143" s="3"/>
      <c r="S143" s="3"/>
      <c r="T143" s="3"/>
      <c r="U143" s="155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55"/>
      <c r="P144" s="3"/>
      <c r="Q144" s="3"/>
      <c r="R144" s="3"/>
      <c r="S144" s="3"/>
      <c r="T144" s="3"/>
      <c r="U144" s="155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55"/>
      <c r="P145" s="3"/>
      <c r="Q145" s="3"/>
      <c r="R145" s="3"/>
      <c r="S145" s="3"/>
      <c r="T145" s="3"/>
      <c r="U145" s="155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55"/>
      <c r="P146" s="3"/>
      <c r="Q146" s="3"/>
      <c r="R146" s="3"/>
      <c r="S146" s="3"/>
      <c r="T146" s="3"/>
      <c r="U146" s="155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55"/>
      <c r="P147" s="3"/>
      <c r="Q147" s="3"/>
      <c r="R147" s="3"/>
      <c r="S147" s="3"/>
      <c r="T147" s="3"/>
      <c r="U147" s="155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55"/>
      <c r="P148" s="3"/>
      <c r="Q148" s="3"/>
      <c r="R148" s="3"/>
      <c r="S148" s="3"/>
      <c r="T148" s="3"/>
      <c r="U148" s="155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55"/>
      <c r="P149" s="3"/>
      <c r="Q149" s="3"/>
      <c r="R149" s="3"/>
      <c r="S149" s="3"/>
      <c r="T149" s="3"/>
      <c r="U149" s="155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55"/>
      <c r="P150" s="3"/>
      <c r="Q150" s="3"/>
      <c r="R150" s="3"/>
      <c r="S150" s="3"/>
      <c r="T150" s="3"/>
      <c r="U150" s="155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55"/>
      <c r="P151" s="3"/>
      <c r="Q151" s="3"/>
      <c r="R151" s="3"/>
      <c r="S151" s="3"/>
      <c r="T151" s="3"/>
      <c r="U151" s="155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55"/>
      <c r="P152" s="3"/>
      <c r="Q152" s="3"/>
      <c r="R152" s="3"/>
      <c r="S152" s="3"/>
      <c r="T152" s="3"/>
      <c r="U152" s="155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55"/>
      <c r="P153" s="3"/>
      <c r="Q153" s="3"/>
      <c r="R153" s="3"/>
      <c r="S153" s="3"/>
      <c r="T153" s="3"/>
      <c r="U153" s="155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55"/>
      <c r="P154" s="3"/>
      <c r="Q154" s="3"/>
      <c r="R154" s="3"/>
      <c r="S154" s="3"/>
      <c r="T154" s="3"/>
      <c r="U154" s="155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55"/>
      <c r="P155" s="3"/>
      <c r="Q155" s="3"/>
      <c r="R155" s="3"/>
      <c r="S155" s="3"/>
      <c r="T155" s="3"/>
      <c r="U155" s="155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55"/>
      <c r="P156" s="3"/>
      <c r="Q156" s="3"/>
      <c r="R156" s="3"/>
      <c r="S156" s="3"/>
      <c r="T156" s="3"/>
      <c r="U156" s="155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55"/>
      <c r="P157" s="3"/>
      <c r="Q157" s="3"/>
      <c r="R157" s="3"/>
      <c r="S157" s="3"/>
      <c r="T157" s="3"/>
      <c r="U157" s="155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55"/>
      <c r="P158" s="3"/>
      <c r="Q158" s="3"/>
      <c r="R158" s="3"/>
      <c r="S158" s="3"/>
      <c r="T158" s="3"/>
      <c r="U158" s="155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55"/>
      <c r="P159" s="3"/>
      <c r="Q159" s="3"/>
      <c r="R159" s="3"/>
      <c r="S159" s="3"/>
      <c r="T159" s="3"/>
      <c r="U159" s="155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55"/>
      <c r="P160" s="3"/>
      <c r="Q160" s="3"/>
      <c r="R160" s="3"/>
      <c r="S160" s="3"/>
      <c r="T160" s="3"/>
      <c r="U160" s="155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55"/>
      <c r="P161" s="3"/>
      <c r="Q161" s="3"/>
      <c r="R161" s="3"/>
      <c r="S161" s="3"/>
      <c r="T161" s="3"/>
      <c r="U161" s="155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55"/>
      <c r="P162" s="3"/>
      <c r="Q162" s="3"/>
      <c r="R162" s="3"/>
      <c r="S162" s="3"/>
      <c r="T162" s="3"/>
      <c r="U162" s="155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55"/>
      <c r="P163" s="3"/>
      <c r="Q163" s="3"/>
      <c r="R163" s="3"/>
      <c r="S163" s="3"/>
      <c r="T163" s="3"/>
      <c r="U163" s="155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55"/>
      <c r="P164" s="3"/>
      <c r="Q164" s="3"/>
      <c r="R164" s="3"/>
      <c r="S164" s="3"/>
      <c r="T164" s="3"/>
      <c r="U164" s="155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55"/>
      <c r="P165" s="3"/>
      <c r="Q165" s="3"/>
      <c r="R165" s="3"/>
      <c r="S165" s="3"/>
      <c r="T165" s="3"/>
      <c r="U165" s="155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55"/>
      <c r="P166" s="3"/>
      <c r="Q166" s="3"/>
      <c r="R166" s="3"/>
      <c r="S166" s="3"/>
      <c r="T166" s="3"/>
      <c r="U166" s="155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55"/>
      <c r="P167" s="3"/>
      <c r="Q167" s="3"/>
      <c r="R167" s="3"/>
      <c r="S167" s="3"/>
      <c r="T167" s="3"/>
      <c r="U167" s="155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55"/>
      <c r="P168" s="3"/>
      <c r="Q168" s="3"/>
      <c r="R168" s="3"/>
      <c r="S168" s="3"/>
      <c r="T168" s="3"/>
      <c r="U168" s="155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55"/>
      <c r="P169" s="3"/>
      <c r="Q169" s="3"/>
      <c r="R169" s="3"/>
      <c r="S169" s="3"/>
      <c r="T169" s="3"/>
      <c r="U169" s="155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55"/>
      <c r="P170" s="3"/>
      <c r="Q170" s="3"/>
      <c r="R170" s="3"/>
      <c r="S170" s="3"/>
      <c r="T170" s="3"/>
      <c r="U170" s="155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55"/>
      <c r="P171" s="3"/>
      <c r="Q171" s="3"/>
      <c r="R171" s="3"/>
      <c r="S171" s="3"/>
      <c r="T171" s="3"/>
      <c r="U171" s="155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55"/>
      <c r="P172" s="3"/>
      <c r="Q172" s="3"/>
      <c r="R172" s="3"/>
      <c r="S172" s="3"/>
      <c r="T172" s="3"/>
      <c r="U172" s="155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55"/>
      <c r="P173" s="3"/>
      <c r="Q173" s="3"/>
      <c r="R173" s="3"/>
      <c r="S173" s="3"/>
      <c r="T173" s="3"/>
      <c r="U173" s="155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55"/>
      <c r="P174" s="3"/>
      <c r="Q174" s="3"/>
      <c r="R174" s="3"/>
      <c r="S174" s="3"/>
      <c r="T174" s="3"/>
      <c r="U174" s="155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55"/>
      <c r="P175" s="3"/>
      <c r="Q175" s="3"/>
      <c r="R175" s="3"/>
      <c r="S175" s="3"/>
      <c r="T175" s="3"/>
      <c r="U175" s="155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55"/>
      <c r="P176" s="3"/>
      <c r="Q176" s="3"/>
      <c r="R176" s="3"/>
      <c r="S176" s="3"/>
      <c r="T176" s="3"/>
      <c r="U176" s="155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55"/>
      <c r="P177" s="3"/>
      <c r="Q177" s="3"/>
      <c r="R177" s="3"/>
      <c r="S177" s="3"/>
      <c r="T177" s="3"/>
      <c r="U177" s="155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55"/>
      <c r="P178" s="3"/>
      <c r="Q178" s="3"/>
      <c r="R178" s="3"/>
      <c r="S178" s="3"/>
      <c r="T178" s="3"/>
      <c r="U178" s="155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55"/>
      <c r="P179" s="3"/>
      <c r="Q179" s="3"/>
      <c r="R179" s="3"/>
      <c r="S179" s="3"/>
      <c r="T179" s="3"/>
      <c r="U179" s="155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55"/>
      <c r="P180" s="3"/>
      <c r="Q180" s="3"/>
      <c r="R180" s="3"/>
      <c r="S180" s="3"/>
      <c r="T180" s="3"/>
      <c r="U180" s="155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55"/>
      <c r="P181" s="3"/>
      <c r="Q181" s="3"/>
      <c r="R181" s="3"/>
      <c r="S181" s="3"/>
      <c r="T181" s="3"/>
      <c r="U181" s="155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55"/>
      <c r="P182" s="3"/>
      <c r="Q182" s="3"/>
      <c r="R182" s="3"/>
      <c r="S182" s="3"/>
      <c r="T182" s="3"/>
      <c r="U182" s="155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55"/>
      <c r="P183" s="3"/>
      <c r="Q183" s="3"/>
      <c r="R183" s="3"/>
      <c r="S183" s="3"/>
      <c r="T183" s="3"/>
      <c r="U183" s="155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55"/>
      <c r="P184" s="3"/>
      <c r="Q184" s="3"/>
      <c r="R184" s="3"/>
      <c r="S184" s="3"/>
      <c r="T184" s="3"/>
      <c r="U184" s="155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55"/>
      <c r="P185" s="3"/>
      <c r="Q185" s="3"/>
      <c r="R185" s="3"/>
      <c r="S185" s="3"/>
      <c r="T185" s="3"/>
      <c r="U185" s="155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55"/>
      <c r="P186" s="3"/>
      <c r="Q186" s="3"/>
      <c r="R186" s="3"/>
      <c r="S186" s="3"/>
      <c r="T186" s="3"/>
      <c r="U186" s="155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55"/>
      <c r="P187" s="3"/>
      <c r="Q187" s="3"/>
      <c r="R187" s="3"/>
      <c r="S187" s="3"/>
      <c r="T187" s="3"/>
      <c r="U187" s="155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55"/>
      <c r="P188" s="3"/>
      <c r="Q188" s="3"/>
      <c r="R188" s="3"/>
      <c r="S188" s="3"/>
      <c r="T188" s="3"/>
      <c r="U188" s="155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55"/>
      <c r="P189" s="3"/>
      <c r="Q189" s="3"/>
      <c r="R189" s="3"/>
      <c r="S189" s="3"/>
      <c r="T189" s="3"/>
      <c r="U189" s="155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55"/>
      <c r="P190" s="3"/>
      <c r="Q190" s="3"/>
      <c r="R190" s="3"/>
      <c r="S190" s="3"/>
      <c r="T190" s="3"/>
      <c r="U190" s="155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55"/>
      <c r="P191" s="3"/>
      <c r="Q191" s="3"/>
      <c r="R191" s="3"/>
      <c r="S191" s="3"/>
      <c r="T191" s="3"/>
      <c r="U191" s="155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55"/>
      <c r="P192" s="3"/>
      <c r="Q192" s="3"/>
      <c r="R192" s="3"/>
      <c r="S192" s="3"/>
      <c r="T192" s="3"/>
      <c r="U192" s="155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55"/>
      <c r="P193" s="3"/>
      <c r="Q193" s="3"/>
      <c r="R193" s="3"/>
      <c r="S193" s="3"/>
      <c r="T193" s="3"/>
      <c r="U193" s="155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55"/>
      <c r="P194" s="3"/>
      <c r="Q194" s="3"/>
      <c r="R194" s="3"/>
      <c r="S194" s="3"/>
      <c r="T194" s="3"/>
      <c r="U194" s="155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55"/>
      <c r="P195" s="3"/>
      <c r="Q195" s="3"/>
      <c r="R195" s="3"/>
      <c r="S195" s="3"/>
      <c r="T195" s="3"/>
      <c r="U195" s="155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55"/>
      <c r="P196" s="3"/>
      <c r="Q196" s="3"/>
      <c r="R196" s="3"/>
      <c r="S196" s="3"/>
      <c r="T196" s="3"/>
      <c r="U196" s="155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55"/>
      <c r="P197" s="3"/>
      <c r="Q197" s="3"/>
      <c r="R197" s="3"/>
      <c r="S197" s="3"/>
      <c r="T197" s="3"/>
      <c r="U197" s="155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55"/>
      <c r="P198" s="3"/>
      <c r="Q198" s="3"/>
      <c r="R198" s="3"/>
      <c r="S198" s="3"/>
      <c r="T198" s="3"/>
      <c r="U198" s="155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55"/>
      <c r="P199" s="3"/>
      <c r="Q199" s="3"/>
      <c r="R199" s="3"/>
      <c r="S199" s="3"/>
      <c r="T199" s="3"/>
      <c r="U199" s="155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55"/>
      <c r="P200" s="3"/>
      <c r="Q200" s="3"/>
      <c r="R200" s="3"/>
      <c r="S200" s="3"/>
      <c r="T200" s="3"/>
      <c r="U200" s="155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55"/>
      <c r="P201" s="3"/>
      <c r="Q201" s="3"/>
      <c r="R201" s="3"/>
      <c r="S201" s="3"/>
      <c r="T201" s="3"/>
      <c r="U201" s="155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55"/>
      <c r="P202" s="3"/>
      <c r="Q202" s="3"/>
      <c r="R202" s="3"/>
      <c r="S202" s="3"/>
      <c r="T202" s="3"/>
      <c r="U202" s="155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55"/>
      <c r="P203" s="3"/>
      <c r="Q203" s="3"/>
      <c r="R203" s="3"/>
      <c r="S203" s="3"/>
      <c r="T203" s="3"/>
      <c r="U203" s="155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55"/>
      <c r="P204" s="3"/>
      <c r="Q204" s="3"/>
      <c r="R204" s="3"/>
      <c r="S204" s="3"/>
      <c r="T204" s="3"/>
      <c r="U204" s="155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55"/>
      <c r="P205" s="3"/>
      <c r="Q205" s="3"/>
      <c r="R205" s="3"/>
      <c r="S205" s="3"/>
      <c r="T205" s="3"/>
      <c r="U205" s="155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55"/>
      <c r="P206" s="3"/>
      <c r="Q206" s="3"/>
      <c r="R206" s="3"/>
      <c r="S206" s="3"/>
      <c r="T206" s="3"/>
      <c r="U206" s="155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55"/>
      <c r="P207" s="3"/>
      <c r="Q207" s="3"/>
      <c r="R207" s="3"/>
      <c r="S207" s="3"/>
      <c r="T207" s="3"/>
      <c r="U207" s="155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55"/>
      <c r="P208" s="3"/>
      <c r="Q208" s="3"/>
      <c r="R208" s="3"/>
      <c r="S208" s="3"/>
      <c r="T208" s="3"/>
      <c r="U208" s="155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55"/>
      <c r="P209" s="3"/>
      <c r="Q209" s="3"/>
      <c r="R209" s="3"/>
      <c r="S209" s="3"/>
      <c r="T209" s="3"/>
      <c r="U209" s="155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55"/>
      <c r="P210" s="3"/>
      <c r="Q210" s="3"/>
      <c r="R210" s="3"/>
      <c r="S210" s="3"/>
      <c r="T210" s="3"/>
      <c r="U210" s="155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55"/>
      <c r="P211" s="3"/>
      <c r="Q211" s="3"/>
      <c r="R211" s="3"/>
      <c r="S211" s="3"/>
      <c r="T211" s="3"/>
      <c r="U211" s="155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55"/>
      <c r="P212" s="3"/>
      <c r="Q212" s="3"/>
      <c r="R212" s="3"/>
      <c r="S212" s="3"/>
      <c r="T212" s="3"/>
      <c r="U212" s="155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55"/>
      <c r="P213" s="3"/>
      <c r="Q213" s="3"/>
      <c r="R213" s="3"/>
      <c r="S213" s="3"/>
      <c r="T213" s="3"/>
      <c r="U213" s="155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55"/>
      <c r="P214" s="3"/>
      <c r="Q214" s="3"/>
      <c r="R214" s="3"/>
      <c r="S214" s="3"/>
      <c r="T214" s="3"/>
      <c r="U214" s="155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55"/>
      <c r="P215" s="3"/>
      <c r="Q215" s="3"/>
      <c r="R215" s="3"/>
      <c r="S215" s="3"/>
      <c r="T215" s="3"/>
      <c r="U215" s="155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55"/>
      <c r="P216" s="3"/>
      <c r="Q216" s="3"/>
      <c r="R216" s="3"/>
      <c r="S216" s="3"/>
      <c r="T216" s="3"/>
      <c r="U216" s="155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55"/>
      <c r="P217" s="3"/>
      <c r="Q217" s="3"/>
      <c r="R217" s="3"/>
      <c r="S217" s="3"/>
      <c r="T217" s="3"/>
      <c r="U217" s="155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55"/>
      <c r="P218" s="3"/>
      <c r="Q218" s="3"/>
      <c r="R218" s="3"/>
      <c r="S218" s="3"/>
      <c r="T218" s="3"/>
      <c r="U218" s="155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55"/>
      <c r="P219" s="3"/>
      <c r="Q219" s="3"/>
      <c r="R219" s="3"/>
      <c r="S219" s="3"/>
      <c r="T219" s="3"/>
      <c r="U219" s="155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55"/>
      <c r="P220" s="3"/>
      <c r="Q220" s="3"/>
      <c r="R220" s="3"/>
      <c r="S220" s="3"/>
      <c r="T220" s="3"/>
      <c r="U220" s="155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55"/>
      <c r="P221" s="3"/>
      <c r="Q221" s="3"/>
      <c r="R221" s="3"/>
      <c r="S221" s="3"/>
      <c r="T221" s="3"/>
      <c r="U221" s="155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55"/>
      <c r="P222" s="3"/>
      <c r="Q222" s="3"/>
      <c r="R222" s="3"/>
      <c r="S222" s="3"/>
      <c r="T222" s="3"/>
      <c r="U222" s="155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55"/>
      <c r="P223" s="3"/>
      <c r="Q223" s="3"/>
      <c r="R223" s="3"/>
      <c r="S223" s="3"/>
      <c r="T223" s="3"/>
      <c r="U223" s="155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55"/>
      <c r="P224" s="3"/>
      <c r="Q224" s="3"/>
      <c r="R224" s="3"/>
      <c r="S224" s="3"/>
      <c r="T224" s="3"/>
      <c r="U224" s="155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55"/>
      <c r="P225" s="3"/>
      <c r="Q225" s="3"/>
      <c r="R225" s="3"/>
      <c r="S225" s="3"/>
      <c r="T225" s="3"/>
      <c r="U225" s="155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55"/>
      <c r="P226" s="3"/>
      <c r="Q226" s="3"/>
      <c r="R226" s="3"/>
      <c r="S226" s="3"/>
      <c r="T226" s="3"/>
      <c r="U226" s="155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55"/>
      <c r="P227" s="3"/>
      <c r="Q227" s="3"/>
      <c r="R227" s="3"/>
      <c r="S227" s="3"/>
      <c r="T227" s="3"/>
      <c r="U227" s="155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55"/>
      <c r="P228" s="3"/>
      <c r="Q228" s="3"/>
      <c r="R228" s="3"/>
      <c r="S228" s="3"/>
      <c r="T228" s="3"/>
      <c r="U228" s="155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55"/>
      <c r="P229" s="3"/>
      <c r="Q229" s="3"/>
      <c r="R229" s="3"/>
      <c r="S229" s="3"/>
      <c r="T229" s="3"/>
      <c r="U229" s="155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55"/>
      <c r="P230" s="3"/>
      <c r="Q230" s="3"/>
      <c r="R230" s="3"/>
      <c r="S230" s="3"/>
      <c r="T230" s="3"/>
      <c r="U230" s="155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55"/>
      <c r="P231" s="3"/>
      <c r="Q231" s="3"/>
      <c r="R231" s="3"/>
      <c r="S231" s="3"/>
      <c r="T231" s="3"/>
      <c r="U231" s="155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55"/>
      <c r="P232" s="3"/>
      <c r="Q232" s="3"/>
      <c r="R232" s="3"/>
      <c r="S232" s="3"/>
      <c r="T232" s="3"/>
      <c r="U232" s="155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55"/>
      <c r="P233" s="3"/>
      <c r="Q233" s="3"/>
      <c r="R233" s="3"/>
      <c r="S233" s="3"/>
      <c r="T233" s="3"/>
      <c r="U233" s="155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55"/>
      <c r="P234" s="3"/>
      <c r="Q234" s="3"/>
      <c r="R234" s="3"/>
      <c r="S234" s="3"/>
      <c r="T234" s="3"/>
      <c r="U234" s="155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55"/>
      <c r="P235" s="3"/>
      <c r="Q235" s="3"/>
      <c r="R235" s="3"/>
      <c r="S235" s="3"/>
      <c r="T235" s="3"/>
      <c r="U235" s="155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55"/>
      <c r="P236" s="3"/>
      <c r="Q236" s="3"/>
      <c r="R236" s="3"/>
      <c r="S236" s="3"/>
      <c r="T236" s="3"/>
      <c r="U236" s="155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55"/>
      <c r="P237" s="3"/>
      <c r="Q237" s="3"/>
      <c r="R237" s="3"/>
      <c r="S237" s="3"/>
      <c r="T237" s="3"/>
      <c r="U237" s="155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55"/>
      <c r="P238" s="3"/>
      <c r="Q238" s="3"/>
      <c r="R238" s="3"/>
      <c r="S238" s="3"/>
      <c r="T238" s="3"/>
      <c r="U238" s="155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55"/>
      <c r="P239" s="3"/>
      <c r="Q239" s="3"/>
      <c r="R239" s="3"/>
      <c r="S239" s="3"/>
      <c r="T239" s="3"/>
      <c r="U239" s="155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55"/>
      <c r="P240" s="3"/>
      <c r="Q240" s="3"/>
      <c r="R240" s="3"/>
      <c r="S240" s="3"/>
      <c r="T240" s="3"/>
      <c r="U240" s="155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55"/>
      <c r="P241" s="3"/>
      <c r="Q241" s="3"/>
      <c r="R241" s="3"/>
      <c r="S241" s="3"/>
      <c r="T241" s="3"/>
      <c r="U241" s="155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55"/>
      <c r="P242" s="3"/>
      <c r="Q242" s="3"/>
      <c r="R242" s="3"/>
      <c r="S242" s="3"/>
      <c r="T242" s="3"/>
      <c r="U242" s="155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55"/>
      <c r="P243" s="3"/>
      <c r="Q243" s="3"/>
      <c r="R243" s="3"/>
      <c r="S243" s="3"/>
      <c r="T243" s="3"/>
      <c r="U243" s="155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55"/>
      <c r="P244" s="3"/>
      <c r="Q244" s="3"/>
      <c r="R244" s="3"/>
      <c r="S244" s="3"/>
      <c r="T244" s="3"/>
      <c r="U244" s="155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55"/>
      <c r="P245" s="3"/>
      <c r="Q245" s="3"/>
      <c r="R245" s="3"/>
      <c r="S245" s="3"/>
      <c r="T245" s="3"/>
      <c r="U245" s="155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55"/>
      <c r="P246" s="3"/>
      <c r="Q246" s="3"/>
      <c r="R246" s="3"/>
      <c r="S246" s="3"/>
      <c r="T246" s="3"/>
      <c r="U246" s="155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55"/>
      <c r="P247" s="3"/>
      <c r="Q247" s="3"/>
      <c r="R247" s="3"/>
      <c r="S247" s="3"/>
      <c r="T247" s="3"/>
      <c r="U247" s="155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55"/>
      <c r="P248" s="3"/>
      <c r="Q248" s="3"/>
      <c r="R248" s="3"/>
      <c r="S248" s="3"/>
      <c r="T248" s="3"/>
      <c r="U248" s="155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55"/>
      <c r="P249" s="3"/>
      <c r="Q249" s="3"/>
      <c r="R249" s="3"/>
      <c r="S249" s="3"/>
      <c r="T249" s="3"/>
      <c r="U249" s="155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55"/>
      <c r="P250" s="3"/>
      <c r="Q250" s="3"/>
      <c r="R250" s="3"/>
      <c r="S250" s="3"/>
      <c r="T250" s="3"/>
      <c r="U250" s="155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55"/>
      <c r="P251" s="3"/>
      <c r="Q251" s="3"/>
      <c r="R251" s="3"/>
      <c r="S251" s="3"/>
      <c r="T251" s="3"/>
      <c r="U251" s="155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55"/>
      <c r="P252" s="3"/>
      <c r="Q252" s="3"/>
      <c r="R252" s="3"/>
      <c r="S252" s="3"/>
      <c r="T252" s="3"/>
      <c r="U252" s="155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55"/>
      <c r="P253" s="3"/>
      <c r="Q253" s="3"/>
      <c r="R253" s="3"/>
      <c r="S253" s="3"/>
      <c r="T253" s="3"/>
      <c r="U253" s="155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55"/>
      <c r="P254" s="3"/>
      <c r="Q254" s="3"/>
      <c r="R254" s="3"/>
      <c r="S254" s="3"/>
      <c r="T254" s="3"/>
      <c r="U254" s="155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55"/>
      <c r="P255" s="3"/>
      <c r="Q255" s="3"/>
      <c r="R255" s="3"/>
      <c r="S255" s="3"/>
      <c r="T255" s="3"/>
      <c r="U255" s="155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55"/>
      <c r="P256" s="3"/>
      <c r="Q256" s="3"/>
      <c r="R256" s="3"/>
      <c r="S256" s="3"/>
      <c r="T256" s="3"/>
      <c r="U256" s="155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55"/>
      <c r="P257" s="3"/>
      <c r="Q257" s="3"/>
      <c r="R257" s="3"/>
      <c r="S257" s="3"/>
      <c r="T257" s="3"/>
      <c r="U257" s="155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55"/>
      <c r="P258" s="3"/>
      <c r="Q258" s="3"/>
      <c r="R258" s="3"/>
      <c r="S258" s="3"/>
      <c r="T258" s="3"/>
      <c r="U258" s="155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55"/>
      <c r="P259" s="3"/>
      <c r="Q259" s="3"/>
      <c r="R259" s="3"/>
      <c r="S259" s="3"/>
      <c r="T259" s="3"/>
      <c r="U259" s="155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55"/>
      <c r="P260" s="3"/>
      <c r="Q260" s="3"/>
      <c r="R260" s="3"/>
      <c r="S260" s="3"/>
      <c r="T260" s="3"/>
      <c r="U260" s="155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55"/>
      <c r="P261" s="3"/>
      <c r="Q261" s="3"/>
      <c r="R261" s="3"/>
      <c r="S261" s="3"/>
      <c r="T261" s="3"/>
      <c r="U261" s="155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55"/>
      <c r="P262" s="3"/>
      <c r="Q262" s="3"/>
      <c r="R262" s="3"/>
      <c r="S262" s="3"/>
      <c r="T262" s="3"/>
      <c r="U262" s="155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55"/>
      <c r="P263" s="3"/>
      <c r="Q263" s="3"/>
      <c r="R263" s="3"/>
      <c r="S263" s="3"/>
      <c r="T263" s="3"/>
      <c r="U263" s="155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55"/>
      <c r="P264" s="3"/>
      <c r="Q264" s="3"/>
      <c r="R264" s="3"/>
      <c r="S264" s="3"/>
      <c r="T264" s="3"/>
      <c r="U264" s="155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55"/>
      <c r="P265" s="3"/>
      <c r="Q265" s="3"/>
      <c r="R265" s="3"/>
      <c r="S265" s="3"/>
      <c r="T265" s="3"/>
      <c r="U265" s="155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55"/>
      <c r="P266" s="3"/>
      <c r="Q266" s="3"/>
      <c r="R266" s="3"/>
      <c r="S266" s="3"/>
      <c r="T266" s="3"/>
      <c r="U266" s="155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55"/>
      <c r="P267" s="3"/>
      <c r="Q267" s="3"/>
      <c r="R267" s="3"/>
      <c r="S267" s="3"/>
      <c r="T267" s="3"/>
      <c r="U267" s="155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55"/>
      <c r="P268" s="3"/>
      <c r="Q268" s="3"/>
      <c r="R268" s="3"/>
      <c r="S268" s="3"/>
      <c r="T268" s="3"/>
      <c r="U268" s="155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55"/>
      <c r="P269" s="3"/>
      <c r="Q269" s="3"/>
      <c r="R269" s="3"/>
      <c r="S269" s="3"/>
      <c r="T269" s="3"/>
      <c r="U269" s="155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</row>
  </sheetData>
  <conditionalFormatting sqref="A7:AB10 A20:A21 A24:D24 A35:A36 A48:A49 B21:D21 B36:D36 B49:D49 F20:F21 F24:H24 F35:F36 F48:F49 G21:H21 G36:H36 G49:H49 J21:AB21 J24:AB24 J36:AB36 J49:AB49 M62">
    <cfRule type="expression" dxfId="0" priority="1">
      <formula>AND($H7="Вышло",$G7="")</formula>
    </cfRule>
  </conditionalFormatting>
  <conditionalFormatting sqref="A7:AB10 A20:A21 A24:D24 A35:A36 A48:A49 B21:D21 B36:D36 B49:D49 F20:F21 F24:H24 F35:F36 F48:F49 G21:H21 G36:H36 G49:H49 J21:AB21 J24:AB24 J36:AB36 J49:AB49 M62">
    <cfRule type="expression" dxfId="3" priority="2">
      <formula>AND($H7="Вышло",N($Y7)=0,N($U7)=0)</formula>
    </cfRule>
  </conditionalFormatting>
  <conditionalFormatting sqref="A14:A18 A20:A33 A35:A60 A68:C68 B14:D59 D61:D68 E14:E19 E24:E34 E36:E59 E68:H68 F14:AB59 I61:J68 K68 L61:M68 N68:O68 P61:Q68 R68:S68 T61:U68 V68 W61:X68 Y68:AA68 AB61:AB68">
    <cfRule type="expression" dxfId="0" priority="3">
      <formula>AND($H5="Вышло",$G5="")</formula>
    </cfRule>
  </conditionalFormatting>
  <conditionalFormatting sqref="A14:A18 A20:A33 A35:A60 A68:C68 B14:D59 D61:D68 E14:E19 E24:E34 E36:E59 E68:H68 F14:AB59 I61:J68 K68 L61:M68 N68:O68 P61:Q68 R68:S68 T61:U68 V68 W61:X68 Y68:AA68 AB61:AB68">
    <cfRule type="expression" dxfId="3" priority="4">
      <formula>AND($H5="Вышло",N($Y5)=0,N($U5)=0)</formula>
    </cfRule>
  </conditionalFormatting>
  <conditionalFormatting sqref="A35:AB35">
    <cfRule type="expression" dxfId="0" priority="5">
      <formula>AND($H35="Вышло",$G35="")</formula>
    </cfRule>
  </conditionalFormatting>
  <conditionalFormatting sqref="A35:AB35">
    <cfRule type="expression" dxfId="3" priority="6">
      <formula>AND($H35="Вышло",N($Y35)=0,N($U35)=0)</formula>
    </cfRule>
  </conditionalFormatting>
  <conditionalFormatting sqref="A38:AB50 A60 I61 L61:L62 M61:M63">
    <cfRule type="expression" dxfId="0" priority="7">
      <formula>AND($H38="Вышло",$G38="")</formula>
    </cfRule>
  </conditionalFormatting>
  <conditionalFormatting sqref="A38:AB50 A60 I61 L61:L62 M61:M63">
    <cfRule type="expression" dxfId="3" priority="8">
      <formula>AND($H38="Вышло",N($Y38)=0,N($U38)=0)</formula>
    </cfRule>
  </conditionalFormatting>
  <conditionalFormatting sqref="A7:AB18 A20:A21 A24:D24 A33:AB33 A35:A36 A46:AB46 A48:A49 A59:AB59 A68:AB68 B21:D21 B36:D36 B49:D49 F20:F21 F24:H24 F35:F36 F48:F49 G21:H21 G36:H36 G49:H49 J21:AB21 J24:AB24 J36:AB36 J49:AB49 M62">
    <cfRule type="expression" dxfId="0" priority="9">
      <formula>AND($H7="Вышло",$G7="")</formula>
    </cfRule>
  </conditionalFormatting>
  <conditionalFormatting sqref="A7:AB18 A20:A21 A24:D24 A33:AB33 A35:A36 A46:AB46 A48:A49 A59:AB59 A68:AB68 B21:D21 B36:D36 B49:D49 F20:F21 F24:H24 F35:F36 F48:F49 G21:H21 G36:H36 G49:H49 J21:AB21 J24:AB24 J36:AB36 J49:AB49 M62">
    <cfRule type="expression" dxfId="1" priority="10">
      <formula>AND($H7="Вышло",N($Y7)=0,N($U7)=0)</formula>
    </cfRule>
  </conditionalFormatting>
  <conditionalFormatting sqref="A7:AB18 A20:A21 A24:D24 A33:AB33 A35:A36 A46:AB46 A48:A49 A59:AB59 A68:AB68 B21:D21 B36:D36 B49:D49 F20:F21 F24:H24 F35:F36 F48:F49 G21:H21 G36:H36 G49:H49 J21:AB21 J24:AB24 J36:AB36 J49:AB49 M62">
    <cfRule type="expression" dxfId="0" priority="11">
      <formula>AND($H7="Вышло",$G7="")</formula>
    </cfRule>
  </conditionalFormatting>
  <conditionalFormatting sqref="A7:AB18 A20:A21 A24:D24 A33:AB33 A35:A36 A46:AB46 A48:A49 A59:AB59 A68:AB68 B21:D21 B36:D36 B49:D49 F20:F21 F24:H24 F35:F36 F48:F49 G21:H21 G36:H36 G49:H49 J21:AB21 J24:AB24 J36:AB36 J49:AB49 M62">
    <cfRule type="expression" dxfId="1" priority="12">
      <formula>AND($H7="Вышло",N($Y7)=0,N($U7)=0)</formula>
    </cfRule>
  </conditionalFormatting>
  <conditionalFormatting sqref="A18 A20:A33 A35:A60 A68 B23:D33 B36:H59 D61:D67 E24:E33 F23:H33 H68 I20:I33 I35:I59 I61:J67 J23:AB33 J36:AB59 L61:M67 P61:Q67 T61:T68 U61:U67 W61:X67 AB61:AB67">
    <cfRule type="expression" dxfId="0" priority="13">
      <formula>AND($H3="Вышло",$G3="")</formula>
    </cfRule>
  </conditionalFormatting>
  <conditionalFormatting sqref="A18 A20:A33 A35:A60 A68 B23:D33 B36:H59 D61:D67 E24:E33 F23:H33 H68 I20:I33 I35:I59 I61:J67 J23:AB33 J36:AB59 L61:M67 P61:Q67 T61:T68 U61:U67 W61:X67 AB61:AB67">
    <cfRule type="expression" dxfId="1" priority="14">
      <formula>AND($H3="Вышло",N($Y3)=0,N($U3)=0)</formula>
    </cfRule>
  </conditionalFormatting>
  <conditionalFormatting sqref="A18 A20:A33 A35:A60 A68 B23:D33 B36:H59 D61:D67 E24:E33 F23:H33 H68 I20:I33 I35:I59 I61:J67 J23:AB33 J36:AB59 L61:M67 P61:Q67 T61:T68 U61:U67 W61:X67 AB61:AB67">
    <cfRule type="expression" dxfId="0" priority="15">
      <formula>AND($H3="Вышло",$G3="")</formula>
    </cfRule>
  </conditionalFormatting>
  <conditionalFormatting sqref="A18 A20:A33 A35:A60 A68 B23:D33 B36:H59 D61:D67 E24:E33 F23:H33 H68 I20:I33 I35:I59 I61:J67 J23:AB33 J36:AB59 L61:M67 P61:Q67 T61:T68 U61:U67 W61:X67 AB61:AB67">
    <cfRule type="expression" dxfId="1" priority="16">
      <formula>AND($H3="Вышло",N($Y3)=0,N($U3)=0)</formula>
    </cfRule>
  </conditionalFormatting>
  <conditionalFormatting sqref="A35:AB37 E20:E24 E48:E50">
    <cfRule type="expression" dxfId="0" priority="17">
      <formula>AND(#REF!="Вышло",#REF!="")</formula>
    </cfRule>
  </conditionalFormatting>
  <conditionalFormatting sqref="A35:AB37 E20:E24 E48:E50">
    <cfRule type="expression" dxfId="1" priority="18">
      <formula>AND(#REF!="Вышло",N(#REF!)=0,N(#REF!)=0)</formula>
    </cfRule>
  </conditionalFormatting>
  <conditionalFormatting sqref="A35:AB37 E20:E24 E48:E50">
    <cfRule type="expression" dxfId="0" priority="19">
      <formula>AND(#REF!="Вышло",#REF!="")</formula>
    </cfRule>
  </conditionalFormatting>
  <conditionalFormatting sqref="A35:AB37 E20:E24 E48:E50">
    <cfRule type="expression" dxfId="1" priority="20">
      <formula>AND(#REF!="Вышло",N(#REF!)=0,N(#REF!)=0)</formula>
    </cfRule>
  </conditionalFormatting>
  <conditionalFormatting sqref="J33 J46 J59">
    <cfRule type="expression" dxfId="0" priority="21">
      <formula>AND($H33="Вышло",$G33="")</formula>
    </cfRule>
  </conditionalFormatting>
  <conditionalFormatting sqref="J33 J46 J59">
    <cfRule type="expression" dxfId="1" priority="22">
      <formula>AND($H33="Вышло",N($Y33)=0,N($U33)=0)</formula>
    </cfRule>
  </conditionalFormatting>
  <conditionalFormatting sqref="J33 J46 J59">
    <cfRule type="expression" dxfId="0" priority="23">
      <formula>AND($H33="Вышло",$G33="")</formula>
    </cfRule>
  </conditionalFormatting>
  <conditionalFormatting sqref="J33 J46 J59">
    <cfRule type="expression" dxfId="1" priority="24">
      <formula>AND($H33="Вышло",N($Y33)=0,N($U33)=0)</formula>
    </cfRule>
  </conditionalFormatting>
  <conditionalFormatting sqref="J33 J46 J59">
    <cfRule type="expression" dxfId="0" priority="25">
      <formula>AND($H33="Вышло",$G33="")</formula>
    </cfRule>
  </conditionalFormatting>
  <conditionalFormatting sqref="J33 J46 J59">
    <cfRule type="expression" dxfId="1" priority="26">
      <formula>AND($H33="Вышло",N($Y33)=0,N($U33)=0)</formula>
    </cfRule>
  </conditionalFormatting>
  <conditionalFormatting sqref="A51:AB68">
    <cfRule type="expression" dxfId="0" priority="27">
      <formula>AND($H51="Вышло",$G51="")</formula>
    </cfRule>
  </conditionalFormatting>
  <conditionalFormatting sqref="A51:AB68">
    <cfRule type="expression" dxfId="1" priority="28">
      <formula>AND($H51="Вышло",N($Y51)=0,N($U51)=0)</formula>
    </cfRule>
  </conditionalFormatting>
  <conditionalFormatting sqref="A51:AB68">
    <cfRule type="expression" dxfId="0" priority="29">
      <formula>AND($H51="Вышло",$G51="")</formula>
    </cfRule>
  </conditionalFormatting>
  <conditionalFormatting sqref="A51:AB68">
    <cfRule type="expression" dxfId="1" priority="30">
      <formula>AND($H51="Вышло",N($Y51)=0,N($U51)=0)</formula>
    </cfRule>
  </conditionalFormatting>
  <conditionalFormatting sqref="A7:AG18 A20:A21 A24:D24 A33:AG33 A35:A36 A46:AG46 A48:A49 A59:AG59 A68:AG68 B21:D21 B36:D36 B49:D49 F20:F21 F24:H24 F35:F36 F48:F49 G21:H21 G36:H36 G49:H49 J21:AG21 J24:AG24 J36:AG36 J49:AG49 M62">
    <cfRule type="expression" dxfId="0" priority="31">
      <formula>AND($H7="Вышло",$G7="")</formula>
    </cfRule>
  </conditionalFormatting>
  <conditionalFormatting sqref="A7:AG18 A20:A21 A24:D24 A33:AG33 A35:A36 A46:AG46 A48:A49 A59:AG59 A68:AG68 B21:D21 B36:D36 B49:D49 F20:F21 F24:H24 F35:F36 F48:F49 G21:H21 G36:H36 G49:H49 J21:AG21 J24:AG24 J36:AG36 J49:AG49 M62">
    <cfRule type="expression" dxfId="1" priority="32">
      <formula>AND($H7="Вышло",N($Y7)=0,N($U7)=0)</formula>
    </cfRule>
  </conditionalFormatting>
  <conditionalFormatting sqref="A18 A20:A33 A35:A60 A68 B23:D33 B36:H59 D61:D67 E24:E33 F23:H33 H68 I20:I33 I35:I59 I61:J67 J23:AG33 J36:AG59 L61:M67 P61:Q67 T61:T68 U61:U67 W61:X67 AB61:AD67 AG61:AG67">
    <cfRule type="expression" dxfId="0" priority="33">
      <formula>AND($H3="Вышло",$G3="")</formula>
    </cfRule>
  </conditionalFormatting>
  <conditionalFormatting sqref="A18 A20:A33 A35:A60 A68 B23:D33 B36:H59 D61:D67 E24:E33 F23:H33 H68 I20:I33 I35:I59 I61:J67 J23:AG33 J36:AG59 L61:M67 P61:Q67 T61:T68 U61:U67 W61:X67 AB61:AD67 AG61:AG67">
    <cfRule type="expression" dxfId="1" priority="34">
      <formula>AND($H3="Вышло",N($Y3)=0,N($U3)=0)</formula>
    </cfRule>
  </conditionalFormatting>
  <conditionalFormatting sqref="A35:AG37 E20:E24 E48:E50">
    <cfRule type="expression" dxfId="0" priority="35">
      <formula>AND(#REF!="Вышло",#REF!="")</formula>
    </cfRule>
  </conditionalFormatting>
  <conditionalFormatting sqref="A35:AG37 E20:E24 E48:E50">
    <cfRule type="expression" dxfId="1" priority="36">
      <formula>AND(#REF!="Вышло",N(#REF!)=0,N(#REF!)=0)</formula>
    </cfRule>
  </conditionalFormatting>
  <conditionalFormatting sqref="A51:AG68">
    <cfRule type="expression" dxfId="0" priority="37">
      <formula>AND($H51="Вышло",$G51="")</formula>
    </cfRule>
  </conditionalFormatting>
  <conditionalFormatting sqref="A51:AG68">
    <cfRule type="expression" dxfId="1" priority="38">
      <formula>AND($H51="Вышло",N($Y51)=0,N($U51)=0)</formula>
    </cfRule>
  </conditionalFormatting>
  <conditionalFormatting sqref="A7:AH17 A20:D21 A24:D24 A35:D36 A48:D49 F20:H21 F24:H24 F35:H36 F48:H49 J20:AH21 J24:AH24 J35:AH36 J48:AH49 M61:M62">
    <cfRule type="expression" dxfId="0" priority="39">
      <formula>AND($I7="Вышло",$H7="")</formula>
    </cfRule>
  </conditionalFormatting>
  <conditionalFormatting sqref="A7:AH17 A20:D21 A24:D24 A35:D36 A48:D49 F20:H21 F24:H24 F35:H36 F48:H49 J20:AH21 J24:AH24 J35:AH36 J48:AH49 M61:M62">
    <cfRule type="expression" dxfId="1" priority="40">
      <formula>AND($I7="Вышло",N($Z7)=0,N($V7)=0)</formula>
    </cfRule>
  </conditionalFormatting>
  <conditionalFormatting sqref="A20:D32 A35:D58 A60 D61:D67 E24:E32 E36:E58 F20:AH32 F35:AH58 I61:J67 L61:M67 P61:Q67 T61:U67 W61:X67 AB61:AD67 AG61:AG67">
    <cfRule type="expression" dxfId="0" priority="41">
      <formula>AND($I5="Вышло",$H5="")</formula>
    </cfRule>
  </conditionalFormatting>
  <conditionalFormatting sqref="A20:D32 A35:D58 A60 D61:D67 E24:E32 E36:E58 F20:AH32 F35:AH58 I61:J67 L61:M67 P61:Q67 T61:U67 W61:X67 AB61:AD67 AG61:AG67">
    <cfRule type="expression" dxfId="1" priority="42">
      <formula>AND($I5="Вышло",N($Z5)=0,N($V5)=0)</formula>
    </cfRule>
  </conditionalFormatting>
  <conditionalFormatting sqref="A35:AH37 E20:E24 E48:E50">
    <cfRule type="expression" dxfId="0" priority="43">
      <formula>AND(#REF!="Вышло",#REF!="")</formula>
    </cfRule>
  </conditionalFormatting>
  <conditionalFormatting sqref="A35:AH37 E20:E24 E48:E50">
    <cfRule type="expression" dxfId="1" priority="44">
      <formula>AND(#REF!="Вышло",N(#REF!)=0,N(#REF!)=0)</formula>
    </cfRule>
  </conditionalFormatting>
  <conditionalFormatting sqref="A51:AH68">
    <cfRule type="expression" dxfId="0" priority="45">
      <formula>AND($I51="Вышло",$H51="")</formula>
    </cfRule>
  </conditionalFormatting>
  <conditionalFormatting sqref="A51:AH68">
    <cfRule type="expression" dxfId="1" priority="46">
      <formula>AND($I51="Вышло",N($Z51)=0,N($V51)=0)</formula>
    </cfRule>
  </conditionalFormatting>
  <dataValidations>
    <dataValidation type="list" allowBlank="1" sqref="I7:I17 I20:I32 I35:I45 I48:I58 I60:I67">
      <formula1>"Ожидаем выхода,Вышло,Перенос,Отказ"</formula1>
    </dataValidation>
    <dataValidation type="date" allowBlank="1" showInputMessage="1" showErrorMessage="1" prompt="Только дата - Введи дату, например 14.07.2026" sqref="G19 G22 G34 G37 G47 G50">
      <formula1>DATE(2026,1,1)</formula1>
      <formula2>DATE(2027,12,31)</formula2>
    </dataValidation>
    <dataValidation type="list" allowBlank="1" sqref="A7:A17 A20:A32 A35:A45 A48:A58 A61:A67">
      <formula1>bloggers_list</formula1>
    </dataValidation>
    <dataValidation type="list" allowBlank="1" sqref="D7:E17 D19 E20 D21:E32 D34 E35 D36:E45 D47 E48 D49:E58 D60:E67">
      <formula1>"WB,Ozon,Сайт"</formula1>
    </dataValidation>
    <dataValidation type="list" allowBlank="1" showErrorMessage="1" sqref="H19 H34 H47">
      <formula1>"Ожидаем выхода,Вышло,Перенос,Отказ"</formula1>
    </dataValidation>
    <dataValidation type="date" allowBlank="1" sqref="G7:H17 H20 G21:H21 H22 G23:H32 H35 G36:H36 H37 G38:H45 H48 G49:H49 H50 G51:H58 G60:H67">
      <formula1>DATE(2026,1,1)</formula1>
      <formula2>0.0</formula2>
    </dataValidation>
  </dataValidations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2026-09-12T10:14:02Z</dcterms:created>
  <dc:creator>openpyxl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