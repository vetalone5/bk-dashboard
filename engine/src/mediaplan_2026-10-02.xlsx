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Vitaliy/ownCloud/Маркетинг/Планы:Отчеты/Медиапланы Виталий/"/>
    </mc:Choice>
  </mc:AlternateContent>
  <xr:revisionPtr revIDLastSave="0" documentId="13_ncr:1_{8A42F612-E2FE-124F-B353-F2189347F32F}" xr6:coauthVersionLast="47" xr6:coauthVersionMax="47" xr10:uidLastSave="{00000000-0000-0000-0000-000000000000}"/>
  <bookViews>
    <workbookView xWindow="0" yWindow="500" windowWidth="25600" windowHeight="14520" tabRatio="500" activeTab="1" xr2:uid="{00000000-000D-0000-FFFF-FFFF00000000}"/>
  </bookViews>
  <sheets>
    <sheet name="Свод по месяцам" sheetId="1" state="hidden" r:id="rId1"/>
    <sheet name="План упрощённый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01" i="2" l="1"/>
  <c r="O101" i="2"/>
  <c r="P100" i="2"/>
  <c r="O100" i="2"/>
  <c r="P99" i="2"/>
  <c r="O99" i="2"/>
  <c r="N102" i="2"/>
  <c r="N101" i="2"/>
  <c r="N100" i="2"/>
  <c r="N99" i="2"/>
  <c r="L102" i="2"/>
  <c r="L101" i="2"/>
  <c r="L100" i="2"/>
  <c r="L99" i="2"/>
  <c r="J102" i="2"/>
  <c r="J101" i="2"/>
  <c r="J100" i="2"/>
  <c r="J99" i="2"/>
  <c r="H102" i="2"/>
  <c r="H101" i="2"/>
  <c r="H100" i="2"/>
  <c r="H99" i="2"/>
  <c r="F102" i="2"/>
  <c r="F101" i="2"/>
  <c r="F100" i="2"/>
  <c r="F99" i="2"/>
  <c r="D102" i="2"/>
  <c r="D101" i="2"/>
  <c r="D100" i="2"/>
  <c r="D99" i="2"/>
  <c r="M102" i="2"/>
  <c r="M101" i="2"/>
  <c r="M100" i="2"/>
  <c r="M99" i="2"/>
  <c r="K102" i="2"/>
  <c r="K101" i="2"/>
  <c r="K100" i="2"/>
  <c r="K99" i="2"/>
  <c r="I102" i="2"/>
  <c r="I101" i="2"/>
  <c r="I100" i="2"/>
  <c r="I99" i="2"/>
  <c r="G102" i="2"/>
  <c r="G101" i="2"/>
  <c r="G100" i="2"/>
  <c r="G99" i="2"/>
  <c r="E102" i="2"/>
  <c r="E101" i="2"/>
  <c r="E100" i="2"/>
  <c r="E99" i="2"/>
  <c r="C102" i="2"/>
  <c r="C101" i="2"/>
  <c r="C100" i="2"/>
  <c r="C99" i="2"/>
  <c r="N285" i="2"/>
  <c r="L285" i="2"/>
  <c r="J285" i="2"/>
  <c r="F285" i="2"/>
  <c r="D285" i="2"/>
  <c r="C284" i="2"/>
  <c r="N281" i="2"/>
  <c r="L281" i="2"/>
  <c r="J281" i="2"/>
  <c r="F281" i="2"/>
  <c r="D281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O278" i="2" s="1"/>
  <c r="N277" i="2"/>
  <c r="M277" i="2"/>
  <c r="L277" i="2"/>
  <c r="K277" i="2"/>
  <c r="J277" i="2"/>
  <c r="I277" i="2"/>
  <c r="H277" i="2"/>
  <c r="P277" i="2" s="1"/>
  <c r="F277" i="2"/>
  <c r="E277" i="2"/>
  <c r="D277" i="2"/>
  <c r="C277" i="2"/>
  <c r="N276" i="2"/>
  <c r="M276" i="2"/>
  <c r="L276" i="2"/>
  <c r="K276" i="2"/>
  <c r="J276" i="2"/>
  <c r="I276" i="2"/>
  <c r="G276" i="2"/>
  <c r="F276" i="2"/>
  <c r="E276" i="2"/>
  <c r="D276" i="2"/>
  <c r="C276" i="2"/>
  <c r="N275" i="2"/>
  <c r="M275" i="2"/>
  <c r="L275" i="2"/>
  <c r="K275" i="2"/>
  <c r="J275" i="2"/>
  <c r="I275" i="2"/>
  <c r="G275" i="2"/>
  <c r="F275" i="2"/>
  <c r="E275" i="2"/>
  <c r="D275" i="2"/>
  <c r="C275" i="2"/>
  <c r="N274" i="2"/>
  <c r="M274" i="2"/>
  <c r="L274" i="2"/>
  <c r="K274" i="2"/>
  <c r="J274" i="2"/>
  <c r="I274" i="2"/>
  <c r="H274" i="2"/>
  <c r="G274" i="2"/>
  <c r="F274" i="2"/>
  <c r="E274" i="2"/>
  <c r="D274" i="2"/>
  <c r="P274" i="2" s="1"/>
  <c r="C274" i="2"/>
  <c r="N273" i="2"/>
  <c r="M273" i="2"/>
  <c r="L273" i="2"/>
  <c r="K273" i="2"/>
  <c r="J273" i="2"/>
  <c r="H273" i="2"/>
  <c r="G273" i="2"/>
  <c r="F273" i="2"/>
  <c r="E273" i="2"/>
  <c r="D273" i="2"/>
  <c r="C273" i="2"/>
  <c r="N272" i="2"/>
  <c r="M272" i="2"/>
  <c r="L272" i="2"/>
  <c r="K272" i="2"/>
  <c r="J272" i="2"/>
  <c r="H272" i="2"/>
  <c r="G272" i="2"/>
  <c r="F272" i="2"/>
  <c r="E272" i="2"/>
  <c r="D272" i="2"/>
  <c r="C272" i="2"/>
  <c r="N271" i="2"/>
  <c r="L271" i="2"/>
  <c r="J271" i="2"/>
  <c r="G271" i="2"/>
  <c r="F271" i="2"/>
  <c r="E271" i="2"/>
  <c r="D271" i="2"/>
  <c r="C271" i="2"/>
  <c r="N270" i="2"/>
  <c r="M270" i="2"/>
  <c r="L270" i="2"/>
  <c r="K270" i="2"/>
  <c r="J270" i="2"/>
  <c r="H270" i="2"/>
  <c r="G270" i="2"/>
  <c r="F270" i="2"/>
  <c r="E270" i="2"/>
  <c r="D270" i="2"/>
  <c r="C270" i="2"/>
  <c r="N269" i="2"/>
  <c r="L269" i="2"/>
  <c r="J269" i="2"/>
  <c r="J279" i="2" s="1"/>
  <c r="J282" i="2" s="1"/>
  <c r="G269" i="2"/>
  <c r="F269" i="2"/>
  <c r="E269" i="2"/>
  <c r="D269" i="2"/>
  <c r="C269" i="2"/>
  <c r="C279" i="2" s="1"/>
  <c r="N264" i="2"/>
  <c r="L264" i="2"/>
  <c r="J264" i="2"/>
  <c r="F264" i="2"/>
  <c r="D264" i="2"/>
  <c r="P263" i="2"/>
  <c r="M263" i="2"/>
  <c r="K263" i="2"/>
  <c r="I263" i="2"/>
  <c r="G263" i="2"/>
  <c r="E263" i="2"/>
  <c r="C263" i="2"/>
  <c r="P262" i="2"/>
  <c r="M262" i="2"/>
  <c r="K262" i="2"/>
  <c r="I262" i="2"/>
  <c r="G262" i="2"/>
  <c r="E262" i="2"/>
  <c r="C262" i="2"/>
  <c r="P261" i="2"/>
  <c r="M261" i="2"/>
  <c r="K261" i="2"/>
  <c r="I261" i="2"/>
  <c r="G261" i="2"/>
  <c r="E261" i="2"/>
  <c r="C261" i="2"/>
  <c r="P260" i="2"/>
  <c r="M260" i="2"/>
  <c r="K260" i="2"/>
  <c r="I260" i="2"/>
  <c r="G260" i="2"/>
  <c r="E260" i="2"/>
  <c r="C260" i="2"/>
  <c r="P259" i="2"/>
  <c r="M259" i="2"/>
  <c r="K259" i="2"/>
  <c r="I259" i="2"/>
  <c r="G259" i="2"/>
  <c r="E259" i="2"/>
  <c r="C259" i="2"/>
  <c r="P258" i="2"/>
  <c r="M258" i="2"/>
  <c r="K258" i="2"/>
  <c r="I258" i="2"/>
  <c r="G258" i="2"/>
  <c r="E258" i="2"/>
  <c r="C258" i="2"/>
  <c r="P257" i="2"/>
  <c r="M257" i="2"/>
  <c r="K257" i="2"/>
  <c r="I257" i="2"/>
  <c r="G257" i="2"/>
  <c r="E257" i="2"/>
  <c r="C257" i="2"/>
  <c r="O257" i="2" s="1"/>
  <c r="O246" i="2" s="1"/>
  <c r="P256" i="2"/>
  <c r="M256" i="2"/>
  <c r="K256" i="2"/>
  <c r="I256" i="2"/>
  <c r="G256" i="2"/>
  <c r="E256" i="2"/>
  <c r="C256" i="2"/>
  <c r="P255" i="2"/>
  <c r="M255" i="2"/>
  <c r="K255" i="2"/>
  <c r="I255" i="2"/>
  <c r="G255" i="2"/>
  <c r="E255" i="2"/>
  <c r="C255" i="2"/>
  <c r="M254" i="2"/>
  <c r="K254" i="2"/>
  <c r="K264" i="2" s="1"/>
  <c r="H254" i="2"/>
  <c r="G254" i="2"/>
  <c r="E254" i="2"/>
  <c r="C254" i="2"/>
  <c r="P250" i="2"/>
  <c r="P245" i="2"/>
  <c r="N241" i="2"/>
  <c r="N265" i="2" s="1"/>
  <c r="M241" i="2"/>
  <c r="L241" i="2"/>
  <c r="K241" i="2"/>
  <c r="J241" i="2"/>
  <c r="G241" i="2"/>
  <c r="F241" i="2"/>
  <c r="F265" i="2" s="1"/>
  <c r="E241" i="2"/>
  <c r="D241" i="2"/>
  <c r="P241" i="2" s="1"/>
  <c r="C241" i="2"/>
  <c r="P240" i="2"/>
  <c r="P252" i="2" s="1"/>
  <c r="O240" i="2"/>
  <c r="P239" i="2"/>
  <c r="P251" i="2" s="1"/>
  <c r="O239" i="2"/>
  <c r="P238" i="2"/>
  <c r="O238" i="2"/>
  <c r="P237" i="2"/>
  <c r="P249" i="2" s="1"/>
  <c r="O237" i="2"/>
  <c r="P236" i="2"/>
  <c r="P248" i="2" s="1"/>
  <c r="O236" i="2"/>
  <c r="P235" i="2"/>
  <c r="O235" i="2"/>
  <c r="P234" i="2"/>
  <c r="P246" i="2" s="1"/>
  <c r="O234" i="2"/>
  <c r="P233" i="2"/>
  <c r="O233" i="2"/>
  <c r="P232" i="2"/>
  <c r="O232" i="2"/>
  <c r="P231" i="2"/>
  <c r="O231" i="2"/>
  <c r="I231" i="2"/>
  <c r="I254" i="2" s="1"/>
  <c r="H231" i="2"/>
  <c r="H241" i="2" s="1"/>
  <c r="N226" i="2"/>
  <c r="L226" i="2"/>
  <c r="J226" i="2"/>
  <c r="H226" i="2"/>
  <c r="F226" i="2"/>
  <c r="D226" i="2"/>
  <c r="D227" i="2" s="1"/>
  <c r="P225" i="2"/>
  <c r="M225" i="2"/>
  <c r="K225" i="2"/>
  <c r="I225" i="2"/>
  <c r="O225" i="2" s="1"/>
  <c r="G225" i="2"/>
  <c r="E225" i="2"/>
  <c r="C225" i="2"/>
  <c r="P224" i="2"/>
  <c r="P213" i="2" s="1"/>
  <c r="M224" i="2"/>
  <c r="K224" i="2"/>
  <c r="I224" i="2"/>
  <c r="O224" i="2" s="1"/>
  <c r="G224" i="2"/>
  <c r="E224" i="2"/>
  <c r="C224" i="2"/>
  <c r="P223" i="2"/>
  <c r="M223" i="2"/>
  <c r="K223" i="2"/>
  <c r="I223" i="2"/>
  <c r="O223" i="2" s="1"/>
  <c r="G223" i="2"/>
  <c r="E223" i="2"/>
  <c r="C223" i="2"/>
  <c r="P222" i="2"/>
  <c r="M222" i="2"/>
  <c r="K222" i="2"/>
  <c r="I222" i="2"/>
  <c r="O222" i="2" s="1"/>
  <c r="G222" i="2"/>
  <c r="E222" i="2"/>
  <c r="C222" i="2"/>
  <c r="P221" i="2"/>
  <c r="M221" i="2"/>
  <c r="K221" i="2"/>
  <c r="I221" i="2"/>
  <c r="O221" i="2" s="1"/>
  <c r="G221" i="2"/>
  <c r="E221" i="2"/>
  <c r="C221" i="2"/>
  <c r="P220" i="2"/>
  <c r="P209" i="2" s="1"/>
  <c r="M220" i="2"/>
  <c r="K220" i="2"/>
  <c r="I220" i="2"/>
  <c r="O220" i="2" s="1"/>
  <c r="G220" i="2"/>
  <c r="E220" i="2"/>
  <c r="C220" i="2"/>
  <c r="P219" i="2"/>
  <c r="M219" i="2"/>
  <c r="K219" i="2"/>
  <c r="I219" i="2"/>
  <c r="O219" i="2" s="1"/>
  <c r="G219" i="2"/>
  <c r="E219" i="2"/>
  <c r="C219" i="2"/>
  <c r="P218" i="2"/>
  <c r="M218" i="2"/>
  <c r="K218" i="2"/>
  <c r="I218" i="2"/>
  <c r="O218" i="2" s="1"/>
  <c r="G218" i="2"/>
  <c r="E218" i="2"/>
  <c r="C218" i="2"/>
  <c r="P217" i="2"/>
  <c r="M217" i="2"/>
  <c r="K217" i="2"/>
  <c r="I217" i="2"/>
  <c r="O217" i="2" s="1"/>
  <c r="O206" i="2" s="1"/>
  <c r="G217" i="2"/>
  <c r="E217" i="2"/>
  <c r="C217" i="2"/>
  <c r="P216" i="2"/>
  <c r="P205" i="2" s="1"/>
  <c r="M216" i="2"/>
  <c r="M226" i="2" s="1"/>
  <c r="K216" i="2"/>
  <c r="K226" i="2" s="1"/>
  <c r="I216" i="2"/>
  <c r="O216" i="2" s="1"/>
  <c r="G216" i="2"/>
  <c r="G226" i="2" s="1"/>
  <c r="E216" i="2"/>
  <c r="E226" i="2" s="1"/>
  <c r="C216" i="2"/>
  <c r="C226" i="2" s="1"/>
  <c r="N203" i="2"/>
  <c r="N227" i="2" s="1"/>
  <c r="M203" i="2"/>
  <c r="L203" i="2"/>
  <c r="K203" i="2"/>
  <c r="J203" i="2"/>
  <c r="I203" i="2"/>
  <c r="H203" i="2"/>
  <c r="H227" i="2" s="1"/>
  <c r="G203" i="2"/>
  <c r="G227" i="2" s="1"/>
  <c r="F203" i="2"/>
  <c r="F227" i="2" s="1"/>
  <c r="E203" i="2"/>
  <c r="D203" i="2"/>
  <c r="C203" i="2"/>
  <c r="P202" i="2"/>
  <c r="P214" i="2" s="1"/>
  <c r="O202" i="2"/>
  <c r="O214" i="2" s="1"/>
  <c r="P201" i="2"/>
  <c r="O201" i="2"/>
  <c r="P200" i="2"/>
  <c r="P212" i="2" s="1"/>
  <c r="O200" i="2"/>
  <c r="P199" i="2"/>
  <c r="O199" i="2"/>
  <c r="P198" i="2"/>
  <c r="P210" i="2" s="1"/>
  <c r="O198" i="2"/>
  <c r="P197" i="2"/>
  <c r="O197" i="2"/>
  <c r="P196" i="2"/>
  <c r="P208" i="2" s="1"/>
  <c r="O196" i="2"/>
  <c r="P195" i="2"/>
  <c r="O195" i="2"/>
  <c r="P194" i="2"/>
  <c r="P206" i="2" s="1"/>
  <c r="O194" i="2"/>
  <c r="P193" i="2"/>
  <c r="O193" i="2"/>
  <c r="L189" i="2"/>
  <c r="N188" i="2"/>
  <c r="N287" i="2" s="1"/>
  <c r="L188" i="2"/>
  <c r="L287" i="2" s="1"/>
  <c r="J188" i="2"/>
  <c r="F188" i="2"/>
  <c r="F287" i="2" s="1"/>
  <c r="D188" i="2"/>
  <c r="P187" i="2"/>
  <c r="M187" i="2"/>
  <c r="K187" i="2"/>
  <c r="I187" i="2"/>
  <c r="G187" i="2"/>
  <c r="E187" i="2"/>
  <c r="C187" i="2"/>
  <c r="P186" i="2"/>
  <c r="M186" i="2"/>
  <c r="K186" i="2"/>
  <c r="I186" i="2"/>
  <c r="G186" i="2"/>
  <c r="E186" i="2"/>
  <c r="C186" i="2"/>
  <c r="P185" i="2"/>
  <c r="M185" i="2"/>
  <c r="K185" i="2"/>
  <c r="I185" i="2"/>
  <c r="G185" i="2"/>
  <c r="E185" i="2"/>
  <c r="C185" i="2"/>
  <c r="P184" i="2"/>
  <c r="M184" i="2"/>
  <c r="K184" i="2"/>
  <c r="I184" i="2"/>
  <c r="G184" i="2"/>
  <c r="E184" i="2"/>
  <c r="C184" i="2"/>
  <c r="P183" i="2"/>
  <c r="M183" i="2"/>
  <c r="K183" i="2"/>
  <c r="I183" i="2"/>
  <c r="G183" i="2"/>
  <c r="E183" i="2"/>
  <c r="C183" i="2"/>
  <c r="P182" i="2"/>
  <c r="M182" i="2"/>
  <c r="K182" i="2"/>
  <c r="I182" i="2"/>
  <c r="G182" i="2"/>
  <c r="E182" i="2"/>
  <c r="C182" i="2"/>
  <c r="P181" i="2"/>
  <c r="M181" i="2"/>
  <c r="K181" i="2"/>
  <c r="I181" i="2"/>
  <c r="G181" i="2"/>
  <c r="E181" i="2"/>
  <c r="C181" i="2"/>
  <c r="O181" i="2" s="1"/>
  <c r="P180" i="2"/>
  <c r="M180" i="2"/>
  <c r="K180" i="2"/>
  <c r="I180" i="2"/>
  <c r="G180" i="2"/>
  <c r="E180" i="2"/>
  <c r="C180" i="2"/>
  <c r="P179" i="2"/>
  <c r="M179" i="2"/>
  <c r="K179" i="2"/>
  <c r="I179" i="2"/>
  <c r="G179" i="2"/>
  <c r="E179" i="2"/>
  <c r="C179" i="2"/>
  <c r="P178" i="2"/>
  <c r="I178" i="2"/>
  <c r="I188" i="2" s="1"/>
  <c r="H178" i="2"/>
  <c r="H188" i="2" s="1"/>
  <c r="G178" i="2"/>
  <c r="E178" i="2"/>
  <c r="C178" i="2"/>
  <c r="P173" i="2"/>
  <c r="P169" i="2"/>
  <c r="N165" i="2"/>
  <c r="L165" i="2"/>
  <c r="J165" i="2"/>
  <c r="I165" i="2"/>
  <c r="H165" i="2"/>
  <c r="H189" i="2" s="1"/>
  <c r="G165" i="2"/>
  <c r="F165" i="2"/>
  <c r="F189" i="2" s="1"/>
  <c r="E165" i="2"/>
  <c r="D165" i="2"/>
  <c r="D189" i="2" s="1"/>
  <c r="C165" i="2"/>
  <c r="P164" i="2"/>
  <c r="O164" i="2"/>
  <c r="P163" i="2"/>
  <c r="O163" i="2"/>
  <c r="P162" i="2"/>
  <c r="O162" i="2"/>
  <c r="P161" i="2"/>
  <c r="O161" i="2"/>
  <c r="P160" i="2"/>
  <c r="O160" i="2"/>
  <c r="P159" i="2"/>
  <c r="P171" i="2" s="1"/>
  <c r="O159" i="2"/>
  <c r="P158" i="2"/>
  <c r="P170" i="2" s="1"/>
  <c r="O158" i="2"/>
  <c r="O170" i="2" s="1"/>
  <c r="P157" i="2"/>
  <c r="O157" i="2"/>
  <c r="P156" i="2"/>
  <c r="O156" i="2"/>
  <c r="P155" i="2"/>
  <c r="K155" i="2"/>
  <c r="H155" i="2"/>
  <c r="J151" i="2"/>
  <c r="P149" i="2"/>
  <c r="H149" i="2"/>
  <c r="P148" i="2"/>
  <c r="H148" i="2"/>
  <c r="H147" i="2"/>
  <c r="P147" i="2" s="1"/>
  <c r="N146" i="2"/>
  <c r="N111" i="2" s="1"/>
  <c r="L146" i="2"/>
  <c r="J146" i="2"/>
  <c r="J111" i="2" s="1"/>
  <c r="F146" i="2"/>
  <c r="D146" i="2"/>
  <c r="P145" i="2"/>
  <c r="M145" i="2"/>
  <c r="K145" i="2"/>
  <c r="I145" i="2"/>
  <c r="G145" i="2"/>
  <c r="E145" i="2"/>
  <c r="C145" i="2"/>
  <c r="O145" i="2" s="1"/>
  <c r="O134" i="2" s="1"/>
  <c r="P144" i="2"/>
  <c r="M144" i="2"/>
  <c r="K144" i="2"/>
  <c r="I144" i="2"/>
  <c r="G144" i="2"/>
  <c r="E144" i="2"/>
  <c r="C144" i="2"/>
  <c r="O144" i="2" s="1"/>
  <c r="P143" i="2"/>
  <c r="M143" i="2"/>
  <c r="K143" i="2"/>
  <c r="I143" i="2"/>
  <c r="H143" i="2"/>
  <c r="G143" i="2"/>
  <c r="E143" i="2"/>
  <c r="C143" i="2"/>
  <c r="P142" i="2"/>
  <c r="M142" i="2"/>
  <c r="K142" i="2"/>
  <c r="I142" i="2"/>
  <c r="H142" i="2"/>
  <c r="G142" i="2"/>
  <c r="E142" i="2"/>
  <c r="C142" i="2"/>
  <c r="P141" i="2"/>
  <c r="M141" i="2"/>
  <c r="K141" i="2"/>
  <c r="I141" i="2"/>
  <c r="G141" i="2"/>
  <c r="E141" i="2"/>
  <c r="C141" i="2"/>
  <c r="P140" i="2"/>
  <c r="M140" i="2"/>
  <c r="K140" i="2"/>
  <c r="I140" i="2"/>
  <c r="G140" i="2"/>
  <c r="E140" i="2"/>
  <c r="C140" i="2"/>
  <c r="P139" i="2"/>
  <c r="M139" i="2"/>
  <c r="K139" i="2"/>
  <c r="I139" i="2"/>
  <c r="G139" i="2"/>
  <c r="E139" i="2"/>
  <c r="C139" i="2"/>
  <c r="P138" i="2"/>
  <c r="G138" i="2"/>
  <c r="E138" i="2"/>
  <c r="C138" i="2"/>
  <c r="P137" i="2"/>
  <c r="M137" i="2"/>
  <c r="K137" i="2"/>
  <c r="I137" i="2"/>
  <c r="G137" i="2"/>
  <c r="E137" i="2"/>
  <c r="C137" i="2"/>
  <c r="I136" i="2"/>
  <c r="H136" i="2"/>
  <c r="G136" i="2"/>
  <c r="E136" i="2"/>
  <c r="C136" i="2"/>
  <c r="N134" i="2"/>
  <c r="L134" i="2"/>
  <c r="J134" i="2"/>
  <c r="H134" i="2"/>
  <c r="F134" i="2"/>
  <c r="D134" i="2"/>
  <c r="N133" i="2"/>
  <c r="L133" i="2"/>
  <c r="J133" i="2"/>
  <c r="H133" i="2"/>
  <c r="F133" i="2"/>
  <c r="D133" i="2"/>
  <c r="N132" i="2"/>
  <c r="L132" i="2"/>
  <c r="J132" i="2"/>
  <c r="F132" i="2"/>
  <c r="D132" i="2"/>
  <c r="N131" i="2"/>
  <c r="L131" i="2"/>
  <c r="J131" i="2"/>
  <c r="F131" i="2"/>
  <c r="D131" i="2"/>
  <c r="N130" i="2"/>
  <c r="L130" i="2"/>
  <c r="J130" i="2"/>
  <c r="H130" i="2"/>
  <c r="F130" i="2"/>
  <c r="D130" i="2"/>
  <c r="N129" i="2"/>
  <c r="L129" i="2"/>
  <c r="J129" i="2"/>
  <c r="H129" i="2"/>
  <c r="F129" i="2"/>
  <c r="D129" i="2"/>
  <c r="N128" i="2"/>
  <c r="L128" i="2"/>
  <c r="J128" i="2"/>
  <c r="H128" i="2"/>
  <c r="F128" i="2"/>
  <c r="D128" i="2"/>
  <c r="N127" i="2"/>
  <c r="L127" i="2"/>
  <c r="J127" i="2"/>
  <c r="H127" i="2"/>
  <c r="F127" i="2"/>
  <c r="D127" i="2"/>
  <c r="N126" i="2"/>
  <c r="L126" i="2"/>
  <c r="J126" i="2"/>
  <c r="H126" i="2"/>
  <c r="F126" i="2"/>
  <c r="D126" i="2"/>
  <c r="N125" i="2"/>
  <c r="L125" i="2"/>
  <c r="J125" i="2"/>
  <c r="I125" i="2"/>
  <c r="F125" i="2"/>
  <c r="D125" i="2"/>
  <c r="N123" i="2"/>
  <c r="L123" i="2"/>
  <c r="L150" i="2" s="1"/>
  <c r="J123" i="2"/>
  <c r="J150" i="2" s="1"/>
  <c r="G123" i="2"/>
  <c r="F123" i="2"/>
  <c r="E123" i="2"/>
  <c r="D123" i="2"/>
  <c r="D151" i="2" s="1"/>
  <c r="C123" i="2"/>
  <c r="P122" i="2"/>
  <c r="O122" i="2"/>
  <c r="P121" i="2"/>
  <c r="O121" i="2"/>
  <c r="O120" i="2"/>
  <c r="H120" i="2"/>
  <c r="H132" i="2" s="1"/>
  <c r="P119" i="2"/>
  <c r="O119" i="2"/>
  <c r="H119" i="2"/>
  <c r="P118" i="2"/>
  <c r="O118" i="2"/>
  <c r="P117" i="2"/>
  <c r="O117" i="2"/>
  <c r="P116" i="2"/>
  <c r="P128" i="2" s="1"/>
  <c r="O116" i="2"/>
  <c r="P115" i="2"/>
  <c r="P127" i="2" s="1"/>
  <c r="I115" i="2"/>
  <c r="P114" i="2"/>
  <c r="P126" i="2" s="1"/>
  <c r="O114" i="2"/>
  <c r="K113" i="2"/>
  <c r="H113" i="2"/>
  <c r="L111" i="2"/>
  <c r="F111" i="2"/>
  <c r="H106" i="2"/>
  <c r="P105" i="2"/>
  <c r="P104" i="2"/>
  <c r="P103" i="2"/>
  <c r="N95" i="2"/>
  <c r="L95" i="2"/>
  <c r="J95" i="2"/>
  <c r="H95" i="2"/>
  <c r="F95" i="2"/>
  <c r="F60" i="2" s="1"/>
  <c r="D95" i="2"/>
  <c r="P94" i="2"/>
  <c r="M94" i="2"/>
  <c r="K94" i="2"/>
  <c r="I94" i="2"/>
  <c r="G94" i="2"/>
  <c r="E94" i="2"/>
  <c r="C94" i="2"/>
  <c r="P93" i="2"/>
  <c r="M93" i="2"/>
  <c r="K93" i="2"/>
  <c r="I93" i="2"/>
  <c r="G93" i="2"/>
  <c r="E93" i="2"/>
  <c r="C93" i="2"/>
  <c r="P92" i="2"/>
  <c r="M92" i="2"/>
  <c r="K92" i="2"/>
  <c r="I92" i="2"/>
  <c r="G92" i="2"/>
  <c r="E92" i="2"/>
  <c r="C92" i="2"/>
  <c r="P91" i="2"/>
  <c r="M91" i="2"/>
  <c r="K91" i="2"/>
  <c r="I91" i="2"/>
  <c r="G91" i="2"/>
  <c r="E91" i="2"/>
  <c r="C91" i="2"/>
  <c r="P90" i="2"/>
  <c r="M90" i="2"/>
  <c r="K90" i="2"/>
  <c r="I90" i="2"/>
  <c r="G90" i="2"/>
  <c r="E90" i="2"/>
  <c r="C90" i="2"/>
  <c r="P89" i="2"/>
  <c r="M89" i="2"/>
  <c r="K89" i="2"/>
  <c r="G89" i="2"/>
  <c r="E89" i="2"/>
  <c r="C89" i="2"/>
  <c r="P88" i="2"/>
  <c r="M88" i="2"/>
  <c r="K88" i="2"/>
  <c r="K95" i="2" s="1"/>
  <c r="G88" i="2"/>
  <c r="E88" i="2"/>
  <c r="C88" i="2"/>
  <c r="P87" i="2"/>
  <c r="M87" i="2"/>
  <c r="K87" i="2"/>
  <c r="G87" i="2"/>
  <c r="E87" i="2"/>
  <c r="C87" i="2"/>
  <c r="P86" i="2"/>
  <c r="M86" i="2"/>
  <c r="K86" i="2"/>
  <c r="I86" i="2"/>
  <c r="G86" i="2"/>
  <c r="E86" i="2"/>
  <c r="C86" i="2"/>
  <c r="P85" i="2"/>
  <c r="M85" i="2"/>
  <c r="K85" i="2"/>
  <c r="I85" i="2"/>
  <c r="G85" i="2"/>
  <c r="G95" i="2" s="1"/>
  <c r="G103" i="2" s="1"/>
  <c r="E85" i="2"/>
  <c r="E95" i="2" s="1"/>
  <c r="C85" i="2"/>
  <c r="N83" i="2"/>
  <c r="L83" i="2"/>
  <c r="J83" i="2"/>
  <c r="H83" i="2"/>
  <c r="F83" i="2"/>
  <c r="D83" i="2"/>
  <c r="N82" i="2"/>
  <c r="L82" i="2"/>
  <c r="J82" i="2"/>
  <c r="H82" i="2"/>
  <c r="F82" i="2"/>
  <c r="D82" i="2"/>
  <c r="N81" i="2"/>
  <c r="L81" i="2"/>
  <c r="J81" i="2"/>
  <c r="H81" i="2"/>
  <c r="F81" i="2"/>
  <c r="D81" i="2"/>
  <c r="N80" i="2"/>
  <c r="L80" i="2"/>
  <c r="J80" i="2"/>
  <c r="H80" i="2"/>
  <c r="F80" i="2"/>
  <c r="D80" i="2"/>
  <c r="N79" i="2"/>
  <c r="L79" i="2"/>
  <c r="J79" i="2"/>
  <c r="H79" i="2"/>
  <c r="F79" i="2"/>
  <c r="D79" i="2"/>
  <c r="N78" i="2"/>
  <c r="L78" i="2"/>
  <c r="J78" i="2"/>
  <c r="I78" i="2"/>
  <c r="I89" i="2" s="1"/>
  <c r="H78" i="2"/>
  <c r="F78" i="2"/>
  <c r="D78" i="2"/>
  <c r="N77" i="2"/>
  <c r="L77" i="2"/>
  <c r="J77" i="2"/>
  <c r="I77" i="2"/>
  <c r="I88" i="2" s="1"/>
  <c r="H77" i="2"/>
  <c r="F77" i="2"/>
  <c r="D77" i="2"/>
  <c r="N76" i="2"/>
  <c r="L76" i="2"/>
  <c r="J76" i="2"/>
  <c r="I76" i="2"/>
  <c r="I87" i="2" s="1"/>
  <c r="H76" i="2"/>
  <c r="F76" i="2"/>
  <c r="D76" i="2"/>
  <c r="N75" i="2"/>
  <c r="L75" i="2"/>
  <c r="J75" i="2"/>
  <c r="H75" i="2"/>
  <c r="F75" i="2"/>
  <c r="D75" i="2"/>
  <c r="N74" i="2"/>
  <c r="L74" i="2"/>
  <c r="J74" i="2"/>
  <c r="H74" i="2"/>
  <c r="F74" i="2"/>
  <c r="D74" i="2"/>
  <c r="N72" i="2"/>
  <c r="N106" i="2" s="1"/>
  <c r="M72" i="2"/>
  <c r="L72" i="2"/>
  <c r="L106" i="2" s="1"/>
  <c r="K72" i="2"/>
  <c r="J72" i="2"/>
  <c r="J106" i="2" s="1"/>
  <c r="I72" i="2"/>
  <c r="H72" i="2"/>
  <c r="G72" i="2"/>
  <c r="F72" i="2"/>
  <c r="F107" i="2" s="1"/>
  <c r="E72" i="2"/>
  <c r="D72" i="2"/>
  <c r="D106" i="2" s="1"/>
  <c r="C72" i="2"/>
  <c r="P71" i="2"/>
  <c r="O71" i="2"/>
  <c r="P70" i="2"/>
  <c r="P82" i="2" s="1"/>
  <c r="O70" i="2"/>
  <c r="P69" i="2"/>
  <c r="P81" i="2" s="1"/>
  <c r="O69" i="2"/>
  <c r="P68" i="2"/>
  <c r="P80" i="2" s="1"/>
  <c r="O68" i="2"/>
  <c r="P67" i="2"/>
  <c r="O67" i="2"/>
  <c r="P66" i="2"/>
  <c r="O66" i="2"/>
  <c r="P65" i="2"/>
  <c r="P77" i="2" s="1"/>
  <c r="O65" i="2"/>
  <c r="P64" i="2"/>
  <c r="P76" i="2" s="1"/>
  <c r="O64" i="2"/>
  <c r="P63" i="2"/>
  <c r="O63" i="2"/>
  <c r="P62" i="2"/>
  <c r="O62" i="2"/>
  <c r="J60" i="2"/>
  <c r="H60" i="2"/>
  <c r="H54" i="2"/>
  <c r="H53" i="2"/>
  <c r="P53" i="2" s="1"/>
  <c r="H52" i="2"/>
  <c r="H285" i="2" s="1"/>
  <c r="N51" i="2"/>
  <c r="L51" i="2"/>
  <c r="F51" i="2"/>
  <c r="D51" i="2"/>
  <c r="N49" i="2"/>
  <c r="L49" i="2"/>
  <c r="J49" i="2"/>
  <c r="J283" i="2" s="1"/>
  <c r="F49" i="2"/>
  <c r="D49" i="2"/>
  <c r="P48" i="2"/>
  <c r="M48" i="2"/>
  <c r="K48" i="2"/>
  <c r="I48" i="2"/>
  <c r="G48" i="2"/>
  <c r="E48" i="2"/>
  <c r="C48" i="2"/>
  <c r="P47" i="2"/>
  <c r="M47" i="2"/>
  <c r="K47" i="2"/>
  <c r="I47" i="2"/>
  <c r="E47" i="2"/>
  <c r="C47" i="2"/>
  <c r="M46" i="2"/>
  <c r="K46" i="2"/>
  <c r="I46" i="2"/>
  <c r="H46" i="2"/>
  <c r="P46" i="2" s="1"/>
  <c r="G46" i="2"/>
  <c r="E46" i="2"/>
  <c r="C46" i="2"/>
  <c r="M45" i="2"/>
  <c r="K45" i="2"/>
  <c r="I45" i="2"/>
  <c r="H45" i="2"/>
  <c r="P45" i="2" s="1"/>
  <c r="G45" i="2"/>
  <c r="E45" i="2"/>
  <c r="C45" i="2"/>
  <c r="P44" i="2"/>
  <c r="M44" i="2"/>
  <c r="K44" i="2"/>
  <c r="I44" i="2"/>
  <c r="G44" i="2"/>
  <c r="E44" i="2"/>
  <c r="O44" i="2" s="1"/>
  <c r="O33" i="2" s="1"/>
  <c r="C44" i="2"/>
  <c r="P43" i="2"/>
  <c r="M43" i="2"/>
  <c r="K43" i="2"/>
  <c r="G43" i="2"/>
  <c r="E43" i="2"/>
  <c r="C43" i="2"/>
  <c r="P42" i="2"/>
  <c r="M42" i="2"/>
  <c r="K42" i="2"/>
  <c r="G42" i="2"/>
  <c r="E42" i="2"/>
  <c r="C42" i="2"/>
  <c r="M41" i="2"/>
  <c r="K41" i="2"/>
  <c r="I41" i="2"/>
  <c r="H41" i="2"/>
  <c r="P41" i="2" s="1"/>
  <c r="G41" i="2"/>
  <c r="E41" i="2"/>
  <c r="C41" i="2"/>
  <c r="P40" i="2"/>
  <c r="M40" i="2"/>
  <c r="K40" i="2"/>
  <c r="G40" i="2"/>
  <c r="E40" i="2"/>
  <c r="C40" i="2"/>
  <c r="M39" i="2"/>
  <c r="K39" i="2"/>
  <c r="I39" i="2"/>
  <c r="H39" i="2"/>
  <c r="G39" i="2"/>
  <c r="E39" i="2"/>
  <c r="C39" i="2"/>
  <c r="N37" i="2"/>
  <c r="L37" i="2"/>
  <c r="J37" i="2"/>
  <c r="H37" i="2"/>
  <c r="F37" i="2"/>
  <c r="D37" i="2"/>
  <c r="N36" i="2"/>
  <c r="L36" i="2"/>
  <c r="J36" i="2"/>
  <c r="H36" i="2"/>
  <c r="F36" i="2"/>
  <c r="D36" i="2"/>
  <c r="N35" i="2"/>
  <c r="L35" i="2"/>
  <c r="J35" i="2"/>
  <c r="F35" i="2"/>
  <c r="D35" i="2"/>
  <c r="N34" i="2"/>
  <c r="L34" i="2"/>
  <c r="J34" i="2"/>
  <c r="F34" i="2"/>
  <c r="D34" i="2"/>
  <c r="N33" i="2"/>
  <c r="L33" i="2"/>
  <c r="J33" i="2"/>
  <c r="H33" i="2"/>
  <c r="F33" i="2"/>
  <c r="D33" i="2"/>
  <c r="N32" i="2"/>
  <c r="L32" i="2"/>
  <c r="J32" i="2"/>
  <c r="I32" i="2"/>
  <c r="H32" i="2"/>
  <c r="F32" i="2"/>
  <c r="D32" i="2"/>
  <c r="N31" i="2"/>
  <c r="L31" i="2"/>
  <c r="J31" i="2"/>
  <c r="I31" i="2"/>
  <c r="H31" i="2"/>
  <c r="F31" i="2"/>
  <c r="D31" i="2"/>
  <c r="N30" i="2"/>
  <c r="L30" i="2"/>
  <c r="J30" i="2"/>
  <c r="F30" i="2"/>
  <c r="D30" i="2"/>
  <c r="N29" i="2"/>
  <c r="L29" i="2"/>
  <c r="J29" i="2"/>
  <c r="H29" i="2"/>
  <c r="F29" i="2"/>
  <c r="D29" i="2"/>
  <c r="N28" i="2"/>
  <c r="L28" i="2"/>
  <c r="J28" i="2"/>
  <c r="F28" i="2"/>
  <c r="D28" i="2"/>
  <c r="N26" i="2"/>
  <c r="N55" i="2" s="1"/>
  <c r="M26" i="2"/>
  <c r="L26" i="2"/>
  <c r="L56" i="2" s="1"/>
  <c r="K26" i="2"/>
  <c r="J26" i="2"/>
  <c r="J55" i="2" s="1"/>
  <c r="F26" i="2"/>
  <c r="F55" i="2" s="1"/>
  <c r="E26" i="2"/>
  <c r="D26" i="2"/>
  <c r="D56" i="2" s="1"/>
  <c r="C26" i="2"/>
  <c r="P25" i="2"/>
  <c r="O25" i="2"/>
  <c r="P24" i="2"/>
  <c r="P36" i="2" s="1"/>
  <c r="G24" i="2"/>
  <c r="G277" i="2" s="1"/>
  <c r="O23" i="2"/>
  <c r="H23" i="2"/>
  <c r="O22" i="2"/>
  <c r="H22" i="2"/>
  <c r="H275" i="2" s="1"/>
  <c r="W21" i="2"/>
  <c r="V21" i="2"/>
  <c r="U21" i="2"/>
  <c r="T21" i="2"/>
  <c r="P21" i="2"/>
  <c r="P33" i="2" s="1"/>
  <c r="O21" i="2"/>
  <c r="W20" i="2"/>
  <c r="V20" i="2"/>
  <c r="U20" i="2"/>
  <c r="Y20" i="2" s="1"/>
  <c r="T20" i="2"/>
  <c r="X20" i="2" s="1"/>
  <c r="P20" i="2"/>
  <c r="P32" i="2" s="1"/>
  <c r="W19" i="2"/>
  <c r="V19" i="2"/>
  <c r="U19" i="2"/>
  <c r="T19" i="2"/>
  <c r="P19" i="2"/>
  <c r="P31" i="2" s="1"/>
  <c r="I19" i="2"/>
  <c r="I272" i="2" s="1"/>
  <c r="O18" i="2"/>
  <c r="H18" i="2"/>
  <c r="P17" i="2"/>
  <c r="P29" i="2" s="1"/>
  <c r="O16" i="2"/>
  <c r="H16" i="2"/>
  <c r="H269" i="2" s="1"/>
  <c r="N14" i="2"/>
  <c r="L14" i="2"/>
  <c r="F14" i="2"/>
  <c r="D14" i="2"/>
  <c r="Z13" i="2"/>
  <c r="AA13" i="2" s="1"/>
  <c r="Y13" i="2"/>
  <c r="X13" i="2"/>
  <c r="W13" i="2"/>
  <c r="T13" i="2"/>
  <c r="V13" i="2" s="1"/>
  <c r="Y12" i="2"/>
  <c r="Z12" i="2" s="1"/>
  <c r="W12" i="2"/>
  <c r="T12" i="2"/>
  <c r="V12" i="2" s="1"/>
  <c r="Y11" i="2"/>
  <c r="W11" i="2"/>
  <c r="T11" i="2"/>
  <c r="V11" i="2" s="1"/>
  <c r="X11" i="2" s="1"/>
  <c r="Y10" i="2"/>
  <c r="Z10" i="2" s="1"/>
  <c r="W10" i="2"/>
  <c r="T10" i="2"/>
  <c r="V10" i="2" s="1"/>
  <c r="X10" i="2" s="1"/>
  <c r="Y9" i="2"/>
  <c r="W9" i="2"/>
  <c r="V9" i="2"/>
  <c r="T9" i="2"/>
  <c r="N9" i="2"/>
  <c r="L9" i="2"/>
  <c r="J9" i="2"/>
  <c r="F9" i="2"/>
  <c r="D9" i="2"/>
  <c r="Y8" i="2"/>
  <c r="W8" i="2"/>
  <c r="V8" i="2"/>
  <c r="T8" i="2"/>
  <c r="AA7" i="2"/>
  <c r="Z7" i="2"/>
  <c r="X7" i="2"/>
  <c r="V7" i="2"/>
  <c r="J7" i="2"/>
  <c r="J8" i="2" s="1"/>
  <c r="C7" i="2"/>
  <c r="C8" i="2" s="1"/>
  <c r="O6" i="2"/>
  <c r="C227" i="1"/>
  <c r="C226" i="1"/>
  <c r="C225" i="1"/>
  <c r="C224" i="1"/>
  <c r="C223" i="1"/>
  <c r="H204" i="1"/>
  <c r="G204" i="1"/>
  <c r="F204" i="1"/>
  <c r="E204" i="1"/>
  <c r="D204" i="1"/>
  <c r="C204" i="1"/>
  <c r="H190" i="1"/>
  <c r="G190" i="1"/>
  <c r="F190" i="1"/>
  <c r="E190" i="1"/>
  <c r="D190" i="1"/>
  <c r="C190" i="1"/>
  <c r="H181" i="1"/>
  <c r="C181" i="1"/>
  <c r="H167" i="1"/>
  <c r="G167" i="1"/>
  <c r="F167" i="1"/>
  <c r="E167" i="1"/>
  <c r="D167" i="1"/>
  <c r="C167" i="1"/>
  <c r="D160" i="1"/>
  <c r="C160" i="1"/>
  <c r="A160" i="1"/>
  <c r="H159" i="1"/>
  <c r="D159" i="1"/>
  <c r="C159" i="1"/>
  <c r="A159" i="1"/>
  <c r="H158" i="1"/>
  <c r="G158" i="1"/>
  <c r="D158" i="1"/>
  <c r="C158" i="1"/>
  <c r="G157" i="1"/>
  <c r="C157" i="1"/>
  <c r="H156" i="1"/>
  <c r="G156" i="1"/>
  <c r="E156" i="1"/>
  <c r="D156" i="1"/>
  <c r="I154" i="1"/>
  <c r="H153" i="1"/>
  <c r="G153" i="1"/>
  <c r="F153" i="1"/>
  <c r="D153" i="1"/>
  <c r="I152" i="1"/>
  <c r="I151" i="1"/>
  <c r="H151" i="1"/>
  <c r="H160" i="1" s="1"/>
  <c r="G151" i="1"/>
  <c r="G159" i="1" s="1"/>
  <c r="F151" i="1"/>
  <c r="F157" i="1" s="1"/>
  <c r="E151" i="1"/>
  <c r="D151" i="1"/>
  <c r="D157" i="1" s="1"/>
  <c r="C151" i="1"/>
  <c r="C156" i="1" s="1"/>
  <c r="I150" i="1"/>
  <c r="H143" i="1"/>
  <c r="G143" i="1"/>
  <c r="F143" i="1"/>
  <c r="E143" i="1"/>
  <c r="D143" i="1"/>
  <c r="C143" i="1"/>
  <c r="H136" i="1"/>
  <c r="G136" i="1"/>
  <c r="F136" i="1"/>
  <c r="A136" i="1"/>
  <c r="G135" i="1"/>
  <c r="F135" i="1"/>
  <c r="E135" i="1"/>
  <c r="A135" i="1"/>
  <c r="H134" i="1"/>
  <c r="G134" i="1"/>
  <c r="F134" i="1"/>
  <c r="E134" i="1"/>
  <c r="G133" i="1"/>
  <c r="F133" i="1"/>
  <c r="F132" i="1"/>
  <c r="E132" i="1"/>
  <c r="I130" i="1"/>
  <c r="H129" i="1"/>
  <c r="I128" i="1"/>
  <c r="H127" i="1"/>
  <c r="G127" i="1"/>
  <c r="G132" i="1" s="1"/>
  <c r="F127" i="1"/>
  <c r="F129" i="1" s="1"/>
  <c r="E127" i="1"/>
  <c r="E136" i="1" s="1"/>
  <c r="D127" i="1"/>
  <c r="C127" i="1"/>
  <c r="I126" i="1"/>
  <c r="H119" i="1"/>
  <c r="G119" i="1"/>
  <c r="F119" i="1"/>
  <c r="E119" i="1"/>
  <c r="D119" i="1"/>
  <c r="C119" i="1"/>
  <c r="D112" i="1"/>
  <c r="C112" i="1"/>
  <c r="A112" i="1"/>
  <c r="H111" i="1"/>
  <c r="F111" i="1"/>
  <c r="D111" i="1"/>
  <c r="C111" i="1"/>
  <c r="A111" i="1"/>
  <c r="H110" i="1"/>
  <c r="G110" i="1"/>
  <c r="G179" i="1" s="1"/>
  <c r="D110" i="1"/>
  <c r="C110" i="1"/>
  <c r="H109" i="1"/>
  <c r="C109" i="1"/>
  <c r="H108" i="1"/>
  <c r="G108" i="1"/>
  <c r="D108" i="1"/>
  <c r="I106" i="1"/>
  <c r="H105" i="1"/>
  <c r="G105" i="1"/>
  <c r="D105" i="1"/>
  <c r="I104" i="1"/>
  <c r="I103" i="1"/>
  <c r="H103" i="1"/>
  <c r="H112" i="1" s="1"/>
  <c r="G103" i="1"/>
  <c r="F103" i="1"/>
  <c r="F105" i="1" s="1"/>
  <c r="E103" i="1"/>
  <c r="D103" i="1"/>
  <c r="D109" i="1" s="1"/>
  <c r="C103" i="1"/>
  <c r="C108" i="1" s="1"/>
  <c r="I102" i="1"/>
  <c r="H95" i="1"/>
  <c r="G95" i="1"/>
  <c r="F95" i="1"/>
  <c r="E95" i="1"/>
  <c r="D95" i="1"/>
  <c r="C95" i="1"/>
  <c r="G83" i="1"/>
  <c r="D83" i="1"/>
  <c r="C83" i="1"/>
  <c r="A83" i="1"/>
  <c r="A82" i="1"/>
  <c r="H81" i="1"/>
  <c r="D81" i="1"/>
  <c r="A81" i="1"/>
  <c r="G80" i="1"/>
  <c r="G79" i="1"/>
  <c r="G77" i="1"/>
  <c r="C77" i="1"/>
  <c r="H75" i="1"/>
  <c r="G75" i="1"/>
  <c r="I70" i="1"/>
  <c r="H69" i="1"/>
  <c r="H68" i="1" s="1"/>
  <c r="H72" i="1" s="1"/>
  <c r="G69" i="1"/>
  <c r="G71" i="1" s="1"/>
  <c r="D69" i="1"/>
  <c r="D68" i="1" s="1"/>
  <c r="D72" i="1" s="1"/>
  <c r="C69" i="1"/>
  <c r="H67" i="1"/>
  <c r="G67" i="1"/>
  <c r="F67" i="1"/>
  <c r="E67" i="1"/>
  <c r="D67" i="1"/>
  <c r="C67" i="1"/>
  <c r="I65" i="1"/>
  <c r="H64" i="1"/>
  <c r="G64" i="1"/>
  <c r="D64" i="1"/>
  <c r="D80" i="1" s="1"/>
  <c r="C64" i="1"/>
  <c r="C82" i="1" s="1"/>
  <c r="I62" i="1"/>
  <c r="H61" i="1"/>
  <c r="F61" i="1"/>
  <c r="D61" i="1"/>
  <c r="C61" i="1"/>
  <c r="I60" i="1"/>
  <c r="H53" i="1"/>
  <c r="G53" i="1"/>
  <c r="F53" i="1"/>
  <c r="E53" i="1"/>
  <c r="D53" i="1"/>
  <c r="C53" i="1"/>
  <c r="A41" i="1"/>
  <c r="A40" i="1"/>
  <c r="E181" i="1" s="1"/>
  <c r="A39" i="1"/>
  <c r="E37" i="1"/>
  <c r="E35" i="1"/>
  <c r="E32" i="1"/>
  <c r="I28" i="1"/>
  <c r="H25" i="1"/>
  <c r="G25" i="1"/>
  <c r="F25" i="1"/>
  <c r="E25" i="1"/>
  <c r="D25" i="1"/>
  <c r="C25" i="1"/>
  <c r="I23" i="1"/>
  <c r="E22" i="1"/>
  <c r="E36" i="1" s="1"/>
  <c r="I20" i="1"/>
  <c r="E19" i="1"/>
  <c r="I18" i="1"/>
  <c r="C9" i="1"/>
  <c r="D7" i="1"/>
  <c r="G61" i="1" s="1"/>
  <c r="D6" i="1"/>
  <c r="F19" i="1" s="1"/>
  <c r="K104" i="2" l="1"/>
  <c r="K105" i="2" s="1"/>
  <c r="K103" i="2"/>
  <c r="O173" i="2"/>
  <c r="O210" i="2"/>
  <c r="AA11" i="2"/>
  <c r="Y21" i="2"/>
  <c r="O87" i="2"/>
  <c r="O92" i="2"/>
  <c r="O81" i="2" s="1"/>
  <c r="P131" i="2"/>
  <c r="O142" i="2"/>
  <c r="O131" i="2" s="1"/>
  <c r="O143" i="2"/>
  <c r="O132" i="2" s="1"/>
  <c r="C264" i="2"/>
  <c r="O261" i="2"/>
  <c r="O250" i="2" s="1"/>
  <c r="L265" i="2"/>
  <c r="P272" i="2"/>
  <c r="O37" i="2"/>
  <c r="O86" i="2"/>
  <c r="O75" i="2" s="1"/>
  <c r="O91" i="2"/>
  <c r="O80" i="2" s="1"/>
  <c r="O141" i="2"/>
  <c r="P110" i="2"/>
  <c r="O184" i="2"/>
  <c r="O207" i="2"/>
  <c r="O211" i="2"/>
  <c r="O203" i="2"/>
  <c r="O227" i="2" s="1"/>
  <c r="K227" i="2"/>
  <c r="O260" i="2"/>
  <c r="O249" i="2" s="1"/>
  <c r="N279" i="2"/>
  <c r="P278" i="2"/>
  <c r="P37" i="2"/>
  <c r="H49" i="2"/>
  <c r="H283" i="2" s="1"/>
  <c r="G284" i="2" s="1"/>
  <c r="O284" i="2" s="1"/>
  <c r="D283" i="2"/>
  <c r="O85" i="2"/>
  <c r="O74" i="2" s="1"/>
  <c r="O90" i="2"/>
  <c r="O79" i="2" s="1"/>
  <c r="P59" i="2"/>
  <c r="H123" i="2"/>
  <c r="G188" i="2"/>
  <c r="O183" i="2"/>
  <c r="O172" i="2" s="1"/>
  <c r="P207" i="2"/>
  <c r="P211" i="2"/>
  <c r="P203" i="2"/>
  <c r="L227" i="2"/>
  <c r="L279" i="2"/>
  <c r="I20" i="2"/>
  <c r="I273" i="2" s="1"/>
  <c r="O273" i="2" s="1"/>
  <c r="O48" i="2"/>
  <c r="P74" i="2"/>
  <c r="P78" i="2"/>
  <c r="H107" i="2"/>
  <c r="L107" i="2"/>
  <c r="F106" i="2"/>
  <c r="P129" i="2"/>
  <c r="P120" i="2"/>
  <c r="P132" i="2" s="1"/>
  <c r="H131" i="2"/>
  <c r="N189" i="2"/>
  <c r="I264" i="2"/>
  <c r="I287" i="2" s="1"/>
  <c r="D279" i="2"/>
  <c r="O274" i="2"/>
  <c r="O275" i="2"/>
  <c r="X12" i="2"/>
  <c r="X8" i="2"/>
  <c r="X14" i="2" s="1"/>
  <c r="T22" i="2"/>
  <c r="K49" i="2"/>
  <c r="K53" i="2" s="1"/>
  <c r="K54" i="2" s="1"/>
  <c r="O83" i="2"/>
  <c r="O130" i="2"/>
  <c r="O133" i="2"/>
  <c r="I226" i="2"/>
  <c r="E279" i="2"/>
  <c r="E7" i="2" s="1"/>
  <c r="E8" i="2" s="1"/>
  <c r="O276" i="2"/>
  <c r="H276" i="2"/>
  <c r="M49" i="2"/>
  <c r="M53" i="2" s="1"/>
  <c r="M54" i="2" s="1"/>
  <c r="O46" i="2"/>
  <c r="O35" i="2" s="1"/>
  <c r="H281" i="2"/>
  <c r="H9" i="2" s="1"/>
  <c r="P9" i="2" s="1"/>
  <c r="P75" i="2"/>
  <c r="P79" i="2"/>
  <c r="P83" i="2"/>
  <c r="P130" i="2"/>
  <c r="P133" i="2"/>
  <c r="P165" i="2"/>
  <c r="P189" i="2" s="1"/>
  <c r="P247" i="2"/>
  <c r="M264" i="2"/>
  <c r="M265" i="2" s="1"/>
  <c r="D265" i="2"/>
  <c r="F279" i="2"/>
  <c r="P273" i="2"/>
  <c r="Z11" i="2"/>
  <c r="V22" i="2"/>
  <c r="O41" i="2"/>
  <c r="O30" i="2" s="1"/>
  <c r="D55" i="2"/>
  <c r="K107" i="2"/>
  <c r="O94" i="2"/>
  <c r="J107" i="2"/>
  <c r="G189" i="2"/>
  <c r="O179" i="2"/>
  <c r="O187" i="2"/>
  <c r="O176" i="2" s="1"/>
  <c r="J265" i="2"/>
  <c r="O263" i="2"/>
  <c r="O252" i="2" s="1"/>
  <c r="X9" i="2"/>
  <c r="W22" i="2"/>
  <c r="X21" i="2"/>
  <c r="O39" i="2"/>
  <c r="O45" i="2"/>
  <c r="L55" i="2"/>
  <c r="M95" i="2"/>
  <c r="M107" i="2" s="1"/>
  <c r="O93" i="2"/>
  <c r="O82" i="2" s="1"/>
  <c r="O186" i="2"/>
  <c r="I227" i="2"/>
  <c r="P244" i="2"/>
  <c r="K265" i="2"/>
  <c r="O262" i="2"/>
  <c r="F182" i="1"/>
  <c r="F27" i="1"/>
  <c r="F22" i="1"/>
  <c r="C68" i="1"/>
  <c r="C71" i="1"/>
  <c r="C134" i="1"/>
  <c r="C135" i="1"/>
  <c r="C132" i="1"/>
  <c r="C129" i="1"/>
  <c r="H271" i="2"/>
  <c r="P271" i="2" s="1"/>
  <c r="H30" i="2"/>
  <c r="P18" i="2"/>
  <c r="P30" i="2" s="1"/>
  <c r="D19" i="1"/>
  <c r="G78" i="1"/>
  <c r="G81" i="1"/>
  <c r="G76" i="1"/>
  <c r="G82" i="1"/>
  <c r="G74" i="1"/>
  <c r="D74" i="1"/>
  <c r="C76" i="1"/>
  <c r="D78" i="1"/>
  <c r="H179" i="1"/>
  <c r="E160" i="1"/>
  <c r="E159" i="1"/>
  <c r="E158" i="1"/>
  <c r="I158" i="1" s="1"/>
  <c r="E153" i="1"/>
  <c r="E157" i="1"/>
  <c r="D135" i="1"/>
  <c r="D136" i="1"/>
  <c r="D129" i="1"/>
  <c r="C133" i="1"/>
  <c r="G199" i="1"/>
  <c r="C198" i="1"/>
  <c r="H199" i="1"/>
  <c r="F199" i="1"/>
  <c r="C199" i="1"/>
  <c r="E41" i="1"/>
  <c r="E40" i="1"/>
  <c r="E39" i="1"/>
  <c r="E38" i="1"/>
  <c r="D75" i="1"/>
  <c r="D79" i="1"/>
  <c r="D82" i="1"/>
  <c r="D77" i="1"/>
  <c r="C179" i="1"/>
  <c r="H79" i="1"/>
  <c r="H82" i="1"/>
  <c r="H83" i="1"/>
  <c r="H77" i="1"/>
  <c r="D71" i="1"/>
  <c r="D76" i="1"/>
  <c r="E112" i="1"/>
  <c r="E111" i="1"/>
  <c r="E110" i="1"/>
  <c r="I110" i="1" s="1"/>
  <c r="E105" i="1"/>
  <c r="E108" i="1"/>
  <c r="I108" i="1" s="1"/>
  <c r="D132" i="1"/>
  <c r="D134" i="1"/>
  <c r="D179" i="1" s="1"/>
  <c r="H78" i="1"/>
  <c r="C74" i="1"/>
  <c r="C79" i="1"/>
  <c r="C75" i="1"/>
  <c r="C81" i="1"/>
  <c r="D133" i="1"/>
  <c r="D178" i="1" s="1"/>
  <c r="E34" i="1"/>
  <c r="C78" i="1"/>
  <c r="C80" i="1"/>
  <c r="E182" i="1"/>
  <c r="E27" i="1"/>
  <c r="E109" i="1"/>
  <c r="H133" i="1"/>
  <c r="H198" i="1" s="1"/>
  <c r="H132" i="1"/>
  <c r="H135" i="1"/>
  <c r="F158" i="1"/>
  <c r="F159" i="1"/>
  <c r="F156" i="1"/>
  <c r="I156" i="1" s="1"/>
  <c r="F160" i="1"/>
  <c r="C19" i="1"/>
  <c r="G19" i="1"/>
  <c r="F64" i="1"/>
  <c r="F69" i="1"/>
  <c r="H76" i="1"/>
  <c r="H80" i="1"/>
  <c r="F108" i="1"/>
  <c r="F110" i="1"/>
  <c r="F109" i="1"/>
  <c r="F178" i="1" s="1"/>
  <c r="F112" i="1"/>
  <c r="I127" i="1"/>
  <c r="H19" i="1"/>
  <c r="E33" i="1"/>
  <c r="H183" i="1"/>
  <c r="F183" i="1"/>
  <c r="D181" i="1"/>
  <c r="I181" i="1" s="1"/>
  <c r="G183" i="1"/>
  <c r="E183" i="1"/>
  <c r="G181" i="1"/>
  <c r="F181" i="1"/>
  <c r="D183" i="1"/>
  <c r="C183" i="1"/>
  <c r="G68" i="1"/>
  <c r="G72" i="1" s="1"/>
  <c r="H71" i="1"/>
  <c r="H74" i="1"/>
  <c r="G109" i="1"/>
  <c r="G178" i="1" s="1"/>
  <c r="G111" i="1"/>
  <c r="G112" i="1"/>
  <c r="C136" i="1"/>
  <c r="I95" i="2"/>
  <c r="E61" i="1"/>
  <c r="I61" i="1" s="1"/>
  <c r="E133" i="1"/>
  <c r="H157" i="1"/>
  <c r="E129" i="1"/>
  <c r="G160" i="1"/>
  <c r="AA10" i="2"/>
  <c r="H51" i="2"/>
  <c r="C105" i="1"/>
  <c r="I105" i="1" s="1"/>
  <c r="G129" i="1"/>
  <c r="C153" i="1"/>
  <c r="I153" i="1" s="1"/>
  <c r="AA12" i="2"/>
  <c r="C56" i="2"/>
  <c r="O20" i="2"/>
  <c r="I43" i="2"/>
  <c r="O43" i="2" s="1"/>
  <c r="V14" i="2"/>
  <c r="O34" i="2"/>
  <c r="K51" i="2"/>
  <c r="I107" i="2"/>
  <c r="O89" i="2"/>
  <c r="O78" i="2" s="1"/>
  <c r="O28" i="2"/>
  <c r="Y19" i="2"/>
  <c r="Y22" i="2" s="1"/>
  <c r="Y14" i="2"/>
  <c r="Z8" i="2"/>
  <c r="O88" i="2"/>
  <c r="O77" i="2" s="1"/>
  <c r="U22" i="2"/>
  <c r="G286" i="2"/>
  <c r="O286" i="2" s="1"/>
  <c r="P285" i="2"/>
  <c r="C95" i="2"/>
  <c r="C107" i="2" s="1"/>
  <c r="O126" i="2"/>
  <c r="F151" i="2"/>
  <c r="F150" i="2"/>
  <c r="O272" i="2"/>
  <c r="T14" i="2"/>
  <c r="P269" i="2"/>
  <c r="X19" i="2"/>
  <c r="X22" i="2" s="1"/>
  <c r="O24" i="2"/>
  <c r="G26" i="2"/>
  <c r="C49" i="2"/>
  <c r="F56" i="2"/>
  <c r="N56" i="2"/>
  <c r="P95" i="2"/>
  <c r="P60" i="2" s="1"/>
  <c r="H125" i="2"/>
  <c r="O137" i="2"/>
  <c r="O180" i="2"/>
  <c r="O169" i="2" s="1"/>
  <c r="C188" i="2"/>
  <c r="J227" i="2"/>
  <c r="P275" i="2"/>
  <c r="H26" i="2"/>
  <c r="P26" i="2"/>
  <c r="I42" i="2"/>
  <c r="O42" i="2" s="1"/>
  <c r="L283" i="2"/>
  <c r="L60" i="2"/>
  <c r="O76" i="2"/>
  <c r="K106" i="2"/>
  <c r="E104" i="2"/>
  <c r="E105" i="2" s="1"/>
  <c r="E106" i="2" s="1"/>
  <c r="E103" i="2"/>
  <c r="I271" i="2"/>
  <c r="I123" i="2"/>
  <c r="K165" i="2"/>
  <c r="K178" i="2"/>
  <c r="K188" i="2" s="1"/>
  <c r="K287" i="2" s="1"/>
  <c r="D287" i="2"/>
  <c r="P188" i="2"/>
  <c r="O251" i="2"/>
  <c r="E264" i="2"/>
  <c r="E265" i="2" s="1"/>
  <c r="G279" i="2"/>
  <c r="Z9" i="2"/>
  <c r="AA9" i="2" s="1"/>
  <c r="H14" i="2"/>
  <c r="P16" i="2"/>
  <c r="O19" i="2"/>
  <c r="G47" i="2"/>
  <c r="O47" i="2" s="1"/>
  <c r="E49" i="2"/>
  <c r="N60" i="2"/>
  <c r="K115" i="2"/>
  <c r="I138" i="2"/>
  <c r="C146" i="2"/>
  <c r="C151" i="2" s="1"/>
  <c r="M155" i="2"/>
  <c r="P174" i="2"/>
  <c r="P243" i="2"/>
  <c r="G264" i="2"/>
  <c r="G265" i="2" s="1"/>
  <c r="O259" i="2"/>
  <c r="O248" i="2" s="1"/>
  <c r="D198" i="1"/>
  <c r="J10" i="2"/>
  <c r="J14" i="2"/>
  <c r="I17" i="2"/>
  <c r="F283" i="2"/>
  <c r="N283" i="2"/>
  <c r="E107" i="2"/>
  <c r="D107" i="2"/>
  <c r="P134" i="2"/>
  <c r="O140" i="2"/>
  <c r="P146" i="2"/>
  <c r="P111" i="2" s="1"/>
  <c r="O155" i="2"/>
  <c r="O175" i="2"/>
  <c r="O185" i="2"/>
  <c r="O174" i="2" s="1"/>
  <c r="J287" i="2"/>
  <c r="O208" i="2"/>
  <c r="O212" i="2"/>
  <c r="E227" i="2"/>
  <c r="M227" i="2"/>
  <c r="O226" i="2"/>
  <c r="C227" i="2"/>
  <c r="P254" i="2"/>
  <c r="H264" i="2"/>
  <c r="P264" i="2" s="1"/>
  <c r="P265" i="2" s="1"/>
  <c r="O258" i="2"/>
  <c r="O247" i="2" s="1"/>
  <c r="H28" i="2"/>
  <c r="P39" i="2"/>
  <c r="P52" i="2"/>
  <c r="J56" i="2"/>
  <c r="N107" i="2"/>
  <c r="G104" i="2"/>
  <c r="G105" i="2" s="1"/>
  <c r="G106" i="2" s="1"/>
  <c r="G107" i="2"/>
  <c r="E146" i="2"/>
  <c r="O139" i="2"/>
  <c r="O128" i="2" s="1"/>
  <c r="H150" i="2"/>
  <c r="P167" i="2"/>
  <c r="P175" i="2"/>
  <c r="E188" i="2"/>
  <c r="E189" i="2" s="1"/>
  <c r="P22" i="2"/>
  <c r="P34" i="2" s="1"/>
  <c r="P49" i="2"/>
  <c r="P14" i="2" s="1"/>
  <c r="J51" i="2"/>
  <c r="D60" i="2"/>
  <c r="O72" i="2"/>
  <c r="K269" i="2"/>
  <c r="D150" i="2"/>
  <c r="P123" i="2"/>
  <c r="N151" i="2"/>
  <c r="N150" i="2"/>
  <c r="G146" i="2"/>
  <c r="O168" i="2"/>
  <c r="I189" i="2"/>
  <c r="O205" i="2"/>
  <c r="O209" i="2"/>
  <c r="O213" i="2"/>
  <c r="P226" i="2"/>
  <c r="P227" i="2" s="1"/>
  <c r="C265" i="2"/>
  <c r="O256" i="2"/>
  <c r="O245" i="2" s="1"/>
  <c r="P276" i="2"/>
  <c r="O277" i="2"/>
  <c r="P23" i="2"/>
  <c r="P35" i="2" s="1"/>
  <c r="H34" i="2"/>
  <c r="H35" i="2"/>
  <c r="P54" i="2"/>
  <c r="P13" i="2" s="1"/>
  <c r="P72" i="2"/>
  <c r="D111" i="2"/>
  <c r="P113" i="2"/>
  <c r="P125" i="2" s="1"/>
  <c r="O129" i="2"/>
  <c r="H146" i="2"/>
  <c r="H111" i="2" s="1"/>
  <c r="P136" i="2"/>
  <c r="L151" i="2"/>
  <c r="P168" i="2"/>
  <c r="P172" i="2"/>
  <c r="P176" i="2"/>
  <c r="J189" i="2"/>
  <c r="O182" i="2"/>
  <c r="O171" i="2" s="1"/>
  <c r="O255" i="2"/>
  <c r="O244" i="2" s="1"/>
  <c r="G151" i="2"/>
  <c r="M113" i="2"/>
  <c r="O254" i="2"/>
  <c r="O243" i="2" s="1"/>
  <c r="O113" i="2"/>
  <c r="P270" i="2"/>
  <c r="I269" i="2"/>
  <c r="I241" i="2"/>
  <c r="K136" i="2"/>
  <c r="P283" i="2" l="1"/>
  <c r="P281" i="2"/>
  <c r="M56" i="2"/>
  <c r="P51" i="2"/>
  <c r="M104" i="2"/>
  <c r="M105" i="2" s="1"/>
  <c r="M106" i="2" s="1"/>
  <c r="D7" i="2"/>
  <c r="D8" i="2" s="1"/>
  <c r="D10" i="2"/>
  <c r="H279" i="2"/>
  <c r="H282" i="2" s="1"/>
  <c r="P28" i="2"/>
  <c r="W14" i="2"/>
  <c r="M51" i="2"/>
  <c r="M103" i="2"/>
  <c r="D282" i="2"/>
  <c r="O264" i="2"/>
  <c r="M52" i="2"/>
  <c r="K52" i="2"/>
  <c r="G49" i="2"/>
  <c r="F282" i="2"/>
  <c r="F10" i="2"/>
  <c r="F7" i="2"/>
  <c r="F8" i="2" s="1"/>
  <c r="K56" i="2"/>
  <c r="L282" i="2"/>
  <c r="L7" i="2"/>
  <c r="L8" i="2" s="1"/>
  <c r="L10" i="2"/>
  <c r="N282" i="2"/>
  <c r="N10" i="2"/>
  <c r="N7" i="2"/>
  <c r="N8" i="2" s="1"/>
  <c r="I183" i="1"/>
  <c r="I159" i="1"/>
  <c r="C72" i="1"/>
  <c r="F40" i="1"/>
  <c r="F35" i="1"/>
  <c r="F41" i="1"/>
  <c r="F37" i="1"/>
  <c r="F33" i="1"/>
  <c r="F36" i="1"/>
  <c r="F32" i="1"/>
  <c r="F38" i="1"/>
  <c r="F34" i="1"/>
  <c r="F180" i="1"/>
  <c r="F184" i="1" s="1"/>
  <c r="F39" i="1"/>
  <c r="G287" i="2"/>
  <c r="H265" i="2"/>
  <c r="G7" i="2"/>
  <c r="C104" i="2"/>
  <c r="C103" i="2"/>
  <c r="O95" i="2"/>
  <c r="U14" i="2"/>
  <c r="E199" i="1"/>
  <c r="I136" i="1"/>
  <c r="G198" i="1"/>
  <c r="I160" i="1"/>
  <c r="I129" i="1"/>
  <c r="F26" i="1"/>
  <c r="F30" i="1" s="1"/>
  <c r="F29" i="1"/>
  <c r="I151" i="2"/>
  <c r="H10" i="2"/>
  <c r="Z14" i="2"/>
  <c r="AA8" i="2"/>
  <c r="AA14" i="2" s="1"/>
  <c r="H182" i="1"/>
  <c r="H27" i="1"/>
  <c r="H22" i="1"/>
  <c r="F71" i="1"/>
  <c r="F68" i="1"/>
  <c r="F72" i="1" s="1"/>
  <c r="I132" i="1"/>
  <c r="G283" i="2"/>
  <c r="G52" i="2"/>
  <c r="G51" i="2"/>
  <c r="G53" i="2"/>
  <c r="G54" i="2" s="1"/>
  <c r="P151" i="2"/>
  <c r="P150" i="2"/>
  <c r="E151" i="2"/>
  <c r="E147" i="2"/>
  <c r="E148" i="2"/>
  <c r="E149" i="2" s="1"/>
  <c r="E150" i="2" s="1"/>
  <c r="K138" i="2"/>
  <c r="K271" i="2"/>
  <c r="M115" i="2"/>
  <c r="M123" i="2" s="1"/>
  <c r="K123" i="2"/>
  <c r="O123" i="2" s="1"/>
  <c r="M55" i="2"/>
  <c r="I104" i="2"/>
  <c r="I105" i="2" s="1"/>
  <c r="I106" i="2" s="1"/>
  <c r="I103" i="2"/>
  <c r="P107" i="2"/>
  <c r="P106" i="2"/>
  <c r="K279" i="2"/>
  <c r="F77" i="1"/>
  <c r="F80" i="1"/>
  <c r="F81" i="1"/>
  <c r="F76" i="1"/>
  <c r="F78" i="1"/>
  <c r="F82" i="1"/>
  <c r="F83" i="1"/>
  <c r="F79" i="1"/>
  <c r="F74" i="1"/>
  <c r="F75" i="1"/>
  <c r="E179" i="1"/>
  <c r="I179" i="1" s="1"/>
  <c r="F198" i="1"/>
  <c r="I146" i="2"/>
  <c r="I135" i="1"/>
  <c r="I265" i="2"/>
  <c r="O241" i="2"/>
  <c r="G22" i="1"/>
  <c r="G182" i="1"/>
  <c r="G27" i="1"/>
  <c r="H178" i="1"/>
  <c r="I111" i="1"/>
  <c r="I134" i="1"/>
  <c r="C287" i="2"/>
  <c r="C283" i="2"/>
  <c r="C51" i="2"/>
  <c r="C53" i="2"/>
  <c r="C52" i="2"/>
  <c r="H287" i="2"/>
  <c r="G288" i="2" s="1"/>
  <c r="O288" i="2" s="1"/>
  <c r="E287" i="2"/>
  <c r="H151" i="2"/>
  <c r="I270" i="2"/>
  <c r="O270" i="2" s="1"/>
  <c r="I26" i="2"/>
  <c r="I40" i="2"/>
  <c r="O17" i="2"/>
  <c r="E283" i="2"/>
  <c r="E53" i="2"/>
  <c r="E54" i="2" s="1"/>
  <c r="E52" i="2"/>
  <c r="E51" i="2"/>
  <c r="E56" i="2"/>
  <c r="P55" i="2"/>
  <c r="P56" i="2"/>
  <c r="O32" i="2"/>
  <c r="M269" i="2"/>
  <c r="M136" i="2"/>
  <c r="O107" i="2"/>
  <c r="K189" i="2"/>
  <c r="H55" i="2"/>
  <c r="H56" i="2"/>
  <c r="G56" i="2"/>
  <c r="C189" i="2"/>
  <c r="K55" i="2"/>
  <c r="G147" i="2"/>
  <c r="G148" i="2"/>
  <c r="G149" i="2" s="1"/>
  <c r="G150" i="2" s="1"/>
  <c r="P102" i="2"/>
  <c r="M178" i="2"/>
  <c r="M188" i="2" s="1"/>
  <c r="M287" i="2" s="1"/>
  <c r="M165" i="2"/>
  <c r="M189" i="2" s="1"/>
  <c r="O31" i="2"/>
  <c r="O36" i="2"/>
  <c r="C182" i="1"/>
  <c r="C27" i="1"/>
  <c r="C22" i="1"/>
  <c r="I19" i="1"/>
  <c r="E178" i="1"/>
  <c r="E198" i="1"/>
  <c r="I198" i="1" s="1"/>
  <c r="I109" i="1"/>
  <c r="I112" i="1"/>
  <c r="D199" i="1"/>
  <c r="I199" i="1" s="1"/>
  <c r="I133" i="1"/>
  <c r="C178" i="1"/>
  <c r="I157" i="1"/>
  <c r="D182" i="1"/>
  <c r="D22" i="1"/>
  <c r="D27" i="1"/>
  <c r="C147" i="2"/>
  <c r="C148" i="2"/>
  <c r="O115" i="2"/>
  <c r="E69" i="1"/>
  <c r="E64" i="1"/>
  <c r="F179" i="1"/>
  <c r="E29" i="1"/>
  <c r="E26" i="1"/>
  <c r="E30" i="1" s="1"/>
  <c r="P279" i="2" l="1"/>
  <c r="P282" i="2" s="1"/>
  <c r="O188" i="2"/>
  <c r="I279" i="2"/>
  <c r="H7" i="2"/>
  <c r="H8" i="2" s="1"/>
  <c r="P8" i="2" s="1"/>
  <c r="G280" i="2"/>
  <c r="O280" i="2" s="1"/>
  <c r="O178" i="2"/>
  <c r="O167" i="2" s="1"/>
  <c r="G281" i="2"/>
  <c r="G9" i="2" s="1"/>
  <c r="E285" i="2"/>
  <c r="O102" i="2"/>
  <c r="O265" i="2"/>
  <c r="I182" i="1"/>
  <c r="E281" i="2"/>
  <c r="E55" i="2"/>
  <c r="P287" i="2"/>
  <c r="D37" i="1"/>
  <c r="D180" i="1"/>
  <c r="D39" i="1"/>
  <c r="D34" i="1"/>
  <c r="D40" i="1"/>
  <c r="D36" i="1"/>
  <c r="D32" i="1"/>
  <c r="D35" i="1"/>
  <c r="D38" i="1"/>
  <c r="D41" i="1"/>
  <c r="D33" i="1"/>
  <c r="K146" i="2"/>
  <c r="G32" i="1"/>
  <c r="G41" i="1"/>
  <c r="G36" i="1"/>
  <c r="G40" i="1"/>
  <c r="G39" i="1"/>
  <c r="G35" i="1"/>
  <c r="G38" i="1"/>
  <c r="G34" i="1"/>
  <c r="G180" i="1"/>
  <c r="G184" i="1" s="1"/>
  <c r="G37" i="1"/>
  <c r="G33" i="1"/>
  <c r="H33" i="1"/>
  <c r="H36" i="1"/>
  <c r="H180" i="1"/>
  <c r="H184" i="1" s="1"/>
  <c r="H38" i="1"/>
  <c r="H34" i="1"/>
  <c r="H40" i="1"/>
  <c r="H39" i="1"/>
  <c r="H37" i="1"/>
  <c r="H35" i="1"/>
  <c r="H41" i="1"/>
  <c r="H32" i="1"/>
  <c r="E76" i="1"/>
  <c r="E75" i="1"/>
  <c r="E80" i="1"/>
  <c r="E83" i="1"/>
  <c r="I83" i="1" s="1"/>
  <c r="E180" i="1"/>
  <c r="E184" i="1" s="1"/>
  <c r="E82" i="1"/>
  <c r="I82" i="1" s="1"/>
  <c r="E78" i="1"/>
  <c r="E74" i="1"/>
  <c r="E81" i="1"/>
  <c r="I81" i="1" s="1"/>
  <c r="E77" i="1"/>
  <c r="E79" i="1"/>
  <c r="I64" i="1"/>
  <c r="I63" i="1" s="1"/>
  <c r="I49" i="2"/>
  <c r="I56" i="2" s="1"/>
  <c r="O40" i="2"/>
  <c r="C54" i="2"/>
  <c r="K151" i="2"/>
  <c r="O165" i="2"/>
  <c r="O26" i="2"/>
  <c r="M271" i="2"/>
  <c r="O271" i="2" s="1"/>
  <c r="M138" i="2"/>
  <c r="O138" i="2" s="1"/>
  <c r="O127" i="2" s="1"/>
  <c r="O269" i="2"/>
  <c r="F176" i="1"/>
  <c r="F196" i="1"/>
  <c r="C149" i="2"/>
  <c r="I178" i="1"/>
  <c r="I21" i="1"/>
  <c r="I147" i="2"/>
  <c r="I148" i="2"/>
  <c r="I149" i="2" s="1"/>
  <c r="I150" i="2" s="1"/>
  <c r="I7" i="2"/>
  <c r="I8" i="2" s="1"/>
  <c r="O103" i="2"/>
  <c r="F174" i="1"/>
  <c r="F194" i="1"/>
  <c r="G285" i="2"/>
  <c r="G8" i="2"/>
  <c r="F177" i="1"/>
  <c r="F197" i="1"/>
  <c r="G29" i="1"/>
  <c r="G26" i="1"/>
  <c r="G30" i="1" s="1"/>
  <c r="C105" i="2"/>
  <c r="O104" i="2"/>
  <c r="O60" i="2" s="1"/>
  <c r="F173" i="1"/>
  <c r="F193" i="1"/>
  <c r="D26" i="1"/>
  <c r="D30" i="1" s="1"/>
  <c r="D29" i="1"/>
  <c r="G10" i="2"/>
  <c r="F171" i="1"/>
  <c r="F191" i="1"/>
  <c r="C26" i="1"/>
  <c r="I27" i="1"/>
  <c r="C29" i="1"/>
  <c r="G55" i="2"/>
  <c r="M146" i="2"/>
  <c r="O136" i="2"/>
  <c r="O125" i="2" s="1"/>
  <c r="O287" i="2"/>
  <c r="C36" i="1"/>
  <c r="C38" i="1"/>
  <c r="C180" i="1"/>
  <c r="I180" i="1" s="1"/>
  <c r="C10" i="1" s="1"/>
  <c r="C11" i="1" s="1"/>
  <c r="C39" i="1"/>
  <c r="I39" i="1" s="1"/>
  <c r="C37" i="1"/>
  <c r="C35" i="1"/>
  <c r="I22" i="1"/>
  <c r="C33" i="1"/>
  <c r="C34" i="1"/>
  <c r="C41" i="1"/>
  <c r="C32" i="1"/>
  <c r="C40" i="1"/>
  <c r="D184" i="1"/>
  <c r="O29" i="2"/>
  <c r="C285" i="2"/>
  <c r="K7" i="2"/>
  <c r="K8" i="2" s="1"/>
  <c r="H29" i="1"/>
  <c r="H26" i="1"/>
  <c r="H30" i="1" s="1"/>
  <c r="F175" i="1"/>
  <c r="F195" i="1"/>
  <c r="E71" i="1"/>
  <c r="I71" i="1" s="1"/>
  <c r="E68" i="1"/>
  <c r="I69" i="1"/>
  <c r="F172" i="1"/>
  <c r="F192" i="1"/>
  <c r="P7" i="2" l="1"/>
  <c r="P10" i="2" s="1"/>
  <c r="G282" i="2"/>
  <c r="O189" i="2"/>
  <c r="C150" i="2"/>
  <c r="C281" i="2"/>
  <c r="C55" i="2"/>
  <c r="E191" i="1"/>
  <c r="E171" i="1"/>
  <c r="I74" i="1"/>
  <c r="H171" i="1"/>
  <c r="H191" i="1"/>
  <c r="C176" i="1"/>
  <c r="I37" i="1"/>
  <c r="C196" i="1"/>
  <c r="I196" i="1" s="1"/>
  <c r="M148" i="2"/>
  <c r="M149" i="2" s="1"/>
  <c r="M147" i="2"/>
  <c r="M285" i="2" s="1"/>
  <c r="M283" i="2"/>
  <c r="E176" i="1"/>
  <c r="E196" i="1"/>
  <c r="I79" i="1"/>
  <c r="E197" i="1"/>
  <c r="I80" i="1"/>
  <c r="E177" i="1"/>
  <c r="G176" i="1"/>
  <c r="G196" i="1"/>
  <c r="D171" i="1"/>
  <c r="D191" i="1"/>
  <c r="I40" i="1"/>
  <c r="G177" i="1"/>
  <c r="G197" i="1"/>
  <c r="K148" i="2"/>
  <c r="K147" i="2"/>
  <c r="K283" i="2"/>
  <c r="O146" i="2"/>
  <c r="O151" i="2" s="1"/>
  <c r="D173" i="1"/>
  <c r="D193" i="1"/>
  <c r="M279" i="2"/>
  <c r="I34" i="1"/>
  <c r="C173" i="1"/>
  <c r="I173" i="1" s="1"/>
  <c r="C193" i="1"/>
  <c r="I193" i="1" s="1"/>
  <c r="I26" i="1"/>
  <c r="C30" i="1"/>
  <c r="I30" i="1" s="1"/>
  <c r="E175" i="1"/>
  <c r="E195" i="1"/>
  <c r="I78" i="1"/>
  <c r="H175" i="1"/>
  <c r="H195" i="1"/>
  <c r="G174" i="1"/>
  <c r="G194" i="1"/>
  <c r="D172" i="1"/>
  <c r="D192" i="1"/>
  <c r="I184" i="1"/>
  <c r="I33" i="1"/>
  <c r="C172" i="1"/>
  <c r="I172" i="1" s="1"/>
  <c r="C192" i="1"/>
  <c r="I192" i="1" s="1"/>
  <c r="I36" i="1"/>
  <c r="C175" i="1"/>
  <c r="C195" i="1"/>
  <c r="I283" i="2"/>
  <c r="O283" i="2" s="1"/>
  <c r="I51" i="2"/>
  <c r="O51" i="2" s="1"/>
  <c r="I53" i="2"/>
  <c r="I52" i="2"/>
  <c r="O49" i="2"/>
  <c r="O56" i="2" s="1"/>
  <c r="H174" i="1"/>
  <c r="H194" i="1"/>
  <c r="H172" i="1"/>
  <c r="H192" i="1"/>
  <c r="C184" i="1"/>
  <c r="M151" i="2"/>
  <c r="E174" i="1"/>
  <c r="E194" i="1"/>
  <c r="I77" i="1"/>
  <c r="E192" i="1"/>
  <c r="I75" i="1"/>
  <c r="E172" i="1"/>
  <c r="H173" i="1"/>
  <c r="H193" i="1"/>
  <c r="G171" i="1"/>
  <c r="G191" i="1"/>
  <c r="D175" i="1"/>
  <c r="D195" i="1"/>
  <c r="C171" i="1"/>
  <c r="I32" i="1"/>
  <c r="C191" i="1"/>
  <c r="F200" i="1"/>
  <c r="F201" i="1" s="1"/>
  <c r="F206" i="1"/>
  <c r="F207" i="1" s="1"/>
  <c r="F208" i="1"/>
  <c r="O105" i="2"/>
  <c r="C106" i="2"/>
  <c r="H176" i="1"/>
  <c r="H196" i="1"/>
  <c r="D177" i="1"/>
  <c r="D197" i="1"/>
  <c r="D176" i="1"/>
  <c r="D196" i="1"/>
  <c r="I29" i="1"/>
  <c r="E193" i="1"/>
  <c r="I76" i="1"/>
  <c r="E173" i="1"/>
  <c r="H177" i="1"/>
  <c r="H197" i="1"/>
  <c r="G173" i="1"/>
  <c r="G193" i="1"/>
  <c r="E9" i="2"/>
  <c r="E10" i="2"/>
  <c r="E282" i="2"/>
  <c r="E72" i="1"/>
  <c r="I72" i="1" s="1"/>
  <c r="I68" i="1"/>
  <c r="I41" i="1"/>
  <c r="I38" i="1"/>
  <c r="C177" i="1"/>
  <c r="C197" i="1"/>
  <c r="C174" i="1"/>
  <c r="I35" i="1"/>
  <c r="C194" i="1"/>
  <c r="G172" i="1"/>
  <c r="G192" i="1"/>
  <c r="G175" i="1"/>
  <c r="G195" i="1"/>
  <c r="D174" i="1"/>
  <c r="D194" i="1"/>
  <c r="G206" i="1" l="1"/>
  <c r="G207" i="1" s="1"/>
  <c r="G208" i="1"/>
  <c r="G200" i="1"/>
  <c r="G201" i="1" s="1"/>
  <c r="K285" i="2"/>
  <c r="O147" i="2"/>
  <c r="M7" i="2"/>
  <c r="O279" i="2"/>
  <c r="I174" i="1"/>
  <c r="I176" i="1"/>
  <c r="C10" i="2"/>
  <c r="C9" i="2"/>
  <c r="C282" i="2"/>
  <c r="H200" i="1"/>
  <c r="H201" i="1" s="1"/>
  <c r="H206" i="1"/>
  <c r="H208" i="1"/>
  <c r="H207" i="1"/>
  <c r="I194" i="1"/>
  <c r="E208" i="1"/>
  <c r="E200" i="1"/>
  <c r="E201" i="1" s="1"/>
  <c r="E206" i="1"/>
  <c r="E207" i="1" s="1"/>
  <c r="I54" i="2"/>
  <c r="O53" i="2"/>
  <c r="O14" i="2" s="1"/>
  <c r="C206" i="1"/>
  <c r="C208" i="1"/>
  <c r="C200" i="1"/>
  <c r="C207" i="1"/>
  <c r="I191" i="1"/>
  <c r="I177" i="1"/>
  <c r="I195" i="1"/>
  <c r="O59" i="2"/>
  <c r="O106" i="2"/>
  <c r="I175" i="1"/>
  <c r="I285" i="2"/>
  <c r="O52" i="2"/>
  <c r="K149" i="2"/>
  <c r="O148" i="2"/>
  <c r="O111" i="2" s="1"/>
  <c r="M281" i="2"/>
  <c r="M9" i="2" s="1"/>
  <c r="M150" i="2"/>
  <c r="I197" i="1"/>
  <c r="I171" i="1"/>
  <c r="D206" i="1"/>
  <c r="D207" i="1" s="1"/>
  <c r="D208" i="1"/>
  <c r="D200" i="1"/>
  <c r="D201" i="1" s="1"/>
  <c r="M282" i="2" l="1"/>
  <c r="O285" i="2"/>
  <c r="K281" i="2"/>
  <c r="K150" i="2"/>
  <c r="O149" i="2"/>
  <c r="M8" i="2"/>
  <c r="O8" i="2" s="1"/>
  <c r="O7" i="2"/>
  <c r="I207" i="1"/>
  <c r="I200" i="1"/>
  <c r="C201" i="1"/>
  <c r="I201" i="1" s="1"/>
  <c r="I208" i="1"/>
  <c r="I205" i="1" s="1"/>
  <c r="I206" i="1"/>
  <c r="I281" i="2"/>
  <c r="I55" i="2"/>
  <c r="O54" i="2"/>
  <c r="M10" i="2"/>
  <c r="O110" i="2" l="1"/>
  <c r="O150" i="2"/>
  <c r="O13" i="2"/>
  <c r="O55" i="2"/>
  <c r="I9" i="2"/>
  <c r="O9" i="2" s="1"/>
  <c r="O10" i="2" s="1"/>
  <c r="I282" i="2"/>
  <c r="I10" i="2"/>
  <c r="O281" i="2"/>
  <c r="O282" i="2" s="1"/>
  <c r="K9" i="2"/>
  <c r="K10" i="2"/>
  <c r="K282" i="2"/>
</calcChain>
</file>

<file path=xl/sharedStrings.xml><?xml version="1.0" encoding="utf-8"?>
<sst xmlns="http://schemas.openxmlformats.org/spreadsheetml/2006/main" count="568" uniqueCount="177">
  <si>
    <t>СВОД ПО МЕСЯЦАМ — Маркетинг (Июль–Декабрь 2026)</t>
  </si>
  <si>
    <t>Жёлтое — ввод. Серое — считается. Новый канал: впиши название и доли % в свободный слот (жёлто-бежевые строки) — рубли и свод посчитаются сами, формулы не слетят.</t>
  </si>
  <si>
    <t>ОБЩАЯ ЦЕЛЬ И ПЛАН БЮДЖЕТА</t>
  </si>
  <si>
    <t>Цель выручки за период, ₽</t>
  </si>
  <si>
    <t xml:space="preserve">   Амина Триггер Фиш — доля выручки</t>
  </si>
  <si>
    <t xml:space="preserve">   Аппликатор Ярмакова — доля выручки</t>
  </si>
  <si>
    <t>Общий целевой DRR (план)</t>
  </si>
  <si>
    <t>Плановый бюджет (выручка × DRR), ₽</t>
  </si>
  <si>
    <t>Расчётный бюджет всего (из свода), ₽</t>
  </si>
  <si>
    <t>Статус бюджета</t>
  </si>
  <si>
    <t>▼ АМИНА ТРИГГЕР ФИШ (ВБ)</t>
  </si>
  <si>
    <t>Июль</t>
  </si>
  <si>
    <t>Август</t>
  </si>
  <si>
    <t>Сентябрь</t>
  </si>
  <si>
    <t>Октябрь</t>
  </si>
  <si>
    <t>Ноябрь</t>
  </si>
  <si>
    <t>Декабрь</t>
  </si>
  <si>
    <t>ИТОГО</t>
  </si>
  <si>
    <t>── Параметры ──</t>
  </si>
  <si>
    <t>Средний чек, ₽ | % выкупа</t>
  </si>
  <si>
    <t>── Воронка (план / факт) ──</t>
  </si>
  <si>
    <t>Сезонность %</t>
  </si>
  <si>
    <t>Выручка план, ₽</t>
  </si>
  <si>
    <t>Выручка ФАКТ, ₽</t>
  </si>
  <si>
    <t>Целевой DRR % (по месяцам)</t>
  </si>
  <si>
    <t>Бюджет план, ₽</t>
  </si>
  <si>
    <t>Бюджет ФАКТ, ₽</t>
  </si>
  <si>
    <t>% на Сайт (пометка)</t>
  </si>
  <si>
    <t>% на Маркетплейс</t>
  </si>
  <si>
    <t>Заказы план</t>
  </si>
  <si>
    <t>Выкупы план</t>
  </si>
  <si>
    <t>Выкупы ФАКТ</t>
  </si>
  <si>
    <t>Стоимость выкупа (CAC), ₽</t>
  </si>
  <si>
    <t>Стоимость заказа (CPO), ₽</t>
  </si>
  <si>
    <t>── Бюджет по каналам, ₽ ──</t>
  </si>
  <si>
    <t xml:space="preserve">   Инфлюенс-маркетинг</t>
  </si>
  <si>
    <t xml:space="preserve">   Бартерная реклама</t>
  </si>
  <si>
    <t xml:space="preserve">   Авито</t>
  </si>
  <si>
    <t xml:space="preserve">   Таргет ВК</t>
  </si>
  <si>
    <t xml:space="preserve">   Контекст (Директ)</t>
  </si>
  <si>
    <t xml:space="preserve">   SEO</t>
  </si>
  <si>
    <t xml:space="preserve">   ВБ внутренняя</t>
  </si>
  <si>
    <t>── Доли каналов % (по месяцам) ──</t>
  </si>
  <si>
    <t xml:space="preserve">Конкурс </t>
  </si>
  <si>
    <t xml:space="preserve">   + свободный канал</t>
  </si>
  <si>
    <t xml:space="preserve">   Σ каналов (=100%)</t>
  </si>
  <si>
    <t>▼ АППЛИКАТОР ЯРМАКОВА (ВБ)</t>
  </si>
  <si>
    <t>▼ БОТ «ЗЕЛЁНЫЙ ДОКТОР»</t>
  </si>
  <si>
    <t>Бюджет за период, ₽ | цена рег.</t>
  </si>
  <si>
    <t>Регистрации план</t>
  </si>
  <si>
    <t>Регистрации ФАКТ</t>
  </si>
  <si>
    <t xml:space="preserve">   Таргет. реклама</t>
  </si>
  <si>
    <t xml:space="preserve">   Контекст. реклама</t>
  </si>
  <si>
    <t>▼ БОТ «УМНЫЙ САД»</t>
  </si>
  <si>
    <t>▼ БОТ «КЛЁВОЕ МЕСТО»</t>
  </si>
  <si>
    <t>СВОД ПО КАНАЛАМ И DRR (все продукты)</t>
  </si>
  <si>
    <t>Инфлюенс-маркетинг ₽</t>
  </si>
  <si>
    <t>Бартерная реклама ₽</t>
  </si>
  <si>
    <t>Авито ₽</t>
  </si>
  <si>
    <t>Таргет ВК ₽</t>
  </si>
  <si>
    <t>Контекст (Директ) ₽</t>
  </si>
  <si>
    <t>SEO ₽</t>
  </si>
  <si>
    <t>ВБ внутренняя ₽</t>
  </si>
  <si>
    <t>Таргет. реклама ₽</t>
  </si>
  <si>
    <t>Контекст. реклама ₽</t>
  </si>
  <si>
    <t>ИТОГО БЮДЖЕТ план (все) ₽</t>
  </si>
  <si>
    <t>ИТОГО БЮДЖЕТ ФАКТ (все) ₽</t>
  </si>
  <si>
    <t>Выручка ВБ план ₽</t>
  </si>
  <si>
    <t>Выручка ВБ ФАКТ ₽</t>
  </si>
  <si>
    <t>DRR план (общий, вкл боты) %</t>
  </si>
  <si>
    <t>СВОДНАЯ ТАБЛИЦА: БЮДЖЕТ ПО КАНАЛАМ И ПРОДУКТАМ</t>
  </si>
  <si>
    <t>Продукт (переключатель) →</t>
  </si>
  <si>
    <t>Общее (все продукты)</t>
  </si>
  <si>
    <t>Выбери продукт в жёлтой ячейке — таблица по каналам ниже пересчитается. «Общее» = сумма по всем продуктам.</t>
  </si>
  <si>
    <t>Канал / месяц</t>
  </si>
  <si>
    <t>Инфлюенс-маркетинг</t>
  </si>
  <si>
    <t>Бартерная реклама</t>
  </si>
  <si>
    <t>Авито</t>
  </si>
  <si>
    <t>Таргет ВК</t>
  </si>
  <si>
    <t>Контекст (Директ)</t>
  </si>
  <si>
    <t>SEO</t>
  </si>
  <si>
    <t>ВБ внутренняя</t>
  </si>
  <si>
    <t>Таргет. реклама</t>
  </si>
  <si>
    <t>Контекст. реклама</t>
  </si>
  <si>
    <t>ИТОГО по каналам, ₽</t>
  </si>
  <si>
    <t>Проверка: не распределено (свободные каналы / доли ≠ 100%)</t>
  </si>
  <si>
    <t>ИНФЛЮЕНС-БЮДЖЕТ ПО МЕНЕДЖЕРАМ (по выбранному продукту), ₽</t>
  </si>
  <si>
    <t>Менеджер / месяц</t>
  </si>
  <si>
    <t>Доля менеджера 1, %</t>
  </si>
  <si>
    <t>Менеджер 1</t>
  </si>
  <si>
    <t>Менеджер 2</t>
  </si>
  <si>
    <t>Инфлюенс всего, ₽ (сверка)</t>
  </si>
  <si>
    <t>Жёлтое — ввод: имена менеджеров и доля менеджера 1 по месяцам. Остаток автоматически идёт менеджеру 2.</t>
  </si>
  <si>
    <t>── Служебное: флаги переключателя (1 = продукт учитывается) ──</t>
  </si>
  <si>
    <t>Амина Триггер Фиш</t>
  </si>
  <si>
    <t>Аппликатор Ярмакова</t>
  </si>
  <si>
    <t>Бот «Зелёный доктор»</t>
  </si>
  <si>
    <t>Бот «Умный сад»</t>
  </si>
  <si>
    <t>Бот «Клёвое место»</t>
  </si>
  <si>
    <t>УПРОЩЁННЫЙ ПЛАН ПО КАНАЛАМ (Июль–Декабрь)</t>
  </si>
  <si>
    <t>Жёлтое — ручной ввод (бюджет по каналу, CPO / цена регистрации, чек, % выкупа). Серое — считается. Свободный канал: впиши название в столбец A — свод подхватит сам.</t>
  </si>
  <si>
    <t>Июл факт</t>
  </si>
  <si>
    <t>Авг факт</t>
  </si>
  <si>
    <t>Сен факт</t>
  </si>
  <si>
    <t>Окт факт</t>
  </si>
  <si>
    <t>Ноя факт</t>
  </si>
  <si>
    <t>Дек факт</t>
  </si>
  <si>
    <t>ИТОГО факт</t>
  </si>
  <si>
    <t>КОНТРОЛЬ БЮДЖЕТА</t>
  </si>
  <si>
    <t>ИНФЛЮЕНС-БЮДЖЕТ ПО МЕНЕДЖЕРАМ (компактно — под скриншот)</t>
  </si>
  <si>
    <t>Плановый бюджет (ввод), ₽</t>
  </si>
  <si>
    <t>Месяц:</t>
  </si>
  <si>
    <t>Имена менеджеров — в жёлтых ячейках U7 / W7</t>
  </si>
  <si>
    <t>Расчётный бюджет из свода, ₽</t>
  </si>
  <si>
    <t>Продукт</t>
  </si>
  <si>
    <t>Инфлюенс-бюджет, ₽</t>
  </si>
  <si>
    <t>Маша</t>
  </si>
  <si>
    <t>Лена</t>
  </si>
  <si>
    <t>Заказы / рег., всего</t>
  </si>
  <si>
    <t>Отклонение (план − расчёт), ₽</t>
  </si>
  <si>
    <t>Выручка план (все продукты), ₽</t>
  </si>
  <si>
    <t>Амино Триггер Корм</t>
  </si>
  <si>
    <t>DRR общий (по выручке), %</t>
  </si>
  <si>
    <t>Средний чек, ₽ (ввод)</t>
  </si>
  <si>
    <t>Бот «Клёвая карта»</t>
  </si>
  <si>
    <t>% выкупа (ввод)</t>
  </si>
  <si>
    <t>── Бюджет по каналам, ₽ (ввод) ──</t>
  </si>
  <si>
    <t>БЮДЖЕТ МАРКЕТПЛЕЙСОВ — АНАСТАСИЯ (компактно — под скриншот)</t>
  </si>
  <si>
    <t>Wildberries: бюджет, ₽</t>
  </si>
  <si>
    <t>WB: заказы</t>
  </si>
  <si>
    <t>Ozon: бюджет, ₽</t>
  </si>
  <si>
    <t>Ozon: заказы</t>
  </si>
  <si>
    <t>Итого бюджет, ₽</t>
  </si>
  <si>
    <t>Итого заказов</t>
  </si>
  <si>
    <t xml:space="preserve">   Телеграм АДС</t>
  </si>
  <si>
    <t xml:space="preserve">   Ozon внутренняя</t>
  </si>
  <si>
    <t xml:space="preserve">   Конкурс репостов</t>
  </si>
  <si>
    <t xml:space="preserve">   YouTube-канал</t>
  </si>
  <si>
    <t>── CPO по каналам, ₽ (ввод) ──</t>
  </si>
  <si>
    <t>── Заказы по каналам (расчёт) ──</t>
  </si>
  <si>
    <t>Коэффициент штук на заказ (ввод)</t>
  </si>
  <si>
    <t>Итого штук (упаковки / банки)</t>
  </si>
  <si>
    <t>Сумма заказов, ₽</t>
  </si>
  <si>
    <t>Выкупы</t>
  </si>
  <si>
    <t>DRR, %</t>
  </si>
  <si>
    <t>CPO средний, ₽</t>
  </si>
  <si>
    <t>▼ АППЛИКАТОР ЯРМАКОВА</t>
  </si>
  <si>
    <t>── Цена регистрации по каналам, ₽ (ввод) ──</t>
  </si>
  <si>
    <t>── Регистрации (расчёт) ──</t>
  </si>
  <si>
    <t>Итого регистраций</t>
  </si>
  <si>
    <t>Средняя цена регистрации, ₽</t>
  </si>
  <si>
    <t>▼ БОТ «КЛЁВАЯ КАРТА»</t>
  </si>
  <si>
    <t>СВОД ПО КАНАЛАМ — ВСЕ ПРОДУКТЫ</t>
  </si>
  <si>
    <t>Телеграм АДС</t>
  </si>
  <si>
    <t>Ozon внутренняя</t>
  </si>
  <si>
    <t>Конкурс репостов</t>
  </si>
  <si>
    <t>YouTube-канал</t>
  </si>
  <si>
    <t>ИТОГО БЮДЖЕТ, ₽</t>
  </si>
  <si>
    <t>ИТОГО БЮДЖЕТ ФАКТ, ₽ (ввод)</t>
  </si>
  <si>
    <t>Выручка план (все товары), ₽</t>
  </si>
  <si>
    <t>DRR общий, %</t>
  </si>
  <si>
    <t>Заказы всего</t>
  </si>
  <si>
    <t>Заказы всего ФАКТ (ввод)</t>
  </si>
  <si>
    <t>Сумма заказов всего, ₽</t>
  </si>
  <si>
    <t>Сумма заказов всего ФАКТ (ввод), ₽</t>
  </si>
  <si>
    <t>Регистрации всего (боты)</t>
  </si>
  <si>
    <t>Регистрации всего ФАКТ (ввод)</t>
  </si>
  <si>
    <t>AminoTrigger-Fish Сигнал</t>
  </si>
  <si>
    <t>AminoTrigger-Fish Прикормка</t>
  </si>
  <si>
    <t>▼ АМИНА ТРИГГЕР ФИШ СИГНАЛ (WB + Ozon)</t>
  </si>
  <si>
    <t>▼ АМИНО ТРИГГЕР ПРИКОРМКА (сухая прикормка)</t>
  </si>
  <si>
    <t xml:space="preserve">    1 кг, шт</t>
  </si>
  <si>
    <t xml:space="preserve">    2,5 кг, шт</t>
  </si>
  <si>
    <t xml:space="preserve">    5 кг, шт</t>
  </si>
  <si>
    <t>Доля  1 кг, % от заказов (ввод)</t>
  </si>
  <si>
    <t>Доля  2,5 кг, % от заказов (ввод)</t>
  </si>
  <si>
    <t>Доля  5 кг, % от заказов (ввод)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</si>
</sst>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;\-"/>
  </numFmts>
  <fonts count="35" x14ac:knownFonts="1">
    <font>
      <sz val="11"/>
      <color theme="1"/>
      <name val="Calibri"/>
      <family val="2"/>
      <charset val="1"/>
    </font>
    <font>
      <b/>
      <sz val="13"/>
      <color rgb="FF1F4E79"/>
      <name val="Cambria"/>
      <charset val="1"/>
    </font>
    <font>
      <i/>
      <sz val="9"/>
      <color rgb="FF808080"/>
      <name val="Cambria"/>
      <charset val="1"/>
    </font>
    <font>
      <b/>
      <sz val="11"/>
      <color rgb="FFFFFFFF"/>
      <name val="Cambria"/>
      <charset val="1"/>
    </font>
    <font>
      <sz val="10"/>
      <name val="Calibri"/>
      <charset val="1"/>
    </font>
    <font>
      <b/>
      <sz val="10"/>
      <name val="Cambria"/>
      <charset val="1"/>
    </font>
    <font>
      <b/>
      <sz val="10"/>
      <name val="Calibri"/>
      <charset val="1"/>
    </font>
    <font>
      <b/>
      <sz val="11"/>
      <color rgb="FF1F2A44"/>
      <name val="Cambria"/>
      <charset val="1"/>
    </font>
    <font>
      <b/>
      <sz val="9"/>
      <color rgb="FF000000"/>
      <name val="Cambria"/>
      <charset val="1"/>
    </font>
    <font>
      <b/>
      <sz val="9"/>
      <color rgb="FF1F2A44"/>
      <name val="Cambria"/>
      <charset val="1"/>
    </font>
    <font>
      <i/>
      <sz val="9"/>
      <name val="Cambria"/>
      <charset val="1"/>
    </font>
    <font>
      <b/>
      <sz val="9"/>
      <name val="Cambria"/>
      <charset val="1"/>
    </font>
    <font>
      <b/>
      <sz val="11"/>
      <color rgb="FF833C00"/>
      <name val="Cambria"/>
      <charset val="1"/>
    </font>
    <font>
      <b/>
      <sz val="10"/>
      <color theme="1"/>
      <name val="Calibri"/>
      <family val="2"/>
      <charset val="1"/>
    </font>
    <font>
      <i/>
      <sz val="9"/>
      <color rgb="FF7F7F7F"/>
      <name val="Calibri"/>
      <family val="2"/>
      <charset val="1"/>
    </font>
    <font>
      <b/>
      <sz val="9"/>
      <color theme="1"/>
      <name val="Cambria"/>
      <charset val="1"/>
    </font>
    <font>
      <sz val="10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rgb="FF7F7F7F"/>
      <name val="Calibri"/>
      <family val="2"/>
      <charset val="1"/>
    </font>
    <font>
      <b/>
      <sz val="9"/>
      <color rgb="FF7F7F7F"/>
      <name val="Calibri"/>
      <family val="2"/>
      <charset val="1"/>
    </font>
    <font>
      <b/>
      <sz val="10"/>
      <color rgb="FF1F2A44"/>
      <name val="Cambria"/>
      <charset val="1"/>
    </font>
    <font>
      <i/>
      <sz val="10"/>
      <color theme="1"/>
      <name val="Calibri"/>
      <family val="2"/>
      <charset val="1"/>
    </font>
    <font>
      <sz val="10"/>
      <color rgb="FF0000FF"/>
      <name val="Calibri"/>
      <family val="2"/>
      <charset val="1"/>
    </font>
    <font>
      <b/>
      <sz val="9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0"/>
      <color rgb="FF000000"/>
      <name val="Calibri"/>
      <charset val="1"/>
    </font>
    <font>
      <b/>
      <sz val="9"/>
      <color rgb="FFFFFFFF"/>
      <name val="Cambria"/>
      <charset val="1"/>
    </font>
    <font>
      <b/>
      <sz val="10"/>
      <color rgb="FF000000"/>
      <name val="Cambria"/>
      <charset val="1"/>
    </font>
    <font>
      <i/>
      <sz val="9"/>
      <color rgb="FF808080"/>
      <name val="Calibri"/>
      <family val="2"/>
      <charset val="1"/>
    </font>
    <font>
      <b/>
      <sz val="11"/>
      <color rgb="FF1F2A44"/>
      <name val="Cambria"/>
      <family val="1"/>
      <charset val="1"/>
    </font>
    <font>
      <i/>
      <sz val="10"/>
      <color rgb="FF000000"/>
      <name val="Calibri"/>
      <family val="2"/>
      <charset val="1"/>
    </font>
    <font>
      <b/>
      <sz val="10"/>
      <color theme="1"/>
      <name val="Cambria"/>
      <charset val="1"/>
    </font>
    <font>
      <b/>
      <sz val="11"/>
      <color theme="1"/>
      <name val="Cambria"/>
      <charset val="1"/>
    </font>
    <font>
      <sz val="10"/>
      <color rgb="FF000000"/>
      <name val="Calibri"/>
      <family val="2"/>
      <charset val="1"/>
    </font>
    <font>
      <sz val="10"/>
      <color rgb="FF000000"/>
      <name val="Cambria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D9E1F2"/>
      </patternFill>
    </fill>
    <fill>
      <patternFill patternType="solid">
        <fgColor rgb="FFFFF9C4"/>
        <bgColor rgb="FFFFF2CC"/>
      </patternFill>
    </fill>
    <fill>
      <patternFill patternType="solid">
        <fgColor rgb="FFE7E6E6"/>
        <bgColor rgb="FFEDEDED"/>
      </patternFill>
    </fill>
    <fill>
      <patternFill patternType="solid">
        <fgColor rgb="FFD9E1F2"/>
        <bgColor rgb="FFD6DCE4"/>
      </patternFill>
    </fill>
    <fill>
      <patternFill patternType="solid">
        <fgColor rgb="FFD6DCE4"/>
        <bgColor rgb="FFD9D9D9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FFF9C4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7E6E6"/>
      </patternFill>
    </fill>
    <fill>
      <patternFill patternType="solid">
        <fgColor rgb="FFFFFFFF"/>
        <bgColor rgb="FFEDEDED"/>
      </patternFill>
    </fill>
    <fill>
      <patternFill patternType="solid">
        <fgColor rgb="FFD9D9D9"/>
        <bgColor rgb="FFD6DCE4"/>
      </patternFill>
    </fill>
    <fill>
      <patternFill patternType="solid">
        <fgColor rgb="FF9BC2E6"/>
        <bgColor rgb="FFBFBFB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F7F7F"/>
      </left>
      <right/>
      <top/>
      <bottom/>
      <diagonal/>
    </border>
    <border>
      <left style="medium">
        <color rgb="FF7F7F7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7F7F7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3" fontId="0" fillId="3" borderId="1" xfId="0" applyNumberFormat="1" applyFill="1" applyBorder="1"/>
    <xf numFmtId="164" fontId="0" fillId="4" borderId="1" xfId="0" applyNumberFormat="1" applyFill="1" applyBorder="1"/>
    <xf numFmtId="3" fontId="5" fillId="5" borderId="1" xfId="0" applyNumberFormat="1" applyFont="1" applyFill="1" applyBorder="1"/>
    <xf numFmtId="0" fontId="6" fillId="0" borderId="0" xfId="0" applyFont="1"/>
    <xf numFmtId="0" fontId="7" fillId="6" borderId="1" xfId="0" applyFont="1" applyFill="1" applyBorder="1"/>
    <xf numFmtId="0" fontId="0" fillId="6" borderId="1" xfId="0" applyFill="1" applyBorder="1"/>
    <xf numFmtId="0" fontId="0" fillId="3" borderId="1" xfId="0" applyFill="1" applyBorder="1"/>
    <xf numFmtId="0" fontId="8" fillId="3" borderId="1" xfId="0" applyFont="1" applyFill="1" applyBorder="1" applyAlignment="1">
      <alignment horizontal="center" vertical="center"/>
    </xf>
    <xf numFmtId="0" fontId="9" fillId="7" borderId="1" xfId="0" applyFont="1" applyFill="1" applyBorder="1"/>
    <xf numFmtId="0" fontId="0" fillId="7" borderId="1" xfId="0" applyFill="1" applyBorder="1"/>
    <xf numFmtId="0" fontId="4" fillId="0" borderId="1" xfId="0" applyFont="1" applyBorder="1"/>
    <xf numFmtId="0" fontId="0" fillId="0" borderId="1" xfId="0" applyBorder="1"/>
    <xf numFmtId="3" fontId="0" fillId="4" borderId="1" xfId="0" applyNumberFormat="1" applyFill="1" applyBorder="1"/>
    <xf numFmtId="0" fontId="4" fillId="0" borderId="1" xfId="0" applyFont="1" applyBorder="1" applyAlignment="1">
      <alignment horizontal="left" vertical="center"/>
    </xf>
    <xf numFmtId="164" fontId="4" fillId="4" borderId="1" xfId="0" applyNumberFormat="1" applyFont="1" applyFill="1" applyBorder="1"/>
    <xf numFmtId="164" fontId="5" fillId="8" borderId="1" xfId="0" applyNumberFormat="1" applyFont="1" applyFill="1" applyBorder="1"/>
    <xf numFmtId="0" fontId="5" fillId="0" borderId="1" xfId="0" applyFont="1" applyBorder="1" applyAlignment="1">
      <alignment horizontal="left" vertical="center"/>
    </xf>
    <xf numFmtId="3" fontId="5" fillId="8" borderId="1" xfId="0" applyNumberFormat="1" applyFont="1" applyFill="1" applyBorder="1"/>
    <xf numFmtId="3" fontId="4" fillId="4" borderId="1" xfId="0" applyNumberFormat="1" applyFont="1" applyFill="1" applyBorder="1"/>
    <xf numFmtId="164" fontId="4" fillId="5" borderId="1" xfId="0" applyNumberFormat="1" applyFont="1" applyFill="1" applyBorder="1"/>
    <xf numFmtId="3" fontId="4" fillId="5" borderId="1" xfId="0" applyNumberFormat="1" applyFont="1" applyFill="1" applyBorder="1"/>
    <xf numFmtId="0" fontId="4" fillId="9" borderId="1" xfId="0" applyFont="1" applyFill="1" applyBorder="1" applyAlignment="1">
      <alignment horizontal="left" vertical="center"/>
    </xf>
    <xf numFmtId="3" fontId="4" fillId="9" borderId="1" xfId="0" applyNumberFormat="1" applyFont="1" applyFill="1" applyBorder="1"/>
    <xf numFmtId="0" fontId="10" fillId="0" borderId="1" xfId="0" applyFont="1" applyBorder="1"/>
    <xf numFmtId="164" fontId="11" fillId="0" borderId="1" xfId="0" applyNumberFormat="1" applyFont="1" applyBorder="1"/>
    <xf numFmtId="0" fontId="12" fillId="10" borderId="1" xfId="0" applyFont="1" applyFill="1" applyBorder="1"/>
    <xf numFmtId="0" fontId="0" fillId="10" borderId="1" xfId="0" applyFill="1" applyBorder="1"/>
    <xf numFmtId="0" fontId="5" fillId="0" borderId="1" xfId="0" applyFont="1" applyBorder="1"/>
    <xf numFmtId="164" fontId="5" fillId="5" borderId="1" xfId="0" applyNumberFormat="1" applyFont="1" applyFill="1" applyBorder="1"/>
    <xf numFmtId="164" fontId="5" fillId="0" borderId="1" xfId="0" applyNumberFormat="1" applyFont="1" applyBorder="1"/>
    <xf numFmtId="0" fontId="7" fillId="7" borderId="0" xfId="0" applyFont="1" applyFill="1" applyBorder="1" applyAlignment="1">
      <alignment horizontal="left" vertical="center"/>
    </xf>
    <xf numFmtId="0" fontId="13" fillId="0" borderId="0" xfId="0" applyFont="1"/>
    <xf numFmtId="0" fontId="13" fillId="4" borderId="0" xfId="0" applyFont="1" applyFill="1"/>
    <xf numFmtId="0" fontId="14" fillId="0" borderId="0" xfId="0" applyFont="1"/>
    <xf numFmtId="0" fontId="15" fillId="3" borderId="1" xfId="0" applyFont="1" applyFill="1" applyBorder="1"/>
    <xf numFmtId="0" fontId="15" fillId="3" borderId="1" xfId="0" applyFont="1" applyFill="1" applyBorder="1" applyAlignment="1">
      <alignment horizontal="center"/>
    </xf>
    <xf numFmtId="165" fontId="16" fillId="0" borderId="1" xfId="0" applyNumberFormat="1" applyFont="1" applyBorder="1"/>
    <xf numFmtId="165" fontId="13" fillId="0" borderId="1" xfId="0" applyNumberFormat="1" applyFont="1" applyBorder="1"/>
    <xf numFmtId="0" fontId="17" fillId="0" borderId="1" xfId="0" applyFont="1" applyBorder="1"/>
    <xf numFmtId="165" fontId="13" fillId="11" borderId="1" xfId="0" applyNumberFormat="1" applyFont="1" applyFill="1" applyBorder="1"/>
    <xf numFmtId="0" fontId="14" fillId="0" borderId="1" xfId="0" applyFont="1" applyBorder="1"/>
    <xf numFmtId="165" fontId="18" fillId="0" borderId="1" xfId="0" applyNumberFormat="1" applyFont="1" applyBorder="1"/>
    <xf numFmtId="165" fontId="19" fillId="0" borderId="1" xfId="0" applyNumberFormat="1" applyFont="1" applyBorder="1"/>
    <xf numFmtId="0" fontId="20" fillId="7" borderId="0" xfId="0" applyFont="1" applyFill="1"/>
    <xf numFmtId="0" fontId="21" fillId="0" borderId="1" xfId="0" applyFont="1" applyBorder="1"/>
    <xf numFmtId="164" fontId="22" fillId="4" borderId="1" xfId="0" applyNumberFormat="1" applyFont="1" applyFill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0" fontId="13" fillId="4" borderId="1" xfId="0" applyFont="1" applyFill="1" applyBorder="1"/>
    <xf numFmtId="0" fontId="23" fillId="0" borderId="1" xfId="0" applyFont="1" applyBorder="1"/>
    <xf numFmtId="165" fontId="23" fillId="11" borderId="1" xfId="0" applyNumberFormat="1" applyFont="1" applyFill="1" applyBorder="1"/>
    <xf numFmtId="0" fontId="24" fillId="0" borderId="0" xfId="0" applyFont="1"/>
    <xf numFmtId="0" fontId="1" fillId="12" borderId="0" xfId="0" applyFont="1" applyFill="1"/>
    <xf numFmtId="0" fontId="25" fillId="12" borderId="0" xfId="0" applyFont="1" applyFill="1"/>
    <xf numFmtId="0" fontId="2" fillId="12" borderId="0" xfId="0" applyFont="1" applyFill="1"/>
    <xf numFmtId="0" fontId="25" fillId="3" borderId="0" xfId="0" applyFont="1" applyFill="1"/>
    <xf numFmtId="0" fontId="8" fillId="13" borderId="2" xfId="0" applyFont="1" applyFill="1" applyBorder="1" applyAlignment="1">
      <alignment horizontal="center"/>
    </xf>
    <xf numFmtId="0" fontId="26" fillId="2" borderId="0" xfId="0" applyFont="1" applyFill="1" applyAlignment="1">
      <alignment horizontal="center"/>
    </xf>
    <xf numFmtId="0" fontId="0" fillId="0" borderId="2" xfId="0" applyBorder="1"/>
    <xf numFmtId="0" fontId="25" fillId="12" borderId="2" xfId="0" applyFont="1" applyFill="1" applyBorder="1"/>
    <xf numFmtId="0" fontId="3" fillId="2" borderId="2" xfId="0" applyFont="1" applyFill="1" applyBorder="1"/>
    <xf numFmtId="0" fontId="3" fillId="2" borderId="1" xfId="0" applyFont="1" applyFill="1" applyBorder="1"/>
    <xf numFmtId="0" fontId="25" fillId="2" borderId="1" xfId="0" applyFont="1" applyFill="1" applyBorder="1"/>
    <xf numFmtId="0" fontId="0" fillId="2" borderId="1" xfId="0" applyFill="1" applyBorder="1"/>
    <xf numFmtId="165" fontId="25" fillId="4" borderId="2" xfId="0" applyNumberFormat="1" applyFont="1" applyFill="1" applyBorder="1"/>
    <xf numFmtId="165" fontId="25" fillId="14" borderId="0" xfId="0" applyNumberFormat="1" applyFont="1" applyFill="1"/>
    <xf numFmtId="165" fontId="27" fillId="8" borderId="2" xfId="0" applyNumberFormat="1" applyFont="1" applyFill="1" applyBorder="1"/>
    <xf numFmtId="165" fontId="27" fillId="14" borderId="0" xfId="0" applyNumberFormat="1" applyFont="1" applyFill="1"/>
    <xf numFmtId="0" fontId="27" fillId="12" borderId="1" xfId="0" applyFont="1" applyFill="1" applyBorder="1"/>
    <xf numFmtId="0" fontId="17" fillId="4" borderId="1" xfId="0" applyFont="1" applyFill="1" applyBorder="1" applyAlignment="1">
      <alignment horizontal="center"/>
    </xf>
    <xf numFmtId="0" fontId="28" fillId="12" borderId="1" xfId="0" applyFont="1" applyFill="1" applyBorder="1" applyAlignment="1">
      <alignment horizontal="left"/>
    </xf>
    <xf numFmtId="0" fontId="27" fillId="12" borderId="0" xfId="0" applyFont="1" applyFill="1"/>
    <xf numFmtId="165" fontId="27" fillId="5" borderId="2" xfId="0" applyNumberFormat="1" applyFont="1" applyFill="1" applyBorder="1"/>
    <xf numFmtId="0" fontId="15" fillId="3" borderId="1" xfId="0" applyFont="1" applyFill="1" applyBorder="1" applyAlignment="1">
      <alignment horizontal="left"/>
    </xf>
    <xf numFmtId="0" fontId="15" fillId="4" borderId="1" xfId="0" applyFont="1" applyFill="1" applyBorder="1" applyAlignment="1">
      <alignment horizontal="center"/>
    </xf>
    <xf numFmtId="165" fontId="25" fillId="5" borderId="2" xfId="0" applyNumberFormat="1" applyFont="1" applyFill="1" applyBorder="1"/>
    <xf numFmtId="0" fontId="16" fillId="0" borderId="1" xfId="0" applyFont="1" applyBorder="1"/>
    <xf numFmtId="165" fontId="0" fillId="5" borderId="1" xfId="0" applyNumberFormat="1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165" fontId="0" fillId="8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164" fontId="27" fillId="5" borderId="2" xfId="0" applyNumberFormat="1" applyFont="1" applyFill="1" applyBorder="1"/>
    <xf numFmtId="164" fontId="27" fillId="14" borderId="0" xfId="0" applyNumberFormat="1" applyFont="1" applyFill="1"/>
    <xf numFmtId="164" fontId="27" fillId="8" borderId="2" xfId="0" applyNumberFormat="1" applyFont="1" applyFill="1" applyBorder="1"/>
    <xf numFmtId="0" fontId="29" fillId="6" borderId="1" xfId="0" applyFont="1" applyFill="1" applyBorder="1"/>
    <xf numFmtId="0" fontId="7" fillId="6" borderId="3" xfId="0" applyFont="1" applyFill="1" applyBorder="1"/>
    <xf numFmtId="0" fontId="7" fillId="6" borderId="0" xfId="0" applyFont="1" applyFill="1"/>
    <xf numFmtId="0" fontId="25" fillId="12" borderId="1" xfId="0" applyFont="1" applyFill="1" applyBorder="1"/>
    <xf numFmtId="165" fontId="25" fillId="4" borderId="3" xfId="0" applyNumberFormat="1" applyFont="1" applyFill="1" applyBorder="1"/>
    <xf numFmtId="165" fontId="25" fillId="3" borderId="1" xfId="0" applyNumberFormat="1" applyFont="1" applyFill="1" applyBorder="1"/>
    <xf numFmtId="165" fontId="27" fillId="8" borderId="3" xfId="0" applyNumberFormat="1" applyFont="1" applyFill="1" applyBorder="1"/>
    <xf numFmtId="164" fontId="25" fillId="4" borderId="3" xfId="0" applyNumberFormat="1" applyFont="1" applyFill="1" applyBorder="1"/>
    <xf numFmtId="164" fontId="25" fillId="14" borderId="1" xfId="0" applyNumberFormat="1" applyFont="1" applyFill="1" applyBorder="1"/>
    <xf numFmtId="164" fontId="30" fillId="14" borderId="1" xfId="0" applyNumberFormat="1" applyFont="1" applyFill="1" applyBorder="1"/>
    <xf numFmtId="164" fontId="27" fillId="8" borderId="3" xfId="0" applyNumberFormat="1" applyFont="1" applyFill="1" applyBorder="1"/>
    <xf numFmtId="0" fontId="31" fillId="7" borderId="1" xfId="0" applyFont="1" applyFill="1" applyBorder="1"/>
    <xf numFmtId="0" fontId="32" fillId="7" borderId="1" xfId="0" applyFont="1" applyFill="1" applyBorder="1"/>
    <xf numFmtId="165" fontId="32" fillId="7" borderId="1" xfId="0" applyNumberFormat="1" applyFont="1" applyFill="1" applyBorder="1" applyAlignment="1">
      <alignment horizontal="center"/>
    </xf>
    <xf numFmtId="9" fontId="32" fillId="7" borderId="1" xfId="0" applyNumberFormat="1" applyFont="1" applyFill="1" applyBorder="1" applyAlignment="1">
      <alignment horizontal="center"/>
    </xf>
    <xf numFmtId="0" fontId="9" fillId="7" borderId="3" xfId="0" applyFont="1" applyFill="1" applyBorder="1"/>
    <xf numFmtId="0" fontId="9" fillId="7" borderId="0" xfId="0" applyFont="1" applyFill="1"/>
    <xf numFmtId="0" fontId="33" fillId="12" borderId="1" xfId="0" applyFont="1" applyFill="1" applyBorder="1"/>
    <xf numFmtId="165" fontId="27" fillId="5" borderId="3" xfId="0" applyNumberFormat="1" applyFont="1" applyFill="1" applyBorder="1"/>
    <xf numFmtId="165" fontId="27" fillId="14" borderId="1" xfId="0" applyNumberFormat="1" applyFont="1" applyFill="1" applyBorder="1"/>
    <xf numFmtId="165" fontId="25" fillId="14" borderId="1" xfId="0" applyNumberFormat="1" applyFont="1" applyFill="1" applyBorder="1"/>
    <xf numFmtId="165" fontId="25" fillId="14" borderId="4" xfId="0" applyNumberFormat="1" applyFont="1" applyFill="1" applyBorder="1"/>
    <xf numFmtId="165" fontId="25" fillId="4" borderId="5" xfId="0" applyNumberFormat="1" applyFont="1" applyFill="1" applyBorder="1"/>
    <xf numFmtId="165" fontId="25" fillId="5" borderId="3" xfId="0" applyNumberFormat="1" applyFont="1" applyFill="1" applyBorder="1"/>
    <xf numFmtId="2" fontId="25" fillId="4" borderId="3" xfId="0" applyNumberFormat="1" applyFont="1" applyFill="1" applyBorder="1"/>
    <xf numFmtId="2" fontId="25" fillId="3" borderId="1" xfId="0" applyNumberFormat="1" applyFont="1" applyFill="1" applyBorder="1"/>
    <xf numFmtId="2" fontId="27" fillId="8" borderId="3" xfId="0" applyNumberFormat="1" applyFont="1" applyFill="1" applyBorder="1"/>
    <xf numFmtId="2" fontId="27" fillId="14" borderId="0" xfId="0" applyNumberFormat="1" applyFont="1" applyFill="1"/>
    <xf numFmtId="165" fontId="27" fillId="3" borderId="1" xfId="0" applyNumberFormat="1" applyFont="1" applyFill="1" applyBorder="1"/>
    <xf numFmtId="2" fontId="0" fillId="0" borderId="0" xfId="0" applyNumberFormat="1"/>
    <xf numFmtId="164" fontId="27" fillId="5" borderId="3" xfId="0" applyNumberFormat="1" applyFont="1" applyFill="1" applyBorder="1"/>
    <xf numFmtId="164" fontId="27" fillId="14" borderId="1" xfId="0" applyNumberFormat="1" applyFont="1" applyFill="1" applyBorder="1"/>
    <xf numFmtId="0" fontId="3" fillId="2" borderId="3" xfId="0" applyFont="1" applyFill="1" applyBorder="1"/>
    <xf numFmtId="0" fontId="25" fillId="3" borderId="1" xfId="0" applyFont="1" applyFill="1" applyBorder="1"/>
    <xf numFmtId="0" fontId="8" fillId="13" borderId="3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165" fontId="27" fillId="4" borderId="3" xfId="0" applyNumberFormat="1" applyFont="1" applyFill="1" applyBorder="1"/>
    <xf numFmtId="165" fontId="27" fillId="4" borderId="2" xfId="0" applyNumberFormat="1" applyFont="1" applyFill="1" applyBorder="1"/>
    <xf numFmtId="165" fontId="27" fillId="3" borderId="0" xfId="0" applyNumberFormat="1" applyFont="1" applyFill="1"/>
    <xf numFmtId="165" fontId="0" fillId="0" borderId="0" xfId="0" applyNumberFormat="1"/>
    <xf numFmtId="0" fontId="5" fillId="0" borderId="0" xfId="0" applyFont="1" applyBorder="1"/>
    <xf numFmtId="9" fontId="25" fillId="4" borderId="3" xfId="0" applyNumberFormat="1" applyFont="1" applyFill="1" applyBorder="1"/>
    <xf numFmtId="9" fontId="25" fillId="3" borderId="1" xfId="0" applyNumberFormat="1" applyFont="1" applyFill="1" applyBorder="1"/>
    <xf numFmtId="0" fontId="34" fillId="12" borderId="1" xfId="0" applyFont="1" applyFill="1" applyBorder="1"/>
    <xf numFmtId="165" fontId="34" fillId="5" borderId="3" xfId="0" applyNumberFormat="1" applyFont="1" applyFill="1" applyBorder="1"/>
    <xf numFmtId="165" fontId="34" fillId="14" borderId="1" xfId="0" applyNumberFormat="1" applyFont="1" applyFill="1" applyBorder="1"/>
    <xf numFmtId="165" fontId="34" fillId="8" borderId="3" xfId="0" applyNumberFormat="1" applyFont="1" applyFill="1" applyBorder="1"/>
    <xf numFmtId="165" fontId="34" fillId="14" borderId="0" xfId="0" applyNumberFormat="1" applyFont="1" applyFill="1"/>
  </cellXfs>
  <cellStyles count="1">
    <cellStyle name="Normal" xfId="0" builtinId="0"/>
  </cellStyles>
  <dxfs count="76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7E6E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D9E1F2"/>
      <rgbColor rgb="FF993366"/>
      <rgbColor rgb="FFFFF9C4"/>
      <rgbColor rgb="FFDDEBF7"/>
      <rgbColor rgb="FF660066"/>
      <rgbColor rgb="FFFF8080"/>
      <rgbColor rgb="FF0066CC"/>
      <rgbColor rgb="FFD6DCE4"/>
      <rgbColor rgb="FF000080"/>
      <rgbColor rgb="FFFF00FF"/>
      <rgbColor rgb="FFEDEDED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2CC"/>
      <rgbColor rgb="FF9BC2E6"/>
      <rgbColor rgb="FFFCE4D6"/>
      <rgbColor rgb="FFD9D9D9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833C00"/>
      <rgbColor rgb="FF993366"/>
      <rgbColor rgb="FF1F4E7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71F6709-3491-B247-BFE5-11C3C0719A5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c8c5747-842c-4216-a0ce-2a24ce33757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27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227" sqref="C227"/>
    </sheetView>
  </sheetViews>
  <sheetFormatPr baseColWidth="10" defaultColWidth="8.6640625" defaultRowHeight="15" customHeight="1" outlineLevelRow="2" x14ac:dyDescent="0.2"/>
  <cols>
    <col min="1" max="1" width="28" customWidth="1"/>
    <col min="2" max="2" width="3" customWidth="1"/>
    <col min="3" max="8" width="12" customWidth="1"/>
    <col min="9" max="9" width="13" customWidth="1"/>
  </cols>
  <sheetData>
    <row r="1" spans="1:9" ht="17" x14ac:dyDescent="0.2">
      <c r="A1" s="1" t="s">
        <v>0</v>
      </c>
    </row>
    <row r="2" spans="1:9" x14ac:dyDescent="0.2">
      <c r="A2" s="2" t="s">
        <v>1</v>
      </c>
    </row>
    <row r="4" spans="1:9" x14ac:dyDescent="0.2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9" x14ac:dyDescent="0.2">
      <c r="A5" s="4" t="s">
        <v>3</v>
      </c>
      <c r="C5" s="5">
        <v>100000000</v>
      </c>
    </row>
    <row r="6" spans="1:9" x14ac:dyDescent="0.2">
      <c r="A6" s="4" t="s">
        <v>4</v>
      </c>
      <c r="C6" s="6">
        <v>0.95</v>
      </c>
      <c r="D6" s="7">
        <f>ROUND($C$5*C6,0)</f>
        <v>95000000</v>
      </c>
    </row>
    <row r="7" spans="1:9" x14ac:dyDescent="0.2">
      <c r="A7" s="4" t="s">
        <v>5</v>
      </c>
      <c r="C7" s="6">
        <v>0.05</v>
      </c>
      <c r="D7" s="7">
        <f>ROUND($C$5*C7,0)</f>
        <v>5000000</v>
      </c>
    </row>
    <row r="8" spans="1:9" x14ac:dyDescent="0.2">
      <c r="A8" s="8" t="s">
        <v>6</v>
      </c>
      <c r="C8" s="6">
        <v>0.13</v>
      </c>
    </row>
    <row r="9" spans="1:9" x14ac:dyDescent="0.2">
      <c r="A9" s="4" t="s">
        <v>7</v>
      </c>
      <c r="C9" s="7">
        <f>(D6+D7)*C8</f>
        <v>13000000</v>
      </c>
    </row>
    <row r="10" spans="1:9" x14ac:dyDescent="0.2">
      <c r="A10" s="4" t="s">
        <v>8</v>
      </c>
      <c r="C10" s="7">
        <f>I180</f>
        <v>11481500</v>
      </c>
    </row>
    <row r="11" spans="1:9" x14ac:dyDescent="0.2">
      <c r="A11" s="8" t="s">
        <v>9</v>
      </c>
      <c r="C11" s="128" t="str">
        <f>IF(C10&lt;=C9,"OK: в плане (−"&amp;TEXT(C9-C10,"#,##0")&amp;" ₽)","ПРЕВЫШЕНИЕ +"&amp;TEXT(C10-C9,"#,##0")&amp;" ₽")</f>
        <v>OK: в плане (−1518500,0 ₽)</v>
      </c>
      <c r="D11" s="128"/>
      <c r="E11" s="128"/>
      <c r="F11" s="128"/>
      <c r="G11" s="128"/>
      <c r="H11" s="128"/>
    </row>
    <row r="13" spans="1:9" x14ac:dyDescent="0.2">
      <c r="A13" s="9" t="s">
        <v>10</v>
      </c>
      <c r="B13" s="10"/>
      <c r="C13" s="10"/>
      <c r="D13" s="10"/>
      <c r="E13" s="10"/>
      <c r="F13" s="10"/>
      <c r="G13" s="10"/>
      <c r="H13" s="10"/>
      <c r="I13" s="10"/>
    </row>
    <row r="14" spans="1:9" outlineLevel="1" x14ac:dyDescent="0.2">
      <c r="A14" s="11"/>
      <c r="B14" s="11"/>
      <c r="C14" s="12" t="s">
        <v>11</v>
      </c>
      <c r="D14" s="12" t="s">
        <v>12</v>
      </c>
      <c r="E14" s="12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</row>
    <row r="15" spans="1:9" outlineLevel="1" x14ac:dyDescent="0.2">
      <c r="A15" s="13" t="s">
        <v>18</v>
      </c>
      <c r="B15" s="14"/>
      <c r="C15" s="14"/>
      <c r="D15" s="14"/>
      <c r="E15" s="14"/>
      <c r="F15" s="14"/>
      <c r="G15" s="14"/>
      <c r="H15" s="14"/>
      <c r="I15" s="14"/>
    </row>
    <row r="16" spans="1:9" outlineLevel="2" x14ac:dyDescent="0.2">
      <c r="A16" s="15" t="s">
        <v>19</v>
      </c>
      <c r="B16" s="16"/>
      <c r="C16" s="17">
        <v>600</v>
      </c>
      <c r="D16" s="6">
        <v>0.95</v>
      </c>
      <c r="E16" s="16"/>
      <c r="F16" s="16"/>
      <c r="G16" s="16"/>
      <c r="H16" s="16"/>
      <c r="I16" s="16"/>
    </row>
    <row r="17" spans="1:9" outlineLevel="1" x14ac:dyDescent="0.2">
      <c r="A17" s="13" t="s">
        <v>20</v>
      </c>
      <c r="B17" s="14"/>
      <c r="C17" s="14"/>
      <c r="D17" s="14"/>
      <c r="E17" s="14"/>
      <c r="F17" s="14"/>
      <c r="G17" s="14"/>
      <c r="H17" s="14"/>
      <c r="I17" s="14"/>
    </row>
    <row r="18" spans="1:9" outlineLevel="2" x14ac:dyDescent="0.2">
      <c r="A18" s="18" t="s">
        <v>21</v>
      </c>
      <c r="B18" s="16"/>
      <c r="C18" s="19">
        <v>5.0000000000000001E-3</v>
      </c>
      <c r="D18" s="19">
        <v>0.20499999999999999</v>
      </c>
      <c r="E18" s="19">
        <v>0.02</v>
      </c>
      <c r="F18" s="19">
        <v>0.15</v>
      </c>
      <c r="G18" s="19">
        <v>0.15</v>
      </c>
      <c r="H18" s="19">
        <v>0.12</v>
      </c>
      <c r="I18" s="20">
        <f>SUM(C18:H18)</f>
        <v>0.65</v>
      </c>
    </row>
    <row r="19" spans="1:9" outlineLevel="2" x14ac:dyDescent="0.2">
      <c r="A19" s="21" t="s">
        <v>22</v>
      </c>
      <c r="B19" s="16"/>
      <c r="C19" s="7">
        <f t="shared" ref="C19:H19" si="0">ROUND($D$6*C18,0)</f>
        <v>475000</v>
      </c>
      <c r="D19" s="7">
        <f t="shared" si="0"/>
        <v>19475000</v>
      </c>
      <c r="E19" s="7">
        <f t="shared" si="0"/>
        <v>1900000</v>
      </c>
      <c r="F19" s="7">
        <f t="shared" si="0"/>
        <v>14250000</v>
      </c>
      <c r="G19" s="7">
        <f t="shared" si="0"/>
        <v>14250000</v>
      </c>
      <c r="H19" s="7">
        <f t="shared" si="0"/>
        <v>11400000</v>
      </c>
      <c r="I19" s="22">
        <f>SUM(C19:H19)</f>
        <v>61750000</v>
      </c>
    </row>
    <row r="20" spans="1:9" outlineLevel="2" x14ac:dyDescent="0.2">
      <c r="A20" s="18" t="s">
        <v>23</v>
      </c>
      <c r="B20" s="16"/>
      <c r="C20" s="23"/>
      <c r="D20" s="23"/>
      <c r="E20" s="23"/>
      <c r="F20" s="23"/>
      <c r="G20" s="23"/>
      <c r="H20" s="23"/>
      <c r="I20" s="22">
        <f>SUM(C20:H20)</f>
        <v>0</v>
      </c>
    </row>
    <row r="21" spans="1:9" outlineLevel="2" x14ac:dyDescent="0.2">
      <c r="A21" s="18" t="s">
        <v>24</v>
      </c>
      <c r="B21" s="16"/>
      <c r="C21" s="19">
        <v>0.14000000000000001</v>
      </c>
      <c r="D21" s="19">
        <v>0.18</v>
      </c>
      <c r="E21" s="19">
        <v>0.8</v>
      </c>
      <c r="F21" s="19">
        <v>0.15</v>
      </c>
      <c r="G21" s="19">
        <v>0.13</v>
      </c>
      <c r="H21" s="19">
        <v>0.13</v>
      </c>
      <c r="I21" s="20">
        <f>IF(N(I19)=0,"",I22/I19)</f>
        <v>0.17107692307692307</v>
      </c>
    </row>
    <row r="22" spans="1:9" outlineLevel="2" x14ac:dyDescent="0.2">
      <c r="A22" s="21" t="s">
        <v>25</v>
      </c>
      <c r="B22" s="16"/>
      <c r="C22" s="7">
        <f t="shared" ref="C22:H22" si="1">ROUND(C19*C21,0)</f>
        <v>66500</v>
      </c>
      <c r="D22" s="7">
        <f t="shared" si="1"/>
        <v>3505500</v>
      </c>
      <c r="E22" s="7">
        <f t="shared" si="1"/>
        <v>1520000</v>
      </c>
      <c r="F22" s="7">
        <f t="shared" si="1"/>
        <v>2137500</v>
      </c>
      <c r="G22" s="7">
        <f t="shared" si="1"/>
        <v>1852500</v>
      </c>
      <c r="H22" s="7">
        <f t="shared" si="1"/>
        <v>1482000</v>
      </c>
      <c r="I22" s="22">
        <f>SUM(C22:H22)</f>
        <v>10564000</v>
      </c>
    </row>
    <row r="23" spans="1:9" outlineLevel="2" x14ac:dyDescent="0.2">
      <c r="A23" s="18" t="s">
        <v>26</v>
      </c>
      <c r="B23" s="16"/>
      <c r="C23" s="23"/>
      <c r="D23" s="23"/>
      <c r="E23" s="23"/>
      <c r="F23" s="23"/>
      <c r="G23" s="23"/>
      <c r="H23" s="23"/>
      <c r="I23" s="22">
        <f>SUM(C23:H23)</f>
        <v>0</v>
      </c>
    </row>
    <row r="24" spans="1:9" outlineLevel="2" x14ac:dyDescent="0.2">
      <c r="A24" s="18" t="s">
        <v>27</v>
      </c>
      <c r="B24" s="16"/>
      <c r="C24" s="19">
        <v>0.2</v>
      </c>
      <c r="D24" s="19">
        <v>0.15</v>
      </c>
      <c r="E24" s="19">
        <v>0.2</v>
      </c>
      <c r="F24" s="19">
        <v>0.22</v>
      </c>
      <c r="G24" s="19">
        <v>0.22</v>
      </c>
      <c r="H24" s="19">
        <v>0.22</v>
      </c>
      <c r="I24" s="20"/>
    </row>
    <row r="25" spans="1:9" outlineLevel="2" x14ac:dyDescent="0.2">
      <c r="A25" s="18" t="s">
        <v>28</v>
      </c>
      <c r="B25" s="16"/>
      <c r="C25" s="24">
        <f t="shared" ref="C25:H25" si="2">1-C24</f>
        <v>0.8</v>
      </c>
      <c r="D25" s="24">
        <f t="shared" si="2"/>
        <v>0.85</v>
      </c>
      <c r="E25" s="24">
        <f t="shared" si="2"/>
        <v>0.8</v>
      </c>
      <c r="F25" s="24">
        <f t="shared" si="2"/>
        <v>0.78</v>
      </c>
      <c r="G25" s="24">
        <f t="shared" si="2"/>
        <v>0.78</v>
      </c>
      <c r="H25" s="24">
        <f t="shared" si="2"/>
        <v>0.78</v>
      </c>
      <c r="I25" s="20"/>
    </row>
    <row r="26" spans="1:9" outlineLevel="2" x14ac:dyDescent="0.2">
      <c r="A26" s="18" t="s">
        <v>29</v>
      </c>
      <c r="B26" s="16"/>
      <c r="C26" s="25">
        <f t="shared" ref="C26:H26" si="3">IF(N($D$16)=0,"",ROUND(C27/$D$16,0))</f>
        <v>834</v>
      </c>
      <c r="D26" s="25">
        <f t="shared" si="3"/>
        <v>34166</v>
      </c>
      <c r="E26" s="25">
        <f t="shared" si="3"/>
        <v>3334</v>
      </c>
      <c r="F26" s="25">
        <f t="shared" si="3"/>
        <v>25000</v>
      </c>
      <c r="G26" s="25">
        <f t="shared" si="3"/>
        <v>25000</v>
      </c>
      <c r="H26" s="25">
        <f t="shared" si="3"/>
        <v>20000</v>
      </c>
      <c r="I26" s="22">
        <f>SUM(C26:H26)</f>
        <v>108334</v>
      </c>
    </row>
    <row r="27" spans="1:9" outlineLevel="2" x14ac:dyDescent="0.2">
      <c r="A27" s="18" t="s">
        <v>30</v>
      </c>
      <c r="B27" s="16"/>
      <c r="C27" s="25">
        <f t="shared" ref="C27:H27" si="4">IF(N($C$16)=0,"",ROUND(C19/$C$16,0))</f>
        <v>792</v>
      </c>
      <c r="D27" s="25">
        <f t="shared" si="4"/>
        <v>32458</v>
      </c>
      <c r="E27" s="25">
        <f t="shared" si="4"/>
        <v>3167</v>
      </c>
      <c r="F27" s="25">
        <f t="shared" si="4"/>
        <v>23750</v>
      </c>
      <c r="G27" s="25">
        <f t="shared" si="4"/>
        <v>23750</v>
      </c>
      <c r="H27" s="25">
        <f t="shared" si="4"/>
        <v>19000</v>
      </c>
      <c r="I27" s="22">
        <f>SUM(C27:H27)</f>
        <v>102917</v>
      </c>
    </row>
    <row r="28" spans="1:9" outlineLevel="2" x14ac:dyDescent="0.2">
      <c r="A28" s="18" t="s">
        <v>31</v>
      </c>
      <c r="B28" s="16"/>
      <c r="C28" s="23"/>
      <c r="D28" s="23"/>
      <c r="E28" s="23"/>
      <c r="F28" s="23"/>
      <c r="G28" s="23"/>
      <c r="H28" s="23"/>
      <c r="I28" s="22">
        <f>SUM(C28:H28)</f>
        <v>0</v>
      </c>
    </row>
    <row r="29" spans="1:9" outlineLevel="2" x14ac:dyDescent="0.2">
      <c r="A29" s="18" t="s">
        <v>32</v>
      </c>
      <c r="B29" s="16"/>
      <c r="C29" s="25">
        <f t="shared" ref="C29:H29" si="5">IF(N(C27)=0,"",ROUND(C22/C27,0))</f>
        <v>84</v>
      </c>
      <c r="D29" s="25">
        <f t="shared" si="5"/>
        <v>108</v>
      </c>
      <c r="E29" s="25">
        <f t="shared" si="5"/>
        <v>480</v>
      </c>
      <c r="F29" s="25">
        <f t="shared" si="5"/>
        <v>90</v>
      </c>
      <c r="G29" s="25">
        <f t="shared" si="5"/>
        <v>78</v>
      </c>
      <c r="H29" s="25">
        <f t="shared" si="5"/>
        <v>78</v>
      </c>
      <c r="I29" s="22">
        <f>SUM(C29:H29)</f>
        <v>918</v>
      </c>
    </row>
    <row r="30" spans="1:9" outlineLevel="2" x14ac:dyDescent="0.2">
      <c r="A30" s="18" t="s">
        <v>33</v>
      </c>
      <c r="B30" s="16"/>
      <c r="C30" s="25">
        <f t="shared" ref="C30:H30" si="6">IF(N(C26)=0,"",ROUND(C22/C26,0))</f>
        <v>80</v>
      </c>
      <c r="D30" s="25">
        <f t="shared" si="6"/>
        <v>103</v>
      </c>
      <c r="E30" s="25">
        <f t="shared" si="6"/>
        <v>456</v>
      </c>
      <c r="F30" s="25">
        <f t="shared" si="6"/>
        <v>86</v>
      </c>
      <c r="G30" s="25">
        <f t="shared" si="6"/>
        <v>74</v>
      </c>
      <c r="H30" s="25">
        <f t="shared" si="6"/>
        <v>74</v>
      </c>
      <c r="I30" s="22">
        <f>SUM(C30:H30)</f>
        <v>873</v>
      </c>
    </row>
    <row r="31" spans="1:9" outlineLevel="1" x14ac:dyDescent="0.2">
      <c r="A31" s="13" t="s">
        <v>34</v>
      </c>
      <c r="B31" s="14"/>
      <c r="C31" s="14"/>
      <c r="D31" s="14"/>
      <c r="E31" s="14"/>
      <c r="F31" s="14"/>
      <c r="G31" s="14"/>
      <c r="H31" s="14"/>
      <c r="I31" s="14"/>
    </row>
    <row r="32" spans="1:9" outlineLevel="2" x14ac:dyDescent="0.2">
      <c r="A32" s="18" t="s">
        <v>35</v>
      </c>
      <c r="B32" s="16"/>
      <c r="C32" s="25">
        <f t="shared" ref="C32:H32" si="7">ROUND(C22*N(C43),0)</f>
        <v>59850</v>
      </c>
      <c r="D32" s="25">
        <f t="shared" si="7"/>
        <v>3154950</v>
      </c>
      <c r="E32" s="25">
        <f t="shared" si="7"/>
        <v>1216000</v>
      </c>
      <c r="F32" s="25">
        <f t="shared" si="7"/>
        <v>1923750</v>
      </c>
      <c r="G32" s="25">
        <f t="shared" si="7"/>
        <v>1667250</v>
      </c>
      <c r="H32" s="25">
        <f t="shared" si="7"/>
        <v>1333800</v>
      </c>
      <c r="I32" s="22">
        <f t="shared" ref="I32:I41" si="8">SUM(C32:H32)</f>
        <v>9355600</v>
      </c>
    </row>
    <row r="33" spans="1:9" outlineLevel="2" x14ac:dyDescent="0.2">
      <c r="A33" s="18" t="s">
        <v>36</v>
      </c>
      <c r="B33" s="16"/>
      <c r="C33" s="25">
        <f t="shared" ref="C33:H33" si="9">ROUND(C22*N(C44),0)</f>
        <v>0</v>
      </c>
      <c r="D33" s="25">
        <f t="shared" si="9"/>
        <v>0</v>
      </c>
      <c r="E33" s="25">
        <f t="shared" si="9"/>
        <v>0</v>
      </c>
      <c r="F33" s="25">
        <f t="shared" si="9"/>
        <v>0</v>
      </c>
      <c r="G33" s="25">
        <f t="shared" si="9"/>
        <v>0</v>
      </c>
      <c r="H33" s="25">
        <f t="shared" si="9"/>
        <v>0</v>
      </c>
      <c r="I33" s="22">
        <f t="shared" si="8"/>
        <v>0</v>
      </c>
    </row>
    <row r="34" spans="1:9" outlineLevel="2" x14ac:dyDescent="0.2">
      <c r="A34" s="18" t="s">
        <v>37</v>
      </c>
      <c r="B34" s="16"/>
      <c r="C34" s="25">
        <f t="shared" ref="C34:H34" si="10">ROUND(C22*N(C45),0)</f>
        <v>0</v>
      </c>
      <c r="D34" s="25">
        <f t="shared" si="10"/>
        <v>175275</v>
      </c>
      <c r="E34" s="25">
        <f t="shared" si="10"/>
        <v>60800</v>
      </c>
      <c r="F34" s="25">
        <f t="shared" si="10"/>
        <v>85500</v>
      </c>
      <c r="G34" s="25">
        <f t="shared" si="10"/>
        <v>74100</v>
      </c>
      <c r="H34" s="25">
        <f t="shared" si="10"/>
        <v>59280</v>
      </c>
      <c r="I34" s="22">
        <f t="shared" si="8"/>
        <v>454955</v>
      </c>
    </row>
    <row r="35" spans="1:9" outlineLevel="2" x14ac:dyDescent="0.2">
      <c r="A35" s="18" t="s">
        <v>38</v>
      </c>
      <c r="B35" s="16"/>
      <c r="C35" s="25">
        <f t="shared" ref="C35:H35" si="11">ROUND(C22*N(C46),0)</f>
        <v>0</v>
      </c>
      <c r="D35" s="25">
        <f t="shared" si="11"/>
        <v>0</v>
      </c>
      <c r="E35" s="25">
        <f t="shared" si="11"/>
        <v>0</v>
      </c>
      <c r="F35" s="25">
        <f t="shared" si="11"/>
        <v>0</v>
      </c>
      <c r="G35" s="25">
        <f t="shared" si="11"/>
        <v>0</v>
      </c>
      <c r="H35" s="25">
        <f t="shared" si="11"/>
        <v>0</v>
      </c>
      <c r="I35" s="22">
        <f t="shared" si="8"/>
        <v>0</v>
      </c>
    </row>
    <row r="36" spans="1:9" outlineLevel="2" x14ac:dyDescent="0.2">
      <c r="A36" s="18" t="s">
        <v>39</v>
      </c>
      <c r="B36" s="16"/>
      <c r="C36" s="25">
        <f t="shared" ref="C36:H36" si="12">ROUND(C22*N(C47),0)</f>
        <v>0</v>
      </c>
      <c r="D36" s="25">
        <f t="shared" si="12"/>
        <v>0</v>
      </c>
      <c r="E36" s="25">
        <f t="shared" si="12"/>
        <v>0</v>
      </c>
      <c r="F36" s="25">
        <f t="shared" si="12"/>
        <v>0</v>
      </c>
      <c r="G36" s="25">
        <f t="shared" si="12"/>
        <v>0</v>
      </c>
      <c r="H36" s="25">
        <f t="shared" si="12"/>
        <v>0</v>
      </c>
      <c r="I36" s="22">
        <f t="shared" si="8"/>
        <v>0</v>
      </c>
    </row>
    <row r="37" spans="1:9" outlineLevel="2" x14ac:dyDescent="0.2">
      <c r="A37" s="18" t="s">
        <v>40</v>
      </c>
      <c r="B37" s="16"/>
      <c r="C37" s="25">
        <f t="shared" ref="C37:H37" si="13">ROUND(C22*N(C48),0)</f>
        <v>0</v>
      </c>
      <c r="D37" s="25">
        <f t="shared" si="13"/>
        <v>105165</v>
      </c>
      <c r="E37" s="25">
        <f t="shared" si="13"/>
        <v>60800</v>
      </c>
      <c r="F37" s="25">
        <f t="shared" si="13"/>
        <v>0</v>
      </c>
      <c r="G37" s="25">
        <f t="shared" si="13"/>
        <v>0</v>
      </c>
      <c r="H37" s="25">
        <f t="shared" si="13"/>
        <v>0</v>
      </c>
      <c r="I37" s="22">
        <f t="shared" si="8"/>
        <v>165965</v>
      </c>
    </row>
    <row r="38" spans="1:9" outlineLevel="2" x14ac:dyDescent="0.2">
      <c r="A38" s="18" t="s">
        <v>41</v>
      </c>
      <c r="B38" s="16"/>
      <c r="C38" s="25">
        <f t="shared" ref="C38:H38" si="14">ROUND(C22*N(C49),0)</f>
        <v>6650</v>
      </c>
      <c r="D38" s="25">
        <f t="shared" si="14"/>
        <v>70110</v>
      </c>
      <c r="E38" s="25">
        <f t="shared" si="14"/>
        <v>45600</v>
      </c>
      <c r="F38" s="25">
        <f t="shared" si="14"/>
        <v>85500</v>
      </c>
      <c r="G38" s="25">
        <f t="shared" si="14"/>
        <v>74100</v>
      </c>
      <c r="H38" s="25">
        <f t="shared" si="14"/>
        <v>74100</v>
      </c>
      <c r="I38" s="22">
        <f t="shared" si="8"/>
        <v>356060</v>
      </c>
    </row>
    <row r="39" spans="1:9" outlineLevel="2" x14ac:dyDescent="0.2">
      <c r="A39" s="26" t="str">
        <f>A50</f>
        <v xml:space="preserve">Конкурс </v>
      </c>
      <c r="B39" s="16"/>
      <c r="C39" s="27">
        <f t="shared" ref="C39:H39" si="15">ROUND(C22*N(C50),0)</f>
        <v>0</v>
      </c>
      <c r="D39" s="27">
        <f t="shared" si="15"/>
        <v>0</v>
      </c>
      <c r="E39" s="27">
        <f t="shared" si="15"/>
        <v>76000</v>
      </c>
      <c r="F39" s="27">
        <f t="shared" si="15"/>
        <v>0</v>
      </c>
      <c r="G39" s="27">
        <f t="shared" si="15"/>
        <v>0</v>
      </c>
      <c r="H39" s="27">
        <f t="shared" si="15"/>
        <v>0</v>
      </c>
      <c r="I39" s="22">
        <f t="shared" si="8"/>
        <v>76000</v>
      </c>
    </row>
    <row r="40" spans="1:9" outlineLevel="2" x14ac:dyDescent="0.2">
      <c r="A40" s="26" t="str">
        <f>A51</f>
        <v xml:space="preserve">   + свободный канал</v>
      </c>
      <c r="B40" s="16"/>
      <c r="C40" s="27">
        <f t="shared" ref="C40:H40" si="16">ROUND(C22*N(C51),0)</f>
        <v>0</v>
      </c>
      <c r="D40" s="27">
        <f t="shared" si="16"/>
        <v>0</v>
      </c>
      <c r="E40" s="27">
        <f t="shared" si="16"/>
        <v>0</v>
      </c>
      <c r="F40" s="27">
        <f t="shared" si="16"/>
        <v>0</v>
      </c>
      <c r="G40" s="27">
        <f t="shared" si="16"/>
        <v>0</v>
      </c>
      <c r="H40" s="27">
        <f t="shared" si="16"/>
        <v>0</v>
      </c>
      <c r="I40" s="22">
        <f t="shared" si="8"/>
        <v>0</v>
      </c>
    </row>
    <row r="41" spans="1:9" outlineLevel="2" x14ac:dyDescent="0.2">
      <c r="A41" s="26" t="str">
        <f>A52</f>
        <v xml:space="preserve">   + свободный канал</v>
      </c>
      <c r="B41" s="16"/>
      <c r="C41" s="27">
        <f t="shared" ref="C41:H41" si="17">ROUND(C22*N(C52),0)</f>
        <v>0</v>
      </c>
      <c r="D41" s="27">
        <f t="shared" si="17"/>
        <v>0</v>
      </c>
      <c r="E41" s="27">
        <f t="shared" si="17"/>
        <v>0</v>
      </c>
      <c r="F41" s="27">
        <f t="shared" si="17"/>
        <v>0</v>
      </c>
      <c r="G41" s="27">
        <f t="shared" si="17"/>
        <v>0</v>
      </c>
      <c r="H41" s="27">
        <f t="shared" si="17"/>
        <v>0</v>
      </c>
      <c r="I41" s="22">
        <f t="shared" si="8"/>
        <v>0</v>
      </c>
    </row>
    <row r="42" spans="1:9" outlineLevel="1" x14ac:dyDescent="0.2">
      <c r="A42" s="13" t="s">
        <v>42</v>
      </c>
      <c r="B42" s="14"/>
      <c r="C42" s="14"/>
      <c r="D42" s="14"/>
      <c r="E42" s="14"/>
      <c r="F42" s="14"/>
      <c r="G42" s="14"/>
      <c r="H42" s="14"/>
      <c r="I42" s="14"/>
    </row>
    <row r="43" spans="1:9" outlineLevel="2" x14ac:dyDescent="0.2">
      <c r="A43" s="18" t="s">
        <v>35</v>
      </c>
      <c r="B43" s="16"/>
      <c r="C43" s="19">
        <v>0.9</v>
      </c>
      <c r="D43" s="19">
        <v>0.9</v>
      </c>
      <c r="E43" s="19">
        <v>0.8</v>
      </c>
      <c r="F43" s="19">
        <v>0.9</v>
      </c>
      <c r="G43" s="19">
        <v>0.9</v>
      </c>
      <c r="H43" s="19">
        <v>0.9</v>
      </c>
      <c r="I43" s="20"/>
    </row>
    <row r="44" spans="1:9" outlineLevel="2" x14ac:dyDescent="0.2">
      <c r="A44" s="18" t="s">
        <v>36</v>
      </c>
      <c r="B44" s="16"/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20"/>
    </row>
    <row r="45" spans="1:9" outlineLevel="2" x14ac:dyDescent="0.2">
      <c r="A45" s="18" t="s">
        <v>37</v>
      </c>
      <c r="B45" s="16"/>
      <c r="C45" s="19">
        <v>0</v>
      </c>
      <c r="D45" s="19">
        <v>0.05</v>
      </c>
      <c r="E45" s="19">
        <v>0.04</v>
      </c>
      <c r="F45" s="19">
        <v>0.04</v>
      </c>
      <c r="G45" s="19">
        <v>0.04</v>
      </c>
      <c r="H45" s="19">
        <v>0.04</v>
      </c>
      <c r="I45" s="20"/>
    </row>
    <row r="46" spans="1:9" outlineLevel="2" x14ac:dyDescent="0.2">
      <c r="A46" s="18" t="s">
        <v>38</v>
      </c>
      <c r="B46" s="16"/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20"/>
    </row>
    <row r="47" spans="1:9" outlineLevel="2" x14ac:dyDescent="0.2">
      <c r="A47" s="18" t="s">
        <v>39</v>
      </c>
      <c r="B47" s="16"/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20"/>
    </row>
    <row r="48" spans="1:9" outlineLevel="2" x14ac:dyDescent="0.2">
      <c r="A48" s="18" t="s">
        <v>40</v>
      </c>
      <c r="B48" s="16"/>
      <c r="C48" s="19">
        <v>0</v>
      </c>
      <c r="D48" s="19">
        <v>0.03</v>
      </c>
      <c r="E48" s="19">
        <v>0.04</v>
      </c>
      <c r="F48" s="19">
        <v>0</v>
      </c>
      <c r="G48" s="19">
        <v>0</v>
      </c>
      <c r="H48" s="19">
        <v>0</v>
      </c>
      <c r="I48" s="20"/>
    </row>
    <row r="49" spans="1:9" outlineLevel="2" x14ac:dyDescent="0.2">
      <c r="A49" s="18" t="s">
        <v>41</v>
      </c>
      <c r="B49" s="16"/>
      <c r="C49" s="19">
        <v>0.1</v>
      </c>
      <c r="D49" s="19">
        <v>0.02</v>
      </c>
      <c r="E49" s="19">
        <v>0.03</v>
      </c>
      <c r="F49" s="19">
        <v>0.04</v>
      </c>
      <c r="G49" s="19">
        <v>0.04</v>
      </c>
      <c r="H49" s="19">
        <v>0.05</v>
      </c>
      <c r="I49" s="20"/>
    </row>
    <row r="50" spans="1:9" outlineLevel="2" x14ac:dyDescent="0.2">
      <c r="A50" s="26" t="s">
        <v>43</v>
      </c>
      <c r="B50" s="16"/>
      <c r="C50" s="19"/>
      <c r="D50" s="19"/>
      <c r="E50" s="19">
        <v>0.05</v>
      </c>
      <c r="F50" s="19"/>
      <c r="G50" s="19"/>
      <c r="H50" s="19"/>
      <c r="I50" s="20"/>
    </row>
    <row r="51" spans="1:9" outlineLevel="2" x14ac:dyDescent="0.2">
      <c r="A51" s="26" t="s">
        <v>44</v>
      </c>
      <c r="B51" s="16"/>
      <c r="C51" s="19"/>
      <c r="D51" s="19"/>
      <c r="E51" s="19"/>
      <c r="F51" s="19"/>
      <c r="G51" s="19"/>
      <c r="H51" s="19"/>
      <c r="I51" s="20"/>
    </row>
    <row r="52" spans="1:9" outlineLevel="2" x14ac:dyDescent="0.2">
      <c r="A52" s="26" t="s">
        <v>44</v>
      </c>
      <c r="B52" s="16"/>
      <c r="C52" s="19"/>
      <c r="D52" s="19"/>
      <c r="E52" s="19"/>
      <c r="F52" s="19"/>
      <c r="G52" s="19"/>
      <c r="H52" s="19"/>
      <c r="I52" s="20"/>
    </row>
    <row r="53" spans="1:9" outlineLevel="2" x14ac:dyDescent="0.2">
      <c r="A53" s="28" t="s">
        <v>45</v>
      </c>
      <c r="B53" s="16"/>
      <c r="C53" s="29">
        <f t="shared" ref="C53:H53" si="18">SUM(C43:C52)</f>
        <v>1</v>
      </c>
      <c r="D53" s="29">
        <f t="shared" si="18"/>
        <v>1</v>
      </c>
      <c r="E53" s="29">
        <f t="shared" si="18"/>
        <v>0.96000000000000019</v>
      </c>
      <c r="F53" s="29">
        <f t="shared" si="18"/>
        <v>0.98000000000000009</v>
      </c>
      <c r="G53" s="29">
        <f t="shared" si="18"/>
        <v>0.98000000000000009</v>
      </c>
      <c r="H53" s="29">
        <f t="shared" si="18"/>
        <v>0.9900000000000001</v>
      </c>
    </row>
    <row r="55" spans="1:9" x14ac:dyDescent="0.2">
      <c r="A55" s="9" t="s">
        <v>46</v>
      </c>
      <c r="B55" s="10"/>
      <c r="C55" s="10"/>
      <c r="D55" s="10"/>
      <c r="E55" s="10"/>
      <c r="F55" s="10"/>
      <c r="G55" s="10"/>
      <c r="H55" s="10"/>
      <c r="I55" s="10"/>
    </row>
    <row r="56" spans="1:9" outlineLevel="1" x14ac:dyDescent="0.2">
      <c r="A56" s="11"/>
      <c r="B56" s="11"/>
      <c r="C56" s="12" t="s">
        <v>11</v>
      </c>
      <c r="D56" s="12" t="s">
        <v>12</v>
      </c>
      <c r="E56" s="12" t="s">
        <v>13</v>
      </c>
      <c r="F56" s="12" t="s">
        <v>14</v>
      </c>
      <c r="G56" s="12" t="s">
        <v>15</v>
      </c>
      <c r="H56" s="12" t="s">
        <v>16</v>
      </c>
      <c r="I56" s="12" t="s">
        <v>17</v>
      </c>
    </row>
    <row r="57" spans="1:9" outlineLevel="1" x14ac:dyDescent="0.2">
      <c r="A57" s="13" t="s">
        <v>18</v>
      </c>
      <c r="B57" s="14"/>
      <c r="C57" s="14"/>
      <c r="D57" s="14"/>
      <c r="E57" s="14"/>
      <c r="F57" s="14"/>
      <c r="G57" s="14"/>
      <c r="H57" s="14"/>
      <c r="I57" s="14"/>
    </row>
    <row r="58" spans="1:9" hidden="1" outlineLevel="2" x14ac:dyDescent="0.2">
      <c r="A58" s="15" t="s">
        <v>19</v>
      </c>
      <c r="B58" s="16"/>
      <c r="C58" s="17">
        <v>5500</v>
      </c>
      <c r="D58" s="6">
        <v>0.93</v>
      </c>
      <c r="E58" s="16"/>
      <c r="F58" s="16"/>
      <c r="G58" s="16"/>
      <c r="H58" s="16"/>
      <c r="I58" s="16"/>
    </row>
    <row r="59" spans="1:9" outlineLevel="1" x14ac:dyDescent="0.2">
      <c r="A59" s="13" t="s">
        <v>20</v>
      </c>
      <c r="B59" s="14"/>
      <c r="C59" s="14"/>
      <c r="D59" s="14"/>
      <c r="E59" s="14"/>
      <c r="F59" s="14"/>
      <c r="G59" s="14"/>
      <c r="H59" s="14"/>
      <c r="I59" s="14"/>
    </row>
    <row r="60" spans="1:9" hidden="1" outlineLevel="2" x14ac:dyDescent="0.2">
      <c r="A60" s="18" t="s">
        <v>21</v>
      </c>
      <c r="B60" s="16"/>
      <c r="C60" s="19">
        <v>0.04</v>
      </c>
      <c r="D60" s="19">
        <v>0.15</v>
      </c>
      <c r="E60" s="19">
        <v>0.2</v>
      </c>
      <c r="F60" s="19">
        <v>0.16</v>
      </c>
      <c r="G60" s="19">
        <v>0.17</v>
      </c>
      <c r="H60" s="19">
        <v>0.17</v>
      </c>
      <c r="I60" s="20">
        <f>SUM(C60:H60)</f>
        <v>0.89000000000000012</v>
      </c>
    </row>
    <row r="61" spans="1:9" hidden="1" outlineLevel="2" x14ac:dyDescent="0.2">
      <c r="A61" s="21" t="s">
        <v>22</v>
      </c>
      <c r="B61" s="16"/>
      <c r="C61" s="7">
        <f t="shared" ref="C61:H61" si="19">ROUND($D$7*C60,0)</f>
        <v>200000</v>
      </c>
      <c r="D61" s="7">
        <f t="shared" si="19"/>
        <v>750000</v>
      </c>
      <c r="E61" s="7">
        <f t="shared" si="19"/>
        <v>1000000</v>
      </c>
      <c r="F61" s="7">
        <f t="shared" si="19"/>
        <v>800000</v>
      </c>
      <c r="G61" s="7">
        <f t="shared" si="19"/>
        <v>850000</v>
      </c>
      <c r="H61" s="7">
        <f t="shared" si="19"/>
        <v>850000</v>
      </c>
      <c r="I61" s="22">
        <f>SUM(C61:H61)</f>
        <v>4450000</v>
      </c>
    </row>
    <row r="62" spans="1:9" hidden="1" outlineLevel="2" x14ac:dyDescent="0.2">
      <c r="A62" s="18" t="s">
        <v>23</v>
      </c>
      <c r="B62" s="16"/>
      <c r="C62" s="23"/>
      <c r="D62" s="23"/>
      <c r="E62" s="23"/>
      <c r="F62" s="23"/>
      <c r="G62" s="23"/>
      <c r="H62" s="23"/>
      <c r="I62" s="22">
        <f>SUM(C62:H62)</f>
        <v>0</v>
      </c>
    </row>
    <row r="63" spans="1:9" hidden="1" outlineLevel="2" x14ac:dyDescent="0.2">
      <c r="A63" s="18" t="s">
        <v>24</v>
      </c>
      <c r="B63" s="16"/>
      <c r="C63" s="19">
        <v>0.13</v>
      </c>
      <c r="D63" s="19">
        <v>0.2</v>
      </c>
      <c r="E63" s="19">
        <v>0.18</v>
      </c>
      <c r="F63" s="19">
        <v>0.18</v>
      </c>
      <c r="G63" s="19">
        <v>0.15</v>
      </c>
      <c r="H63" s="19">
        <v>0.15</v>
      </c>
      <c r="I63" s="20">
        <f>IF(N(I61)=0,"",I64/I61)</f>
        <v>0.16966292134831459</v>
      </c>
    </row>
    <row r="64" spans="1:9" hidden="1" outlineLevel="2" x14ac:dyDescent="0.2">
      <c r="A64" s="21" t="s">
        <v>25</v>
      </c>
      <c r="B64" s="16"/>
      <c r="C64" s="7">
        <f t="shared" ref="C64:H64" si="20">ROUND(C61*C63,0)</f>
        <v>26000</v>
      </c>
      <c r="D64" s="7">
        <f t="shared" si="20"/>
        <v>150000</v>
      </c>
      <c r="E64" s="7">
        <f t="shared" si="20"/>
        <v>180000</v>
      </c>
      <c r="F64" s="7">
        <f t="shared" si="20"/>
        <v>144000</v>
      </c>
      <c r="G64" s="7">
        <f t="shared" si="20"/>
        <v>127500</v>
      </c>
      <c r="H64" s="7">
        <f t="shared" si="20"/>
        <v>127500</v>
      </c>
      <c r="I64" s="22">
        <f>SUM(C64:H64)</f>
        <v>755000</v>
      </c>
    </row>
    <row r="65" spans="1:9" hidden="1" outlineLevel="2" x14ac:dyDescent="0.2">
      <c r="A65" s="18" t="s">
        <v>26</v>
      </c>
      <c r="B65" s="16"/>
      <c r="C65" s="23"/>
      <c r="D65" s="23"/>
      <c r="E65" s="23"/>
      <c r="F65" s="23"/>
      <c r="G65" s="23"/>
      <c r="H65" s="23"/>
      <c r="I65" s="22">
        <f>SUM(C65:H65)</f>
        <v>0</v>
      </c>
    </row>
    <row r="66" spans="1:9" hidden="1" outlineLevel="2" x14ac:dyDescent="0.2">
      <c r="A66" s="18" t="s">
        <v>27</v>
      </c>
      <c r="B66" s="16"/>
      <c r="C66" s="19">
        <v>0.2</v>
      </c>
      <c r="D66" s="19">
        <v>0.2</v>
      </c>
      <c r="E66" s="19">
        <v>0.2</v>
      </c>
      <c r="F66" s="19">
        <v>0.2</v>
      </c>
      <c r="G66" s="19">
        <v>0.2</v>
      </c>
      <c r="H66" s="19">
        <v>0.2</v>
      </c>
      <c r="I66" s="20"/>
    </row>
    <row r="67" spans="1:9" hidden="1" outlineLevel="2" x14ac:dyDescent="0.2">
      <c r="A67" s="18" t="s">
        <v>28</v>
      </c>
      <c r="B67" s="16"/>
      <c r="C67" s="24">
        <f t="shared" ref="C67:H67" si="21">1-C66</f>
        <v>0.8</v>
      </c>
      <c r="D67" s="24">
        <f t="shared" si="21"/>
        <v>0.8</v>
      </c>
      <c r="E67" s="24">
        <f t="shared" si="21"/>
        <v>0.8</v>
      </c>
      <c r="F67" s="24">
        <f t="shared" si="21"/>
        <v>0.8</v>
      </c>
      <c r="G67" s="24">
        <f t="shared" si="21"/>
        <v>0.8</v>
      </c>
      <c r="H67" s="24">
        <f t="shared" si="21"/>
        <v>0.8</v>
      </c>
      <c r="I67" s="20"/>
    </row>
    <row r="68" spans="1:9" hidden="1" outlineLevel="2" x14ac:dyDescent="0.2">
      <c r="A68" s="18" t="s">
        <v>29</v>
      </c>
      <c r="B68" s="16"/>
      <c r="C68" s="25">
        <f t="shared" ref="C68:H68" si="22">IF(N($D$58)=0,"",ROUND(C69/$D$58,0))</f>
        <v>39</v>
      </c>
      <c r="D68" s="25">
        <f t="shared" si="22"/>
        <v>146</v>
      </c>
      <c r="E68" s="25">
        <f t="shared" si="22"/>
        <v>196</v>
      </c>
      <c r="F68" s="25">
        <f t="shared" si="22"/>
        <v>156</v>
      </c>
      <c r="G68" s="25">
        <f t="shared" si="22"/>
        <v>167</v>
      </c>
      <c r="H68" s="25">
        <f t="shared" si="22"/>
        <v>167</v>
      </c>
      <c r="I68" s="22">
        <f>SUM(C68:H68)</f>
        <v>871</v>
      </c>
    </row>
    <row r="69" spans="1:9" hidden="1" outlineLevel="2" x14ac:dyDescent="0.2">
      <c r="A69" s="18" t="s">
        <v>30</v>
      </c>
      <c r="B69" s="16"/>
      <c r="C69" s="25">
        <f t="shared" ref="C69:H69" si="23">IF(N($C$58)=0,"",ROUND(C61/$C$58,0))</f>
        <v>36</v>
      </c>
      <c r="D69" s="25">
        <f t="shared" si="23"/>
        <v>136</v>
      </c>
      <c r="E69" s="25">
        <f t="shared" si="23"/>
        <v>182</v>
      </c>
      <c r="F69" s="25">
        <f t="shared" si="23"/>
        <v>145</v>
      </c>
      <c r="G69" s="25">
        <f t="shared" si="23"/>
        <v>155</v>
      </c>
      <c r="H69" s="25">
        <f t="shared" si="23"/>
        <v>155</v>
      </c>
      <c r="I69" s="22">
        <f>SUM(C69:H69)</f>
        <v>809</v>
      </c>
    </row>
    <row r="70" spans="1:9" hidden="1" outlineLevel="2" x14ac:dyDescent="0.2">
      <c r="A70" s="18" t="s">
        <v>31</v>
      </c>
      <c r="B70" s="16"/>
      <c r="C70" s="23"/>
      <c r="D70" s="23"/>
      <c r="E70" s="23"/>
      <c r="F70" s="23"/>
      <c r="G70" s="23"/>
      <c r="H70" s="23"/>
      <c r="I70" s="22">
        <f>SUM(C70:H70)</f>
        <v>0</v>
      </c>
    </row>
    <row r="71" spans="1:9" hidden="1" outlineLevel="2" x14ac:dyDescent="0.2">
      <c r="A71" s="18" t="s">
        <v>32</v>
      </c>
      <c r="B71" s="16"/>
      <c r="C71" s="25">
        <f t="shared" ref="C71:H71" si="24">IF(N(C69)=0,"",ROUND(C64/C69,0))</f>
        <v>722</v>
      </c>
      <c r="D71" s="25">
        <f t="shared" si="24"/>
        <v>1103</v>
      </c>
      <c r="E71" s="25">
        <f t="shared" si="24"/>
        <v>989</v>
      </c>
      <c r="F71" s="25">
        <f t="shared" si="24"/>
        <v>993</v>
      </c>
      <c r="G71" s="25">
        <f t="shared" si="24"/>
        <v>823</v>
      </c>
      <c r="H71" s="25">
        <f t="shared" si="24"/>
        <v>823</v>
      </c>
      <c r="I71" s="22">
        <f>SUM(C71:H71)</f>
        <v>5453</v>
      </c>
    </row>
    <row r="72" spans="1:9" hidden="1" outlineLevel="2" x14ac:dyDescent="0.2">
      <c r="A72" s="18" t="s">
        <v>33</v>
      </c>
      <c r="B72" s="16"/>
      <c r="C72" s="25">
        <f t="shared" ref="C72:H72" si="25">IF(N(C68)=0,"",ROUND(C64/C68,0))</f>
        <v>667</v>
      </c>
      <c r="D72" s="25">
        <f t="shared" si="25"/>
        <v>1027</v>
      </c>
      <c r="E72" s="25">
        <f t="shared" si="25"/>
        <v>918</v>
      </c>
      <c r="F72" s="25">
        <f t="shared" si="25"/>
        <v>923</v>
      </c>
      <c r="G72" s="25">
        <f t="shared" si="25"/>
        <v>763</v>
      </c>
      <c r="H72" s="25">
        <f t="shared" si="25"/>
        <v>763</v>
      </c>
      <c r="I72" s="22">
        <f>SUM(C72:H72)</f>
        <v>5061</v>
      </c>
    </row>
    <row r="73" spans="1:9" outlineLevel="1" collapsed="1" x14ac:dyDescent="0.2">
      <c r="A73" s="13" t="s">
        <v>34</v>
      </c>
      <c r="B73" s="14"/>
      <c r="C73" s="14"/>
      <c r="D73" s="14"/>
      <c r="E73" s="14"/>
      <c r="F73" s="14"/>
      <c r="G73" s="14"/>
      <c r="H73" s="14"/>
      <c r="I73" s="14"/>
    </row>
    <row r="74" spans="1:9" hidden="1" outlineLevel="2" x14ac:dyDescent="0.2">
      <c r="A74" s="18" t="s">
        <v>35</v>
      </c>
      <c r="B74" s="16"/>
      <c r="C74" s="25">
        <f t="shared" ref="C74:H74" si="26">ROUND(C64*N(C85),0)</f>
        <v>23400</v>
      </c>
      <c r="D74" s="25">
        <f t="shared" si="26"/>
        <v>135000</v>
      </c>
      <c r="E74" s="25">
        <f t="shared" si="26"/>
        <v>162000</v>
      </c>
      <c r="F74" s="25">
        <f t="shared" si="26"/>
        <v>129600</v>
      </c>
      <c r="G74" s="25">
        <f t="shared" si="26"/>
        <v>114750</v>
      </c>
      <c r="H74" s="25">
        <f t="shared" si="26"/>
        <v>114750</v>
      </c>
      <c r="I74" s="22">
        <f t="shared" ref="I74:I83" si="27">SUM(C74:H74)</f>
        <v>679500</v>
      </c>
    </row>
    <row r="75" spans="1:9" hidden="1" outlineLevel="2" x14ac:dyDescent="0.2">
      <c r="A75" s="18" t="s">
        <v>36</v>
      </c>
      <c r="B75" s="16"/>
      <c r="C75" s="25">
        <f t="shared" ref="C75:H75" si="28">ROUND(C64*N(C86),0)</f>
        <v>0</v>
      </c>
      <c r="D75" s="25">
        <f t="shared" si="28"/>
        <v>0</v>
      </c>
      <c r="E75" s="25">
        <f t="shared" si="28"/>
        <v>0</v>
      </c>
      <c r="F75" s="25">
        <f t="shared" si="28"/>
        <v>0</v>
      </c>
      <c r="G75" s="25">
        <f t="shared" si="28"/>
        <v>0</v>
      </c>
      <c r="H75" s="25">
        <f t="shared" si="28"/>
        <v>0</v>
      </c>
      <c r="I75" s="22">
        <f t="shared" si="27"/>
        <v>0</v>
      </c>
    </row>
    <row r="76" spans="1:9" hidden="1" outlineLevel="2" x14ac:dyDescent="0.2">
      <c r="A76" s="18" t="s">
        <v>37</v>
      </c>
      <c r="B76" s="16"/>
      <c r="C76" s="25">
        <f t="shared" ref="C76:H76" si="29">ROUND(C64*N(C87),0)</f>
        <v>0</v>
      </c>
      <c r="D76" s="25">
        <f t="shared" si="29"/>
        <v>0</v>
      </c>
      <c r="E76" s="25">
        <f t="shared" si="29"/>
        <v>0</v>
      </c>
      <c r="F76" s="25">
        <f t="shared" si="29"/>
        <v>0</v>
      </c>
      <c r="G76" s="25">
        <f t="shared" si="29"/>
        <v>0</v>
      </c>
      <c r="H76" s="25">
        <f t="shared" si="29"/>
        <v>0</v>
      </c>
      <c r="I76" s="22">
        <f t="shared" si="27"/>
        <v>0</v>
      </c>
    </row>
    <row r="77" spans="1:9" hidden="1" outlineLevel="2" x14ac:dyDescent="0.2">
      <c r="A77" s="18" t="s">
        <v>38</v>
      </c>
      <c r="B77" s="16"/>
      <c r="C77" s="25">
        <f t="shared" ref="C77:H77" si="30">ROUND(C64*N(C88),0)</f>
        <v>0</v>
      </c>
      <c r="D77" s="25">
        <f t="shared" si="30"/>
        <v>0</v>
      </c>
      <c r="E77" s="25">
        <f t="shared" si="30"/>
        <v>0</v>
      </c>
      <c r="F77" s="25">
        <f t="shared" si="30"/>
        <v>0</v>
      </c>
      <c r="G77" s="25">
        <f t="shared" si="30"/>
        <v>0</v>
      </c>
      <c r="H77" s="25">
        <f t="shared" si="30"/>
        <v>0</v>
      </c>
      <c r="I77" s="22">
        <f t="shared" si="27"/>
        <v>0</v>
      </c>
    </row>
    <row r="78" spans="1:9" hidden="1" outlineLevel="2" x14ac:dyDescent="0.2">
      <c r="A78" s="18" t="s">
        <v>39</v>
      </c>
      <c r="B78" s="16"/>
      <c r="C78" s="25">
        <f t="shared" ref="C78:H78" si="31">ROUND(C64*N(C89),0)</f>
        <v>0</v>
      </c>
      <c r="D78" s="25">
        <f t="shared" si="31"/>
        <v>0</v>
      </c>
      <c r="E78" s="25">
        <f t="shared" si="31"/>
        <v>0</v>
      </c>
      <c r="F78" s="25">
        <f t="shared" si="31"/>
        <v>0</v>
      </c>
      <c r="G78" s="25">
        <f t="shared" si="31"/>
        <v>0</v>
      </c>
      <c r="H78" s="25">
        <f t="shared" si="31"/>
        <v>0</v>
      </c>
      <c r="I78" s="22">
        <f t="shared" si="27"/>
        <v>0</v>
      </c>
    </row>
    <row r="79" spans="1:9" hidden="1" outlineLevel="2" x14ac:dyDescent="0.2">
      <c r="A79" s="18" t="s">
        <v>40</v>
      </c>
      <c r="B79" s="16"/>
      <c r="C79" s="25">
        <f t="shared" ref="C79:H79" si="32">ROUND(C64*N(C90),0)</f>
        <v>0</v>
      </c>
      <c r="D79" s="25">
        <f t="shared" si="32"/>
        <v>0</v>
      </c>
      <c r="E79" s="25">
        <f t="shared" si="32"/>
        <v>0</v>
      </c>
      <c r="F79" s="25">
        <f t="shared" si="32"/>
        <v>0</v>
      </c>
      <c r="G79" s="25">
        <f t="shared" si="32"/>
        <v>0</v>
      </c>
      <c r="H79" s="25">
        <f t="shared" si="32"/>
        <v>0</v>
      </c>
      <c r="I79" s="22">
        <f t="shared" si="27"/>
        <v>0</v>
      </c>
    </row>
    <row r="80" spans="1:9" hidden="1" outlineLevel="2" x14ac:dyDescent="0.2">
      <c r="A80" s="18" t="s">
        <v>41</v>
      </c>
      <c r="B80" s="16"/>
      <c r="C80" s="25">
        <f t="shared" ref="C80:H80" si="33">ROUND(C64*N(C91),0)</f>
        <v>2600</v>
      </c>
      <c r="D80" s="25">
        <f t="shared" si="33"/>
        <v>15000</v>
      </c>
      <c r="E80" s="25">
        <f t="shared" si="33"/>
        <v>18000</v>
      </c>
      <c r="F80" s="25">
        <f t="shared" si="33"/>
        <v>14400</v>
      </c>
      <c r="G80" s="25">
        <f t="shared" si="33"/>
        <v>12750</v>
      </c>
      <c r="H80" s="25">
        <f t="shared" si="33"/>
        <v>12750</v>
      </c>
      <c r="I80" s="22">
        <f t="shared" si="27"/>
        <v>75500</v>
      </c>
    </row>
    <row r="81" spans="1:9" hidden="1" outlineLevel="2" x14ac:dyDescent="0.2">
      <c r="A81" s="26" t="str">
        <f>A92</f>
        <v xml:space="preserve">   + свободный канал</v>
      </c>
      <c r="B81" s="16"/>
      <c r="C81" s="27">
        <f t="shared" ref="C81:H81" si="34">ROUND(C64*N(C92),0)</f>
        <v>0</v>
      </c>
      <c r="D81" s="27">
        <f t="shared" si="34"/>
        <v>0</v>
      </c>
      <c r="E81" s="27">
        <f t="shared" si="34"/>
        <v>0</v>
      </c>
      <c r="F81" s="27">
        <f t="shared" si="34"/>
        <v>0</v>
      </c>
      <c r="G81" s="27">
        <f t="shared" si="34"/>
        <v>0</v>
      </c>
      <c r="H81" s="27">
        <f t="shared" si="34"/>
        <v>0</v>
      </c>
      <c r="I81" s="22">
        <f t="shared" si="27"/>
        <v>0</v>
      </c>
    </row>
    <row r="82" spans="1:9" hidden="1" outlineLevel="2" x14ac:dyDescent="0.2">
      <c r="A82" s="26" t="str">
        <f>A93</f>
        <v xml:space="preserve">   + свободный канал</v>
      </c>
      <c r="B82" s="16"/>
      <c r="C82" s="27">
        <f t="shared" ref="C82:H82" si="35">ROUND(C64*N(C93),0)</f>
        <v>0</v>
      </c>
      <c r="D82" s="27">
        <f t="shared" si="35"/>
        <v>0</v>
      </c>
      <c r="E82" s="27">
        <f t="shared" si="35"/>
        <v>0</v>
      </c>
      <c r="F82" s="27">
        <f t="shared" si="35"/>
        <v>0</v>
      </c>
      <c r="G82" s="27">
        <f t="shared" si="35"/>
        <v>0</v>
      </c>
      <c r="H82" s="27">
        <f t="shared" si="35"/>
        <v>0</v>
      </c>
      <c r="I82" s="22">
        <f t="shared" si="27"/>
        <v>0</v>
      </c>
    </row>
    <row r="83" spans="1:9" hidden="1" outlineLevel="2" x14ac:dyDescent="0.2">
      <c r="A83" s="26" t="str">
        <f>A94</f>
        <v xml:space="preserve">   + свободный канал</v>
      </c>
      <c r="B83" s="16"/>
      <c r="C83" s="27">
        <f t="shared" ref="C83:H83" si="36">ROUND(C64*N(C94),0)</f>
        <v>0</v>
      </c>
      <c r="D83" s="27">
        <f t="shared" si="36"/>
        <v>0</v>
      </c>
      <c r="E83" s="27">
        <f t="shared" si="36"/>
        <v>0</v>
      </c>
      <c r="F83" s="27">
        <f t="shared" si="36"/>
        <v>0</v>
      </c>
      <c r="G83" s="27">
        <f t="shared" si="36"/>
        <v>0</v>
      </c>
      <c r="H83" s="27">
        <f t="shared" si="36"/>
        <v>0</v>
      </c>
      <c r="I83" s="22">
        <f t="shared" si="27"/>
        <v>0</v>
      </c>
    </row>
    <row r="84" spans="1:9" outlineLevel="1" collapsed="1" x14ac:dyDescent="0.2">
      <c r="A84" s="13" t="s">
        <v>42</v>
      </c>
      <c r="B84" s="14"/>
      <c r="C84" s="14"/>
      <c r="D84" s="14"/>
      <c r="E84" s="14"/>
      <c r="F84" s="14"/>
      <c r="G84" s="14"/>
      <c r="H84" s="14"/>
      <c r="I84" s="14"/>
    </row>
    <row r="85" spans="1:9" hidden="1" outlineLevel="2" x14ac:dyDescent="0.2">
      <c r="A85" s="18" t="s">
        <v>35</v>
      </c>
      <c r="B85" s="16"/>
      <c r="C85" s="19">
        <v>0.9</v>
      </c>
      <c r="D85" s="19">
        <v>0.9</v>
      </c>
      <c r="E85" s="19">
        <v>0.9</v>
      </c>
      <c r="F85" s="19">
        <v>0.9</v>
      </c>
      <c r="G85" s="19">
        <v>0.9</v>
      </c>
      <c r="H85" s="19">
        <v>0.9</v>
      </c>
      <c r="I85" s="20"/>
    </row>
    <row r="86" spans="1:9" hidden="1" outlineLevel="2" x14ac:dyDescent="0.2">
      <c r="A86" s="18" t="s">
        <v>36</v>
      </c>
      <c r="B86" s="16"/>
      <c r="C86" s="19">
        <v>0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20"/>
    </row>
    <row r="87" spans="1:9" hidden="1" outlineLevel="2" x14ac:dyDescent="0.2">
      <c r="A87" s="18" t="s">
        <v>37</v>
      </c>
      <c r="B87" s="16"/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20"/>
    </row>
    <row r="88" spans="1:9" hidden="1" outlineLevel="2" x14ac:dyDescent="0.2">
      <c r="A88" s="18" t="s">
        <v>38</v>
      </c>
      <c r="B88" s="16"/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20"/>
    </row>
    <row r="89" spans="1:9" hidden="1" outlineLevel="2" x14ac:dyDescent="0.2">
      <c r="A89" s="18" t="s">
        <v>39</v>
      </c>
      <c r="B89" s="16"/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20"/>
    </row>
    <row r="90" spans="1:9" hidden="1" outlineLevel="2" x14ac:dyDescent="0.2">
      <c r="A90" s="18" t="s">
        <v>40</v>
      </c>
      <c r="B90" s="16"/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20"/>
    </row>
    <row r="91" spans="1:9" hidden="1" outlineLevel="2" x14ac:dyDescent="0.2">
      <c r="A91" s="18" t="s">
        <v>41</v>
      </c>
      <c r="B91" s="16"/>
      <c r="C91" s="19">
        <v>0.1</v>
      </c>
      <c r="D91" s="19">
        <v>0.1</v>
      </c>
      <c r="E91" s="19">
        <v>0.1</v>
      </c>
      <c r="F91" s="19">
        <v>0.1</v>
      </c>
      <c r="G91" s="19">
        <v>0.1</v>
      </c>
      <c r="H91" s="19">
        <v>0.1</v>
      </c>
      <c r="I91" s="20"/>
    </row>
    <row r="92" spans="1:9" hidden="1" outlineLevel="2" x14ac:dyDescent="0.2">
      <c r="A92" s="26" t="s">
        <v>44</v>
      </c>
      <c r="B92" s="16"/>
      <c r="C92" s="19"/>
      <c r="D92" s="19"/>
      <c r="E92" s="19"/>
      <c r="F92" s="19"/>
      <c r="G92" s="19"/>
      <c r="H92" s="19"/>
      <c r="I92" s="20"/>
    </row>
    <row r="93" spans="1:9" hidden="1" outlineLevel="2" x14ac:dyDescent="0.2">
      <c r="A93" s="26" t="s">
        <v>44</v>
      </c>
      <c r="B93" s="16"/>
      <c r="C93" s="19"/>
      <c r="D93" s="19"/>
      <c r="E93" s="19"/>
      <c r="F93" s="19"/>
      <c r="G93" s="19"/>
      <c r="H93" s="19"/>
      <c r="I93" s="20"/>
    </row>
    <row r="94" spans="1:9" hidden="1" outlineLevel="2" x14ac:dyDescent="0.2">
      <c r="A94" s="26" t="s">
        <v>44</v>
      </c>
      <c r="B94" s="16"/>
      <c r="C94" s="19"/>
      <c r="D94" s="19"/>
      <c r="E94" s="19"/>
      <c r="F94" s="19"/>
      <c r="G94" s="19"/>
      <c r="H94" s="19"/>
      <c r="I94" s="20"/>
    </row>
    <row r="95" spans="1:9" hidden="1" outlineLevel="2" x14ac:dyDescent="0.2">
      <c r="A95" s="28" t="s">
        <v>45</v>
      </c>
      <c r="B95" s="16"/>
      <c r="C95" s="29">
        <f t="shared" ref="C95:H95" si="37">SUM(C85:C94)</f>
        <v>1</v>
      </c>
      <c r="D95" s="29">
        <f t="shared" si="37"/>
        <v>1</v>
      </c>
      <c r="E95" s="29">
        <f t="shared" si="37"/>
        <v>1</v>
      </c>
      <c r="F95" s="29">
        <f t="shared" si="37"/>
        <v>1</v>
      </c>
      <c r="G95" s="29">
        <f t="shared" si="37"/>
        <v>1</v>
      </c>
      <c r="H95" s="29">
        <f t="shared" si="37"/>
        <v>1</v>
      </c>
    </row>
    <row r="97" spans="1:9" x14ac:dyDescent="0.2">
      <c r="A97" s="30" t="s">
        <v>47</v>
      </c>
      <c r="B97" s="31"/>
      <c r="C97" s="31"/>
      <c r="D97" s="31"/>
      <c r="E97" s="31"/>
      <c r="F97" s="31"/>
      <c r="G97" s="31"/>
      <c r="H97" s="31"/>
      <c r="I97" s="31"/>
    </row>
    <row r="98" spans="1:9" outlineLevel="1" x14ac:dyDescent="0.2">
      <c r="A98" s="11"/>
      <c r="B98" s="11"/>
      <c r="C98" s="12" t="s">
        <v>11</v>
      </c>
      <c r="D98" s="12" t="s">
        <v>12</v>
      </c>
      <c r="E98" s="12" t="s">
        <v>13</v>
      </c>
      <c r="F98" s="12" t="s">
        <v>14</v>
      </c>
      <c r="G98" s="12" t="s">
        <v>15</v>
      </c>
      <c r="H98" s="12" t="s">
        <v>16</v>
      </c>
      <c r="I98" s="12" t="s">
        <v>17</v>
      </c>
    </row>
    <row r="99" spans="1:9" outlineLevel="1" x14ac:dyDescent="0.2">
      <c r="A99" s="13" t="s">
        <v>18</v>
      </c>
      <c r="B99" s="14"/>
      <c r="C99" s="14"/>
      <c r="D99" s="14"/>
      <c r="E99" s="14"/>
      <c r="F99" s="14"/>
      <c r="G99" s="14"/>
      <c r="H99" s="14"/>
      <c r="I99" s="14"/>
    </row>
    <row r="100" spans="1:9" outlineLevel="2" x14ac:dyDescent="0.2">
      <c r="A100" s="15" t="s">
        <v>48</v>
      </c>
      <c r="B100" s="16"/>
      <c r="C100" s="17">
        <v>500000</v>
      </c>
      <c r="D100" s="17">
        <v>130</v>
      </c>
      <c r="E100" s="16"/>
      <c r="F100" s="16"/>
      <c r="G100" s="16"/>
      <c r="H100" s="16"/>
      <c r="I100" s="16"/>
    </row>
    <row r="101" spans="1:9" outlineLevel="1" x14ac:dyDescent="0.2">
      <c r="A101" s="13" t="s">
        <v>20</v>
      </c>
      <c r="B101" s="14"/>
      <c r="C101" s="14"/>
      <c r="D101" s="14"/>
      <c r="E101" s="14"/>
      <c r="F101" s="14"/>
      <c r="G101" s="14"/>
      <c r="H101" s="14"/>
      <c r="I101" s="14"/>
    </row>
    <row r="102" spans="1:9" outlineLevel="2" x14ac:dyDescent="0.2">
      <c r="A102" s="18" t="s">
        <v>21</v>
      </c>
      <c r="B102" s="16"/>
      <c r="C102" s="19">
        <v>2.5000000000000001E-2</v>
      </c>
      <c r="D102" s="19">
        <v>0.1</v>
      </c>
      <c r="E102" s="19">
        <v>0</v>
      </c>
      <c r="F102" s="19">
        <v>0</v>
      </c>
      <c r="G102" s="19">
        <v>0</v>
      </c>
      <c r="H102" s="19">
        <v>0</v>
      </c>
      <c r="I102" s="20">
        <f>SUM(C102:H102)</f>
        <v>0.125</v>
      </c>
    </row>
    <row r="103" spans="1:9" outlineLevel="2" x14ac:dyDescent="0.2">
      <c r="A103" s="21" t="s">
        <v>25</v>
      </c>
      <c r="B103" s="16"/>
      <c r="C103" s="7">
        <f t="shared" ref="C103:H103" si="38">ROUND($C$100*C102,0)</f>
        <v>12500</v>
      </c>
      <c r="D103" s="7">
        <f t="shared" si="38"/>
        <v>50000</v>
      </c>
      <c r="E103" s="7">
        <f t="shared" si="38"/>
        <v>0</v>
      </c>
      <c r="F103" s="7">
        <f t="shared" si="38"/>
        <v>0</v>
      </c>
      <c r="G103" s="7">
        <f t="shared" si="38"/>
        <v>0</v>
      </c>
      <c r="H103" s="7">
        <f t="shared" si="38"/>
        <v>0</v>
      </c>
      <c r="I103" s="22">
        <f>SUM(C103:H103)</f>
        <v>62500</v>
      </c>
    </row>
    <row r="104" spans="1:9" outlineLevel="2" x14ac:dyDescent="0.2">
      <c r="A104" s="18" t="s">
        <v>26</v>
      </c>
      <c r="B104" s="16"/>
      <c r="C104" s="23"/>
      <c r="D104" s="23"/>
      <c r="E104" s="23"/>
      <c r="F104" s="23"/>
      <c r="G104" s="23"/>
      <c r="H104" s="23"/>
      <c r="I104" s="22">
        <f>SUM(C104:H104)</f>
        <v>0</v>
      </c>
    </row>
    <row r="105" spans="1:9" outlineLevel="2" x14ac:dyDescent="0.2">
      <c r="A105" s="18" t="s">
        <v>49</v>
      </c>
      <c r="B105" s="16"/>
      <c r="C105" s="25">
        <f t="shared" ref="C105:H105" si="39">IF(N($D$100)=0,"",ROUND(C103/$D$100,0))</f>
        <v>96</v>
      </c>
      <c r="D105" s="25">
        <f t="shared" si="39"/>
        <v>385</v>
      </c>
      <c r="E105" s="25">
        <f t="shared" si="39"/>
        <v>0</v>
      </c>
      <c r="F105" s="25">
        <f t="shared" si="39"/>
        <v>0</v>
      </c>
      <c r="G105" s="25">
        <f t="shared" si="39"/>
        <v>0</v>
      </c>
      <c r="H105" s="25">
        <f t="shared" si="39"/>
        <v>0</v>
      </c>
      <c r="I105" s="22">
        <f>SUM(C105:H105)</f>
        <v>481</v>
      </c>
    </row>
    <row r="106" spans="1:9" outlineLevel="2" x14ac:dyDescent="0.2">
      <c r="A106" s="18" t="s">
        <v>50</v>
      </c>
      <c r="B106" s="16"/>
      <c r="C106" s="23"/>
      <c r="D106" s="23"/>
      <c r="E106" s="23"/>
      <c r="F106" s="23"/>
      <c r="G106" s="23"/>
      <c r="H106" s="23"/>
      <c r="I106" s="22">
        <f>SUM(C106:H106)</f>
        <v>0</v>
      </c>
    </row>
    <row r="107" spans="1:9" outlineLevel="1" x14ac:dyDescent="0.2">
      <c r="A107" s="13" t="s">
        <v>34</v>
      </c>
      <c r="B107" s="14"/>
      <c r="C107" s="14"/>
      <c r="D107" s="14"/>
      <c r="E107" s="14"/>
      <c r="F107" s="14"/>
      <c r="G107" s="14"/>
      <c r="H107" s="14"/>
      <c r="I107" s="14"/>
    </row>
    <row r="108" spans="1:9" outlineLevel="2" x14ac:dyDescent="0.2">
      <c r="A108" s="18" t="s">
        <v>35</v>
      </c>
      <c r="B108" s="16"/>
      <c r="C108" s="25">
        <f t="shared" ref="C108:H108" si="40">ROUND(C103*N(C114),0)</f>
        <v>12500</v>
      </c>
      <c r="D108" s="25">
        <f t="shared" si="40"/>
        <v>50000</v>
      </c>
      <c r="E108" s="25">
        <f t="shared" si="40"/>
        <v>0</v>
      </c>
      <c r="F108" s="25">
        <f t="shared" si="40"/>
        <v>0</v>
      </c>
      <c r="G108" s="25">
        <f t="shared" si="40"/>
        <v>0</v>
      </c>
      <c r="H108" s="25">
        <f t="shared" si="40"/>
        <v>0</v>
      </c>
      <c r="I108" s="22">
        <f>SUM(C108:H108)</f>
        <v>62500</v>
      </c>
    </row>
    <row r="109" spans="1:9" outlineLevel="2" x14ac:dyDescent="0.2">
      <c r="A109" s="18" t="s">
        <v>51</v>
      </c>
      <c r="B109" s="16"/>
      <c r="C109" s="25">
        <f t="shared" ref="C109:H109" si="41">ROUND(C103*N(C115),0)</f>
        <v>0</v>
      </c>
      <c r="D109" s="25">
        <f t="shared" si="41"/>
        <v>0</v>
      </c>
      <c r="E109" s="25">
        <f t="shared" si="41"/>
        <v>0</v>
      </c>
      <c r="F109" s="25">
        <f t="shared" si="41"/>
        <v>0</v>
      </c>
      <c r="G109" s="25">
        <f t="shared" si="41"/>
        <v>0</v>
      </c>
      <c r="H109" s="25">
        <f t="shared" si="41"/>
        <v>0</v>
      </c>
      <c r="I109" s="22">
        <f>SUM(C109:H109)</f>
        <v>0</v>
      </c>
    </row>
    <row r="110" spans="1:9" outlineLevel="2" x14ac:dyDescent="0.2">
      <c r="A110" s="18" t="s">
        <v>52</v>
      </c>
      <c r="B110" s="16"/>
      <c r="C110" s="25">
        <f t="shared" ref="C110:H110" si="42">ROUND(C103*N(C116),0)</f>
        <v>0</v>
      </c>
      <c r="D110" s="25">
        <f t="shared" si="42"/>
        <v>0</v>
      </c>
      <c r="E110" s="25">
        <f t="shared" si="42"/>
        <v>0</v>
      </c>
      <c r="F110" s="25">
        <f t="shared" si="42"/>
        <v>0</v>
      </c>
      <c r="G110" s="25">
        <f t="shared" si="42"/>
        <v>0</v>
      </c>
      <c r="H110" s="25">
        <f t="shared" si="42"/>
        <v>0</v>
      </c>
      <c r="I110" s="22">
        <f>SUM(C110:H110)</f>
        <v>0</v>
      </c>
    </row>
    <row r="111" spans="1:9" outlineLevel="2" x14ac:dyDescent="0.2">
      <c r="A111" s="26" t="str">
        <f>A117</f>
        <v xml:space="preserve">   + свободный канал</v>
      </c>
      <c r="B111" s="16"/>
      <c r="C111" s="27">
        <f t="shared" ref="C111:H111" si="43">ROUND(C103*N(C117),0)</f>
        <v>0</v>
      </c>
      <c r="D111" s="27">
        <f t="shared" si="43"/>
        <v>0</v>
      </c>
      <c r="E111" s="27">
        <f t="shared" si="43"/>
        <v>0</v>
      </c>
      <c r="F111" s="27">
        <f t="shared" si="43"/>
        <v>0</v>
      </c>
      <c r="G111" s="27">
        <f t="shared" si="43"/>
        <v>0</v>
      </c>
      <c r="H111" s="27">
        <f t="shared" si="43"/>
        <v>0</v>
      </c>
      <c r="I111" s="22">
        <f>SUM(C111:H111)</f>
        <v>0</v>
      </c>
    </row>
    <row r="112" spans="1:9" outlineLevel="2" x14ac:dyDescent="0.2">
      <c r="A112" s="26" t="str">
        <f>A118</f>
        <v xml:space="preserve">   + свободный канал</v>
      </c>
      <c r="B112" s="16"/>
      <c r="C112" s="27">
        <f t="shared" ref="C112:H112" si="44">ROUND(C103*N(C118),0)</f>
        <v>0</v>
      </c>
      <c r="D112" s="27">
        <f t="shared" si="44"/>
        <v>0</v>
      </c>
      <c r="E112" s="27">
        <f t="shared" si="44"/>
        <v>0</v>
      </c>
      <c r="F112" s="27">
        <f t="shared" si="44"/>
        <v>0</v>
      </c>
      <c r="G112" s="27">
        <f t="shared" si="44"/>
        <v>0</v>
      </c>
      <c r="H112" s="27">
        <f t="shared" si="44"/>
        <v>0</v>
      </c>
      <c r="I112" s="22">
        <f>SUM(C112:H112)</f>
        <v>0</v>
      </c>
    </row>
    <row r="113" spans="1:9" outlineLevel="1" x14ac:dyDescent="0.2">
      <c r="A113" s="13" t="s">
        <v>42</v>
      </c>
      <c r="B113" s="14"/>
      <c r="C113" s="14"/>
      <c r="D113" s="14"/>
      <c r="E113" s="14"/>
      <c r="F113" s="14"/>
      <c r="G113" s="14"/>
      <c r="H113" s="14"/>
      <c r="I113" s="14"/>
    </row>
    <row r="114" spans="1:9" outlineLevel="2" x14ac:dyDescent="0.2">
      <c r="A114" s="18" t="s">
        <v>35</v>
      </c>
      <c r="B114" s="16"/>
      <c r="C114" s="19">
        <v>1</v>
      </c>
      <c r="D114" s="19">
        <v>1</v>
      </c>
      <c r="E114" s="19">
        <v>1</v>
      </c>
      <c r="F114" s="19">
        <v>1</v>
      </c>
      <c r="G114" s="19">
        <v>1</v>
      </c>
      <c r="H114" s="19">
        <v>1</v>
      </c>
      <c r="I114" s="20"/>
    </row>
    <row r="115" spans="1:9" outlineLevel="2" x14ac:dyDescent="0.2">
      <c r="A115" s="18" t="s">
        <v>51</v>
      </c>
      <c r="B115" s="16"/>
      <c r="C115" s="19">
        <v>0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20"/>
    </row>
    <row r="116" spans="1:9" outlineLevel="2" x14ac:dyDescent="0.2">
      <c r="A116" s="18" t="s">
        <v>52</v>
      </c>
      <c r="B116" s="16"/>
      <c r="C116" s="19">
        <v>0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20"/>
    </row>
    <row r="117" spans="1:9" outlineLevel="2" x14ac:dyDescent="0.2">
      <c r="A117" s="26" t="s">
        <v>44</v>
      </c>
      <c r="B117" s="16"/>
      <c r="C117" s="19"/>
      <c r="D117" s="19"/>
      <c r="E117" s="19"/>
      <c r="F117" s="19"/>
      <c r="G117" s="19"/>
      <c r="H117" s="19"/>
      <c r="I117" s="20"/>
    </row>
    <row r="118" spans="1:9" outlineLevel="2" x14ac:dyDescent="0.2">
      <c r="A118" s="26" t="s">
        <v>44</v>
      </c>
      <c r="B118" s="16"/>
      <c r="C118" s="19"/>
      <c r="D118" s="19"/>
      <c r="E118" s="19"/>
      <c r="F118" s="19"/>
      <c r="G118" s="19"/>
      <c r="H118" s="19"/>
      <c r="I118" s="20"/>
    </row>
    <row r="119" spans="1:9" outlineLevel="2" x14ac:dyDescent="0.2">
      <c r="A119" s="28" t="s">
        <v>45</v>
      </c>
      <c r="B119" s="16"/>
      <c r="C119" s="29">
        <f t="shared" ref="C119:H119" si="45">SUM(C114:C118)</f>
        <v>1</v>
      </c>
      <c r="D119" s="29">
        <f t="shared" si="45"/>
        <v>1</v>
      </c>
      <c r="E119" s="29">
        <f t="shared" si="45"/>
        <v>1</v>
      </c>
      <c r="F119" s="29">
        <f t="shared" si="45"/>
        <v>1</v>
      </c>
      <c r="G119" s="29">
        <f t="shared" si="45"/>
        <v>1</v>
      </c>
      <c r="H119" s="29">
        <f t="shared" si="45"/>
        <v>1</v>
      </c>
    </row>
    <row r="121" spans="1:9" x14ac:dyDescent="0.2">
      <c r="A121" s="30" t="s">
        <v>53</v>
      </c>
      <c r="B121" s="31"/>
      <c r="C121" s="31"/>
      <c r="D121" s="31"/>
      <c r="E121" s="31"/>
      <c r="F121" s="31"/>
      <c r="G121" s="31"/>
      <c r="H121" s="31"/>
      <c r="I121" s="31"/>
    </row>
    <row r="122" spans="1:9" hidden="1" outlineLevel="1" x14ac:dyDescent="0.2">
      <c r="A122" s="11"/>
      <c r="B122" s="11"/>
      <c r="C122" s="12" t="s">
        <v>11</v>
      </c>
      <c r="D122" s="12" t="s">
        <v>12</v>
      </c>
      <c r="E122" s="12" t="s">
        <v>13</v>
      </c>
      <c r="F122" s="12" t="s">
        <v>14</v>
      </c>
      <c r="G122" s="12" t="s">
        <v>15</v>
      </c>
      <c r="H122" s="12" t="s">
        <v>16</v>
      </c>
      <c r="I122" s="12" t="s">
        <v>17</v>
      </c>
    </row>
    <row r="123" spans="1:9" hidden="1" outlineLevel="1" x14ac:dyDescent="0.2">
      <c r="A123" s="13" t="s">
        <v>18</v>
      </c>
      <c r="B123" s="14"/>
      <c r="C123" s="14"/>
      <c r="D123" s="14"/>
      <c r="E123" s="14"/>
      <c r="F123" s="14"/>
      <c r="G123" s="14"/>
      <c r="H123" s="14"/>
      <c r="I123" s="14"/>
    </row>
    <row r="124" spans="1:9" hidden="1" outlineLevel="2" x14ac:dyDescent="0.2">
      <c r="A124" s="15" t="s">
        <v>48</v>
      </c>
      <c r="B124" s="16"/>
      <c r="C124" s="17">
        <v>0</v>
      </c>
      <c r="D124" s="17">
        <v>130</v>
      </c>
      <c r="E124" s="16"/>
      <c r="F124" s="16"/>
      <c r="G124" s="16"/>
      <c r="H124" s="16"/>
      <c r="I124" s="16"/>
    </row>
    <row r="125" spans="1:9" hidden="1" outlineLevel="1" x14ac:dyDescent="0.2">
      <c r="A125" s="13" t="s">
        <v>20</v>
      </c>
      <c r="B125" s="14"/>
      <c r="C125" s="14"/>
      <c r="D125" s="14"/>
      <c r="E125" s="14"/>
      <c r="F125" s="14"/>
      <c r="G125" s="14"/>
      <c r="H125" s="14"/>
      <c r="I125" s="14"/>
    </row>
    <row r="126" spans="1:9" hidden="1" outlineLevel="2" x14ac:dyDescent="0.2">
      <c r="A126" s="18" t="s">
        <v>21</v>
      </c>
      <c r="B126" s="16"/>
      <c r="C126" s="19">
        <v>2.5000000000000001E-2</v>
      </c>
      <c r="D126" s="19">
        <v>0.19500000000000001</v>
      </c>
      <c r="E126" s="19">
        <v>0.19</v>
      </c>
      <c r="F126" s="19">
        <v>0.19</v>
      </c>
      <c r="G126" s="19">
        <v>0.19</v>
      </c>
      <c r="H126" s="19">
        <v>0.19</v>
      </c>
      <c r="I126" s="20">
        <f>SUM(C126:H126)</f>
        <v>0.98</v>
      </c>
    </row>
    <row r="127" spans="1:9" hidden="1" outlineLevel="2" x14ac:dyDescent="0.2">
      <c r="A127" s="21" t="s">
        <v>25</v>
      </c>
      <c r="B127" s="16"/>
      <c r="C127" s="7">
        <f t="shared" ref="C127:H127" si="46">ROUND($C$124*C126,0)</f>
        <v>0</v>
      </c>
      <c r="D127" s="7">
        <f t="shared" si="46"/>
        <v>0</v>
      </c>
      <c r="E127" s="7">
        <f t="shared" si="46"/>
        <v>0</v>
      </c>
      <c r="F127" s="7">
        <f t="shared" si="46"/>
        <v>0</v>
      </c>
      <c r="G127" s="7">
        <f t="shared" si="46"/>
        <v>0</v>
      </c>
      <c r="H127" s="7">
        <f t="shared" si="46"/>
        <v>0</v>
      </c>
      <c r="I127" s="22">
        <f>SUM(C127:H127)</f>
        <v>0</v>
      </c>
    </row>
    <row r="128" spans="1:9" hidden="1" outlineLevel="2" x14ac:dyDescent="0.2">
      <c r="A128" s="18" t="s">
        <v>26</v>
      </c>
      <c r="B128" s="16"/>
      <c r="C128" s="23"/>
      <c r="D128" s="23"/>
      <c r="E128" s="23"/>
      <c r="F128" s="23"/>
      <c r="G128" s="23"/>
      <c r="H128" s="23"/>
      <c r="I128" s="22">
        <f>SUM(C128:H128)</f>
        <v>0</v>
      </c>
    </row>
    <row r="129" spans="1:9" hidden="1" outlineLevel="2" x14ac:dyDescent="0.2">
      <c r="A129" s="18" t="s">
        <v>49</v>
      </c>
      <c r="B129" s="16"/>
      <c r="C129" s="25">
        <f t="shared" ref="C129:H129" si="47">IF(N($D$124)=0,"",ROUND(C127/$D$124,0))</f>
        <v>0</v>
      </c>
      <c r="D129" s="25">
        <f t="shared" si="47"/>
        <v>0</v>
      </c>
      <c r="E129" s="25">
        <f t="shared" si="47"/>
        <v>0</v>
      </c>
      <c r="F129" s="25">
        <f t="shared" si="47"/>
        <v>0</v>
      </c>
      <c r="G129" s="25">
        <f t="shared" si="47"/>
        <v>0</v>
      </c>
      <c r="H129" s="25">
        <f t="shared" si="47"/>
        <v>0</v>
      </c>
      <c r="I129" s="22">
        <f>SUM(C129:H129)</f>
        <v>0</v>
      </c>
    </row>
    <row r="130" spans="1:9" hidden="1" outlineLevel="2" x14ac:dyDescent="0.2">
      <c r="A130" s="18" t="s">
        <v>50</v>
      </c>
      <c r="B130" s="16"/>
      <c r="C130" s="23"/>
      <c r="D130" s="23"/>
      <c r="E130" s="23"/>
      <c r="F130" s="23"/>
      <c r="G130" s="23"/>
      <c r="H130" s="23"/>
      <c r="I130" s="22">
        <f>SUM(C130:H130)</f>
        <v>0</v>
      </c>
    </row>
    <row r="131" spans="1:9" hidden="1" outlineLevel="1" x14ac:dyDescent="0.2">
      <c r="A131" s="13" t="s">
        <v>34</v>
      </c>
      <c r="B131" s="14"/>
      <c r="C131" s="14"/>
      <c r="D131" s="14"/>
      <c r="E131" s="14"/>
      <c r="F131" s="14"/>
      <c r="G131" s="14"/>
      <c r="H131" s="14"/>
      <c r="I131" s="14"/>
    </row>
    <row r="132" spans="1:9" hidden="1" outlineLevel="2" x14ac:dyDescent="0.2">
      <c r="A132" s="18" t="s">
        <v>35</v>
      </c>
      <c r="B132" s="16"/>
      <c r="C132" s="25">
        <f t="shared" ref="C132:H132" si="48">ROUND(C127*N(C138),0)</f>
        <v>0</v>
      </c>
      <c r="D132" s="25">
        <f t="shared" si="48"/>
        <v>0</v>
      </c>
      <c r="E132" s="25">
        <f t="shared" si="48"/>
        <v>0</v>
      </c>
      <c r="F132" s="25">
        <f t="shared" si="48"/>
        <v>0</v>
      </c>
      <c r="G132" s="25">
        <f t="shared" si="48"/>
        <v>0</v>
      </c>
      <c r="H132" s="25">
        <f t="shared" si="48"/>
        <v>0</v>
      </c>
      <c r="I132" s="22">
        <f>SUM(C132:H132)</f>
        <v>0</v>
      </c>
    </row>
    <row r="133" spans="1:9" hidden="1" outlineLevel="2" x14ac:dyDescent="0.2">
      <c r="A133" s="18" t="s">
        <v>51</v>
      </c>
      <c r="B133" s="16"/>
      <c r="C133" s="25">
        <f t="shared" ref="C133:H133" si="49">ROUND(C127*N(C139),0)</f>
        <v>0</v>
      </c>
      <c r="D133" s="25">
        <f t="shared" si="49"/>
        <v>0</v>
      </c>
      <c r="E133" s="25">
        <f t="shared" si="49"/>
        <v>0</v>
      </c>
      <c r="F133" s="25">
        <f t="shared" si="49"/>
        <v>0</v>
      </c>
      <c r="G133" s="25">
        <f t="shared" si="49"/>
        <v>0</v>
      </c>
      <c r="H133" s="25">
        <f t="shared" si="49"/>
        <v>0</v>
      </c>
      <c r="I133" s="22">
        <f>SUM(C133:H133)</f>
        <v>0</v>
      </c>
    </row>
    <row r="134" spans="1:9" hidden="1" outlineLevel="2" x14ac:dyDescent="0.2">
      <c r="A134" s="18" t="s">
        <v>52</v>
      </c>
      <c r="B134" s="16"/>
      <c r="C134" s="25">
        <f t="shared" ref="C134:H134" si="50">ROUND(C127*N(C140),0)</f>
        <v>0</v>
      </c>
      <c r="D134" s="25">
        <f t="shared" si="50"/>
        <v>0</v>
      </c>
      <c r="E134" s="25">
        <f t="shared" si="50"/>
        <v>0</v>
      </c>
      <c r="F134" s="25">
        <f t="shared" si="50"/>
        <v>0</v>
      </c>
      <c r="G134" s="25">
        <f t="shared" si="50"/>
        <v>0</v>
      </c>
      <c r="H134" s="25">
        <f t="shared" si="50"/>
        <v>0</v>
      </c>
      <c r="I134" s="22">
        <f>SUM(C134:H134)</f>
        <v>0</v>
      </c>
    </row>
    <row r="135" spans="1:9" hidden="1" outlineLevel="2" x14ac:dyDescent="0.2">
      <c r="A135" s="26" t="str">
        <f>A141</f>
        <v xml:space="preserve">   + свободный канал</v>
      </c>
      <c r="B135" s="16"/>
      <c r="C135" s="27">
        <f t="shared" ref="C135:H135" si="51">ROUND(C127*N(C141),0)</f>
        <v>0</v>
      </c>
      <c r="D135" s="27">
        <f t="shared" si="51"/>
        <v>0</v>
      </c>
      <c r="E135" s="27">
        <f t="shared" si="51"/>
        <v>0</v>
      </c>
      <c r="F135" s="27">
        <f t="shared" si="51"/>
        <v>0</v>
      </c>
      <c r="G135" s="27">
        <f t="shared" si="51"/>
        <v>0</v>
      </c>
      <c r="H135" s="27">
        <f t="shared" si="51"/>
        <v>0</v>
      </c>
      <c r="I135" s="22">
        <f>SUM(C135:H135)</f>
        <v>0</v>
      </c>
    </row>
    <row r="136" spans="1:9" hidden="1" outlineLevel="2" x14ac:dyDescent="0.2">
      <c r="A136" s="26" t="str">
        <f>A142</f>
        <v xml:space="preserve">   + свободный канал</v>
      </c>
      <c r="B136" s="16"/>
      <c r="C136" s="27">
        <f t="shared" ref="C136:H136" si="52">ROUND(C127*N(C142),0)</f>
        <v>0</v>
      </c>
      <c r="D136" s="27">
        <f t="shared" si="52"/>
        <v>0</v>
      </c>
      <c r="E136" s="27">
        <f t="shared" si="52"/>
        <v>0</v>
      </c>
      <c r="F136" s="27">
        <f t="shared" si="52"/>
        <v>0</v>
      </c>
      <c r="G136" s="27">
        <f t="shared" si="52"/>
        <v>0</v>
      </c>
      <c r="H136" s="27">
        <f t="shared" si="52"/>
        <v>0</v>
      </c>
      <c r="I136" s="22">
        <f>SUM(C136:H136)</f>
        <v>0</v>
      </c>
    </row>
    <row r="137" spans="1:9" hidden="1" outlineLevel="1" x14ac:dyDescent="0.2">
      <c r="A137" s="13" t="s">
        <v>42</v>
      </c>
      <c r="B137" s="14"/>
      <c r="C137" s="14"/>
      <c r="D137" s="14"/>
      <c r="E137" s="14"/>
      <c r="F137" s="14"/>
      <c r="G137" s="14"/>
      <c r="H137" s="14"/>
      <c r="I137" s="14"/>
    </row>
    <row r="138" spans="1:9" hidden="1" outlineLevel="2" x14ac:dyDescent="0.2">
      <c r="A138" s="18" t="s">
        <v>35</v>
      </c>
      <c r="B138" s="16"/>
      <c r="C138" s="19">
        <v>1</v>
      </c>
      <c r="D138" s="19">
        <v>1</v>
      </c>
      <c r="E138" s="19">
        <v>1</v>
      </c>
      <c r="F138" s="19">
        <v>1</v>
      </c>
      <c r="G138" s="19">
        <v>1</v>
      </c>
      <c r="H138" s="19">
        <v>1</v>
      </c>
      <c r="I138" s="20"/>
    </row>
    <row r="139" spans="1:9" hidden="1" outlineLevel="2" x14ac:dyDescent="0.2">
      <c r="A139" s="18" t="s">
        <v>51</v>
      </c>
      <c r="B139" s="16"/>
      <c r="C139" s="19">
        <v>0</v>
      </c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20"/>
    </row>
    <row r="140" spans="1:9" hidden="1" outlineLevel="2" x14ac:dyDescent="0.2">
      <c r="A140" s="18" t="s">
        <v>52</v>
      </c>
      <c r="B140" s="16"/>
      <c r="C140" s="19">
        <v>0</v>
      </c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20"/>
    </row>
    <row r="141" spans="1:9" hidden="1" outlineLevel="2" x14ac:dyDescent="0.2">
      <c r="A141" s="26" t="s">
        <v>44</v>
      </c>
      <c r="B141" s="16"/>
      <c r="C141" s="19"/>
      <c r="D141" s="19"/>
      <c r="E141" s="19"/>
      <c r="F141" s="19"/>
      <c r="G141" s="19"/>
      <c r="H141" s="19"/>
      <c r="I141" s="20"/>
    </row>
    <row r="142" spans="1:9" hidden="1" outlineLevel="2" x14ac:dyDescent="0.2">
      <c r="A142" s="26" t="s">
        <v>44</v>
      </c>
      <c r="B142" s="16"/>
      <c r="C142" s="19"/>
      <c r="D142" s="19"/>
      <c r="E142" s="19"/>
      <c r="F142" s="19"/>
      <c r="G142" s="19"/>
      <c r="H142" s="19"/>
      <c r="I142" s="20"/>
    </row>
    <row r="143" spans="1:9" hidden="1" outlineLevel="2" x14ac:dyDescent="0.2">
      <c r="A143" s="28" t="s">
        <v>45</v>
      </c>
      <c r="B143" s="16"/>
      <c r="C143" s="29">
        <f t="shared" ref="C143:H143" si="53">SUM(C138:C142)</f>
        <v>1</v>
      </c>
      <c r="D143" s="29">
        <f t="shared" si="53"/>
        <v>1</v>
      </c>
      <c r="E143" s="29">
        <f t="shared" si="53"/>
        <v>1</v>
      </c>
      <c r="F143" s="29">
        <f t="shared" si="53"/>
        <v>1</v>
      </c>
      <c r="G143" s="29">
        <f t="shared" si="53"/>
        <v>1</v>
      </c>
      <c r="H143" s="29">
        <f t="shared" si="53"/>
        <v>1</v>
      </c>
    </row>
    <row r="145" spans="1:9" x14ac:dyDescent="0.2">
      <c r="A145" s="30" t="s">
        <v>54</v>
      </c>
      <c r="B145" s="31"/>
      <c r="C145" s="31"/>
      <c r="D145" s="31"/>
      <c r="E145" s="31"/>
      <c r="F145" s="31"/>
      <c r="G145" s="31"/>
      <c r="H145" s="31"/>
      <c r="I145" s="31"/>
    </row>
    <row r="146" spans="1:9" outlineLevel="1" x14ac:dyDescent="0.2">
      <c r="A146" s="11"/>
      <c r="B146" s="11"/>
      <c r="C146" s="12" t="s">
        <v>11</v>
      </c>
      <c r="D146" s="12" t="s">
        <v>12</v>
      </c>
      <c r="E146" s="12" t="s">
        <v>13</v>
      </c>
      <c r="F146" s="12" t="s">
        <v>14</v>
      </c>
      <c r="G146" s="12" t="s">
        <v>15</v>
      </c>
      <c r="H146" s="12" t="s">
        <v>16</v>
      </c>
      <c r="I146" s="12" t="s">
        <v>17</v>
      </c>
    </row>
    <row r="147" spans="1:9" outlineLevel="1" x14ac:dyDescent="0.2">
      <c r="A147" s="13" t="s">
        <v>18</v>
      </c>
      <c r="B147" s="14"/>
      <c r="C147" s="14"/>
      <c r="D147" s="14"/>
      <c r="E147" s="14"/>
      <c r="F147" s="14"/>
      <c r="G147" s="14"/>
      <c r="H147" s="14"/>
      <c r="I147" s="14"/>
    </row>
    <row r="148" spans="1:9" outlineLevel="2" x14ac:dyDescent="0.2">
      <c r="A148" s="15" t="s">
        <v>48</v>
      </c>
      <c r="B148" s="16"/>
      <c r="C148" s="17">
        <v>500000</v>
      </c>
      <c r="D148" s="17">
        <v>150</v>
      </c>
      <c r="E148" s="16"/>
      <c r="F148" s="16"/>
      <c r="G148" s="16"/>
      <c r="H148" s="16"/>
      <c r="I148" s="16"/>
    </row>
    <row r="149" spans="1:9" outlineLevel="1" x14ac:dyDescent="0.2">
      <c r="A149" s="13" t="s">
        <v>20</v>
      </c>
      <c r="B149" s="14"/>
      <c r="C149" s="14"/>
      <c r="D149" s="14"/>
      <c r="E149" s="14"/>
      <c r="F149" s="14"/>
      <c r="G149" s="14"/>
      <c r="H149" s="14"/>
      <c r="I149" s="14"/>
    </row>
    <row r="150" spans="1:9" outlineLevel="2" x14ac:dyDescent="0.2">
      <c r="A150" s="18" t="s">
        <v>21</v>
      </c>
      <c r="B150" s="16"/>
      <c r="C150" s="19"/>
      <c r="D150" s="19">
        <v>0.2</v>
      </c>
      <c r="E150" s="19"/>
      <c r="F150" s="19"/>
      <c r="G150" s="19"/>
      <c r="H150" s="19"/>
      <c r="I150" s="20">
        <f>SUM(C150:H150)</f>
        <v>0.2</v>
      </c>
    </row>
    <row r="151" spans="1:9" outlineLevel="2" x14ac:dyDescent="0.2">
      <c r="A151" s="21" t="s">
        <v>25</v>
      </c>
      <c r="B151" s="16"/>
      <c r="C151" s="7">
        <f t="shared" ref="C151:H151" si="54">ROUND($C$148*C150,0)</f>
        <v>0</v>
      </c>
      <c r="D151" s="7">
        <f t="shared" si="54"/>
        <v>100000</v>
      </c>
      <c r="E151" s="7">
        <f t="shared" si="54"/>
        <v>0</v>
      </c>
      <c r="F151" s="7">
        <f t="shared" si="54"/>
        <v>0</v>
      </c>
      <c r="G151" s="7">
        <f t="shared" si="54"/>
        <v>0</v>
      </c>
      <c r="H151" s="7">
        <f t="shared" si="54"/>
        <v>0</v>
      </c>
      <c r="I151" s="22">
        <f>SUM(C151:H151)</f>
        <v>100000</v>
      </c>
    </row>
    <row r="152" spans="1:9" outlineLevel="2" x14ac:dyDescent="0.2">
      <c r="A152" s="18" t="s">
        <v>26</v>
      </c>
      <c r="B152" s="16"/>
      <c r="C152" s="23"/>
      <c r="D152" s="23"/>
      <c r="E152" s="23"/>
      <c r="F152" s="23"/>
      <c r="G152" s="23"/>
      <c r="H152" s="23"/>
      <c r="I152" s="22">
        <f>SUM(C152:H152)</f>
        <v>0</v>
      </c>
    </row>
    <row r="153" spans="1:9" outlineLevel="2" x14ac:dyDescent="0.2">
      <c r="A153" s="18" t="s">
        <v>49</v>
      </c>
      <c r="B153" s="16"/>
      <c r="C153" s="25">
        <f t="shared" ref="C153:H153" si="55">IF(N($D$148)=0,"",ROUND(C151/$D$148,0))</f>
        <v>0</v>
      </c>
      <c r="D153" s="25">
        <f t="shared" si="55"/>
        <v>667</v>
      </c>
      <c r="E153" s="25">
        <f t="shared" si="55"/>
        <v>0</v>
      </c>
      <c r="F153" s="25">
        <f t="shared" si="55"/>
        <v>0</v>
      </c>
      <c r="G153" s="25">
        <f t="shared" si="55"/>
        <v>0</v>
      </c>
      <c r="H153" s="25">
        <f t="shared" si="55"/>
        <v>0</v>
      </c>
      <c r="I153" s="22">
        <f>SUM(C153:H153)</f>
        <v>667</v>
      </c>
    </row>
    <row r="154" spans="1:9" outlineLevel="2" x14ac:dyDescent="0.2">
      <c r="A154" s="18" t="s">
        <v>50</v>
      </c>
      <c r="B154" s="16"/>
      <c r="C154" s="23"/>
      <c r="D154" s="23"/>
      <c r="E154" s="23"/>
      <c r="F154" s="23"/>
      <c r="G154" s="23"/>
      <c r="H154" s="23"/>
      <c r="I154" s="22">
        <f>SUM(C154:H154)</f>
        <v>0</v>
      </c>
    </row>
    <row r="155" spans="1:9" outlineLevel="1" x14ac:dyDescent="0.2">
      <c r="A155" s="13" t="s">
        <v>34</v>
      </c>
      <c r="B155" s="14"/>
      <c r="C155" s="14"/>
      <c r="D155" s="14"/>
      <c r="E155" s="14"/>
      <c r="F155" s="14"/>
      <c r="G155" s="14"/>
      <c r="H155" s="14"/>
      <c r="I155" s="14"/>
    </row>
    <row r="156" spans="1:9" outlineLevel="2" x14ac:dyDescent="0.2">
      <c r="A156" s="18" t="s">
        <v>35</v>
      </c>
      <c r="B156" s="16"/>
      <c r="C156" s="25">
        <f t="shared" ref="C156:H156" si="56">ROUND(C151*N(C162),0)</f>
        <v>0</v>
      </c>
      <c r="D156" s="25">
        <f t="shared" si="56"/>
        <v>100000</v>
      </c>
      <c r="E156" s="25">
        <f t="shared" si="56"/>
        <v>0</v>
      </c>
      <c r="F156" s="25">
        <f t="shared" si="56"/>
        <v>0</v>
      </c>
      <c r="G156" s="25">
        <f t="shared" si="56"/>
        <v>0</v>
      </c>
      <c r="H156" s="25">
        <f t="shared" si="56"/>
        <v>0</v>
      </c>
      <c r="I156" s="22">
        <f>SUM(C156:H156)</f>
        <v>100000</v>
      </c>
    </row>
    <row r="157" spans="1:9" outlineLevel="2" x14ac:dyDescent="0.2">
      <c r="A157" s="18" t="s">
        <v>51</v>
      </c>
      <c r="B157" s="16"/>
      <c r="C157" s="25">
        <f t="shared" ref="C157:H157" si="57">ROUND(C151*N(C163),0)</f>
        <v>0</v>
      </c>
      <c r="D157" s="25">
        <f t="shared" si="57"/>
        <v>0</v>
      </c>
      <c r="E157" s="25">
        <f t="shared" si="57"/>
        <v>0</v>
      </c>
      <c r="F157" s="25">
        <f t="shared" si="57"/>
        <v>0</v>
      </c>
      <c r="G157" s="25">
        <f t="shared" si="57"/>
        <v>0</v>
      </c>
      <c r="H157" s="25">
        <f t="shared" si="57"/>
        <v>0</v>
      </c>
      <c r="I157" s="22">
        <f>SUM(C157:H157)</f>
        <v>0</v>
      </c>
    </row>
    <row r="158" spans="1:9" outlineLevel="2" x14ac:dyDescent="0.2">
      <c r="A158" s="18" t="s">
        <v>52</v>
      </c>
      <c r="B158" s="16"/>
      <c r="C158" s="25">
        <f t="shared" ref="C158:H158" si="58">ROUND(C151*N(C164),0)</f>
        <v>0</v>
      </c>
      <c r="D158" s="25">
        <f t="shared" si="58"/>
        <v>0</v>
      </c>
      <c r="E158" s="25">
        <f t="shared" si="58"/>
        <v>0</v>
      </c>
      <c r="F158" s="25">
        <f t="shared" si="58"/>
        <v>0</v>
      </c>
      <c r="G158" s="25">
        <f t="shared" si="58"/>
        <v>0</v>
      </c>
      <c r="H158" s="25">
        <f t="shared" si="58"/>
        <v>0</v>
      </c>
      <c r="I158" s="22">
        <f>SUM(C158:H158)</f>
        <v>0</v>
      </c>
    </row>
    <row r="159" spans="1:9" outlineLevel="2" x14ac:dyDescent="0.2">
      <c r="A159" s="26" t="str">
        <f>A165</f>
        <v xml:space="preserve">   + свободный канал</v>
      </c>
      <c r="B159" s="16"/>
      <c r="C159" s="27">
        <f t="shared" ref="C159:H159" si="59">ROUND(C151*N(C165),0)</f>
        <v>0</v>
      </c>
      <c r="D159" s="27">
        <f t="shared" si="59"/>
        <v>0</v>
      </c>
      <c r="E159" s="27">
        <f t="shared" si="59"/>
        <v>0</v>
      </c>
      <c r="F159" s="27">
        <f t="shared" si="59"/>
        <v>0</v>
      </c>
      <c r="G159" s="27">
        <f t="shared" si="59"/>
        <v>0</v>
      </c>
      <c r="H159" s="27">
        <f t="shared" si="59"/>
        <v>0</v>
      </c>
      <c r="I159" s="22">
        <f>SUM(C159:H159)</f>
        <v>0</v>
      </c>
    </row>
    <row r="160" spans="1:9" outlineLevel="2" x14ac:dyDescent="0.2">
      <c r="A160" s="26" t="str">
        <f>A166</f>
        <v xml:space="preserve">   + свободный канал</v>
      </c>
      <c r="B160" s="16"/>
      <c r="C160" s="27">
        <f t="shared" ref="C160:H160" si="60">ROUND(C151*N(C166),0)</f>
        <v>0</v>
      </c>
      <c r="D160" s="27">
        <f t="shared" si="60"/>
        <v>0</v>
      </c>
      <c r="E160" s="27">
        <f t="shared" si="60"/>
        <v>0</v>
      </c>
      <c r="F160" s="27">
        <f t="shared" si="60"/>
        <v>0</v>
      </c>
      <c r="G160" s="27">
        <f t="shared" si="60"/>
        <v>0</v>
      </c>
      <c r="H160" s="27">
        <f t="shared" si="60"/>
        <v>0</v>
      </c>
      <c r="I160" s="22">
        <f>SUM(C160:H160)</f>
        <v>0</v>
      </c>
    </row>
    <row r="161" spans="1:9" outlineLevel="1" x14ac:dyDescent="0.2">
      <c r="A161" s="13" t="s">
        <v>42</v>
      </c>
      <c r="B161" s="14"/>
      <c r="C161" s="14"/>
      <c r="D161" s="14"/>
      <c r="E161" s="14"/>
      <c r="F161" s="14"/>
      <c r="G161" s="14"/>
      <c r="H161" s="14"/>
      <c r="I161" s="14"/>
    </row>
    <row r="162" spans="1:9" outlineLevel="2" x14ac:dyDescent="0.2">
      <c r="A162" s="18" t="s">
        <v>35</v>
      </c>
      <c r="B162" s="16"/>
      <c r="C162" s="19"/>
      <c r="D162" s="19">
        <v>1</v>
      </c>
      <c r="E162" s="19"/>
      <c r="F162" s="19"/>
      <c r="G162" s="19"/>
      <c r="H162" s="19"/>
      <c r="I162" s="20"/>
    </row>
    <row r="163" spans="1:9" outlineLevel="2" x14ac:dyDescent="0.2">
      <c r="A163" s="18" t="s">
        <v>51</v>
      </c>
      <c r="B163" s="16"/>
      <c r="C163" s="19"/>
      <c r="D163" s="19"/>
      <c r="E163" s="19"/>
      <c r="F163" s="19"/>
      <c r="G163" s="19"/>
      <c r="H163" s="19"/>
      <c r="I163" s="20"/>
    </row>
    <row r="164" spans="1:9" outlineLevel="2" x14ac:dyDescent="0.2">
      <c r="A164" s="18" t="s">
        <v>52</v>
      </c>
      <c r="B164" s="16"/>
      <c r="C164" s="19"/>
      <c r="D164" s="19"/>
      <c r="E164" s="19"/>
      <c r="F164" s="19"/>
      <c r="G164" s="19"/>
      <c r="H164" s="19"/>
      <c r="I164" s="20"/>
    </row>
    <row r="165" spans="1:9" outlineLevel="2" x14ac:dyDescent="0.2">
      <c r="A165" s="26" t="s">
        <v>44</v>
      </c>
      <c r="B165" s="16"/>
      <c r="C165" s="19"/>
      <c r="D165" s="19"/>
      <c r="E165" s="19"/>
      <c r="F165" s="19"/>
      <c r="G165" s="19"/>
      <c r="H165" s="19"/>
      <c r="I165" s="20"/>
    </row>
    <row r="166" spans="1:9" outlineLevel="2" x14ac:dyDescent="0.2">
      <c r="A166" s="26" t="s">
        <v>44</v>
      </c>
      <c r="B166" s="16"/>
      <c r="C166" s="19"/>
      <c r="D166" s="19"/>
      <c r="E166" s="19"/>
      <c r="F166" s="19"/>
      <c r="G166" s="19"/>
      <c r="H166" s="19"/>
      <c r="I166" s="20"/>
    </row>
    <row r="167" spans="1:9" outlineLevel="2" x14ac:dyDescent="0.2">
      <c r="A167" s="28" t="s">
        <v>45</v>
      </c>
      <c r="B167" s="16"/>
      <c r="C167" s="29">
        <f t="shared" ref="C167:H167" si="61">SUM(C162:C166)</f>
        <v>0</v>
      </c>
      <c r="D167" s="29">
        <f t="shared" si="61"/>
        <v>1</v>
      </c>
      <c r="E167" s="29">
        <f t="shared" si="61"/>
        <v>0</v>
      </c>
      <c r="F167" s="29">
        <f t="shared" si="61"/>
        <v>0</v>
      </c>
      <c r="G167" s="29">
        <f t="shared" si="61"/>
        <v>0</v>
      </c>
      <c r="H167" s="29">
        <f t="shared" si="61"/>
        <v>0</v>
      </c>
    </row>
    <row r="169" spans="1:9" x14ac:dyDescent="0.2">
      <c r="A169" s="3" t="s">
        <v>55</v>
      </c>
      <c r="B169" s="3"/>
      <c r="C169" s="3"/>
      <c r="D169" s="3"/>
      <c r="E169" s="3"/>
      <c r="F169" s="3"/>
      <c r="G169" s="3"/>
      <c r="H169" s="3"/>
      <c r="I169" s="3"/>
    </row>
    <row r="170" spans="1:9" x14ac:dyDescent="0.2">
      <c r="A170" s="11"/>
      <c r="B170" s="11"/>
      <c r="C170" s="12" t="s">
        <v>11</v>
      </c>
      <c r="D170" s="12" t="s">
        <v>12</v>
      </c>
      <c r="E170" s="12" t="s">
        <v>13</v>
      </c>
      <c r="F170" s="12" t="s">
        <v>14</v>
      </c>
      <c r="G170" s="12" t="s">
        <v>15</v>
      </c>
      <c r="H170" s="12" t="s">
        <v>16</v>
      </c>
      <c r="I170" s="12" t="s">
        <v>17</v>
      </c>
    </row>
    <row r="171" spans="1:9" x14ac:dyDescent="0.2">
      <c r="A171" s="18" t="s">
        <v>56</v>
      </c>
      <c r="B171" s="16"/>
      <c r="C171" s="25">
        <f t="shared" ref="C171:H171" si="62">SUM(C32,C74,C108,C132,C156)</f>
        <v>95750</v>
      </c>
      <c r="D171" s="25">
        <f t="shared" si="62"/>
        <v>3439950</v>
      </c>
      <c r="E171" s="25">
        <f t="shared" si="62"/>
        <v>1378000</v>
      </c>
      <c r="F171" s="25">
        <f t="shared" si="62"/>
        <v>2053350</v>
      </c>
      <c r="G171" s="25">
        <f t="shared" si="62"/>
        <v>1782000</v>
      </c>
      <c r="H171" s="25">
        <f t="shared" si="62"/>
        <v>1448550</v>
      </c>
      <c r="I171" s="22">
        <f t="shared" ref="I171:I183" si="63">SUM(C171:H171)</f>
        <v>10197600</v>
      </c>
    </row>
    <row r="172" spans="1:9" x14ac:dyDescent="0.2">
      <c r="A172" s="18" t="s">
        <v>57</v>
      </c>
      <c r="B172" s="16"/>
      <c r="C172" s="25">
        <f t="shared" ref="C172:H177" si="64">SUM(C33,C75)</f>
        <v>0</v>
      </c>
      <c r="D172" s="25">
        <f t="shared" si="64"/>
        <v>0</v>
      </c>
      <c r="E172" s="25">
        <f t="shared" si="64"/>
        <v>0</v>
      </c>
      <c r="F172" s="25">
        <f t="shared" si="64"/>
        <v>0</v>
      </c>
      <c r="G172" s="25">
        <f t="shared" si="64"/>
        <v>0</v>
      </c>
      <c r="H172" s="25">
        <f t="shared" si="64"/>
        <v>0</v>
      </c>
      <c r="I172" s="22">
        <f t="shared" si="63"/>
        <v>0</v>
      </c>
    </row>
    <row r="173" spans="1:9" x14ac:dyDescent="0.2">
      <c r="A173" s="18" t="s">
        <v>58</v>
      </c>
      <c r="B173" s="16"/>
      <c r="C173" s="25">
        <f t="shared" si="64"/>
        <v>0</v>
      </c>
      <c r="D173" s="25">
        <f t="shared" si="64"/>
        <v>175275</v>
      </c>
      <c r="E173" s="25">
        <f t="shared" si="64"/>
        <v>60800</v>
      </c>
      <c r="F173" s="25">
        <f t="shared" si="64"/>
        <v>85500</v>
      </c>
      <c r="G173" s="25">
        <f t="shared" si="64"/>
        <v>74100</v>
      </c>
      <c r="H173" s="25">
        <f t="shared" si="64"/>
        <v>59280</v>
      </c>
      <c r="I173" s="22">
        <f t="shared" si="63"/>
        <v>454955</v>
      </c>
    </row>
    <row r="174" spans="1:9" x14ac:dyDescent="0.2">
      <c r="A174" s="18" t="s">
        <v>59</v>
      </c>
      <c r="B174" s="16"/>
      <c r="C174" s="25">
        <f t="shared" si="64"/>
        <v>0</v>
      </c>
      <c r="D174" s="25">
        <f t="shared" si="64"/>
        <v>0</v>
      </c>
      <c r="E174" s="25">
        <f t="shared" si="64"/>
        <v>0</v>
      </c>
      <c r="F174" s="25">
        <f t="shared" si="64"/>
        <v>0</v>
      </c>
      <c r="G174" s="25">
        <f t="shared" si="64"/>
        <v>0</v>
      </c>
      <c r="H174" s="25">
        <f t="shared" si="64"/>
        <v>0</v>
      </c>
      <c r="I174" s="22">
        <f t="shared" si="63"/>
        <v>0</v>
      </c>
    </row>
    <row r="175" spans="1:9" x14ac:dyDescent="0.2">
      <c r="A175" s="18" t="s">
        <v>60</v>
      </c>
      <c r="B175" s="16"/>
      <c r="C175" s="25">
        <f t="shared" si="64"/>
        <v>0</v>
      </c>
      <c r="D175" s="25">
        <f t="shared" si="64"/>
        <v>0</v>
      </c>
      <c r="E175" s="25">
        <f t="shared" si="64"/>
        <v>0</v>
      </c>
      <c r="F175" s="25">
        <f t="shared" si="64"/>
        <v>0</v>
      </c>
      <c r="G175" s="25">
        <f t="shared" si="64"/>
        <v>0</v>
      </c>
      <c r="H175" s="25">
        <f t="shared" si="64"/>
        <v>0</v>
      </c>
      <c r="I175" s="22">
        <f t="shared" si="63"/>
        <v>0</v>
      </c>
    </row>
    <row r="176" spans="1:9" x14ac:dyDescent="0.2">
      <c r="A176" s="18" t="s">
        <v>61</v>
      </c>
      <c r="B176" s="16"/>
      <c r="C176" s="25">
        <f t="shared" si="64"/>
        <v>0</v>
      </c>
      <c r="D176" s="25">
        <f t="shared" si="64"/>
        <v>105165</v>
      </c>
      <c r="E176" s="25">
        <f t="shared" si="64"/>
        <v>60800</v>
      </c>
      <c r="F176" s="25">
        <f t="shared" si="64"/>
        <v>0</v>
      </c>
      <c r="G176" s="25">
        <f t="shared" si="64"/>
        <v>0</v>
      </c>
      <c r="H176" s="25">
        <f t="shared" si="64"/>
        <v>0</v>
      </c>
      <c r="I176" s="22">
        <f t="shared" si="63"/>
        <v>165965</v>
      </c>
    </row>
    <row r="177" spans="1:9" x14ac:dyDescent="0.2">
      <c r="A177" s="18" t="s">
        <v>62</v>
      </c>
      <c r="B177" s="16"/>
      <c r="C177" s="25">
        <f t="shared" si="64"/>
        <v>9250</v>
      </c>
      <c r="D177" s="25">
        <f t="shared" si="64"/>
        <v>85110</v>
      </c>
      <c r="E177" s="25">
        <f t="shared" si="64"/>
        <v>63600</v>
      </c>
      <c r="F177" s="25">
        <f t="shared" si="64"/>
        <v>99900</v>
      </c>
      <c r="G177" s="25">
        <f t="shared" si="64"/>
        <v>86850</v>
      </c>
      <c r="H177" s="25">
        <f t="shared" si="64"/>
        <v>86850</v>
      </c>
      <c r="I177" s="22">
        <f t="shared" si="63"/>
        <v>431560</v>
      </c>
    </row>
    <row r="178" spans="1:9" x14ac:dyDescent="0.2">
      <c r="A178" s="18" t="s">
        <v>63</v>
      </c>
      <c r="B178" s="16"/>
      <c r="C178" s="25">
        <f t="shared" ref="C178:H179" si="65">SUM(C109,C133,C157)</f>
        <v>0</v>
      </c>
      <c r="D178" s="25">
        <f t="shared" si="65"/>
        <v>0</v>
      </c>
      <c r="E178" s="25">
        <f t="shared" si="65"/>
        <v>0</v>
      </c>
      <c r="F178" s="25">
        <f t="shared" si="65"/>
        <v>0</v>
      </c>
      <c r="G178" s="25">
        <f t="shared" si="65"/>
        <v>0</v>
      </c>
      <c r="H178" s="25">
        <f t="shared" si="65"/>
        <v>0</v>
      </c>
      <c r="I178" s="22">
        <f t="shared" si="63"/>
        <v>0</v>
      </c>
    </row>
    <row r="179" spans="1:9" x14ac:dyDescent="0.2">
      <c r="A179" s="18" t="s">
        <v>64</v>
      </c>
      <c r="B179" s="16"/>
      <c r="C179" s="25">
        <f t="shared" si="65"/>
        <v>0</v>
      </c>
      <c r="D179" s="25">
        <f t="shared" si="65"/>
        <v>0</v>
      </c>
      <c r="E179" s="25">
        <f t="shared" si="65"/>
        <v>0</v>
      </c>
      <c r="F179" s="25">
        <f t="shared" si="65"/>
        <v>0</v>
      </c>
      <c r="G179" s="25">
        <f t="shared" si="65"/>
        <v>0</v>
      </c>
      <c r="H179" s="25">
        <f t="shared" si="65"/>
        <v>0</v>
      </c>
      <c r="I179" s="22">
        <f t="shared" si="63"/>
        <v>0</v>
      </c>
    </row>
    <row r="180" spans="1:9" x14ac:dyDescent="0.2">
      <c r="A180" s="21" t="s">
        <v>65</v>
      </c>
      <c r="B180" s="16"/>
      <c r="C180" s="22">
        <f t="shared" ref="C180:H180" si="66">SUMIF($A$4:$A$169,"Бюджет план, ₽",C$4:C$169)</f>
        <v>105000</v>
      </c>
      <c r="D180" s="22">
        <f t="shared" si="66"/>
        <v>3805500</v>
      </c>
      <c r="E180" s="22">
        <f t="shared" si="66"/>
        <v>1700000</v>
      </c>
      <c r="F180" s="22">
        <f t="shared" si="66"/>
        <v>2281500</v>
      </c>
      <c r="G180" s="22">
        <f t="shared" si="66"/>
        <v>1980000</v>
      </c>
      <c r="H180" s="22">
        <f t="shared" si="66"/>
        <v>1609500</v>
      </c>
      <c r="I180" s="22">
        <f t="shared" si="63"/>
        <v>11481500</v>
      </c>
    </row>
    <row r="181" spans="1:9" x14ac:dyDescent="0.2">
      <c r="A181" s="21" t="s">
        <v>66</v>
      </c>
      <c r="B181" s="16"/>
      <c r="C181" s="22">
        <f t="shared" ref="C181:H181" si="67">SUMIF($A$4:$A$169,"Бюджет ФАКТ, ₽",C$4:C$169)</f>
        <v>0</v>
      </c>
      <c r="D181" s="22">
        <f t="shared" si="67"/>
        <v>0</v>
      </c>
      <c r="E181" s="22">
        <f t="shared" si="67"/>
        <v>0</v>
      </c>
      <c r="F181" s="22">
        <f t="shared" si="67"/>
        <v>0</v>
      </c>
      <c r="G181" s="22">
        <f t="shared" si="67"/>
        <v>0</v>
      </c>
      <c r="H181" s="22">
        <f t="shared" si="67"/>
        <v>0</v>
      </c>
      <c r="I181" s="22">
        <f t="shared" si="63"/>
        <v>0</v>
      </c>
    </row>
    <row r="182" spans="1:9" x14ac:dyDescent="0.2">
      <c r="A182" s="21" t="s">
        <v>67</v>
      </c>
      <c r="B182" s="16"/>
      <c r="C182" s="22">
        <f t="shared" ref="C182:H182" si="68">SUMIF($A$4:$A$169,"Выручка план, ₽",C$4:C$169)</f>
        <v>675000</v>
      </c>
      <c r="D182" s="22">
        <f t="shared" si="68"/>
        <v>20225000</v>
      </c>
      <c r="E182" s="22">
        <f t="shared" si="68"/>
        <v>2900000</v>
      </c>
      <c r="F182" s="22">
        <f t="shared" si="68"/>
        <v>15050000</v>
      </c>
      <c r="G182" s="22">
        <f t="shared" si="68"/>
        <v>15100000</v>
      </c>
      <c r="H182" s="22">
        <f t="shared" si="68"/>
        <v>12250000</v>
      </c>
      <c r="I182" s="22">
        <f t="shared" si="63"/>
        <v>66200000</v>
      </c>
    </row>
    <row r="183" spans="1:9" x14ac:dyDescent="0.2">
      <c r="A183" s="21" t="s">
        <v>68</v>
      </c>
      <c r="B183" s="16"/>
      <c r="C183" s="22">
        <f t="shared" ref="C183:H183" si="69">SUMIF($A$4:$A$169,"Выручка ФАКТ, ₽",C$4:C$169)</f>
        <v>0</v>
      </c>
      <c r="D183" s="22">
        <f t="shared" si="69"/>
        <v>0</v>
      </c>
      <c r="E183" s="22">
        <f t="shared" si="69"/>
        <v>0</v>
      </c>
      <c r="F183" s="22">
        <f t="shared" si="69"/>
        <v>0</v>
      </c>
      <c r="G183" s="22">
        <f t="shared" si="69"/>
        <v>0</v>
      </c>
      <c r="H183" s="22">
        <f t="shared" si="69"/>
        <v>0</v>
      </c>
      <c r="I183" s="22">
        <f t="shared" si="63"/>
        <v>0</v>
      </c>
    </row>
    <row r="184" spans="1:9" x14ac:dyDescent="0.2">
      <c r="A184" s="32" t="s">
        <v>69</v>
      </c>
      <c r="B184" s="16"/>
      <c r="C184" s="33">
        <f t="shared" ref="C184:I184" si="70">IF(N(C182)=0,"",C180/C182)</f>
        <v>0.15555555555555556</v>
      </c>
      <c r="D184" s="33">
        <f t="shared" si="70"/>
        <v>0.18815822002472188</v>
      </c>
      <c r="E184" s="33">
        <f t="shared" si="70"/>
        <v>0.58620689655172409</v>
      </c>
      <c r="F184" s="33">
        <f t="shared" si="70"/>
        <v>0.15159468438538207</v>
      </c>
      <c r="G184" s="33">
        <f t="shared" si="70"/>
        <v>0.13112582781456952</v>
      </c>
      <c r="H184" s="33">
        <f t="shared" si="70"/>
        <v>0.13138775510204082</v>
      </c>
      <c r="I184" s="34">
        <f t="shared" si="70"/>
        <v>0.17343655589123866</v>
      </c>
    </row>
    <row r="186" spans="1:9" ht="15" customHeight="1" x14ac:dyDescent="0.2">
      <c r="A186" s="35" t="s">
        <v>70</v>
      </c>
    </row>
    <row r="187" spans="1:9" ht="15" customHeight="1" x14ac:dyDescent="0.2">
      <c r="A187" s="36" t="s">
        <v>71</v>
      </c>
      <c r="C187" s="37" t="s">
        <v>72</v>
      </c>
    </row>
    <row r="188" spans="1:9" ht="15" customHeight="1" x14ac:dyDescent="0.2">
      <c r="A188" s="38" t="s">
        <v>73</v>
      </c>
    </row>
    <row r="190" spans="1:9" ht="15" customHeight="1" x14ac:dyDescent="0.2">
      <c r="A190" s="39" t="s">
        <v>74</v>
      </c>
      <c r="B190" s="16"/>
      <c r="C190" s="40" t="str">
        <f t="shared" ref="C190:H190" si="71">C$14</f>
        <v>Июль</v>
      </c>
      <c r="D190" s="40" t="str">
        <f t="shared" si="71"/>
        <v>Август</v>
      </c>
      <c r="E190" s="40" t="str">
        <f t="shared" si="71"/>
        <v>Сентябрь</v>
      </c>
      <c r="F190" s="40" t="str">
        <f t="shared" si="71"/>
        <v>Октябрь</v>
      </c>
      <c r="G190" s="40" t="str">
        <f t="shared" si="71"/>
        <v>Ноябрь</v>
      </c>
      <c r="H190" s="40" t="str">
        <f t="shared" si="71"/>
        <v>Декабрь</v>
      </c>
      <c r="I190" s="40" t="s">
        <v>17</v>
      </c>
    </row>
    <row r="191" spans="1:9" ht="15" customHeight="1" x14ac:dyDescent="0.2">
      <c r="A191" s="16" t="s">
        <v>75</v>
      </c>
      <c r="B191" s="16"/>
      <c r="C191" s="41">
        <f t="shared" ref="C191:H199" si="72">SUMIF($A$32:$A$41,"   "&amp;$A191,C$32:C$41)*$C$223+SUMIF($A$74:$A$83,"   "&amp;$A191,C$74:C$83)*$C$224+SUMIF($A$108:$A$112,"   "&amp;$A191,C$108:C$112)*$C$225+SUMIF($A$132:$A$136,"   "&amp;$A191,C$132:C$136)*$C$226+SUMIF($A$156:$A$160,"   "&amp;$A191,C$156:C$160)*$C$227</f>
        <v>95750</v>
      </c>
      <c r="D191" s="41">
        <f t="shared" si="72"/>
        <v>3439950</v>
      </c>
      <c r="E191" s="41">
        <f t="shared" si="72"/>
        <v>1378000</v>
      </c>
      <c r="F191" s="41">
        <f t="shared" si="72"/>
        <v>2053350</v>
      </c>
      <c r="G191" s="41">
        <f t="shared" si="72"/>
        <v>1782000</v>
      </c>
      <c r="H191" s="41">
        <f t="shared" si="72"/>
        <v>1448550</v>
      </c>
      <c r="I191" s="42">
        <f t="shared" ref="I191:I201" si="73">SUM(C191:H191)</f>
        <v>10197600</v>
      </c>
    </row>
    <row r="192" spans="1:9" ht="15" customHeight="1" x14ac:dyDescent="0.2">
      <c r="A192" s="16" t="s">
        <v>76</v>
      </c>
      <c r="B192" s="16"/>
      <c r="C192" s="41">
        <f t="shared" si="72"/>
        <v>0</v>
      </c>
      <c r="D192" s="41">
        <f t="shared" si="72"/>
        <v>0</v>
      </c>
      <c r="E192" s="41">
        <f t="shared" si="72"/>
        <v>0</v>
      </c>
      <c r="F192" s="41">
        <f t="shared" si="72"/>
        <v>0</v>
      </c>
      <c r="G192" s="41">
        <f t="shared" si="72"/>
        <v>0</v>
      </c>
      <c r="H192" s="41">
        <f t="shared" si="72"/>
        <v>0</v>
      </c>
      <c r="I192" s="42">
        <f t="shared" si="73"/>
        <v>0</v>
      </c>
    </row>
    <row r="193" spans="1:9" ht="15" customHeight="1" x14ac:dyDescent="0.2">
      <c r="A193" s="16" t="s">
        <v>77</v>
      </c>
      <c r="B193" s="16"/>
      <c r="C193" s="41">
        <f t="shared" si="72"/>
        <v>0</v>
      </c>
      <c r="D193" s="41">
        <f t="shared" si="72"/>
        <v>175275</v>
      </c>
      <c r="E193" s="41">
        <f t="shared" si="72"/>
        <v>60800</v>
      </c>
      <c r="F193" s="41">
        <f t="shared" si="72"/>
        <v>85500</v>
      </c>
      <c r="G193" s="41">
        <f t="shared" si="72"/>
        <v>74100</v>
      </c>
      <c r="H193" s="41">
        <f t="shared" si="72"/>
        <v>59280</v>
      </c>
      <c r="I193" s="42">
        <f t="shared" si="73"/>
        <v>454955</v>
      </c>
    </row>
    <row r="194" spans="1:9" ht="15" customHeight="1" x14ac:dyDescent="0.2">
      <c r="A194" s="16" t="s">
        <v>78</v>
      </c>
      <c r="B194" s="16"/>
      <c r="C194" s="41">
        <f t="shared" si="72"/>
        <v>0</v>
      </c>
      <c r="D194" s="41">
        <f t="shared" si="72"/>
        <v>0</v>
      </c>
      <c r="E194" s="41">
        <f t="shared" si="72"/>
        <v>0</v>
      </c>
      <c r="F194" s="41">
        <f t="shared" si="72"/>
        <v>0</v>
      </c>
      <c r="G194" s="41">
        <f t="shared" si="72"/>
        <v>0</v>
      </c>
      <c r="H194" s="41">
        <f t="shared" si="72"/>
        <v>0</v>
      </c>
      <c r="I194" s="42">
        <f t="shared" si="73"/>
        <v>0</v>
      </c>
    </row>
    <row r="195" spans="1:9" ht="15" customHeight="1" x14ac:dyDescent="0.2">
      <c r="A195" s="16" t="s">
        <v>79</v>
      </c>
      <c r="B195" s="16"/>
      <c r="C195" s="41">
        <f t="shared" si="72"/>
        <v>0</v>
      </c>
      <c r="D195" s="41">
        <f t="shared" si="72"/>
        <v>0</v>
      </c>
      <c r="E195" s="41">
        <f t="shared" si="72"/>
        <v>0</v>
      </c>
      <c r="F195" s="41">
        <f t="shared" si="72"/>
        <v>0</v>
      </c>
      <c r="G195" s="41">
        <f t="shared" si="72"/>
        <v>0</v>
      </c>
      <c r="H195" s="41">
        <f t="shared" si="72"/>
        <v>0</v>
      </c>
      <c r="I195" s="42">
        <f t="shared" si="73"/>
        <v>0</v>
      </c>
    </row>
    <row r="196" spans="1:9" ht="15" customHeight="1" x14ac:dyDescent="0.2">
      <c r="A196" s="16" t="s">
        <v>80</v>
      </c>
      <c r="B196" s="16"/>
      <c r="C196" s="41">
        <f t="shared" si="72"/>
        <v>0</v>
      </c>
      <c r="D196" s="41">
        <f t="shared" si="72"/>
        <v>105165</v>
      </c>
      <c r="E196" s="41">
        <f t="shared" si="72"/>
        <v>60800</v>
      </c>
      <c r="F196" s="41">
        <f t="shared" si="72"/>
        <v>0</v>
      </c>
      <c r="G196" s="41">
        <f t="shared" si="72"/>
        <v>0</v>
      </c>
      <c r="H196" s="41">
        <f t="shared" si="72"/>
        <v>0</v>
      </c>
      <c r="I196" s="42">
        <f t="shared" si="73"/>
        <v>165965</v>
      </c>
    </row>
    <row r="197" spans="1:9" ht="15" customHeight="1" x14ac:dyDescent="0.2">
      <c r="A197" s="16" t="s">
        <v>81</v>
      </c>
      <c r="B197" s="16"/>
      <c r="C197" s="41">
        <f t="shared" si="72"/>
        <v>9250</v>
      </c>
      <c r="D197" s="41">
        <f t="shared" si="72"/>
        <v>85110</v>
      </c>
      <c r="E197" s="41">
        <f t="shared" si="72"/>
        <v>63600</v>
      </c>
      <c r="F197" s="41">
        <f t="shared" si="72"/>
        <v>99900</v>
      </c>
      <c r="G197" s="41">
        <f t="shared" si="72"/>
        <v>86850</v>
      </c>
      <c r="H197" s="41">
        <f t="shared" si="72"/>
        <v>86850</v>
      </c>
      <c r="I197" s="42">
        <f t="shared" si="73"/>
        <v>431560</v>
      </c>
    </row>
    <row r="198" spans="1:9" ht="15" customHeight="1" x14ac:dyDescent="0.2">
      <c r="A198" s="16" t="s">
        <v>82</v>
      </c>
      <c r="B198" s="16"/>
      <c r="C198" s="41">
        <f t="shared" si="72"/>
        <v>0</v>
      </c>
      <c r="D198" s="41">
        <f t="shared" si="72"/>
        <v>0</v>
      </c>
      <c r="E198" s="41">
        <f t="shared" si="72"/>
        <v>0</v>
      </c>
      <c r="F198" s="41">
        <f t="shared" si="72"/>
        <v>0</v>
      </c>
      <c r="G198" s="41">
        <f t="shared" si="72"/>
        <v>0</v>
      </c>
      <c r="H198" s="41">
        <f t="shared" si="72"/>
        <v>0</v>
      </c>
      <c r="I198" s="42">
        <f t="shared" si="73"/>
        <v>0</v>
      </c>
    </row>
    <row r="199" spans="1:9" ht="15" customHeight="1" x14ac:dyDescent="0.2">
      <c r="A199" s="16" t="s">
        <v>83</v>
      </c>
      <c r="B199" s="16"/>
      <c r="C199" s="41">
        <f t="shared" si="72"/>
        <v>0</v>
      </c>
      <c r="D199" s="41">
        <f t="shared" si="72"/>
        <v>0</v>
      </c>
      <c r="E199" s="41">
        <f t="shared" si="72"/>
        <v>0</v>
      </c>
      <c r="F199" s="41">
        <f t="shared" si="72"/>
        <v>0</v>
      </c>
      <c r="G199" s="41">
        <f t="shared" si="72"/>
        <v>0</v>
      </c>
      <c r="H199" s="41">
        <f t="shared" si="72"/>
        <v>0</v>
      </c>
      <c r="I199" s="42">
        <f t="shared" si="73"/>
        <v>0</v>
      </c>
    </row>
    <row r="200" spans="1:9" ht="15" customHeight="1" x14ac:dyDescent="0.2">
      <c r="A200" s="43" t="s">
        <v>84</v>
      </c>
      <c r="B200" s="16"/>
      <c r="C200" s="44">
        <f t="shared" ref="C200:H200" si="74">SUM(C191:C199)</f>
        <v>105000</v>
      </c>
      <c r="D200" s="44">
        <f t="shared" si="74"/>
        <v>3805500</v>
      </c>
      <c r="E200" s="44">
        <f t="shared" si="74"/>
        <v>1563200</v>
      </c>
      <c r="F200" s="44">
        <f t="shared" si="74"/>
        <v>2238750</v>
      </c>
      <c r="G200" s="44">
        <f t="shared" si="74"/>
        <v>1942950</v>
      </c>
      <c r="H200" s="44">
        <f t="shared" si="74"/>
        <v>1594680</v>
      </c>
      <c r="I200" s="44">
        <f t="shared" si="73"/>
        <v>11250080</v>
      </c>
    </row>
    <row r="201" spans="1:9" ht="15" customHeight="1" x14ac:dyDescent="0.2">
      <c r="A201" s="45" t="s">
        <v>85</v>
      </c>
      <c r="B201" s="16"/>
      <c r="C201" s="46">
        <f t="shared" ref="C201:H201" si="75">C$22*$C$223+C$64*$C$224+C$103*$C$225+C$127*$C$226+C$151*$C$227-C200</f>
        <v>0</v>
      </c>
      <c r="D201" s="46">
        <f t="shared" si="75"/>
        <v>0</v>
      </c>
      <c r="E201" s="46">
        <f t="shared" si="75"/>
        <v>136800</v>
      </c>
      <c r="F201" s="46">
        <f t="shared" si="75"/>
        <v>42750</v>
      </c>
      <c r="G201" s="46">
        <f t="shared" si="75"/>
        <v>37050</v>
      </c>
      <c r="H201" s="46">
        <f t="shared" si="75"/>
        <v>14820</v>
      </c>
      <c r="I201" s="47">
        <f t="shared" si="73"/>
        <v>231420</v>
      </c>
    </row>
    <row r="203" spans="1:9" ht="15" customHeight="1" x14ac:dyDescent="0.2">
      <c r="A203" s="48" t="s">
        <v>86</v>
      </c>
    </row>
    <row r="204" spans="1:9" ht="15" customHeight="1" x14ac:dyDescent="0.2">
      <c r="A204" s="39" t="s">
        <v>87</v>
      </c>
      <c r="B204" s="16"/>
      <c r="C204" s="40" t="str">
        <f t="shared" ref="C204:H204" si="76">C$14</f>
        <v>Июль</v>
      </c>
      <c r="D204" s="40" t="str">
        <f t="shared" si="76"/>
        <v>Август</v>
      </c>
      <c r="E204" s="40" t="str">
        <f t="shared" si="76"/>
        <v>Сентябрь</v>
      </c>
      <c r="F204" s="40" t="str">
        <f t="shared" si="76"/>
        <v>Октябрь</v>
      </c>
      <c r="G204" s="40" t="str">
        <f t="shared" si="76"/>
        <v>Ноябрь</v>
      </c>
      <c r="H204" s="40" t="str">
        <f t="shared" si="76"/>
        <v>Декабрь</v>
      </c>
      <c r="I204" s="40" t="s">
        <v>17</v>
      </c>
    </row>
    <row r="205" spans="1:9" ht="15" customHeight="1" x14ac:dyDescent="0.2">
      <c r="A205" s="49" t="s">
        <v>88</v>
      </c>
      <c r="B205" s="16"/>
      <c r="C205" s="50">
        <v>0.5</v>
      </c>
      <c r="D205" s="50">
        <v>0.5</v>
      </c>
      <c r="E205" s="50">
        <v>0.5</v>
      </c>
      <c r="F205" s="50">
        <v>0.5</v>
      </c>
      <c r="G205" s="50">
        <v>0.5</v>
      </c>
      <c r="H205" s="50">
        <v>0.5</v>
      </c>
      <c r="I205" s="51">
        <f>IF(N(I208)=0,"",I206/I208)</f>
        <v>0.5</v>
      </c>
    </row>
    <row r="206" spans="1:9" ht="15" customHeight="1" x14ac:dyDescent="0.2">
      <c r="A206" s="52" t="s">
        <v>89</v>
      </c>
      <c r="B206" s="16"/>
      <c r="C206" s="41">
        <f t="shared" ref="C206:H206" si="77">ROUND(C$191*C$205,0)</f>
        <v>47875</v>
      </c>
      <c r="D206" s="41">
        <f t="shared" si="77"/>
        <v>1719975</v>
      </c>
      <c r="E206" s="41">
        <f t="shared" si="77"/>
        <v>689000</v>
      </c>
      <c r="F206" s="41">
        <f t="shared" si="77"/>
        <v>1026675</v>
      </c>
      <c r="G206" s="41">
        <f t="shared" si="77"/>
        <v>891000</v>
      </c>
      <c r="H206" s="41">
        <f t="shared" si="77"/>
        <v>724275</v>
      </c>
      <c r="I206" s="42">
        <f>SUM(C206:H206)</f>
        <v>5098800</v>
      </c>
    </row>
    <row r="207" spans="1:9" ht="15" customHeight="1" x14ac:dyDescent="0.2">
      <c r="A207" s="52" t="s">
        <v>90</v>
      </c>
      <c r="B207" s="16"/>
      <c r="C207" s="41">
        <f t="shared" ref="C207:H207" si="78">C$191-C$206</f>
        <v>47875</v>
      </c>
      <c r="D207" s="41">
        <f t="shared" si="78"/>
        <v>1719975</v>
      </c>
      <c r="E207" s="41">
        <f t="shared" si="78"/>
        <v>689000</v>
      </c>
      <c r="F207" s="41">
        <f t="shared" si="78"/>
        <v>1026675</v>
      </c>
      <c r="G207" s="41">
        <f t="shared" si="78"/>
        <v>891000</v>
      </c>
      <c r="H207" s="41">
        <f t="shared" si="78"/>
        <v>724275</v>
      </c>
      <c r="I207" s="42">
        <f>SUM(C207:H207)</f>
        <v>5098800</v>
      </c>
    </row>
    <row r="208" spans="1:9" ht="15" customHeight="1" x14ac:dyDescent="0.2">
      <c r="A208" s="53" t="s">
        <v>91</v>
      </c>
      <c r="B208" s="16"/>
      <c r="C208" s="54">
        <f t="shared" ref="C208:H208" si="79">C$191</f>
        <v>95750</v>
      </c>
      <c r="D208" s="54">
        <f t="shared" si="79"/>
        <v>3439950</v>
      </c>
      <c r="E208" s="54">
        <f t="shared" si="79"/>
        <v>1378000</v>
      </c>
      <c r="F208" s="54">
        <f t="shared" si="79"/>
        <v>2053350</v>
      </c>
      <c r="G208" s="54">
        <f t="shared" si="79"/>
        <v>1782000</v>
      </c>
      <c r="H208" s="54">
        <f t="shared" si="79"/>
        <v>1448550</v>
      </c>
      <c r="I208" s="54">
        <f>SUM(C208:H208)</f>
        <v>10197600</v>
      </c>
    </row>
    <row r="209" spans="1:3" ht="15" customHeight="1" x14ac:dyDescent="0.2">
      <c r="A209" s="38" t="s">
        <v>92</v>
      </c>
    </row>
    <row r="222" spans="1:3" ht="15" customHeight="1" x14ac:dyDescent="0.2">
      <c r="A222" s="38" t="s">
        <v>93</v>
      </c>
    </row>
    <row r="223" spans="1:3" ht="15" customHeight="1" x14ac:dyDescent="0.2">
      <c r="A223" s="55" t="s">
        <v>94</v>
      </c>
      <c r="C223" s="55">
        <f>IF(OR($C$187="Общее (все продукты)",$C$187=$A223),1,0)</f>
        <v>1</v>
      </c>
    </row>
    <row r="224" spans="1:3" ht="15" customHeight="1" x14ac:dyDescent="0.2">
      <c r="A224" s="55" t="s">
        <v>95</v>
      </c>
      <c r="C224" s="55">
        <f>IF(OR($C$187="Общее (все продукты)",$C$187=$A224),1,0)</f>
        <v>1</v>
      </c>
    </row>
    <row r="225" spans="1:3" ht="15" customHeight="1" x14ac:dyDescent="0.2">
      <c r="A225" s="55" t="s">
        <v>96</v>
      </c>
      <c r="C225" s="55">
        <f>IF(OR($C$187="Общее (все продукты)",$C$187=$A225),1,0)</f>
        <v>1</v>
      </c>
    </row>
    <row r="226" spans="1:3" ht="15" customHeight="1" x14ac:dyDescent="0.2">
      <c r="A226" s="55" t="s">
        <v>97</v>
      </c>
      <c r="C226" s="55">
        <f>IF(OR($C$187="Общее (все продукты)",$C$187=$A226),1,0)</f>
        <v>1</v>
      </c>
    </row>
    <row r="227" spans="1:3" ht="15" customHeight="1" x14ac:dyDescent="0.2">
      <c r="A227" s="55" t="s">
        <v>98</v>
      </c>
      <c r="C227" s="55">
        <f>IF(OR($C$187="Общее (все продукты)",$C$187=$A227),1,0)</f>
        <v>1</v>
      </c>
    </row>
  </sheetData>
  <mergeCells count="1">
    <mergeCell ref="C11:H11"/>
  </mergeCells>
  <conditionalFormatting sqref="C167">
    <cfRule type="expression" dxfId="75" priority="2">
      <formula>ABS(C167-1)&gt;0.001</formula>
    </cfRule>
    <cfRule type="expression" dxfId="74" priority="3">
      <formula>ABS(C167-1)&lt;=0.001</formula>
    </cfRule>
  </conditionalFormatting>
  <conditionalFormatting sqref="D167">
    <cfRule type="expression" dxfId="73" priority="4">
      <formula>ABS(D167-1)&gt;0.001</formula>
    </cfRule>
    <cfRule type="expression" dxfId="72" priority="5">
      <formula>ABS(D167-1)&lt;=0.001</formula>
    </cfRule>
  </conditionalFormatting>
  <conditionalFormatting sqref="E167">
    <cfRule type="expression" dxfId="71" priority="6">
      <formula>ABS(E167-1)&gt;0.001</formula>
    </cfRule>
    <cfRule type="expression" dxfId="70" priority="7">
      <formula>ABS(E167-1)&lt;=0.001</formula>
    </cfRule>
  </conditionalFormatting>
  <conditionalFormatting sqref="F167">
    <cfRule type="expression" dxfId="69" priority="8">
      <formula>ABS(F167-1)&gt;0.001</formula>
    </cfRule>
    <cfRule type="expression" dxfId="68" priority="9">
      <formula>ABS(F167-1)&lt;=0.001</formula>
    </cfRule>
  </conditionalFormatting>
  <conditionalFormatting sqref="G167">
    <cfRule type="expression" dxfId="67" priority="10">
      <formula>ABS(G167-1)&gt;0.001</formula>
    </cfRule>
    <cfRule type="expression" dxfId="66" priority="11">
      <formula>ABS(G167-1)&lt;=0.001</formula>
    </cfRule>
  </conditionalFormatting>
  <conditionalFormatting sqref="H167">
    <cfRule type="expression" dxfId="65" priority="12">
      <formula>ABS(H167-1)&gt;0.001</formula>
    </cfRule>
    <cfRule type="expression" dxfId="64" priority="13">
      <formula>ABS(H167-1)&lt;=0.001</formula>
    </cfRule>
  </conditionalFormatting>
  <conditionalFormatting sqref="C53">
    <cfRule type="expression" dxfId="63" priority="14">
      <formula>ABS(C53-1)&gt;0.001</formula>
    </cfRule>
    <cfRule type="expression" dxfId="62" priority="15">
      <formula>ABS(C53-1)&lt;=0.001</formula>
    </cfRule>
  </conditionalFormatting>
  <conditionalFormatting sqref="D53">
    <cfRule type="expression" dxfId="61" priority="16">
      <formula>ABS(D53-1)&gt;0.001</formula>
    </cfRule>
    <cfRule type="expression" dxfId="60" priority="17">
      <formula>ABS(D53-1)&lt;=0.001</formula>
    </cfRule>
  </conditionalFormatting>
  <conditionalFormatting sqref="E53">
    <cfRule type="expression" dxfId="59" priority="18">
      <formula>ABS(E53-1)&gt;0.001</formula>
    </cfRule>
    <cfRule type="expression" dxfId="58" priority="19">
      <formula>ABS(E53-1)&lt;=0.001</formula>
    </cfRule>
  </conditionalFormatting>
  <conditionalFormatting sqref="F53">
    <cfRule type="expression" dxfId="57" priority="20">
      <formula>ABS(F53-1)&gt;0.001</formula>
    </cfRule>
    <cfRule type="expression" dxfId="56" priority="21">
      <formula>ABS(F53-1)&lt;=0.001</formula>
    </cfRule>
  </conditionalFormatting>
  <conditionalFormatting sqref="G53">
    <cfRule type="expression" dxfId="55" priority="22">
      <formula>ABS(G53-1)&gt;0.001</formula>
    </cfRule>
    <cfRule type="expression" dxfId="54" priority="23">
      <formula>ABS(G53-1)&lt;=0.001</formula>
    </cfRule>
  </conditionalFormatting>
  <conditionalFormatting sqref="H53">
    <cfRule type="expression" dxfId="53" priority="24">
      <formula>ABS(H53-1)&gt;0.001</formula>
    </cfRule>
    <cfRule type="expression" dxfId="52" priority="25">
      <formula>ABS(H53-1)&lt;=0.001</formula>
    </cfRule>
  </conditionalFormatting>
  <conditionalFormatting sqref="C95">
    <cfRule type="expression" dxfId="51" priority="26">
      <formula>ABS(C95-1)&gt;0.001</formula>
    </cfRule>
    <cfRule type="expression" dxfId="50" priority="27">
      <formula>ABS(C95-1)&lt;=0.001</formula>
    </cfRule>
  </conditionalFormatting>
  <conditionalFormatting sqref="D95">
    <cfRule type="expression" dxfId="49" priority="28">
      <formula>ABS(D95-1)&gt;0.001</formula>
    </cfRule>
    <cfRule type="expression" dxfId="48" priority="29">
      <formula>ABS(D95-1)&lt;=0.001</formula>
    </cfRule>
  </conditionalFormatting>
  <conditionalFormatting sqref="E95">
    <cfRule type="expression" dxfId="47" priority="30">
      <formula>ABS(E95-1)&gt;0.001</formula>
    </cfRule>
    <cfRule type="expression" dxfId="46" priority="31">
      <formula>ABS(E95-1)&lt;=0.001</formula>
    </cfRule>
  </conditionalFormatting>
  <conditionalFormatting sqref="F95">
    <cfRule type="expression" dxfId="45" priority="32">
      <formula>ABS(F95-1)&gt;0.001</formula>
    </cfRule>
    <cfRule type="expression" dxfId="44" priority="33">
      <formula>ABS(F95-1)&lt;=0.001</formula>
    </cfRule>
  </conditionalFormatting>
  <conditionalFormatting sqref="G95">
    <cfRule type="expression" dxfId="43" priority="34">
      <formula>ABS(G95-1)&gt;0.001</formula>
    </cfRule>
    <cfRule type="expression" dxfId="42" priority="35">
      <formula>ABS(G95-1)&lt;=0.001</formula>
    </cfRule>
  </conditionalFormatting>
  <conditionalFormatting sqref="H95">
    <cfRule type="expression" dxfId="41" priority="36">
      <formula>ABS(H95-1)&gt;0.001</formula>
    </cfRule>
    <cfRule type="expression" dxfId="40" priority="37">
      <formula>ABS(H95-1)&lt;=0.001</formula>
    </cfRule>
  </conditionalFormatting>
  <conditionalFormatting sqref="C119">
    <cfRule type="expression" dxfId="39" priority="38">
      <formula>ABS(C119-1)&gt;0.001</formula>
    </cfRule>
    <cfRule type="expression" dxfId="38" priority="39">
      <formula>ABS(C119-1)&lt;=0.001</formula>
    </cfRule>
  </conditionalFormatting>
  <conditionalFormatting sqref="D119">
    <cfRule type="expression" dxfId="37" priority="40">
      <formula>ABS(D119-1)&gt;0.001</formula>
    </cfRule>
    <cfRule type="expression" dxfId="36" priority="41">
      <formula>ABS(D119-1)&lt;=0.001</formula>
    </cfRule>
  </conditionalFormatting>
  <conditionalFormatting sqref="E119">
    <cfRule type="expression" dxfId="35" priority="42">
      <formula>ABS(E119-1)&gt;0.001</formula>
    </cfRule>
    <cfRule type="expression" dxfId="34" priority="43">
      <formula>ABS(E119-1)&lt;=0.001</formula>
    </cfRule>
  </conditionalFormatting>
  <conditionalFormatting sqref="F119">
    <cfRule type="expression" dxfId="33" priority="44">
      <formula>ABS(F119-1)&gt;0.001</formula>
    </cfRule>
    <cfRule type="expression" dxfId="32" priority="45">
      <formula>ABS(F119-1)&lt;=0.001</formula>
    </cfRule>
  </conditionalFormatting>
  <conditionalFormatting sqref="G119">
    <cfRule type="expression" dxfId="31" priority="46">
      <formula>ABS(G119-1)&gt;0.001</formula>
    </cfRule>
    <cfRule type="expression" dxfId="30" priority="47">
      <formula>ABS(G119-1)&lt;=0.001</formula>
    </cfRule>
  </conditionalFormatting>
  <conditionalFormatting sqref="H119">
    <cfRule type="expression" dxfId="29" priority="48">
      <formula>ABS(H119-1)&gt;0.001</formula>
    </cfRule>
    <cfRule type="expression" dxfId="28" priority="49">
      <formula>ABS(H119-1)&lt;=0.001</formula>
    </cfRule>
  </conditionalFormatting>
  <conditionalFormatting sqref="C143">
    <cfRule type="expression" dxfId="27" priority="50">
      <formula>ABS(C143-1)&gt;0.001</formula>
    </cfRule>
    <cfRule type="expression" dxfId="26" priority="51">
      <formula>ABS(C143-1)&lt;=0.001</formula>
    </cfRule>
  </conditionalFormatting>
  <conditionalFormatting sqref="D143">
    <cfRule type="expression" dxfId="25" priority="52">
      <formula>ABS(D143-1)&gt;0.001</formula>
    </cfRule>
    <cfRule type="expression" dxfId="24" priority="53">
      <formula>ABS(D143-1)&lt;=0.001</formula>
    </cfRule>
  </conditionalFormatting>
  <conditionalFormatting sqref="E143">
    <cfRule type="expression" dxfId="23" priority="54">
      <formula>ABS(E143-1)&gt;0.001</formula>
    </cfRule>
    <cfRule type="expression" dxfId="22" priority="55">
      <formula>ABS(E143-1)&lt;=0.001</formula>
    </cfRule>
  </conditionalFormatting>
  <conditionalFormatting sqref="F143">
    <cfRule type="expression" dxfId="21" priority="56">
      <formula>ABS(F143-1)&gt;0.001</formula>
    </cfRule>
    <cfRule type="expression" dxfId="20" priority="57">
      <formula>ABS(F143-1)&lt;=0.001</formula>
    </cfRule>
  </conditionalFormatting>
  <conditionalFormatting sqref="G143">
    <cfRule type="expression" dxfId="19" priority="58">
      <formula>ABS(G143-1)&gt;0.001</formula>
    </cfRule>
    <cfRule type="expression" dxfId="18" priority="59">
      <formula>ABS(G143-1)&lt;=0.001</formula>
    </cfRule>
  </conditionalFormatting>
  <conditionalFormatting sqref="H143">
    <cfRule type="expression" dxfId="17" priority="60">
      <formula>ABS(H143-1)&gt;0.001</formula>
    </cfRule>
    <cfRule type="expression" dxfId="16" priority="61">
      <formula>ABS(H143-1)&lt;=0.001</formula>
    </cfRule>
  </conditionalFormatting>
  <conditionalFormatting sqref="C184">
    <cfRule type="expression" dxfId="15" priority="62">
      <formula>C184&gt;$C$8</formula>
    </cfRule>
    <cfRule type="expression" dxfId="14" priority="63">
      <formula>C184&lt;=$C$8</formula>
    </cfRule>
  </conditionalFormatting>
  <conditionalFormatting sqref="D184">
    <cfRule type="expression" dxfId="13" priority="64">
      <formula>D184&gt;$C$8</formula>
    </cfRule>
    <cfRule type="expression" dxfId="12" priority="65">
      <formula>D184&lt;=$C$8</formula>
    </cfRule>
  </conditionalFormatting>
  <conditionalFormatting sqref="E184">
    <cfRule type="expression" dxfId="11" priority="66">
      <formula>E184&gt;$C$8</formula>
    </cfRule>
    <cfRule type="expression" dxfId="10" priority="67">
      <formula>E184&lt;=$C$8</formula>
    </cfRule>
  </conditionalFormatting>
  <conditionalFormatting sqref="F184">
    <cfRule type="expression" dxfId="9" priority="68">
      <formula>F184&gt;$C$8</formula>
    </cfRule>
    <cfRule type="expression" dxfId="8" priority="69">
      <formula>F184&lt;=$C$8</formula>
    </cfRule>
  </conditionalFormatting>
  <conditionalFormatting sqref="G184">
    <cfRule type="expression" dxfId="7" priority="70">
      <formula>G184&gt;$C$8</formula>
    </cfRule>
    <cfRule type="expression" dxfId="6" priority="71">
      <formula>G184&lt;=$C$8</formula>
    </cfRule>
  </conditionalFormatting>
  <conditionalFormatting sqref="H184">
    <cfRule type="expression" dxfId="5" priority="72">
      <formula>H184&gt;$C$8</formula>
    </cfRule>
    <cfRule type="expression" dxfId="4" priority="73">
      <formula>H184&lt;=$C$8</formula>
    </cfRule>
  </conditionalFormatting>
  <conditionalFormatting sqref="I184">
    <cfRule type="expression" dxfId="3" priority="74">
      <formula>I184&gt;$C$8</formula>
    </cfRule>
    <cfRule type="expression" dxfId="2" priority="75">
      <formula>I184&lt;=$C$8</formula>
    </cfRule>
  </conditionalFormatting>
  <conditionalFormatting sqref="C11">
    <cfRule type="expression" dxfId="1" priority="76">
      <formula>C10&gt;C9</formula>
    </cfRule>
    <cfRule type="expression" dxfId="0" priority="77">
      <formula>C10&lt;=C9</formula>
    </cfRule>
  </conditionalFormatting>
  <dataValidations count="1">
    <dataValidation type="list" allowBlank="1" showInputMessage="1" showErrorMessage="1" promptTitle="Переключатель" prompt="Выбери продукт или «Общее»" sqref="C187" xr:uid="{00000000-0002-0000-0000-000000000000}">
      <formula1>"Общее (все продукты),Амина Триггер Фиш,Аппликатор Ярмакова,Бот «Зелёный доктор»,Бот «Умный сад»,Бот «Клёвое место»"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13"/>
  <sheetViews>
    <sheetView showGridLines="0" tabSelected="1" zoomScaleNormal="100" workbookViewId="0">
      <pane ySplit="3" topLeftCell="A85" activePane="bottomLeft" state="frozen"/>
      <selection pane="bottomLeft" activeCell="A98" sqref="A98"/>
    </sheetView>
  </sheetViews>
  <sheetFormatPr baseColWidth="10" defaultColWidth="10.6640625" defaultRowHeight="15" outlineLevelRow="2" x14ac:dyDescent="0.2"/>
  <cols>
    <col min="1" max="1" width="35" customWidth="1"/>
    <col min="2" max="2" width="3.33203125" customWidth="1"/>
    <col min="15" max="16" width="11.6640625" customWidth="1"/>
    <col min="17" max="17" width="15.33203125" customWidth="1"/>
    <col min="18" max="18" width="40" customWidth="1"/>
    <col min="19" max="19" width="3.33203125" customWidth="1"/>
    <col min="20" max="27" width="13.33203125" customWidth="1"/>
  </cols>
  <sheetData>
    <row r="1" spans="1:27" ht="17" x14ac:dyDescent="0.2">
      <c r="A1" s="56" t="s">
        <v>99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27" x14ac:dyDescent="0.2">
      <c r="A2" s="58" t="s">
        <v>100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1:27" x14ac:dyDescent="0.2">
      <c r="A3" s="59"/>
      <c r="B3" s="59"/>
      <c r="C3" s="60" t="s">
        <v>11</v>
      </c>
      <c r="D3" s="61" t="s">
        <v>101</v>
      </c>
      <c r="E3" s="60" t="s">
        <v>12</v>
      </c>
      <c r="F3" s="61" t="s">
        <v>102</v>
      </c>
      <c r="G3" s="60" t="s">
        <v>13</v>
      </c>
      <c r="H3" s="61" t="s">
        <v>103</v>
      </c>
      <c r="I3" s="60" t="s">
        <v>14</v>
      </c>
      <c r="J3" s="61" t="s">
        <v>104</v>
      </c>
      <c r="K3" s="60" t="s">
        <v>15</v>
      </c>
      <c r="L3" s="61" t="s">
        <v>105</v>
      </c>
      <c r="M3" s="60" t="s">
        <v>16</v>
      </c>
      <c r="N3" s="61" t="s">
        <v>106</v>
      </c>
      <c r="O3" s="60" t="s">
        <v>17</v>
      </c>
      <c r="P3" s="61" t="s">
        <v>107</v>
      </c>
      <c r="Q3" s="62"/>
    </row>
    <row r="4" spans="1:27" x14ac:dyDescent="0.2">
      <c r="A4" s="57"/>
      <c r="B4" s="57"/>
      <c r="C4" s="63"/>
      <c r="D4" s="57"/>
      <c r="E4" s="63"/>
      <c r="F4" s="57"/>
      <c r="G4" s="63"/>
      <c r="H4" s="57"/>
      <c r="I4" s="63"/>
      <c r="J4" s="57"/>
      <c r="K4" s="63"/>
      <c r="L4" s="57"/>
      <c r="M4" s="63"/>
      <c r="N4" s="57"/>
      <c r="O4" s="63"/>
      <c r="P4" s="57"/>
      <c r="Q4" s="62"/>
    </row>
    <row r="5" spans="1:27" x14ac:dyDescent="0.2">
      <c r="A5" s="3" t="s">
        <v>108</v>
      </c>
      <c r="B5" s="3"/>
      <c r="C5" s="64"/>
      <c r="D5" s="3"/>
      <c r="E5" s="64"/>
      <c r="F5" s="3"/>
      <c r="G5" s="64"/>
      <c r="H5" s="3"/>
      <c r="I5" s="64"/>
      <c r="J5" s="3"/>
      <c r="K5" s="64"/>
      <c r="L5" s="3"/>
      <c r="M5" s="64"/>
      <c r="N5" s="3"/>
      <c r="O5" s="64"/>
      <c r="P5" s="3"/>
      <c r="Q5" s="62"/>
      <c r="R5" s="65" t="s">
        <v>109</v>
      </c>
      <c r="S5" s="65"/>
      <c r="T5" s="65"/>
      <c r="U5" s="65"/>
      <c r="V5" s="65"/>
      <c r="W5" s="65"/>
      <c r="X5" s="65"/>
      <c r="Y5" s="66"/>
      <c r="Z5" s="66"/>
      <c r="AA5" s="67"/>
    </row>
    <row r="6" spans="1:27" x14ac:dyDescent="0.2">
      <c r="A6" s="57" t="s">
        <v>110</v>
      </c>
      <c r="B6" s="57"/>
      <c r="C6" s="68">
        <v>105000</v>
      </c>
      <c r="D6" s="69"/>
      <c r="E6" s="68">
        <v>3805500</v>
      </c>
      <c r="F6" s="69"/>
      <c r="G6" s="68">
        <v>2200000</v>
      </c>
      <c r="H6" s="69"/>
      <c r="I6" s="68">
        <v>2700000</v>
      </c>
      <c r="J6" s="69"/>
      <c r="K6" s="68">
        <v>3000000</v>
      </c>
      <c r="L6" s="69"/>
      <c r="M6" s="68">
        <v>3000000</v>
      </c>
      <c r="N6" s="69"/>
      <c r="O6" s="70">
        <f>SUM(C6,E6,G6,I6,K6,M6)</f>
        <v>14810500</v>
      </c>
      <c r="P6" s="71"/>
      <c r="Q6" s="62"/>
      <c r="R6" s="72" t="s">
        <v>111</v>
      </c>
      <c r="S6" s="16"/>
      <c r="T6" s="73" t="s">
        <v>14</v>
      </c>
      <c r="U6" s="16"/>
      <c r="V6" s="74" t="s">
        <v>112</v>
      </c>
      <c r="W6" s="74"/>
      <c r="X6" s="74"/>
      <c r="Y6" s="74"/>
      <c r="Z6" s="74"/>
      <c r="AA6" s="74"/>
    </row>
    <row r="7" spans="1:27" x14ac:dyDescent="0.2">
      <c r="A7" s="75" t="s">
        <v>113</v>
      </c>
      <c r="B7" s="75"/>
      <c r="C7" s="76">
        <f t="shared" ref="C7:N7" si="0">C279</f>
        <v>105000</v>
      </c>
      <c r="D7" s="71">
        <f t="shared" si="0"/>
        <v>0</v>
      </c>
      <c r="E7" s="76">
        <f t="shared" si="0"/>
        <v>3975500</v>
      </c>
      <c r="F7" s="71">
        <f t="shared" si="0"/>
        <v>0</v>
      </c>
      <c r="G7" s="76">
        <f t="shared" si="0"/>
        <v>2125000</v>
      </c>
      <c r="H7" s="71">
        <f t="shared" si="0"/>
        <v>1926890</v>
      </c>
      <c r="I7" s="76">
        <f t="shared" si="0"/>
        <v>2951000</v>
      </c>
      <c r="J7" s="71">
        <f t="shared" si="0"/>
        <v>0</v>
      </c>
      <c r="K7" s="76">
        <f t="shared" si="0"/>
        <v>2310000</v>
      </c>
      <c r="L7" s="71">
        <f t="shared" si="0"/>
        <v>0</v>
      </c>
      <c r="M7" s="76">
        <f t="shared" si="0"/>
        <v>2360000</v>
      </c>
      <c r="N7" s="71">
        <f t="shared" si="0"/>
        <v>0</v>
      </c>
      <c r="O7" s="70">
        <f>SUM(C7,E7,G7,I7,K7,M7)</f>
        <v>13826500</v>
      </c>
      <c r="P7" s="71">
        <f>SUM(D7,F7,H7,J7,L7,N7)</f>
        <v>1926890</v>
      </c>
      <c r="Q7" s="62"/>
      <c r="R7" s="77" t="s">
        <v>114</v>
      </c>
      <c r="S7" s="40"/>
      <c r="T7" s="40" t="s">
        <v>115</v>
      </c>
      <c r="U7" s="78" t="s">
        <v>116</v>
      </c>
      <c r="V7" s="40" t="str">
        <f>U7&amp;", ₽"</f>
        <v>Маша, ₽</v>
      </c>
      <c r="W7" s="78" t="s">
        <v>117</v>
      </c>
      <c r="X7" s="40" t="str">
        <f>W7&amp;", ₽"</f>
        <v>Лена, ₽</v>
      </c>
      <c r="Y7" s="40" t="s">
        <v>118</v>
      </c>
      <c r="Z7" s="40" t="str">
        <f>U7&amp;", шт"</f>
        <v>Маша, шт</v>
      </c>
      <c r="AA7" s="40" t="str">
        <f>W7&amp;", шт"</f>
        <v>Лена, шт</v>
      </c>
    </row>
    <row r="8" spans="1:27" x14ac:dyDescent="0.2">
      <c r="A8" s="57" t="s">
        <v>119</v>
      </c>
      <c r="B8" s="57"/>
      <c r="C8" s="79">
        <f>C6-C7</f>
        <v>0</v>
      </c>
      <c r="D8" s="69">
        <f>C6-D7</f>
        <v>105000</v>
      </c>
      <c r="E8" s="79">
        <f>E6-E7</f>
        <v>-170000</v>
      </c>
      <c r="F8" s="69">
        <f>E6-F7</f>
        <v>3805500</v>
      </c>
      <c r="G8" s="79">
        <f>G6-G7</f>
        <v>75000</v>
      </c>
      <c r="H8" s="69">
        <f>G6-H7</f>
        <v>273110</v>
      </c>
      <c r="I8" s="79">
        <f>I6-I7</f>
        <v>-251000</v>
      </c>
      <c r="J8" s="69">
        <f>I6-J7</f>
        <v>2700000</v>
      </c>
      <c r="K8" s="79">
        <f>K6-K7</f>
        <v>690000</v>
      </c>
      <c r="L8" s="69">
        <f>K6-L7</f>
        <v>3000000</v>
      </c>
      <c r="M8" s="79">
        <f>M6-M7</f>
        <v>640000</v>
      </c>
      <c r="N8" s="69">
        <f>M6-N7</f>
        <v>3000000</v>
      </c>
      <c r="O8" s="70">
        <f>SUM(C8,E8,G8,I8,K8,M8)</f>
        <v>984000</v>
      </c>
      <c r="P8" s="71">
        <f>SUM(D8,F8,H8,J8,L8,N8)</f>
        <v>12883610</v>
      </c>
      <c r="Q8" s="62"/>
      <c r="R8" s="80" t="s">
        <v>167</v>
      </c>
      <c r="S8" s="16"/>
      <c r="T8" s="81">
        <f>IFERROR(INDEX($C16:$M16,MATCH($T$6,$C$3:$M$3,0)),0)</f>
        <v>800000</v>
      </c>
      <c r="U8" s="82">
        <v>0.3</v>
      </c>
      <c r="V8" s="83">
        <f t="shared" ref="V8:V13" si="1">ROUND(T8*U8,0)</f>
        <v>240000</v>
      </c>
      <c r="W8" s="84">
        <f t="shared" ref="W8:W13" si="2">1-U8</f>
        <v>0.7</v>
      </c>
      <c r="X8" s="83">
        <f t="shared" ref="X8:X13" si="3">T8-V8</f>
        <v>560000</v>
      </c>
      <c r="Y8" s="81">
        <f>IFERROR(ROUND(INDEX($C39:$M39,MATCH($T$6,$C$3:$M$3,0)),0),0)</f>
        <v>308</v>
      </c>
      <c r="Z8" s="83">
        <f t="shared" ref="Z8:Z13" si="4">ROUND(Y8*U8,0)</f>
        <v>92</v>
      </c>
      <c r="AA8" s="83">
        <f t="shared" ref="AA8:AA13" si="5">Y8-Z8</f>
        <v>216</v>
      </c>
    </row>
    <row r="9" spans="1:27" x14ac:dyDescent="0.2">
      <c r="A9" s="57" t="s">
        <v>120</v>
      </c>
      <c r="B9" s="57"/>
      <c r="C9" s="79">
        <f t="shared" ref="C9:N9" si="6">C281</f>
        <v>673197.80734632688</v>
      </c>
      <c r="D9" s="69">
        <f t="shared" si="6"/>
        <v>0</v>
      </c>
      <c r="E9" s="79">
        <f t="shared" si="6"/>
        <v>20146447.80253543</v>
      </c>
      <c r="F9" s="69">
        <f t="shared" si="6"/>
        <v>0</v>
      </c>
      <c r="G9" s="79">
        <f t="shared" si="6"/>
        <v>2837100.992256688</v>
      </c>
      <c r="H9" s="69">
        <f t="shared" si="6"/>
        <v>2737599</v>
      </c>
      <c r="I9" s="79">
        <f t="shared" si="6"/>
        <v>7361808.0119348988</v>
      </c>
      <c r="J9" s="69">
        <f t="shared" si="6"/>
        <v>0</v>
      </c>
      <c r="K9" s="79">
        <f t="shared" si="6"/>
        <v>6943421.112172002</v>
      </c>
      <c r="L9" s="69">
        <f t="shared" si="6"/>
        <v>0</v>
      </c>
      <c r="M9" s="79">
        <f t="shared" si="6"/>
        <v>8246067.4367212392</v>
      </c>
      <c r="N9" s="69">
        <f t="shared" si="6"/>
        <v>0</v>
      </c>
      <c r="O9" s="70">
        <f>SUM(C9,E9,G9,I9,K9,M9)</f>
        <v>46208043.162966579</v>
      </c>
      <c r="P9" s="71">
        <f>SUM(D9,F9,H9,J9,L9,N9)</f>
        <v>2737599</v>
      </c>
      <c r="Q9" s="62"/>
      <c r="R9" s="80" t="s">
        <v>168</v>
      </c>
      <c r="S9" s="16"/>
      <c r="T9" s="81">
        <f>IFERROR(INDEX($C62:$M62,MATCH($T$6,$C$3:$M$3,0)),0)</f>
        <v>300000</v>
      </c>
      <c r="U9" s="82">
        <v>0.3</v>
      </c>
      <c r="V9" s="83">
        <f t="shared" si="1"/>
        <v>90000</v>
      </c>
      <c r="W9" s="84">
        <f t="shared" si="2"/>
        <v>0.7</v>
      </c>
      <c r="X9" s="83">
        <f t="shared" si="3"/>
        <v>210000</v>
      </c>
      <c r="Y9" s="81">
        <f>IFERROR(ROUND(INDEX($C85:$M85,MATCH($T$6,$C$3:$M$3,0)),0),0)</f>
        <v>120</v>
      </c>
      <c r="Z9" s="83">
        <f t="shared" si="4"/>
        <v>36</v>
      </c>
      <c r="AA9" s="83">
        <f t="shared" si="5"/>
        <v>84</v>
      </c>
    </row>
    <row r="10" spans="1:27" x14ac:dyDescent="0.2">
      <c r="A10" s="75" t="s">
        <v>122</v>
      </c>
      <c r="B10" s="75"/>
      <c r="C10" s="85">
        <f t="shared" ref="C10:N10" si="7">IFERROR(C279/C281,0)</f>
        <v>0.15597198751121705</v>
      </c>
      <c r="D10" s="86">
        <f t="shared" si="7"/>
        <v>0</v>
      </c>
      <c r="E10" s="85">
        <f t="shared" si="7"/>
        <v>0.19733007222740692</v>
      </c>
      <c r="F10" s="86">
        <f t="shared" si="7"/>
        <v>0</v>
      </c>
      <c r="G10" s="85">
        <f t="shared" si="7"/>
        <v>0.74900400295927838</v>
      </c>
      <c r="H10" s="86">
        <f t="shared" si="7"/>
        <v>0.7038613032807215</v>
      </c>
      <c r="I10" s="85">
        <f t="shared" si="7"/>
        <v>0.40085261598996669</v>
      </c>
      <c r="J10" s="86">
        <f t="shared" si="7"/>
        <v>0</v>
      </c>
      <c r="K10" s="85">
        <f t="shared" si="7"/>
        <v>0.33268902500390024</v>
      </c>
      <c r="L10" s="86">
        <f t="shared" si="7"/>
        <v>0</v>
      </c>
      <c r="M10" s="85">
        <f t="shared" si="7"/>
        <v>0.28619702883952786</v>
      </c>
      <c r="N10" s="86">
        <f t="shared" si="7"/>
        <v>0</v>
      </c>
      <c r="O10" s="87">
        <f>IFERROR(O7/O9,0)</f>
        <v>0.29922279875035357</v>
      </c>
      <c r="P10" s="86">
        <f>IFERROR(P7/P9,0)</f>
        <v>0.7038613032807215</v>
      </c>
      <c r="Q10" s="62"/>
      <c r="R10" s="80" t="s">
        <v>95</v>
      </c>
      <c r="S10" s="16"/>
      <c r="T10" s="81">
        <f>IFERROR(INDEX($C113:$M113,MATCH($T$6,$C$3:$M$3,0)),0)</f>
        <v>0</v>
      </c>
      <c r="U10" s="82">
        <v>0</v>
      </c>
      <c r="V10" s="83">
        <f t="shared" si="1"/>
        <v>0</v>
      </c>
      <c r="W10" s="84">
        <f t="shared" si="2"/>
        <v>1</v>
      </c>
      <c r="X10" s="83">
        <f t="shared" si="3"/>
        <v>0</v>
      </c>
      <c r="Y10" s="81">
        <f>IFERROR(ROUND(INDEX($C136:$M136,MATCH($T$6,$C$3:$M$3,0)),0),0)</f>
        <v>0</v>
      </c>
      <c r="Z10" s="83">
        <f t="shared" si="4"/>
        <v>0</v>
      </c>
      <c r="AA10" s="83">
        <f t="shared" si="5"/>
        <v>0</v>
      </c>
    </row>
    <row r="11" spans="1:27" x14ac:dyDescent="0.2">
      <c r="A11" s="57"/>
      <c r="B11" s="57"/>
      <c r="C11" s="63"/>
      <c r="D11" s="57"/>
      <c r="E11" s="63"/>
      <c r="F11" s="57"/>
      <c r="G11" s="63"/>
      <c r="H11" s="57"/>
      <c r="I11" s="63"/>
      <c r="J11" s="57"/>
      <c r="K11" s="63"/>
      <c r="L11" s="57"/>
      <c r="M11" s="63"/>
      <c r="N11" s="57"/>
      <c r="O11" s="63"/>
      <c r="P11" s="57"/>
      <c r="Q11" s="62"/>
      <c r="R11" s="80" t="s">
        <v>96</v>
      </c>
      <c r="S11" s="16"/>
      <c r="T11" s="81">
        <f>IFERROR(INDEX($C155:$M155,MATCH($T$6,$C$3:$M$3,0)),0)</f>
        <v>0</v>
      </c>
      <c r="U11" s="82">
        <v>1</v>
      </c>
      <c r="V11" s="83">
        <f t="shared" si="1"/>
        <v>0</v>
      </c>
      <c r="W11" s="84">
        <f t="shared" si="2"/>
        <v>0</v>
      </c>
      <c r="X11" s="83">
        <f t="shared" si="3"/>
        <v>0</v>
      </c>
      <c r="Y11" s="81">
        <f>IFERROR(ROUND(INDEX($C178:$M178,MATCH($T$6,$C$3:$M$3,0)),0),0)</f>
        <v>0</v>
      </c>
      <c r="Z11" s="83">
        <f t="shared" si="4"/>
        <v>0</v>
      </c>
      <c r="AA11" s="83">
        <f t="shared" si="5"/>
        <v>0</v>
      </c>
    </row>
    <row r="12" spans="1:27" x14ac:dyDescent="0.2">
      <c r="A12" s="88" t="s">
        <v>169</v>
      </c>
      <c r="B12" s="9"/>
      <c r="C12" s="89"/>
      <c r="D12" s="9"/>
      <c r="E12" s="89"/>
      <c r="F12" s="9"/>
      <c r="G12" s="89"/>
      <c r="H12" s="9"/>
      <c r="I12" s="89"/>
      <c r="J12" s="9"/>
      <c r="K12" s="89"/>
      <c r="L12" s="9"/>
      <c r="M12" s="89"/>
      <c r="N12" s="9"/>
      <c r="O12" s="89"/>
      <c r="P12" s="90"/>
      <c r="Q12" s="62"/>
      <c r="R12" s="80" t="s">
        <v>97</v>
      </c>
      <c r="S12" s="16"/>
      <c r="T12" s="81">
        <f>IFERROR(INDEX($C193:$M193,MATCH($T$6,$C$3:$M$3,0)),0)</f>
        <v>0</v>
      </c>
      <c r="U12" s="82">
        <v>0.5</v>
      </c>
      <c r="V12" s="83">
        <f t="shared" si="1"/>
        <v>0</v>
      </c>
      <c r="W12" s="84">
        <f t="shared" si="2"/>
        <v>0.5</v>
      </c>
      <c r="X12" s="83">
        <f t="shared" si="3"/>
        <v>0</v>
      </c>
      <c r="Y12" s="81">
        <f>IFERROR(ROUND(INDEX($C216:$M216,MATCH($T$6,$C$3:$M$3,0)),0),0)</f>
        <v>0</v>
      </c>
      <c r="Z12" s="83">
        <f t="shared" si="4"/>
        <v>0</v>
      </c>
      <c r="AA12" s="83">
        <f t="shared" si="5"/>
        <v>0</v>
      </c>
    </row>
    <row r="13" spans="1:27" outlineLevel="1" x14ac:dyDescent="0.2">
      <c r="A13" s="91" t="s">
        <v>123</v>
      </c>
      <c r="B13" s="91"/>
      <c r="C13" s="92">
        <v>600</v>
      </c>
      <c r="D13" s="93"/>
      <c r="E13" s="92">
        <v>600</v>
      </c>
      <c r="F13" s="93"/>
      <c r="G13" s="92">
        <v>800</v>
      </c>
      <c r="H13" s="93">
        <v>1342</v>
      </c>
      <c r="I13" s="92">
        <v>1258</v>
      </c>
      <c r="J13" s="93"/>
      <c r="K13" s="92">
        <v>800</v>
      </c>
      <c r="L13" s="93"/>
      <c r="M13" s="92">
        <v>800</v>
      </c>
      <c r="N13" s="93"/>
      <c r="O13" s="94">
        <f>IFERROR(O54/O53,0)</f>
        <v>720.78970352053943</v>
      </c>
      <c r="P13" s="71">
        <f>IFERROR(P54/P53,0)</f>
        <v>1383.8586118251928</v>
      </c>
      <c r="Q13" s="62"/>
      <c r="R13" s="80" t="s">
        <v>124</v>
      </c>
      <c r="S13" s="16"/>
      <c r="T13" s="81">
        <f>IFERROR(INDEX($C231:$M231,MATCH($T$6,$C$3:$M$3,0)),0)</f>
        <v>300000</v>
      </c>
      <c r="U13" s="82">
        <v>1</v>
      </c>
      <c r="V13" s="83">
        <f t="shared" si="1"/>
        <v>300000</v>
      </c>
      <c r="W13" s="84">
        <f t="shared" si="2"/>
        <v>0</v>
      </c>
      <c r="X13" s="83">
        <f t="shared" si="3"/>
        <v>0</v>
      </c>
      <c r="Y13" s="81">
        <f>IFERROR(ROUND(INDEX($C254:$M254,MATCH($T$6,$C$3:$M$3,0)),0),0)</f>
        <v>5000</v>
      </c>
      <c r="Z13" s="83">
        <f t="shared" si="4"/>
        <v>5000</v>
      </c>
      <c r="AA13" s="83">
        <f t="shared" si="5"/>
        <v>0</v>
      </c>
    </row>
    <row r="14" spans="1:27" outlineLevel="1" x14ac:dyDescent="0.2">
      <c r="A14" s="91" t="s">
        <v>125</v>
      </c>
      <c r="B14" s="91"/>
      <c r="C14" s="95">
        <v>0.95</v>
      </c>
      <c r="D14" s="96">
        <f>IFERROR(D53/D49,0)</f>
        <v>0</v>
      </c>
      <c r="E14" s="95">
        <v>0.95</v>
      </c>
      <c r="F14" s="96">
        <f>IFERROR(F53/F49,0)</f>
        <v>0</v>
      </c>
      <c r="G14" s="95">
        <v>0.95</v>
      </c>
      <c r="H14" s="97">
        <f>IFERROR(H53/H49,0)</f>
        <v>0.57493349098433344</v>
      </c>
      <c r="I14" s="95">
        <v>0.95</v>
      </c>
      <c r="J14" s="96">
        <f>IFERROR(J53/J49,0)</f>
        <v>0</v>
      </c>
      <c r="K14" s="95">
        <v>0.95</v>
      </c>
      <c r="L14" s="96">
        <f>IFERROR(L53/L49,0)</f>
        <v>0</v>
      </c>
      <c r="M14" s="95">
        <v>0.95</v>
      </c>
      <c r="N14" s="96">
        <f>IFERROR(N53/N49,0)</f>
        <v>0</v>
      </c>
      <c r="O14" s="98">
        <f>IFERROR(O53/O49,0)</f>
        <v>0.95000000000000007</v>
      </c>
      <c r="P14" s="86">
        <f>IFERROR(P53/P49,0)</f>
        <v>0.57493349098433344</v>
      </c>
      <c r="Q14" s="62"/>
      <c r="R14" s="99" t="s">
        <v>17</v>
      </c>
      <c r="S14" s="100"/>
      <c r="T14" s="101">
        <f>SUM(T8:T13)</f>
        <v>1400000</v>
      </c>
      <c r="U14" s="102">
        <f>IFERROR(V14/T14,0)</f>
        <v>0.45</v>
      </c>
      <c r="V14" s="101">
        <f>SUM(V8:V13)</f>
        <v>630000</v>
      </c>
      <c r="W14" s="102">
        <f>IFERROR(X14/T14,0)</f>
        <v>0.55000000000000004</v>
      </c>
      <c r="X14" s="101">
        <f>SUM(X8:X13)</f>
        <v>770000</v>
      </c>
      <c r="Y14" s="101">
        <f>SUM(Y8:Y13)</f>
        <v>5428</v>
      </c>
      <c r="Z14" s="101">
        <f>SUM(Z8:Z13)</f>
        <v>5128</v>
      </c>
      <c r="AA14" s="101">
        <f>SUM(AA8:AA13)</f>
        <v>300</v>
      </c>
    </row>
    <row r="15" spans="1:27" outlineLevel="1" x14ac:dyDescent="0.2">
      <c r="A15" s="13" t="s">
        <v>126</v>
      </c>
      <c r="B15" s="13"/>
      <c r="C15" s="103"/>
      <c r="D15" s="13"/>
      <c r="E15" s="103"/>
      <c r="F15" s="13"/>
      <c r="G15" s="103"/>
      <c r="H15" s="13"/>
      <c r="I15" s="103"/>
      <c r="J15" s="13"/>
      <c r="K15" s="103"/>
      <c r="L15" s="13"/>
      <c r="M15" s="103"/>
      <c r="N15" s="13"/>
      <c r="O15" s="103"/>
      <c r="P15" s="104"/>
      <c r="Q15" s="62"/>
    </row>
    <row r="16" spans="1:27" outlineLevel="1" x14ac:dyDescent="0.2">
      <c r="A16" s="91" t="s">
        <v>35</v>
      </c>
      <c r="B16" s="91"/>
      <c r="C16" s="92">
        <v>59850</v>
      </c>
      <c r="D16" s="93"/>
      <c r="E16" s="92">
        <v>3154950</v>
      </c>
      <c r="F16" s="93"/>
      <c r="G16" s="92">
        <v>1200000</v>
      </c>
      <c r="H16" s="93">
        <f>1428033+16993</f>
        <v>1445026</v>
      </c>
      <c r="I16" s="92">
        <v>800000</v>
      </c>
      <c r="J16" s="93"/>
      <c r="K16" s="92">
        <v>1260000</v>
      </c>
      <c r="L16" s="93"/>
      <c r="M16" s="92">
        <v>1260000</v>
      </c>
      <c r="N16" s="93"/>
      <c r="O16" s="94">
        <f t="shared" ref="O16:O26" si="8">SUM(C16,E16,G16,I16,K16,M16)</f>
        <v>7734800</v>
      </c>
      <c r="P16" s="71">
        <f t="shared" ref="P16:P26" si="9">SUM(D16,F16,H16,J16,L16,N16)</f>
        <v>1445026</v>
      </c>
      <c r="Q16" s="62"/>
      <c r="R16" s="65" t="s">
        <v>127</v>
      </c>
      <c r="S16" s="65"/>
      <c r="T16" s="65"/>
      <c r="U16" s="65"/>
      <c r="V16" s="65"/>
      <c r="W16" s="65"/>
      <c r="X16" s="65"/>
      <c r="Y16" s="65"/>
    </row>
    <row r="17" spans="1:25" outlineLevel="1" x14ac:dyDescent="0.2">
      <c r="A17" s="91" t="s">
        <v>36</v>
      </c>
      <c r="B17" s="91"/>
      <c r="C17" s="92">
        <v>0</v>
      </c>
      <c r="D17" s="93"/>
      <c r="E17" s="92">
        <v>0</v>
      </c>
      <c r="F17" s="93"/>
      <c r="G17" s="92"/>
      <c r="H17" s="93"/>
      <c r="I17" s="92">
        <f>ROUND(G40*1.5*I29,0)</f>
        <v>0</v>
      </c>
      <c r="J17" s="93"/>
      <c r="K17" s="92"/>
      <c r="L17" s="93"/>
      <c r="M17" s="92"/>
      <c r="N17" s="93"/>
      <c r="O17" s="94">
        <f t="shared" si="8"/>
        <v>0</v>
      </c>
      <c r="P17" s="71">
        <f t="shared" si="9"/>
        <v>0</v>
      </c>
      <c r="Q17" s="62"/>
      <c r="R17" s="16" t="s">
        <v>111</v>
      </c>
      <c r="S17" s="16"/>
      <c r="T17" s="73" t="s">
        <v>14</v>
      </c>
      <c r="U17" s="16"/>
      <c r="V17" s="16"/>
      <c r="W17" s="16"/>
      <c r="X17" s="16"/>
      <c r="Y17" s="16"/>
    </row>
    <row r="18" spans="1:25" outlineLevel="1" x14ac:dyDescent="0.2">
      <c r="A18" s="91" t="s">
        <v>37</v>
      </c>
      <c r="B18" s="91"/>
      <c r="C18" s="92">
        <v>0</v>
      </c>
      <c r="D18" s="93"/>
      <c r="E18" s="92">
        <v>175275</v>
      </c>
      <c r="F18" s="93"/>
      <c r="G18" s="92">
        <v>150000</v>
      </c>
      <c r="H18" s="93">
        <f>56891</f>
        <v>56891</v>
      </c>
      <c r="I18" s="92">
        <v>150000</v>
      </c>
      <c r="J18" s="93"/>
      <c r="K18" s="92">
        <v>150000</v>
      </c>
      <c r="L18" s="93"/>
      <c r="M18" s="92">
        <v>150000</v>
      </c>
      <c r="N18" s="93"/>
      <c r="O18" s="94">
        <f t="shared" si="8"/>
        <v>775275</v>
      </c>
      <c r="P18" s="71">
        <f t="shared" si="9"/>
        <v>56891</v>
      </c>
      <c r="Q18" s="62"/>
      <c r="R18" s="77" t="s">
        <v>114</v>
      </c>
      <c r="S18" s="40"/>
      <c r="T18" s="40" t="s">
        <v>128</v>
      </c>
      <c r="U18" s="40" t="s">
        <v>129</v>
      </c>
      <c r="V18" s="40" t="s">
        <v>130</v>
      </c>
      <c r="W18" s="40" t="s">
        <v>131</v>
      </c>
      <c r="X18" s="40" t="s">
        <v>132</v>
      </c>
      <c r="Y18" s="40" t="s">
        <v>133</v>
      </c>
    </row>
    <row r="19" spans="1:25" outlineLevel="1" x14ac:dyDescent="0.2">
      <c r="A19" s="105" t="s">
        <v>134</v>
      </c>
      <c r="B19" s="91"/>
      <c r="C19" s="92">
        <v>0</v>
      </c>
      <c r="D19" s="93"/>
      <c r="E19" s="92">
        <v>0</v>
      </c>
      <c r="F19" s="93"/>
      <c r="G19" s="92"/>
      <c r="H19" s="93"/>
      <c r="I19" s="92">
        <f>ROUND(G42*1.5*I31,0)</f>
        <v>0</v>
      </c>
      <c r="J19" s="93"/>
      <c r="K19" s="92"/>
      <c r="L19" s="93"/>
      <c r="M19" s="92"/>
      <c r="N19" s="93"/>
      <c r="O19" s="94">
        <f t="shared" si="8"/>
        <v>0</v>
      </c>
      <c r="P19" s="71">
        <f t="shared" si="9"/>
        <v>0</v>
      </c>
      <c r="Q19" s="62"/>
      <c r="R19" s="80" t="s">
        <v>94</v>
      </c>
      <c r="S19" s="16"/>
      <c r="T19" s="81">
        <f>IFERROR(INDEX($C22:$M22,MATCH($T$17,$C$3:$M$3,0)),0)</f>
        <v>160000</v>
      </c>
      <c r="U19" s="81">
        <f>IFERROR(ROUND(INDEX($C45:$M45,MATCH($T$17,$C$3:$M$3,0)),0),0)</f>
        <v>1231</v>
      </c>
      <c r="V19" s="81">
        <f>IFERROR(INDEX($C23:$M23,MATCH($T$17,$C$3:$M$3,0)),0)</f>
        <v>300000</v>
      </c>
      <c r="W19" s="81">
        <f>IFERROR(ROUND(INDEX($C46:$M46,MATCH($T$17,$C$3:$M$3,0)),0),0)</f>
        <v>2308</v>
      </c>
      <c r="X19" s="83">
        <f t="shared" ref="X19:Y21" si="10">T19+V19</f>
        <v>460000</v>
      </c>
      <c r="Y19" s="83">
        <f t="shared" si="10"/>
        <v>3539</v>
      </c>
    </row>
    <row r="20" spans="1:25" outlineLevel="1" x14ac:dyDescent="0.2">
      <c r="A20" s="91" t="s">
        <v>39</v>
      </c>
      <c r="B20" s="91"/>
      <c r="C20" s="92">
        <v>0</v>
      </c>
      <c r="D20" s="93"/>
      <c r="E20" s="92">
        <v>0</v>
      </c>
      <c r="F20" s="93"/>
      <c r="G20" s="92"/>
      <c r="H20" s="93"/>
      <c r="I20" s="92">
        <f>ROUND(G43*1.5*I32,0)</f>
        <v>0</v>
      </c>
      <c r="J20" s="93"/>
      <c r="K20" s="92"/>
      <c r="L20" s="93"/>
      <c r="M20" s="92"/>
      <c r="N20" s="93"/>
      <c r="O20" s="94">
        <f t="shared" si="8"/>
        <v>0</v>
      </c>
      <c r="P20" s="71">
        <f t="shared" si="9"/>
        <v>0</v>
      </c>
      <c r="Q20" s="62"/>
      <c r="R20" s="80" t="s">
        <v>121</v>
      </c>
      <c r="S20" s="16"/>
      <c r="T20" s="81">
        <f>IFERROR(INDEX($C68:$M68,MATCH($T$17,$C$3:$M$3,0)),0)</f>
        <v>50000</v>
      </c>
      <c r="U20" s="81">
        <f>IFERROR(ROUND(INDEX($C91:$M91,MATCH($T$17,$C$3:$M$3,0)),0),0)</f>
        <v>385</v>
      </c>
      <c r="V20" s="81">
        <f>IFERROR(INDEX($C69:$M69,MATCH($T$17,$C$3:$M$3,0)),0)</f>
        <v>120000</v>
      </c>
      <c r="W20" s="81">
        <f>IFERROR(ROUND(INDEX($C92:$M92,MATCH($T$17,$C$3:$M$3,0)),0),0)</f>
        <v>923</v>
      </c>
      <c r="X20" s="83">
        <f t="shared" si="10"/>
        <v>170000</v>
      </c>
      <c r="Y20" s="83">
        <f t="shared" si="10"/>
        <v>1308</v>
      </c>
    </row>
    <row r="21" spans="1:25" outlineLevel="1" x14ac:dyDescent="0.2">
      <c r="A21" s="91" t="s">
        <v>40</v>
      </c>
      <c r="B21" s="91"/>
      <c r="C21" s="92">
        <v>0</v>
      </c>
      <c r="D21" s="93"/>
      <c r="E21" s="92">
        <v>105165</v>
      </c>
      <c r="F21" s="93"/>
      <c r="G21" s="92">
        <v>150000</v>
      </c>
      <c r="H21" s="93"/>
      <c r="I21" s="92">
        <v>110000</v>
      </c>
      <c r="J21" s="93"/>
      <c r="K21" s="92">
        <v>150000</v>
      </c>
      <c r="L21" s="93"/>
      <c r="M21" s="92">
        <v>150000</v>
      </c>
      <c r="N21" s="93"/>
      <c r="O21" s="94">
        <f t="shared" si="8"/>
        <v>665165</v>
      </c>
      <c r="P21" s="71">
        <f t="shared" si="9"/>
        <v>0</v>
      </c>
      <c r="Q21" s="62"/>
      <c r="R21" s="80" t="s">
        <v>95</v>
      </c>
      <c r="S21" s="16"/>
      <c r="T21" s="81">
        <f>IFERROR(INDEX($C119:$M119,MATCH($T$17,$C$3:$M$3,0)),0)</f>
        <v>0</v>
      </c>
      <c r="U21" s="81">
        <f>IFERROR(ROUND(INDEX($C142:$M142,MATCH($T$17,$C$3:$M$3,0)),0),0)</f>
        <v>0</v>
      </c>
      <c r="V21" s="81">
        <f>IFERROR(INDEX($C120:$M120,MATCH($T$17,$C$3:$M$3,0)),0)</f>
        <v>30000</v>
      </c>
      <c r="W21" s="81">
        <f>IFERROR(ROUND(INDEX($C143:$M143,MATCH($T$17,$C$3:$M$3,0)),0),0)</f>
        <v>29</v>
      </c>
      <c r="X21" s="83">
        <f t="shared" si="10"/>
        <v>30000</v>
      </c>
      <c r="Y21" s="83">
        <f t="shared" si="10"/>
        <v>29</v>
      </c>
    </row>
    <row r="22" spans="1:25" outlineLevel="1" x14ac:dyDescent="0.2">
      <c r="A22" s="91" t="s">
        <v>41</v>
      </c>
      <c r="B22" s="91"/>
      <c r="C22" s="92">
        <v>6650</v>
      </c>
      <c r="D22" s="93"/>
      <c r="E22" s="92">
        <v>70110</v>
      </c>
      <c r="F22" s="93"/>
      <c r="G22" s="92">
        <v>70000</v>
      </c>
      <c r="H22" s="93">
        <f>66728</f>
        <v>66728</v>
      </c>
      <c r="I22" s="92">
        <v>160000</v>
      </c>
      <c r="J22" s="93"/>
      <c r="K22" s="92">
        <v>100000</v>
      </c>
      <c r="L22" s="93"/>
      <c r="M22" s="92">
        <v>100000</v>
      </c>
      <c r="N22" s="93"/>
      <c r="O22" s="94">
        <f t="shared" si="8"/>
        <v>506760</v>
      </c>
      <c r="P22" s="71">
        <f t="shared" si="9"/>
        <v>66728</v>
      </c>
      <c r="Q22" s="62"/>
      <c r="R22" s="99" t="s">
        <v>17</v>
      </c>
      <c r="S22" s="100"/>
      <c r="T22" s="101">
        <f t="shared" ref="T22:Y22" si="11">SUM(T19:T21)</f>
        <v>210000</v>
      </c>
      <c r="U22" s="101">
        <f t="shared" si="11"/>
        <v>1616</v>
      </c>
      <c r="V22" s="101">
        <f t="shared" si="11"/>
        <v>450000</v>
      </c>
      <c r="W22" s="101">
        <f t="shared" si="11"/>
        <v>3260</v>
      </c>
      <c r="X22" s="101">
        <f t="shared" si="11"/>
        <v>660000</v>
      </c>
      <c r="Y22" s="101">
        <f t="shared" si="11"/>
        <v>4876</v>
      </c>
    </row>
    <row r="23" spans="1:25" outlineLevel="1" x14ac:dyDescent="0.2">
      <c r="A23" s="91" t="s">
        <v>135</v>
      </c>
      <c r="B23" s="91"/>
      <c r="C23" s="92">
        <v>0</v>
      </c>
      <c r="D23" s="93"/>
      <c r="E23" s="92">
        <v>0</v>
      </c>
      <c r="F23" s="93"/>
      <c r="G23" s="92">
        <v>70000</v>
      </c>
      <c r="H23" s="93">
        <f>132269</f>
        <v>132269</v>
      </c>
      <c r="I23" s="92">
        <v>300000</v>
      </c>
      <c r="J23" s="93"/>
      <c r="K23" s="92">
        <v>100000</v>
      </c>
      <c r="L23" s="93"/>
      <c r="M23" s="92">
        <v>100000</v>
      </c>
      <c r="N23" s="93"/>
      <c r="O23" s="94">
        <f t="shared" si="8"/>
        <v>570000</v>
      </c>
      <c r="P23" s="71">
        <f t="shared" si="9"/>
        <v>132269</v>
      </c>
      <c r="Q23" s="62"/>
    </row>
    <row r="24" spans="1:25" outlineLevel="1" x14ac:dyDescent="0.2">
      <c r="A24" s="91" t="s">
        <v>136</v>
      </c>
      <c r="B24" s="91"/>
      <c r="C24" s="92">
        <v>0</v>
      </c>
      <c r="D24" s="93"/>
      <c r="E24" s="92">
        <v>0</v>
      </c>
      <c r="F24" s="93"/>
      <c r="G24" s="92">
        <f>160000</f>
        <v>160000</v>
      </c>
      <c r="H24" s="93"/>
      <c r="I24" s="92">
        <v>241000</v>
      </c>
      <c r="J24" s="93"/>
      <c r="K24" s="92"/>
      <c r="L24" s="93"/>
      <c r="M24" s="92"/>
      <c r="N24" s="93"/>
      <c r="O24" s="94">
        <f t="shared" si="8"/>
        <v>401000</v>
      </c>
      <c r="P24" s="71">
        <f t="shared" si="9"/>
        <v>0</v>
      </c>
      <c r="Q24" s="62"/>
    </row>
    <row r="25" spans="1:25" outlineLevel="1" x14ac:dyDescent="0.2">
      <c r="A25" s="91" t="s">
        <v>137</v>
      </c>
      <c r="B25" s="91"/>
      <c r="C25" s="92">
        <v>0</v>
      </c>
      <c r="D25" s="93"/>
      <c r="E25" s="92">
        <v>0</v>
      </c>
      <c r="F25" s="93"/>
      <c r="G25" s="92"/>
      <c r="H25" s="93"/>
      <c r="I25" s="92">
        <v>200000</v>
      </c>
      <c r="J25" s="93"/>
      <c r="K25" s="92">
        <v>200000</v>
      </c>
      <c r="L25" s="93"/>
      <c r="M25" s="92">
        <v>250000</v>
      </c>
      <c r="N25" s="93"/>
      <c r="O25" s="94">
        <f t="shared" si="8"/>
        <v>650000</v>
      </c>
      <c r="P25" s="71">
        <f t="shared" si="9"/>
        <v>0</v>
      </c>
      <c r="Q25" s="62"/>
    </row>
    <row r="26" spans="1:25" outlineLevel="1" x14ac:dyDescent="0.2">
      <c r="A26" s="72" t="s">
        <v>132</v>
      </c>
      <c r="B26" s="72"/>
      <c r="C26" s="106">
        <f t="shared" ref="C26:N26" si="12">SUM(C16:C25)</f>
        <v>66500</v>
      </c>
      <c r="D26" s="107">
        <f t="shared" si="12"/>
        <v>0</v>
      </c>
      <c r="E26" s="106">
        <f t="shared" si="12"/>
        <v>3505500</v>
      </c>
      <c r="F26" s="107">
        <f t="shared" si="12"/>
        <v>0</v>
      </c>
      <c r="G26" s="106">
        <f t="shared" si="12"/>
        <v>1800000</v>
      </c>
      <c r="H26" s="107">
        <f t="shared" si="12"/>
        <v>1700914</v>
      </c>
      <c r="I26" s="106">
        <f t="shared" si="12"/>
        <v>1961000</v>
      </c>
      <c r="J26" s="107">
        <f t="shared" si="12"/>
        <v>0</v>
      </c>
      <c r="K26" s="106">
        <f t="shared" si="12"/>
        <v>1960000</v>
      </c>
      <c r="L26" s="107">
        <f t="shared" si="12"/>
        <v>0</v>
      </c>
      <c r="M26" s="106">
        <f t="shared" si="12"/>
        <v>2010000</v>
      </c>
      <c r="N26" s="107">
        <f t="shared" si="12"/>
        <v>0</v>
      </c>
      <c r="O26" s="94">
        <f t="shared" si="8"/>
        <v>11303000</v>
      </c>
      <c r="P26" s="71">
        <f t="shared" si="9"/>
        <v>1700914</v>
      </c>
      <c r="Q26" s="62"/>
    </row>
    <row r="27" spans="1:25" outlineLevel="1" x14ac:dyDescent="0.2">
      <c r="A27" s="13" t="s">
        <v>138</v>
      </c>
      <c r="B27" s="13"/>
      <c r="C27" s="103"/>
      <c r="D27" s="13"/>
      <c r="E27" s="103"/>
      <c r="F27" s="13"/>
      <c r="G27" s="103"/>
      <c r="H27" s="13"/>
      <c r="I27" s="103"/>
      <c r="J27" s="13"/>
      <c r="K27" s="103"/>
      <c r="L27" s="13"/>
      <c r="M27" s="103"/>
      <c r="N27" s="13"/>
      <c r="O27" s="103"/>
      <c r="P27" s="104"/>
      <c r="Q27" s="62"/>
    </row>
    <row r="28" spans="1:25" outlineLevel="2" x14ac:dyDescent="0.2">
      <c r="A28" s="91" t="s">
        <v>35</v>
      </c>
      <c r="B28" s="91"/>
      <c r="C28" s="92">
        <v>80</v>
      </c>
      <c r="D28" s="108">
        <f t="shared" ref="D28:D37" si="13">IFERROR(D16/D39,0)</f>
        <v>0</v>
      </c>
      <c r="E28" s="92">
        <v>103</v>
      </c>
      <c r="F28" s="108">
        <f t="shared" ref="F28:F37" si="14">IFERROR(F16/F39,0)</f>
        <v>0</v>
      </c>
      <c r="G28" s="92">
        <v>700</v>
      </c>
      <c r="H28" s="108">
        <f t="shared" ref="H28:H37" si="15">IFERROR(H16/H39,0)</f>
        <v>880.576477757465</v>
      </c>
      <c r="I28" s="92">
        <v>2600</v>
      </c>
      <c r="J28" s="108">
        <f t="shared" ref="J28:J37" si="16">IFERROR(J16/J39,0)</f>
        <v>0</v>
      </c>
      <c r="K28" s="92">
        <v>300</v>
      </c>
      <c r="L28" s="108">
        <f t="shared" ref="L28:L37" si="17">IFERROR(L16/L39,0)</f>
        <v>0</v>
      </c>
      <c r="M28" s="92">
        <v>280</v>
      </c>
      <c r="N28" s="108">
        <f t="shared" ref="N28:P37" si="18">IFERROR(N16/N39,0)</f>
        <v>0</v>
      </c>
      <c r="O28" s="94">
        <f t="shared" si="18"/>
        <v>183.72147388200855</v>
      </c>
      <c r="P28" s="71">
        <f t="shared" si="18"/>
        <v>880.576477757465</v>
      </c>
      <c r="Q28" s="62"/>
    </row>
    <row r="29" spans="1:25" outlineLevel="2" x14ac:dyDescent="0.2">
      <c r="A29" s="91" t="s">
        <v>36</v>
      </c>
      <c r="B29" s="91"/>
      <c r="C29" s="92">
        <v>80</v>
      </c>
      <c r="D29" s="108">
        <f t="shared" si="13"/>
        <v>0</v>
      </c>
      <c r="E29" s="92">
        <v>103</v>
      </c>
      <c r="F29" s="108">
        <f t="shared" si="14"/>
        <v>0</v>
      </c>
      <c r="G29" s="92">
        <v>103</v>
      </c>
      <c r="H29" s="108">
        <f t="shared" si="15"/>
        <v>0</v>
      </c>
      <c r="I29" s="92">
        <v>100</v>
      </c>
      <c r="J29" s="108">
        <f t="shared" si="16"/>
        <v>0</v>
      </c>
      <c r="K29" s="92">
        <v>103</v>
      </c>
      <c r="L29" s="109">
        <f t="shared" si="17"/>
        <v>0</v>
      </c>
      <c r="M29" s="110">
        <v>100</v>
      </c>
      <c r="N29" s="109">
        <f t="shared" si="18"/>
        <v>0</v>
      </c>
      <c r="O29" s="94">
        <f t="shared" si="18"/>
        <v>0</v>
      </c>
      <c r="P29" s="71">
        <f t="shared" si="18"/>
        <v>0</v>
      </c>
      <c r="Q29" s="62"/>
    </row>
    <row r="30" spans="1:25" outlineLevel="2" x14ac:dyDescent="0.2">
      <c r="A30" s="91" t="s">
        <v>37</v>
      </c>
      <c r="B30" s="91"/>
      <c r="C30" s="92">
        <v>80</v>
      </c>
      <c r="D30" s="108">
        <f t="shared" si="13"/>
        <v>0</v>
      </c>
      <c r="E30" s="92">
        <v>103</v>
      </c>
      <c r="F30" s="108">
        <f t="shared" si="14"/>
        <v>0</v>
      </c>
      <c r="G30" s="92">
        <v>500</v>
      </c>
      <c r="H30" s="108">
        <f t="shared" si="15"/>
        <v>1673.2647058823529</v>
      </c>
      <c r="I30" s="92">
        <v>600</v>
      </c>
      <c r="J30" s="108">
        <f t="shared" si="16"/>
        <v>0</v>
      </c>
      <c r="K30" s="92">
        <v>300</v>
      </c>
      <c r="L30" s="109">
        <f t="shared" si="17"/>
        <v>0</v>
      </c>
      <c r="M30" s="110">
        <v>350</v>
      </c>
      <c r="N30" s="109">
        <f t="shared" si="18"/>
        <v>0</v>
      </c>
      <c r="O30" s="94">
        <f t="shared" si="18"/>
        <v>243.77643672521506</v>
      </c>
      <c r="P30" s="71">
        <f t="shared" si="18"/>
        <v>1673.2647058823529</v>
      </c>
      <c r="Q30" s="62"/>
    </row>
    <row r="31" spans="1:25" outlineLevel="2" x14ac:dyDescent="0.2">
      <c r="A31" s="105" t="s">
        <v>134</v>
      </c>
      <c r="B31" s="91"/>
      <c r="C31" s="92">
        <v>80</v>
      </c>
      <c r="D31" s="108">
        <f t="shared" si="13"/>
        <v>0</v>
      </c>
      <c r="E31" s="92">
        <v>103</v>
      </c>
      <c r="F31" s="108">
        <f t="shared" si="14"/>
        <v>0</v>
      </c>
      <c r="G31" s="92">
        <v>103</v>
      </c>
      <c r="H31" s="108">
        <f t="shared" si="15"/>
        <v>0</v>
      </c>
      <c r="I31" s="92">
        <f>ROUND(G31*0.7,0)</f>
        <v>72</v>
      </c>
      <c r="J31" s="108">
        <f t="shared" si="16"/>
        <v>0</v>
      </c>
      <c r="K31" s="92">
        <v>103</v>
      </c>
      <c r="L31" s="108">
        <f t="shared" si="17"/>
        <v>0</v>
      </c>
      <c r="M31" s="92">
        <v>103</v>
      </c>
      <c r="N31" s="108">
        <f t="shared" si="18"/>
        <v>0</v>
      </c>
      <c r="O31" s="94">
        <f t="shared" si="18"/>
        <v>0</v>
      </c>
      <c r="P31" s="71">
        <f t="shared" si="18"/>
        <v>0</v>
      </c>
      <c r="Q31" s="62"/>
    </row>
    <row r="32" spans="1:25" outlineLevel="2" x14ac:dyDescent="0.2">
      <c r="A32" s="91" t="s">
        <v>39</v>
      </c>
      <c r="B32" s="91"/>
      <c r="C32" s="92">
        <v>80</v>
      </c>
      <c r="D32" s="108">
        <f t="shared" si="13"/>
        <v>0</v>
      </c>
      <c r="E32" s="92">
        <v>103</v>
      </c>
      <c r="F32" s="108">
        <f t="shared" si="14"/>
        <v>0</v>
      </c>
      <c r="G32" s="92">
        <v>103</v>
      </c>
      <c r="H32" s="108">
        <f t="shared" si="15"/>
        <v>0</v>
      </c>
      <c r="I32" s="92">
        <f>ROUND(G32*0.7,0)</f>
        <v>72</v>
      </c>
      <c r="J32" s="108">
        <f t="shared" si="16"/>
        <v>0</v>
      </c>
      <c r="K32" s="92">
        <v>103</v>
      </c>
      <c r="L32" s="108">
        <f t="shared" si="17"/>
        <v>0</v>
      </c>
      <c r="M32" s="92">
        <v>103</v>
      </c>
      <c r="N32" s="108">
        <f t="shared" si="18"/>
        <v>0</v>
      </c>
      <c r="O32" s="94">
        <f t="shared" si="18"/>
        <v>0</v>
      </c>
      <c r="P32" s="71">
        <f t="shared" si="18"/>
        <v>0</v>
      </c>
      <c r="Q32" s="62"/>
    </row>
    <row r="33" spans="1:17" outlineLevel="2" x14ac:dyDescent="0.2">
      <c r="A33" s="91" t="s">
        <v>40</v>
      </c>
      <c r="B33" s="91"/>
      <c r="C33" s="92">
        <v>80</v>
      </c>
      <c r="D33" s="108">
        <f t="shared" si="13"/>
        <v>0</v>
      </c>
      <c r="E33" s="92">
        <v>103</v>
      </c>
      <c r="F33" s="108">
        <f t="shared" si="14"/>
        <v>0</v>
      </c>
      <c r="G33" s="92">
        <v>5000</v>
      </c>
      <c r="H33" s="108">
        <f t="shared" si="15"/>
        <v>0</v>
      </c>
      <c r="I33" s="92">
        <v>5000</v>
      </c>
      <c r="J33" s="108">
        <f t="shared" si="16"/>
        <v>0</v>
      </c>
      <c r="K33" s="92">
        <v>300</v>
      </c>
      <c r="L33" s="108">
        <f t="shared" si="17"/>
        <v>0</v>
      </c>
      <c r="M33" s="92">
        <v>100</v>
      </c>
      <c r="N33" s="108">
        <f t="shared" si="18"/>
        <v>0</v>
      </c>
      <c r="O33" s="94">
        <f t="shared" si="18"/>
        <v>216.45323691003125</v>
      </c>
      <c r="P33" s="71">
        <f t="shared" si="18"/>
        <v>0</v>
      </c>
      <c r="Q33" s="62"/>
    </row>
    <row r="34" spans="1:17" outlineLevel="2" x14ac:dyDescent="0.2">
      <c r="A34" s="91" t="s">
        <v>41</v>
      </c>
      <c r="B34" s="91"/>
      <c r="C34" s="92">
        <v>80</v>
      </c>
      <c r="D34" s="108">
        <f t="shared" si="13"/>
        <v>0</v>
      </c>
      <c r="E34" s="92">
        <v>103</v>
      </c>
      <c r="F34" s="108">
        <f t="shared" si="14"/>
        <v>0</v>
      </c>
      <c r="G34" s="92">
        <v>150</v>
      </c>
      <c r="H34" s="108">
        <f t="shared" si="15"/>
        <v>123.79962894248608</v>
      </c>
      <c r="I34" s="92">
        <v>130</v>
      </c>
      <c r="J34" s="108">
        <f t="shared" si="16"/>
        <v>0</v>
      </c>
      <c r="K34" s="92">
        <v>120</v>
      </c>
      <c r="L34" s="108">
        <f t="shared" si="17"/>
        <v>0</v>
      </c>
      <c r="M34" s="92">
        <v>120</v>
      </c>
      <c r="N34" s="108">
        <f t="shared" si="18"/>
        <v>0</v>
      </c>
      <c r="O34" s="94">
        <f t="shared" si="18"/>
        <v>122.76438844765259</v>
      </c>
      <c r="P34" s="71">
        <f t="shared" si="18"/>
        <v>123.79962894248608</v>
      </c>
      <c r="Q34" s="62"/>
    </row>
    <row r="35" spans="1:17" outlineLevel="2" x14ac:dyDescent="0.2">
      <c r="A35" s="91" t="s">
        <v>135</v>
      </c>
      <c r="B35" s="91"/>
      <c r="C35" s="92">
        <v>80</v>
      </c>
      <c r="D35" s="108">
        <f t="shared" si="13"/>
        <v>0</v>
      </c>
      <c r="E35" s="92">
        <v>103</v>
      </c>
      <c r="F35" s="108">
        <f t="shared" si="14"/>
        <v>0</v>
      </c>
      <c r="G35" s="92">
        <v>150</v>
      </c>
      <c r="H35" s="108">
        <f t="shared" si="15"/>
        <v>113.14713430282292</v>
      </c>
      <c r="I35" s="92">
        <v>130</v>
      </c>
      <c r="J35" s="108">
        <f t="shared" si="16"/>
        <v>0</v>
      </c>
      <c r="K35" s="92">
        <v>120</v>
      </c>
      <c r="L35" s="108">
        <f t="shared" si="17"/>
        <v>0</v>
      </c>
      <c r="M35" s="92">
        <v>120</v>
      </c>
      <c r="N35" s="108">
        <f t="shared" si="18"/>
        <v>0</v>
      </c>
      <c r="O35" s="94">
        <f t="shared" si="18"/>
        <v>128.34872979214782</v>
      </c>
      <c r="P35" s="71">
        <f t="shared" si="18"/>
        <v>113.14713430282292</v>
      </c>
      <c r="Q35" s="62"/>
    </row>
    <row r="36" spans="1:17" outlineLevel="2" x14ac:dyDescent="0.2">
      <c r="A36" s="105" t="s">
        <v>136</v>
      </c>
      <c r="B36" s="91"/>
      <c r="C36" s="92">
        <v>80</v>
      </c>
      <c r="D36" s="108">
        <f t="shared" si="13"/>
        <v>0</v>
      </c>
      <c r="E36" s="92">
        <v>103</v>
      </c>
      <c r="F36" s="108">
        <f t="shared" si="14"/>
        <v>0</v>
      </c>
      <c r="G36" s="92">
        <v>400</v>
      </c>
      <c r="H36" s="108">
        <f t="shared" si="15"/>
        <v>0</v>
      </c>
      <c r="I36" s="92">
        <v>700</v>
      </c>
      <c r="J36" s="108">
        <f t="shared" si="16"/>
        <v>0</v>
      </c>
      <c r="K36" s="92">
        <v>103</v>
      </c>
      <c r="L36" s="108">
        <f t="shared" si="17"/>
        <v>0</v>
      </c>
      <c r="M36" s="92">
        <v>103</v>
      </c>
      <c r="N36" s="108">
        <f t="shared" si="18"/>
        <v>0</v>
      </c>
      <c r="O36" s="94">
        <f t="shared" si="18"/>
        <v>538.77159309021113</v>
      </c>
      <c r="P36" s="71">
        <f t="shared" si="18"/>
        <v>0</v>
      </c>
      <c r="Q36" s="62"/>
    </row>
    <row r="37" spans="1:17" outlineLevel="2" x14ac:dyDescent="0.2">
      <c r="A37" s="91" t="s">
        <v>137</v>
      </c>
      <c r="B37" s="91"/>
      <c r="C37" s="92">
        <v>80</v>
      </c>
      <c r="D37" s="108">
        <f t="shared" si="13"/>
        <v>0</v>
      </c>
      <c r="E37" s="92">
        <v>103</v>
      </c>
      <c r="F37" s="108">
        <f t="shared" si="14"/>
        <v>0</v>
      </c>
      <c r="G37" s="92">
        <v>103</v>
      </c>
      <c r="H37" s="108">
        <f t="shared" si="15"/>
        <v>0</v>
      </c>
      <c r="I37" s="92">
        <v>7000</v>
      </c>
      <c r="J37" s="108">
        <f t="shared" si="16"/>
        <v>0</v>
      </c>
      <c r="K37" s="92">
        <v>103</v>
      </c>
      <c r="L37" s="108">
        <f t="shared" si="17"/>
        <v>0</v>
      </c>
      <c r="M37" s="92">
        <v>103</v>
      </c>
      <c r="N37" s="108">
        <f t="shared" si="18"/>
        <v>0</v>
      </c>
      <c r="O37" s="94">
        <f t="shared" si="18"/>
        <v>147.8111398473475</v>
      </c>
      <c r="P37" s="71">
        <f t="shared" si="18"/>
        <v>0</v>
      </c>
      <c r="Q37" s="62"/>
    </row>
    <row r="38" spans="1:17" outlineLevel="1" x14ac:dyDescent="0.2">
      <c r="A38" s="13" t="s">
        <v>139</v>
      </c>
      <c r="B38" s="13"/>
      <c r="C38" s="103"/>
      <c r="D38" s="13"/>
      <c r="E38" s="103"/>
      <c r="F38" s="13"/>
      <c r="G38" s="103"/>
      <c r="H38" s="13"/>
      <c r="I38" s="103"/>
      <c r="J38" s="13"/>
      <c r="K38" s="103"/>
      <c r="L38" s="13"/>
      <c r="M38" s="103"/>
      <c r="N38" s="13"/>
      <c r="O38" s="103"/>
      <c r="P38" s="104"/>
      <c r="Q38" s="62"/>
    </row>
    <row r="39" spans="1:17" outlineLevel="2" x14ac:dyDescent="0.2">
      <c r="A39" s="91" t="s">
        <v>35</v>
      </c>
      <c r="B39" s="91"/>
      <c r="C39" s="111">
        <f t="shared" ref="C39:C48" si="19">IFERROR(C16/C28,0)</f>
        <v>748.125</v>
      </c>
      <c r="D39" s="93"/>
      <c r="E39" s="111">
        <f t="shared" ref="E39:E48" si="20">IFERROR(E16/E28,0)</f>
        <v>30630.582524271846</v>
      </c>
      <c r="F39" s="93"/>
      <c r="G39" s="111">
        <f t="shared" ref="G39:G48" si="21">IFERROR(G16/G28,0)</f>
        <v>1714.2857142857142</v>
      </c>
      <c r="H39" s="93">
        <f>517+3+5+1116</f>
        <v>1641</v>
      </c>
      <c r="I39" s="111">
        <f t="shared" ref="I39:I48" si="22">IFERROR(I16/I28,0)</f>
        <v>307.69230769230768</v>
      </c>
      <c r="J39" s="93"/>
      <c r="K39" s="111">
        <f t="shared" ref="K39:K48" si="23">IFERROR(K16/K28,0)</f>
        <v>4200</v>
      </c>
      <c r="L39" s="93"/>
      <c r="M39" s="111">
        <f t="shared" ref="M39:M48" si="24">IFERROR(M16/M28,0)</f>
        <v>4500</v>
      </c>
      <c r="N39" s="93"/>
      <c r="O39" s="94">
        <f t="shared" ref="O39:O49" si="25">SUM(C39,E39,G39,I39,K39,M39)</f>
        <v>42100.685546249864</v>
      </c>
      <c r="P39" s="71">
        <f t="shared" ref="P39:P49" si="26">SUM(D39,F39,H39,J39,L39,N39)</f>
        <v>1641</v>
      </c>
      <c r="Q39" s="62"/>
    </row>
    <row r="40" spans="1:17" outlineLevel="2" x14ac:dyDescent="0.2">
      <c r="A40" s="91" t="s">
        <v>36</v>
      </c>
      <c r="B40" s="91"/>
      <c r="C40" s="111">
        <f t="shared" si="19"/>
        <v>0</v>
      </c>
      <c r="D40" s="93"/>
      <c r="E40" s="111">
        <f t="shared" si="20"/>
        <v>0</v>
      </c>
      <c r="F40" s="93"/>
      <c r="G40" s="111">
        <f t="shared" si="21"/>
        <v>0</v>
      </c>
      <c r="H40" s="93"/>
      <c r="I40" s="111">
        <f t="shared" si="22"/>
        <v>0</v>
      </c>
      <c r="J40" s="93"/>
      <c r="K40" s="111">
        <f t="shared" si="23"/>
        <v>0</v>
      </c>
      <c r="L40" s="93"/>
      <c r="M40" s="111">
        <f t="shared" si="24"/>
        <v>0</v>
      </c>
      <c r="N40" s="93"/>
      <c r="O40" s="94">
        <f t="shared" si="25"/>
        <v>0</v>
      </c>
      <c r="P40" s="71">
        <f t="shared" si="26"/>
        <v>0</v>
      </c>
      <c r="Q40" s="62"/>
    </row>
    <row r="41" spans="1:17" outlineLevel="2" x14ac:dyDescent="0.2">
      <c r="A41" s="91" t="s">
        <v>37</v>
      </c>
      <c r="B41" s="91"/>
      <c r="C41" s="111">
        <f t="shared" si="19"/>
        <v>0</v>
      </c>
      <c r="D41" s="93"/>
      <c r="E41" s="111">
        <f t="shared" si="20"/>
        <v>1701.6990291262136</v>
      </c>
      <c r="F41" s="93"/>
      <c r="G41" s="111">
        <f t="shared" si="21"/>
        <v>300</v>
      </c>
      <c r="H41" s="93">
        <f>34</f>
        <v>34</v>
      </c>
      <c r="I41" s="111">
        <f t="shared" si="22"/>
        <v>250</v>
      </c>
      <c r="J41" s="93"/>
      <c r="K41" s="111">
        <f t="shared" si="23"/>
        <v>500</v>
      </c>
      <c r="L41" s="93"/>
      <c r="M41" s="111">
        <f t="shared" si="24"/>
        <v>428.57142857142856</v>
      </c>
      <c r="N41" s="93"/>
      <c r="O41" s="94">
        <f t="shared" si="25"/>
        <v>3180.2704576976421</v>
      </c>
      <c r="P41" s="71">
        <f t="shared" si="26"/>
        <v>34</v>
      </c>
      <c r="Q41" s="62"/>
    </row>
    <row r="42" spans="1:17" outlineLevel="2" x14ac:dyDescent="0.2">
      <c r="A42" s="105" t="s">
        <v>134</v>
      </c>
      <c r="B42" s="91"/>
      <c r="C42" s="111">
        <f t="shared" si="19"/>
        <v>0</v>
      </c>
      <c r="D42" s="93"/>
      <c r="E42" s="111">
        <f t="shared" si="20"/>
        <v>0</v>
      </c>
      <c r="F42" s="93"/>
      <c r="G42" s="111">
        <f t="shared" si="21"/>
        <v>0</v>
      </c>
      <c r="H42" s="93"/>
      <c r="I42" s="111">
        <f t="shared" si="22"/>
        <v>0</v>
      </c>
      <c r="J42" s="93"/>
      <c r="K42" s="111">
        <f t="shared" si="23"/>
        <v>0</v>
      </c>
      <c r="L42" s="93"/>
      <c r="M42" s="111">
        <f t="shared" si="24"/>
        <v>0</v>
      </c>
      <c r="N42" s="93"/>
      <c r="O42" s="94">
        <f t="shared" si="25"/>
        <v>0</v>
      </c>
      <c r="P42" s="71">
        <f t="shared" si="26"/>
        <v>0</v>
      </c>
      <c r="Q42" s="62"/>
    </row>
    <row r="43" spans="1:17" outlineLevel="2" x14ac:dyDescent="0.2">
      <c r="A43" s="91" t="s">
        <v>39</v>
      </c>
      <c r="B43" s="91"/>
      <c r="C43" s="111">
        <f t="shared" si="19"/>
        <v>0</v>
      </c>
      <c r="D43" s="93"/>
      <c r="E43" s="111">
        <f t="shared" si="20"/>
        <v>0</v>
      </c>
      <c r="F43" s="93"/>
      <c r="G43" s="111">
        <f t="shared" si="21"/>
        <v>0</v>
      </c>
      <c r="H43" s="93"/>
      <c r="I43" s="111">
        <f t="shared" si="22"/>
        <v>0</v>
      </c>
      <c r="J43" s="93"/>
      <c r="K43" s="111">
        <f t="shared" si="23"/>
        <v>0</v>
      </c>
      <c r="L43" s="93"/>
      <c r="M43" s="111">
        <f t="shared" si="24"/>
        <v>0</v>
      </c>
      <c r="N43" s="93"/>
      <c r="O43" s="94">
        <f t="shared" si="25"/>
        <v>0</v>
      </c>
      <c r="P43" s="71">
        <f t="shared" si="26"/>
        <v>0</v>
      </c>
      <c r="Q43" s="62"/>
    </row>
    <row r="44" spans="1:17" outlineLevel="2" x14ac:dyDescent="0.2">
      <c r="A44" s="91" t="s">
        <v>40</v>
      </c>
      <c r="B44" s="91"/>
      <c r="C44" s="111">
        <f t="shared" si="19"/>
        <v>0</v>
      </c>
      <c r="D44" s="93"/>
      <c r="E44" s="111">
        <f t="shared" si="20"/>
        <v>1021.0194174757281</v>
      </c>
      <c r="F44" s="93"/>
      <c r="G44" s="111">
        <f t="shared" si="21"/>
        <v>30</v>
      </c>
      <c r="H44" s="93"/>
      <c r="I44" s="111">
        <f t="shared" si="22"/>
        <v>22</v>
      </c>
      <c r="J44" s="93"/>
      <c r="K44" s="111">
        <f t="shared" si="23"/>
        <v>500</v>
      </c>
      <c r="L44" s="93"/>
      <c r="M44" s="111">
        <f t="shared" si="24"/>
        <v>1500</v>
      </c>
      <c r="N44" s="93"/>
      <c r="O44" s="94">
        <f t="shared" si="25"/>
        <v>3073.019417475728</v>
      </c>
      <c r="P44" s="71">
        <f t="shared" si="26"/>
        <v>0</v>
      </c>
      <c r="Q44" s="62"/>
    </row>
    <row r="45" spans="1:17" outlineLevel="2" x14ac:dyDescent="0.2">
      <c r="A45" s="91" t="s">
        <v>41</v>
      </c>
      <c r="B45" s="91"/>
      <c r="C45" s="111">
        <f t="shared" si="19"/>
        <v>83.125</v>
      </c>
      <c r="D45" s="93"/>
      <c r="E45" s="111">
        <f t="shared" si="20"/>
        <v>680.67961165048541</v>
      </c>
      <c r="F45" s="93"/>
      <c r="G45" s="111">
        <f t="shared" si="21"/>
        <v>466.66666666666669</v>
      </c>
      <c r="H45" s="93">
        <f>539</f>
        <v>539</v>
      </c>
      <c r="I45" s="111">
        <f t="shared" si="22"/>
        <v>1230.7692307692307</v>
      </c>
      <c r="J45" s="93"/>
      <c r="K45" s="111">
        <f t="shared" si="23"/>
        <v>833.33333333333337</v>
      </c>
      <c r="L45" s="93"/>
      <c r="M45" s="111">
        <f t="shared" si="24"/>
        <v>833.33333333333337</v>
      </c>
      <c r="N45" s="93"/>
      <c r="O45" s="94">
        <f t="shared" si="25"/>
        <v>4127.9071757530501</v>
      </c>
      <c r="P45" s="71">
        <f t="shared" si="26"/>
        <v>539</v>
      </c>
      <c r="Q45" s="62"/>
    </row>
    <row r="46" spans="1:17" outlineLevel="2" x14ac:dyDescent="0.2">
      <c r="A46" s="91" t="s">
        <v>135</v>
      </c>
      <c r="B46" s="91"/>
      <c r="C46" s="111">
        <f t="shared" si="19"/>
        <v>0</v>
      </c>
      <c r="D46" s="93"/>
      <c r="E46" s="111">
        <f t="shared" si="20"/>
        <v>0</v>
      </c>
      <c r="F46" s="93"/>
      <c r="G46" s="111">
        <f t="shared" si="21"/>
        <v>466.66666666666669</v>
      </c>
      <c r="H46" s="93">
        <f>1169</f>
        <v>1169</v>
      </c>
      <c r="I46" s="111">
        <f t="shared" si="22"/>
        <v>2307.6923076923076</v>
      </c>
      <c r="J46" s="93"/>
      <c r="K46" s="111">
        <f t="shared" si="23"/>
        <v>833.33333333333337</v>
      </c>
      <c r="L46" s="93"/>
      <c r="M46" s="111">
        <f t="shared" si="24"/>
        <v>833.33333333333337</v>
      </c>
      <c r="N46" s="93"/>
      <c r="O46" s="94">
        <f t="shared" si="25"/>
        <v>4441.0256410256407</v>
      </c>
      <c r="P46" s="71">
        <f t="shared" si="26"/>
        <v>1169</v>
      </c>
      <c r="Q46" s="62"/>
    </row>
    <row r="47" spans="1:17" outlineLevel="2" x14ac:dyDescent="0.2">
      <c r="A47" s="105" t="s">
        <v>136</v>
      </c>
      <c r="B47" s="91"/>
      <c r="C47" s="111">
        <f t="shared" si="19"/>
        <v>0</v>
      </c>
      <c r="D47" s="93"/>
      <c r="E47" s="111">
        <f t="shared" si="20"/>
        <v>0</v>
      </c>
      <c r="F47" s="93"/>
      <c r="G47" s="111">
        <f t="shared" si="21"/>
        <v>400</v>
      </c>
      <c r="H47" s="93"/>
      <c r="I47" s="111">
        <f t="shared" si="22"/>
        <v>344.28571428571428</v>
      </c>
      <c r="J47" s="93"/>
      <c r="K47" s="111">
        <f t="shared" si="23"/>
        <v>0</v>
      </c>
      <c r="L47" s="93"/>
      <c r="M47" s="111">
        <f t="shared" si="24"/>
        <v>0</v>
      </c>
      <c r="N47" s="93"/>
      <c r="O47" s="94">
        <f t="shared" si="25"/>
        <v>744.28571428571422</v>
      </c>
      <c r="P47" s="71">
        <f t="shared" si="26"/>
        <v>0</v>
      </c>
      <c r="Q47" s="62"/>
    </row>
    <row r="48" spans="1:17" outlineLevel="2" x14ac:dyDescent="0.2">
      <c r="A48" s="91" t="s">
        <v>137</v>
      </c>
      <c r="B48" s="91"/>
      <c r="C48" s="111">
        <f t="shared" si="19"/>
        <v>0</v>
      </c>
      <c r="D48" s="93"/>
      <c r="E48" s="111">
        <f t="shared" si="20"/>
        <v>0</v>
      </c>
      <c r="F48" s="93"/>
      <c r="G48" s="111">
        <f t="shared" si="21"/>
        <v>0</v>
      </c>
      <c r="H48" s="93"/>
      <c r="I48" s="111">
        <f t="shared" si="22"/>
        <v>28.571428571428573</v>
      </c>
      <c r="J48" s="93"/>
      <c r="K48" s="111">
        <f t="shared" si="23"/>
        <v>1941.7475728155339</v>
      </c>
      <c r="L48" s="93"/>
      <c r="M48" s="111">
        <f t="shared" si="24"/>
        <v>2427.1844660194174</v>
      </c>
      <c r="N48" s="93"/>
      <c r="O48" s="94">
        <f t="shared" si="25"/>
        <v>4397.50346740638</v>
      </c>
      <c r="P48" s="71">
        <f t="shared" si="26"/>
        <v>0</v>
      </c>
      <c r="Q48" s="62"/>
    </row>
    <row r="49" spans="1:18" outlineLevel="1" x14ac:dyDescent="0.2">
      <c r="A49" s="72" t="s">
        <v>133</v>
      </c>
      <c r="B49" s="72"/>
      <c r="C49" s="106">
        <f t="shared" ref="C49:N49" si="27">SUM(C39:C48)</f>
        <v>831.25</v>
      </c>
      <c r="D49" s="107">
        <f t="shared" si="27"/>
        <v>0</v>
      </c>
      <c r="E49" s="106">
        <f t="shared" si="27"/>
        <v>34033.980582524273</v>
      </c>
      <c r="F49" s="107">
        <f t="shared" si="27"/>
        <v>0</v>
      </c>
      <c r="G49" s="106">
        <f t="shared" si="27"/>
        <v>3377.6190476190473</v>
      </c>
      <c r="H49" s="107">
        <f t="shared" si="27"/>
        <v>3383</v>
      </c>
      <c r="I49" s="106">
        <f t="shared" si="27"/>
        <v>4491.0109890109889</v>
      </c>
      <c r="J49" s="107">
        <f t="shared" si="27"/>
        <v>0</v>
      </c>
      <c r="K49" s="106">
        <f t="shared" si="27"/>
        <v>8808.4142394821993</v>
      </c>
      <c r="L49" s="107">
        <f t="shared" si="27"/>
        <v>0</v>
      </c>
      <c r="M49" s="106">
        <f t="shared" si="27"/>
        <v>10522.422561257512</v>
      </c>
      <c r="N49" s="107">
        <f t="shared" si="27"/>
        <v>0</v>
      </c>
      <c r="O49" s="94">
        <f t="shared" si="25"/>
        <v>62064.697419894015</v>
      </c>
      <c r="P49" s="71">
        <f t="shared" si="26"/>
        <v>3383</v>
      </c>
      <c r="Q49" s="62"/>
    </row>
    <row r="50" spans="1:18" outlineLevel="1" x14ac:dyDescent="0.2">
      <c r="A50" s="91" t="s">
        <v>140</v>
      </c>
      <c r="B50" s="91"/>
      <c r="C50" s="112">
        <v>1.0900000000000001</v>
      </c>
      <c r="D50" s="113"/>
      <c r="E50" s="112">
        <v>1.0900000000000001</v>
      </c>
      <c r="F50" s="113"/>
      <c r="G50" s="112">
        <v>1.0900000000000001</v>
      </c>
      <c r="H50" s="113"/>
      <c r="I50" s="112">
        <v>1.0900000000000001</v>
      </c>
      <c r="J50" s="113"/>
      <c r="K50" s="112">
        <v>1.0900000000000001</v>
      </c>
      <c r="L50" s="113"/>
      <c r="M50" s="112">
        <v>1.0900000000000001</v>
      </c>
      <c r="N50" s="113"/>
      <c r="O50" s="114"/>
      <c r="P50" s="115"/>
      <c r="Q50" s="62"/>
    </row>
    <row r="51" spans="1:18" outlineLevel="1" x14ac:dyDescent="0.2">
      <c r="A51" s="72" t="s">
        <v>141</v>
      </c>
      <c r="B51" s="72"/>
      <c r="C51" s="106">
        <f>C49*C50</f>
        <v>906.06250000000011</v>
      </c>
      <c r="D51" s="107">
        <f>D49*C50</f>
        <v>0</v>
      </c>
      <c r="E51" s="106">
        <f>E49*E50</f>
        <v>37097.038834951461</v>
      </c>
      <c r="F51" s="107">
        <f>F49*E50</f>
        <v>0</v>
      </c>
      <c r="G51" s="106">
        <f>G49*G50</f>
        <v>3681.6047619047617</v>
      </c>
      <c r="H51" s="107">
        <f>H49*G50</f>
        <v>3687.4700000000003</v>
      </c>
      <c r="I51" s="106">
        <f>I49*I50</f>
        <v>4895.201978021978</v>
      </c>
      <c r="J51" s="107">
        <f>J49*I50</f>
        <v>0</v>
      </c>
      <c r="K51" s="106">
        <f>K49*K50</f>
        <v>9601.1715210355978</v>
      </c>
      <c r="L51" s="107">
        <f>L49*K50</f>
        <v>0</v>
      </c>
      <c r="M51" s="106">
        <f>M49*M50</f>
        <v>11469.440591770688</v>
      </c>
      <c r="N51" s="107">
        <f>N49*M50</f>
        <v>0</v>
      </c>
      <c r="O51" s="94">
        <f t="shared" ref="O51:P54" si="28">SUM(C51,E51,G51,I51,K51,M51)</f>
        <v>67650.52018768448</v>
      </c>
      <c r="P51" s="71">
        <f t="shared" si="28"/>
        <v>3687.4700000000003</v>
      </c>
      <c r="Q51" s="62"/>
    </row>
    <row r="52" spans="1:18" outlineLevel="1" x14ac:dyDescent="0.2">
      <c r="A52" s="72" t="s">
        <v>142</v>
      </c>
      <c r="B52" s="72"/>
      <c r="C52" s="106">
        <f>C49*C13</f>
        <v>498750</v>
      </c>
      <c r="D52" s="116"/>
      <c r="E52" s="106">
        <f>E49*E13</f>
        <v>20420388.349514563</v>
      </c>
      <c r="F52" s="116"/>
      <c r="G52" s="106">
        <f>G49*G13</f>
        <v>2702095.2380952379</v>
      </c>
      <c r="H52" s="116">
        <f>4538724</f>
        <v>4538724</v>
      </c>
      <c r="I52" s="106">
        <f>I49*I13</f>
        <v>5649691.8241758244</v>
      </c>
      <c r="J52" s="116"/>
      <c r="K52" s="106">
        <f>K49*K13</f>
        <v>7046731.3915857598</v>
      </c>
      <c r="L52" s="116"/>
      <c r="M52" s="106">
        <f>M49*M13</f>
        <v>8417938.0490060095</v>
      </c>
      <c r="N52" s="116"/>
      <c r="O52" s="94">
        <f t="shared" si="28"/>
        <v>44735594.852377392</v>
      </c>
      <c r="P52" s="71">
        <f t="shared" si="28"/>
        <v>4538724</v>
      </c>
      <c r="Q52" s="62"/>
    </row>
    <row r="53" spans="1:18" outlineLevel="1" x14ac:dyDescent="0.2">
      <c r="A53" s="72" t="s">
        <v>143</v>
      </c>
      <c r="B53" s="72"/>
      <c r="C53" s="106">
        <f>C49*C14</f>
        <v>789.6875</v>
      </c>
      <c r="D53" s="116"/>
      <c r="E53" s="106">
        <f>E49*E14</f>
        <v>32332.281553398057</v>
      </c>
      <c r="F53" s="116"/>
      <c r="G53" s="106">
        <f>G49*G14</f>
        <v>3208.738095238095</v>
      </c>
      <c r="H53" s="116">
        <f>1945</f>
        <v>1945</v>
      </c>
      <c r="I53" s="106">
        <f>I49*I14</f>
        <v>4266.4604395604392</v>
      </c>
      <c r="J53" s="116"/>
      <c r="K53" s="106">
        <f>K49*K14</f>
        <v>8367.9935275080898</v>
      </c>
      <c r="L53" s="116"/>
      <c r="M53" s="106">
        <f>M49*M14</f>
        <v>9996.301433194636</v>
      </c>
      <c r="N53" s="116"/>
      <c r="O53" s="94">
        <f t="shared" si="28"/>
        <v>58961.462548899319</v>
      </c>
      <c r="P53" s="71">
        <f t="shared" si="28"/>
        <v>1945</v>
      </c>
      <c r="Q53" s="62"/>
    </row>
    <row r="54" spans="1:18" outlineLevel="1" x14ac:dyDescent="0.2">
      <c r="A54" s="72" t="s">
        <v>22</v>
      </c>
      <c r="B54" s="72"/>
      <c r="C54" s="106">
        <f>C53*C13</f>
        <v>473812.5</v>
      </c>
      <c r="D54" s="116"/>
      <c r="E54" s="106">
        <f>E53*E13</f>
        <v>19399368.932038836</v>
      </c>
      <c r="F54" s="116"/>
      <c r="G54" s="106">
        <f>G53*G13</f>
        <v>2566990.4761904757</v>
      </c>
      <c r="H54" s="116">
        <f>2691605</f>
        <v>2691605</v>
      </c>
      <c r="I54" s="106">
        <f>I53*I13</f>
        <v>5367207.2329670321</v>
      </c>
      <c r="J54" s="116"/>
      <c r="K54" s="106">
        <f>K53*K13</f>
        <v>6694394.8220064715</v>
      </c>
      <c r="L54" s="116"/>
      <c r="M54" s="106">
        <f>M53*M13</f>
        <v>7997041.1465557087</v>
      </c>
      <c r="N54" s="116"/>
      <c r="O54" s="94">
        <f t="shared" si="28"/>
        <v>42498815.109758526</v>
      </c>
      <c r="P54" s="71">
        <f t="shared" si="28"/>
        <v>2691605</v>
      </c>
      <c r="Q54" s="62"/>
      <c r="R54" s="117"/>
    </row>
    <row r="55" spans="1:18" outlineLevel="1" x14ac:dyDescent="0.2">
      <c r="A55" s="72" t="s">
        <v>144</v>
      </c>
      <c r="B55" s="72"/>
      <c r="C55" s="118">
        <f t="shared" ref="C55:P55" si="29">IFERROR(C26/C54,0)</f>
        <v>0.14035087719298245</v>
      </c>
      <c r="D55" s="119">
        <f t="shared" si="29"/>
        <v>0</v>
      </c>
      <c r="E55" s="118">
        <f t="shared" si="29"/>
        <v>0.18070175438596489</v>
      </c>
      <c r="F55" s="119">
        <f t="shared" si="29"/>
        <v>0</v>
      </c>
      <c r="G55" s="118">
        <f t="shared" si="29"/>
        <v>0.70121023692743789</v>
      </c>
      <c r="H55" s="119">
        <f t="shared" si="29"/>
        <v>0.63193299165367878</v>
      </c>
      <c r="I55" s="118">
        <f t="shared" si="29"/>
        <v>0.36536692452546582</v>
      </c>
      <c r="J55" s="119">
        <f t="shared" si="29"/>
        <v>0</v>
      </c>
      <c r="K55" s="118">
        <f t="shared" si="29"/>
        <v>0.29278225323025403</v>
      </c>
      <c r="L55" s="119">
        <f t="shared" si="29"/>
        <v>0</v>
      </c>
      <c r="M55" s="118">
        <f t="shared" si="29"/>
        <v>0.25134296087318475</v>
      </c>
      <c r="N55" s="119">
        <f t="shared" si="29"/>
        <v>0</v>
      </c>
      <c r="O55" s="98">
        <f t="shared" si="29"/>
        <v>0.26596035609013058</v>
      </c>
      <c r="P55" s="86">
        <f t="shared" si="29"/>
        <v>0.63193299165367878</v>
      </c>
      <c r="Q55" s="62"/>
    </row>
    <row r="56" spans="1:18" outlineLevel="1" x14ac:dyDescent="0.2">
      <c r="A56" s="72" t="s">
        <v>145</v>
      </c>
      <c r="B56" s="72"/>
      <c r="C56" s="106">
        <f t="shared" ref="C56:P56" si="30">IFERROR(C26/C49,0)</f>
        <v>80</v>
      </c>
      <c r="D56" s="107">
        <f t="shared" si="30"/>
        <v>0</v>
      </c>
      <c r="E56" s="106">
        <f t="shared" si="30"/>
        <v>103</v>
      </c>
      <c r="F56" s="107">
        <f t="shared" si="30"/>
        <v>0</v>
      </c>
      <c r="G56" s="106">
        <f t="shared" si="30"/>
        <v>532.91978006485272</v>
      </c>
      <c r="H56" s="107">
        <f t="shared" si="30"/>
        <v>502.78273721548919</v>
      </c>
      <c r="I56" s="106">
        <f t="shared" si="30"/>
        <v>436.65001150038415</v>
      </c>
      <c r="J56" s="107">
        <f t="shared" si="30"/>
        <v>0</v>
      </c>
      <c r="K56" s="106">
        <f t="shared" si="30"/>
        <v>222.51451245499305</v>
      </c>
      <c r="L56" s="107">
        <f t="shared" si="30"/>
        <v>0</v>
      </c>
      <c r="M56" s="106">
        <f t="shared" si="30"/>
        <v>191.02065026362041</v>
      </c>
      <c r="N56" s="107">
        <f t="shared" si="30"/>
        <v>0</v>
      </c>
      <c r="O56" s="94">
        <f t="shared" si="30"/>
        <v>182.11641190370122</v>
      </c>
      <c r="P56" s="71">
        <f t="shared" si="30"/>
        <v>502.78273721548919</v>
      </c>
      <c r="Q56" s="62"/>
    </row>
    <row r="57" spans="1:18" x14ac:dyDescent="0.2">
      <c r="A57" s="57"/>
      <c r="B57" s="57"/>
      <c r="C57" s="63"/>
      <c r="D57" s="57"/>
      <c r="E57" s="63"/>
      <c r="F57" s="57"/>
      <c r="G57" s="63"/>
      <c r="H57" s="57"/>
      <c r="I57" s="63"/>
      <c r="J57" s="57"/>
      <c r="K57" s="63"/>
      <c r="L57" s="57"/>
      <c r="M57" s="63"/>
      <c r="N57" s="57"/>
      <c r="O57" s="63"/>
      <c r="P57" s="57"/>
      <c r="Q57" s="62"/>
    </row>
    <row r="58" spans="1:18" x14ac:dyDescent="0.2">
      <c r="A58" s="88" t="s">
        <v>170</v>
      </c>
      <c r="B58" s="9"/>
      <c r="C58" s="89"/>
      <c r="D58" s="9"/>
      <c r="E58" s="89"/>
      <c r="F58" s="9"/>
      <c r="G58" s="89"/>
      <c r="H58" s="9"/>
      <c r="I58" s="89"/>
      <c r="J58" s="9"/>
      <c r="K58" s="89"/>
      <c r="L58" s="9"/>
      <c r="M58" s="89"/>
      <c r="N58" s="9"/>
      <c r="O58" s="89"/>
      <c r="P58" s="90"/>
      <c r="Q58" s="62"/>
    </row>
    <row r="59" spans="1:18" outlineLevel="1" x14ac:dyDescent="0.2">
      <c r="A59" s="91" t="s">
        <v>123</v>
      </c>
      <c r="B59" s="91"/>
      <c r="C59" s="92">
        <v>1200</v>
      </c>
      <c r="D59" s="93"/>
      <c r="E59" s="92">
        <v>1200</v>
      </c>
      <c r="F59" s="93"/>
      <c r="G59" s="92">
        <v>1200</v>
      </c>
      <c r="H59" s="93"/>
      <c r="I59" s="92">
        <v>1200</v>
      </c>
      <c r="J59" s="93"/>
      <c r="K59" s="92">
        <v>1200</v>
      </c>
      <c r="L59" s="93"/>
      <c r="M59" s="92">
        <v>1200</v>
      </c>
      <c r="N59" s="93"/>
      <c r="O59" s="94">
        <f>IFERROR(O105/O104,0)</f>
        <v>1200</v>
      </c>
      <c r="P59" s="71">
        <f>IFERROR(P105/P104,0)</f>
        <v>0</v>
      </c>
      <c r="Q59" s="62"/>
    </row>
    <row r="60" spans="1:18" outlineLevel="1" x14ac:dyDescent="0.2">
      <c r="A60" s="91" t="s">
        <v>125</v>
      </c>
      <c r="B60" s="91"/>
      <c r="C60" s="95">
        <v>0.95</v>
      </c>
      <c r="D60" s="96">
        <f>IFERROR(D104/D95,0)</f>
        <v>0</v>
      </c>
      <c r="E60" s="95">
        <v>0.95</v>
      </c>
      <c r="F60" s="96">
        <f>IFERROR(F104/F95,0)</f>
        <v>0</v>
      </c>
      <c r="G60" s="95">
        <v>0.95</v>
      </c>
      <c r="H60" s="97">
        <f>IFERROR(H104/H95,0)</f>
        <v>0</v>
      </c>
      <c r="I60" s="95">
        <v>0.95</v>
      </c>
      <c r="J60" s="96">
        <f>IFERROR(J104/J95,0)</f>
        <v>0</v>
      </c>
      <c r="K60" s="95">
        <v>0.95</v>
      </c>
      <c r="L60" s="96">
        <f>IFERROR(L104/L95,0)</f>
        <v>0</v>
      </c>
      <c r="M60" s="95">
        <v>0.95</v>
      </c>
      <c r="N60" s="96">
        <f>IFERROR(N104/N95,0)</f>
        <v>0</v>
      </c>
      <c r="O60" s="98">
        <f>IFERROR(O104/O95,0)</f>
        <v>0.95</v>
      </c>
      <c r="P60" s="86">
        <f>IFERROR(P104/P95,0)</f>
        <v>0</v>
      </c>
      <c r="Q60" s="62"/>
    </row>
    <row r="61" spans="1:18" outlineLevel="1" x14ac:dyDescent="0.2">
      <c r="A61" s="13" t="s">
        <v>126</v>
      </c>
      <c r="B61" s="13"/>
      <c r="C61" s="103"/>
      <c r="D61" s="13"/>
      <c r="E61" s="103"/>
      <c r="F61" s="13"/>
      <c r="G61" s="103"/>
      <c r="H61" s="13"/>
      <c r="I61" s="103"/>
      <c r="J61" s="13"/>
      <c r="K61" s="103"/>
      <c r="L61" s="13"/>
      <c r="M61" s="103"/>
      <c r="N61" s="13"/>
      <c r="O61" s="103"/>
      <c r="P61" s="104"/>
      <c r="Q61" s="62"/>
    </row>
    <row r="62" spans="1:18" outlineLevel="1" x14ac:dyDescent="0.2">
      <c r="A62" s="91" t="s">
        <v>35</v>
      </c>
      <c r="B62" s="91"/>
      <c r="C62" s="92">
        <v>0</v>
      </c>
      <c r="D62" s="93"/>
      <c r="E62" s="92">
        <v>0</v>
      </c>
      <c r="F62" s="93"/>
      <c r="G62" s="92">
        <v>0</v>
      </c>
      <c r="H62" s="93"/>
      <c r="I62" s="92">
        <v>300000</v>
      </c>
      <c r="J62" s="93"/>
      <c r="K62" s="92">
        <v>0</v>
      </c>
      <c r="L62" s="93"/>
      <c r="M62" s="92">
        <v>0</v>
      </c>
      <c r="N62" s="93"/>
      <c r="O62" s="94">
        <f t="shared" ref="O62:O72" si="31">SUM(C62,E62,G62,I62,K62,M62)</f>
        <v>300000</v>
      </c>
      <c r="P62" s="71">
        <f t="shared" ref="P62:P72" si="32">SUM(D62,F62,H62,J62,L62,N62)</f>
        <v>0</v>
      </c>
      <c r="Q62" s="62"/>
    </row>
    <row r="63" spans="1:18" outlineLevel="1" x14ac:dyDescent="0.2">
      <c r="A63" s="91" t="s">
        <v>36</v>
      </c>
      <c r="B63" s="91"/>
      <c r="C63" s="92">
        <v>0</v>
      </c>
      <c r="D63" s="93"/>
      <c r="E63" s="92">
        <v>0</v>
      </c>
      <c r="F63" s="93"/>
      <c r="G63" s="92">
        <v>0</v>
      </c>
      <c r="H63" s="93"/>
      <c r="I63" s="92">
        <v>0</v>
      </c>
      <c r="J63" s="93"/>
      <c r="K63" s="92">
        <v>0</v>
      </c>
      <c r="L63" s="93"/>
      <c r="M63" s="92">
        <v>0</v>
      </c>
      <c r="N63" s="93"/>
      <c r="O63" s="94">
        <f t="shared" si="31"/>
        <v>0</v>
      </c>
      <c r="P63" s="71">
        <f t="shared" si="32"/>
        <v>0</v>
      </c>
      <c r="Q63" s="62"/>
    </row>
    <row r="64" spans="1:18" outlineLevel="1" x14ac:dyDescent="0.2">
      <c r="A64" s="91" t="s">
        <v>37</v>
      </c>
      <c r="B64" s="91"/>
      <c r="C64" s="92">
        <v>0</v>
      </c>
      <c r="D64" s="93"/>
      <c r="E64" s="92">
        <v>0</v>
      </c>
      <c r="F64" s="93"/>
      <c r="G64" s="92">
        <v>0</v>
      </c>
      <c r="H64" s="93"/>
      <c r="I64" s="92">
        <v>0</v>
      </c>
      <c r="J64" s="93"/>
      <c r="K64" s="92">
        <v>0</v>
      </c>
      <c r="L64" s="93"/>
      <c r="M64" s="92">
        <v>0</v>
      </c>
      <c r="N64" s="93"/>
      <c r="O64" s="94">
        <f t="shared" si="31"/>
        <v>0</v>
      </c>
      <c r="P64" s="71">
        <f t="shared" si="32"/>
        <v>0</v>
      </c>
      <c r="Q64" s="62"/>
    </row>
    <row r="65" spans="1:17" outlineLevel="1" x14ac:dyDescent="0.2">
      <c r="A65" s="105" t="s">
        <v>134</v>
      </c>
      <c r="B65" s="91"/>
      <c r="C65" s="92">
        <v>0</v>
      </c>
      <c r="D65" s="93"/>
      <c r="E65" s="92">
        <v>0</v>
      </c>
      <c r="F65" s="93"/>
      <c r="G65" s="92">
        <v>0</v>
      </c>
      <c r="H65" s="93"/>
      <c r="I65" s="92">
        <v>0</v>
      </c>
      <c r="J65" s="93"/>
      <c r="K65" s="92">
        <v>0</v>
      </c>
      <c r="L65" s="93"/>
      <c r="M65" s="92">
        <v>0</v>
      </c>
      <c r="N65" s="93"/>
      <c r="O65" s="94">
        <f t="shared" si="31"/>
        <v>0</v>
      </c>
      <c r="P65" s="71">
        <f t="shared" si="32"/>
        <v>0</v>
      </c>
      <c r="Q65" s="62"/>
    </row>
    <row r="66" spans="1:17" outlineLevel="1" x14ac:dyDescent="0.2">
      <c r="A66" s="91" t="s">
        <v>39</v>
      </c>
      <c r="B66" s="91"/>
      <c r="C66" s="92">
        <v>0</v>
      </c>
      <c r="D66" s="93"/>
      <c r="E66" s="92">
        <v>0</v>
      </c>
      <c r="F66" s="93"/>
      <c r="G66" s="92">
        <v>0</v>
      </c>
      <c r="H66" s="93"/>
      <c r="I66" s="92">
        <v>0</v>
      </c>
      <c r="J66" s="93"/>
      <c r="K66" s="92">
        <v>0</v>
      </c>
      <c r="L66" s="93"/>
      <c r="M66" s="92">
        <v>0</v>
      </c>
      <c r="N66" s="93"/>
      <c r="O66" s="94">
        <f t="shared" si="31"/>
        <v>0</v>
      </c>
      <c r="P66" s="71">
        <f t="shared" si="32"/>
        <v>0</v>
      </c>
      <c r="Q66" s="62"/>
    </row>
    <row r="67" spans="1:17" outlineLevel="1" x14ac:dyDescent="0.2">
      <c r="A67" s="91" t="s">
        <v>40</v>
      </c>
      <c r="B67" s="91"/>
      <c r="C67" s="92">
        <v>0</v>
      </c>
      <c r="D67" s="93"/>
      <c r="E67" s="92">
        <v>0</v>
      </c>
      <c r="F67" s="93"/>
      <c r="G67" s="92">
        <v>0</v>
      </c>
      <c r="H67" s="93"/>
      <c r="I67" s="92">
        <v>0</v>
      </c>
      <c r="J67" s="93"/>
      <c r="K67" s="92">
        <v>0</v>
      </c>
      <c r="L67" s="93"/>
      <c r="M67" s="92">
        <v>0</v>
      </c>
      <c r="N67" s="93"/>
      <c r="O67" s="94">
        <f t="shared" si="31"/>
        <v>0</v>
      </c>
      <c r="P67" s="71">
        <f t="shared" si="32"/>
        <v>0</v>
      </c>
      <c r="Q67" s="62"/>
    </row>
    <row r="68" spans="1:17" outlineLevel="1" x14ac:dyDescent="0.2">
      <c r="A68" s="91" t="s">
        <v>41</v>
      </c>
      <c r="B68" s="91"/>
      <c r="C68" s="92">
        <v>0</v>
      </c>
      <c r="D68" s="93"/>
      <c r="E68" s="92">
        <v>0</v>
      </c>
      <c r="F68" s="93"/>
      <c r="G68" s="92">
        <v>0</v>
      </c>
      <c r="H68" s="93"/>
      <c r="I68" s="92">
        <v>50000</v>
      </c>
      <c r="J68" s="93"/>
      <c r="K68" s="92">
        <v>0</v>
      </c>
      <c r="L68" s="93"/>
      <c r="M68" s="92">
        <v>0</v>
      </c>
      <c r="N68" s="93"/>
      <c r="O68" s="94">
        <f t="shared" si="31"/>
        <v>50000</v>
      </c>
      <c r="P68" s="71">
        <f t="shared" si="32"/>
        <v>0</v>
      </c>
      <c r="Q68" s="62"/>
    </row>
    <row r="69" spans="1:17" outlineLevel="1" x14ac:dyDescent="0.2">
      <c r="A69" s="91" t="s">
        <v>135</v>
      </c>
      <c r="B69" s="91"/>
      <c r="C69" s="92">
        <v>0</v>
      </c>
      <c r="D69" s="93"/>
      <c r="E69" s="92">
        <v>0</v>
      </c>
      <c r="F69" s="93"/>
      <c r="G69" s="92">
        <v>0</v>
      </c>
      <c r="H69" s="93"/>
      <c r="I69" s="92">
        <v>120000</v>
      </c>
      <c r="J69" s="93"/>
      <c r="K69" s="92">
        <v>0</v>
      </c>
      <c r="L69" s="93"/>
      <c r="M69" s="92">
        <v>0</v>
      </c>
      <c r="N69" s="93"/>
      <c r="O69" s="94">
        <f t="shared" si="31"/>
        <v>120000</v>
      </c>
      <c r="P69" s="71">
        <f t="shared" si="32"/>
        <v>0</v>
      </c>
      <c r="Q69" s="62"/>
    </row>
    <row r="70" spans="1:17" outlineLevel="1" x14ac:dyDescent="0.2">
      <c r="A70" s="91" t="s">
        <v>136</v>
      </c>
      <c r="B70" s="91"/>
      <c r="C70" s="92">
        <v>0</v>
      </c>
      <c r="D70" s="93"/>
      <c r="E70" s="92">
        <v>0</v>
      </c>
      <c r="F70" s="93"/>
      <c r="G70" s="92">
        <v>0</v>
      </c>
      <c r="H70" s="93"/>
      <c r="I70" s="92">
        <v>0</v>
      </c>
      <c r="J70" s="93"/>
      <c r="K70" s="92">
        <v>0</v>
      </c>
      <c r="L70" s="93"/>
      <c r="M70" s="92">
        <v>0</v>
      </c>
      <c r="N70" s="93"/>
      <c r="O70" s="94">
        <f t="shared" si="31"/>
        <v>0</v>
      </c>
      <c r="P70" s="71">
        <f t="shared" si="32"/>
        <v>0</v>
      </c>
      <c r="Q70" s="62"/>
    </row>
    <row r="71" spans="1:17" outlineLevel="1" x14ac:dyDescent="0.2">
      <c r="A71" s="91" t="s">
        <v>137</v>
      </c>
      <c r="B71" s="91"/>
      <c r="C71" s="92">
        <v>0</v>
      </c>
      <c r="D71" s="93"/>
      <c r="E71" s="92">
        <v>0</v>
      </c>
      <c r="F71" s="93"/>
      <c r="G71" s="92">
        <v>0</v>
      </c>
      <c r="H71" s="93"/>
      <c r="I71" s="92">
        <v>0</v>
      </c>
      <c r="J71" s="93"/>
      <c r="K71" s="92">
        <v>0</v>
      </c>
      <c r="L71" s="93"/>
      <c r="M71" s="92">
        <v>0</v>
      </c>
      <c r="N71" s="93"/>
      <c r="O71" s="94">
        <f t="shared" si="31"/>
        <v>0</v>
      </c>
      <c r="P71" s="71">
        <f t="shared" si="32"/>
        <v>0</v>
      </c>
      <c r="Q71" s="62"/>
    </row>
    <row r="72" spans="1:17" outlineLevel="1" x14ac:dyDescent="0.2">
      <c r="A72" s="72" t="s">
        <v>132</v>
      </c>
      <c r="B72" s="72"/>
      <c r="C72" s="106">
        <f t="shared" ref="C72:N72" si="33">SUM(C62:C71)</f>
        <v>0</v>
      </c>
      <c r="D72" s="107">
        <f t="shared" si="33"/>
        <v>0</v>
      </c>
      <c r="E72" s="106">
        <f t="shared" si="33"/>
        <v>0</v>
      </c>
      <c r="F72" s="107">
        <f t="shared" si="33"/>
        <v>0</v>
      </c>
      <c r="G72" s="106">
        <f t="shared" si="33"/>
        <v>0</v>
      </c>
      <c r="H72" s="107">
        <f t="shared" si="33"/>
        <v>0</v>
      </c>
      <c r="I72" s="106">
        <f t="shared" si="33"/>
        <v>470000</v>
      </c>
      <c r="J72" s="107">
        <f t="shared" si="33"/>
        <v>0</v>
      </c>
      <c r="K72" s="106">
        <f t="shared" si="33"/>
        <v>0</v>
      </c>
      <c r="L72" s="107">
        <f t="shared" si="33"/>
        <v>0</v>
      </c>
      <c r="M72" s="106">
        <f t="shared" si="33"/>
        <v>0</v>
      </c>
      <c r="N72" s="107">
        <f t="shared" si="33"/>
        <v>0</v>
      </c>
      <c r="O72" s="94">
        <f t="shared" si="31"/>
        <v>470000</v>
      </c>
      <c r="P72" s="71">
        <f t="shared" si="32"/>
        <v>0</v>
      </c>
      <c r="Q72" s="62"/>
    </row>
    <row r="73" spans="1:17" outlineLevel="1" x14ac:dyDescent="0.2">
      <c r="A73" s="13" t="s">
        <v>138</v>
      </c>
      <c r="B73" s="13"/>
      <c r="C73" s="103"/>
      <c r="D73" s="13"/>
      <c r="E73" s="103"/>
      <c r="F73" s="13"/>
      <c r="G73" s="103"/>
      <c r="H73" s="13"/>
      <c r="I73" s="103"/>
      <c r="J73" s="13"/>
      <c r="K73" s="103"/>
      <c r="L73" s="13"/>
      <c r="M73" s="103"/>
      <c r="N73" s="13"/>
      <c r="O73" s="103"/>
      <c r="P73" s="104"/>
      <c r="Q73" s="62"/>
    </row>
    <row r="74" spans="1:17" outlineLevel="2" x14ac:dyDescent="0.2">
      <c r="A74" s="91" t="s">
        <v>35</v>
      </c>
      <c r="B74" s="91"/>
      <c r="C74" s="92">
        <v>80</v>
      </c>
      <c r="D74" s="108">
        <f t="shared" ref="D74:D83" si="34">IFERROR(D62/D85,0)</f>
        <v>0</v>
      </c>
      <c r="E74" s="92">
        <v>103</v>
      </c>
      <c r="F74" s="108">
        <f t="shared" ref="F74:F83" si="35">IFERROR(F62/F85,0)</f>
        <v>0</v>
      </c>
      <c r="G74" s="92">
        <v>700</v>
      </c>
      <c r="H74" s="108">
        <f t="shared" ref="H74:H83" si="36">IFERROR(H62/H85,0)</f>
        <v>0</v>
      </c>
      <c r="I74" s="92">
        <v>2500</v>
      </c>
      <c r="J74" s="108">
        <f t="shared" ref="J74:J83" si="37">IFERROR(J62/J85,0)</f>
        <v>0</v>
      </c>
      <c r="K74" s="92">
        <v>300</v>
      </c>
      <c r="L74" s="108">
        <f t="shared" ref="L74:L83" si="38">IFERROR(L62/L85,0)</f>
        <v>0</v>
      </c>
      <c r="M74" s="92">
        <v>280</v>
      </c>
      <c r="N74" s="108">
        <f t="shared" ref="N74:P83" si="39">IFERROR(N62/N85,0)</f>
        <v>0</v>
      </c>
      <c r="O74" s="94">
        <f t="shared" si="39"/>
        <v>2500</v>
      </c>
      <c r="P74" s="71">
        <f t="shared" si="39"/>
        <v>0</v>
      </c>
      <c r="Q74" s="62"/>
    </row>
    <row r="75" spans="1:17" outlineLevel="2" x14ac:dyDescent="0.2">
      <c r="A75" s="91" t="s">
        <v>36</v>
      </c>
      <c r="B75" s="91"/>
      <c r="C75" s="92">
        <v>80</v>
      </c>
      <c r="D75" s="108">
        <f t="shared" si="34"/>
        <v>0</v>
      </c>
      <c r="E75" s="92">
        <v>103</v>
      </c>
      <c r="F75" s="108">
        <f t="shared" si="35"/>
        <v>0</v>
      </c>
      <c r="G75" s="92">
        <v>103</v>
      </c>
      <c r="H75" s="108">
        <f t="shared" si="36"/>
        <v>0</v>
      </c>
      <c r="I75" s="92">
        <v>100</v>
      </c>
      <c r="J75" s="108">
        <f t="shared" si="37"/>
        <v>0</v>
      </c>
      <c r="K75" s="92">
        <v>103</v>
      </c>
      <c r="L75" s="109">
        <f t="shared" si="38"/>
        <v>0</v>
      </c>
      <c r="M75" s="110">
        <v>100</v>
      </c>
      <c r="N75" s="109">
        <f t="shared" si="39"/>
        <v>0</v>
      </c>
      <c r="O75" s="94">
        <f t="shared" si="39"/>
        <v>0</v>
      </c>
      <c r="P75" s="71">
        <f t="shared" si="39"/>
        <v>0</v>
      </c>
      <c r="Q75" s="62"/>
    </row>
    <row r="76" spans="1:17" outlineLevel="2" x14ac:dyDescent="0.2">
      <c r="A76" s="91" t="s">
        <v>37</v>
      </c>
      <c r="B76" s="91"/>
      <c r="C76" s="92">
        <v>80</v>
      </c>
      <c r="D76" s="108">
        <f t="shared" si="34"/>
        <v>0</v>
      </c>
      <c r="E76" s="92">
        <v>103</v>
      </c>
      <c r="F76" s="108">
        <f t="shared" si="35"/>
        <v>0</v>
      </c>
      <c r="G76" s="92">
        <v>500</v>
      </c>
      <c r="H76" s="108">
        <f t="shared" si="36"/>
        <v>0</v>
      </c>
      <c r="I76" s="92">
        <f>ROUND(G76*0.7,0)</f>
        <v>350</v>
      </c>
      <c r="J76" s="108">
        <f t="shared" si="37"/>
        <v>0</v>
      </c>
      <c r="K76" s="92">
        <v>300</v>
      </c>
      <c r="L76" s="109">
        <f t="shared" si="38"/>
        <v>0</v>
      </c>
      <c r="M76" s="110">
        <v>350</v>
      </c>
      <c r="N76" s="109">
        <f t="shared" si="39"/>
        <v>0</v>
      </c>
      <c r="O76" s="94">
        <f t="shared" si="39"/>
        <v>0</v>
      </c>
      <c r="P76" s="71">
        <f t="shared" si="39"/>
        <v>0</v>
      </c>
      <c r="Q76" s="62"/>
    </row>
    <row r="77" spans="1:17" outlineLevel="2" x14ac:dyDescent="0.2">
      <c r="A77" s="105" t="s">
        <v>134</v>
      </c>
      <c r="B77" s="91"/>
      <c r="C77" s="92">
        <v>80</v>
      </c>
      <c r="D77" s="108">
        <f t="shared" si="34"/>
        <v>0</v>
      </c>
      <c r="E77" s="92">
        <v>103</v>
      </c>
      <c r="F77" s="108">
        <f t="shared" si="35"/>
        <v>0</v>
      </c>
      <c r="G77" s="92">
        <v>103</v>
      </c>
      <c r="H77" s="108">
        <f t="shared" si="36"/>
        <v>0</v>
      </c>
      <c r="I77" s="92">
        <f>ROUND(G77*0.7,0)</f>
        <v>72</v>
      </c>
      <c r="J77" s="108">
        <f t="shared" si="37"/>
        <v>0</v>
      </c>
      <c r="K77" s="92">
        <v>103</v>
      </c>
      <c r="L77" s="108">
        <f t="shared" si="38"/>
        <v>0</v>
      </c>
      <c r="M77" s="92">
        <v>103</v>
      </c>
      <c r="N77" s="108">
        <f t="shared" si="39"/>
        <v>0</v>
      </c>
      <c r="O77" s="94">
        <f t="shared" si="39"/>
        <v>0</v>
      </c>
      <c r="P77" s="71">
        <f t="shared" si="39"/>
        <v>0</v>
      </c>
      <c r="Q77" s="62"/>
    </row>
    <row r="78" spans="1:17" outlineLevel="2" x14ac:dyDescent="0.2">
      <c r="A78" s="91" t="s">
        <v>39</v>
      </c>
      <c r="B78" s="91"/>
      <c r="C78" s="92">
        <v>80</v>
      </c>
      <c r="D78" s="108">
        <f t="shared" si="34"/>
        <v>0</v>
      </c>
      <c r="E78" s="92">
        <v>103</v>
      </c>
      <c r="F78" s="108">
        <f t="shared" si="35"/>
        <v>0</v>
      </c>
      <c r="G78" s="92">
        <v>103</v>
      </c>
      <c r="H78" s="108">
        <f t="shared" si="36"/>
        <v>0</v>
      </c>
      <c r="I78" s="92">
        <f>ROUND(G78*0.7,0)</f>
        <v>72</v>
      </c>
      <c r="J78" s="108">
        <f t="shared" si="37"/>
        <v>0</v>
      </c>
      <c r="K78" s="92">
        <v>103</v>
      </c>
      <c r="L78" s="108">
        <f t="shared" si="38"/>
        <v>0</v>
      </c>
      <c r="M78" s="92">
        <v>103</v>
      </c>
      <c r="N78" s="108">
        <f t="shared" si="39"/>
        <v>0</v>
      </c>
      <c r="O78" s="94">
        <f t="shared" si="39"/>
        <v>0</v>
      </c>
      <c r="P78" s="71">
        <f t="shared" si="39"/>
        <v>0</v>
      </c>
      <c r="Q78" s="62"/>
    </row>
    <row r="79" spans="1:17" outlineLevel="2" x14ac:dyDescent="0.2">
      <c r="A79" s="91" t="s">
        <v>40</v>
      </c>
      <c r="B79" s="91"/>
      <c r="C79" s="92">
        <v>80</v>
      </c>
      <c r="D79" s="108">
        <f t="shared" si="34"/>
        <v>0</v>
      </c>
      <c r="E79" s="92">
        <v>103</v>
      </c>
      <c r="F79" s="108">
        <f t="shared" si="35"/>
        <v>0</v>
      </c>
      <c r="G79" s="92">
        <v>5000</v>
      </c>
      <c r="H79" s="108">
        <f t="shared" si="36"/>
        <v>0</v>
      </c>
      <c r="I79" s="92">
        <v>5000</v>
      </c>
      <c r="J79" s="108">
        <f t="shared" si="37"/>
        <v>0</v>
      </c>
      <c r="K79" s="92">
        <v>300</v>
      </c>
      <c r="L79" s="108">
        <f t="shared" si="38"/>
        <v>0</v>
      </c>
      <c r="M79" s="92">
        <v>100</v>
      </c>
      <c r="N79" s="108">
        <f t="shared" si="39"/>
        <v>0</v>
      </c>
      <c r="O79" s="94">
        <f t="shared" si="39"/>
        <v>0</v>
      </c>
      <c r="P79" s="71">
        <f t="shared" si="39"/>
        <v>0</v>
      </c>
      <c r="Q79" s="62"/>
    </row>
    <row r="80" spans="1:17" outlineLevel="2" x14ac:dyDescent="0.2">
      <c r="A80" s="91" t="s">
        <v>41</v>
      </c>
      <c r="B80" s="91"/>
      <c r="C80" s="92">
        <v>80</v>
      </c>
      <c r="D80" s="108">
        <f t="shared" si="34"/>
        <v>0</v>
      </c>
      <c r="E80" s="92">
        <v>103</v>
      </c>
      <c r="F80" s="108">
        <f t="shared" si="35"/>
        <v>0</v>
      </c>
      <c r="G80" s="92">
        <v>150</v>
      </c>
      <c r="H80" s="108">
        <f t="shared" si="36"/>
        <v>0</v>
      </c>
      <c r="I80" s="92">
        <v>130</v>
      </c>
      <c r="J80" s="108">
        <f t="shared" si="37"/>
        <v>0</v>
      </c>
      <c r="K80" s="92">
        <v>120</v>
      </c>
      <c r="L80" s="108">
        <f t="shared" si="38"/>
        <v>0</v>
      </c>
      <c r="M80" s="92">
        <v>120</v>
      </c>
      <c r="N80" s="108">
        <f t="shared" si="39"/>
        <v>0</v>
      </c>
      <c r="O80" s="94">
        <f t="shared" si="39"/>
        <v>130</v>
      </c>
      <c r="P80" s="71">
        <f t="shared" si="39"/>
        <v>0</v>
      </c>
      <c r="Q80" s="62"/>
    </row>
    <row r="81" spans="1:17" outlineLevel="2" x14ac:dyDescent="0.2">
      <c r="A81" s="91" t="s">
        <v>135</v>
      </c>
      <c r="B81" s="91"/>
      <c r="C81" s="92">
        <v>80</v>
      </c>
      <c r="D81" s="108">
        <f t="shared" si="34"/>
        <v>0</v>
      </c>
      <c r="E81" s="92">
        <v>103</v>
      </c>
      <c r="F81" s="108">
        <f t="shared" si="35"/>
        <v>0</v>
      </c>
      <c r="G81" s="92">
        <v>150</v>
      </c>
      <c r="H81" s="108">
        <f t="shared" si="36"/>
        <v>0</v>
      </c>
      <c r="I81" s="92">
        <v>130</v>
      </c>
      <c r="J81" s="108">
        <f t="shared" si="37"/>
        <v>0</v>
      </c>
      <c r="K81" s="92">
        <v>120</v>
      </c>
      <c r="L81" s="108">
        <f t="shared" si="38"/>
        <v>0</v>
      </c>
      <c r="M81" s="92">
        <v>120</v>
      </c>
      <c r="N81" s="108">
        <f t="shared" si="39"/>
        <v>0</v>
      </c>
      <c r="O81" s="94">
        <f t="shared" si="39"/>
        <v>130</v>
      </c>
      <c r="P81" s="71">
        <f t="shared" si="39"/>
        <v>0</v>
      </c>
      <c r="Q81" s="62"/>
    </row>
    <row r="82" spans="1:17" outlineLevel="2" x14ac:dyDescent="0.2">
      <c r="A82" s="105" t="s">
        <v>136</v>
      </c>
      <c r="B82" s="91"/>
      <c r="C82" s="92">
        <v>80</v>
      </c>
      <c r="D82" s="108">
        <f t="shared" si="34"/>
        <v>0</v>
      </c>
      <c r="E82" s="92">
        <v>103</v>
      </c>
      <c r="F82" s="108">
        <f t="shared" si="35"/>
        <v>0</v>
      </c>
      <c r="G82" s="92">
        <v>400</v>
      </c>
      <c r="H82" s="108">
        <f t="shared" si="36"/>
        <v>0</v>
      </c>
      <c r="I82" s="92">
        <v>400</v>
      </c>
      <c r="J82" s="108">
        <f t="shared" si="37"/>
        <v>0</v>
      </c>
      <c r="K82" s="92">
        <v>103</v>
      </c>
      <c r="L82" s="108">
        <f t="shared" si="38"/>
        <v>0</v>
      </c>
      <c r="M82" s="92">
        <v>103</v>
      </c>
      <c r="N82" s="108">
        <f t="shared" si="39"/>
        <v>0</v>
      </c>
      <c r="O82" s="94">
        <f t="shared" si="39"/>
        <v>0</v>
      </c>
      <c r="P82" s="71">
        <f t="shared" si="39"/>
        <v>0</v>
      </c>
      <c r="Q82" s="62"/>
    </row>
    <row r="83" spans="1:17" outlineLevel="2" x14ac:dyDescent="0.2">
      <c r="A83" s="91" t="s">
        <v>137</v>
      </c>
      <c r="B83" s="91"/>
      <c r="C83" s="92">
        <v>80</v>
      </c>
      <c r="D83" s="108">
        <f t="shared" si="34"/>
        <v>0</v>
      </c>
      <c r="E83" s="92">
        <v>103</v>
      </c>
      <c r="F83" s="108">
        <f t="shared" si="35"/>
        <v>0</v>
      </c>
      <c r="G83" s="92">
        <v>103</v>
      </c>
      <c r="H83" s="108">
        <f t="shared" si="36"/>
        <v>0</v>
      </c>
      <c r="I83" s="92">
        <v>2500</v>
      </c>
      <c r="J83" s="108">
        <f t="shared" si="37"/>
        <v>0</v>
      </c>
      <c r="K83" s="92">
        <v>103</v>
      </c>
      <c r="L83" s="108">
        <f t="shared" si="38"/>
        <v>0</v>
      </c>
      <c r="M83" s="92">
        <v>103</v>
      </c>
      <c r="N83" s="108">
        <f t="shared" si="39"/>
        <v>0</v>
      </c>
      <c r="O83" s="94">
        <f t="shared" si="39"/>
        <v>0</v>
      </c>
      <c r="P83" s="71">
        <f t="shared" si="39"/>
        <v>0</v>
      </c>
      <c r="Q83" s="62"/>
    </row>
    <row r="84" spans="1:17" outlineLevel="1" x14ac:dyDescent="0.2">
      <c r="A84" s="13" t="s">
        <v>139</v>
      </c>
      <c r="B84" s="13"/>
      <c r="C84" s="103"/>
      <c r="D84" s="13"/>
      <c r="E84" s="103"/>
      <c r="F84" s="13"/>
      <c r="G84" s="103"/>
      <c r="H84" s="13"/>
      <c r="I84" s="103"/>
      <c r="J84" s="13"/>
      <c r="K84" s="103"/>
      <c r="L84" s="13"/>
      <c r="M84" s="103"/>
      <c r="N84" s="13"/>
      <c r="O84" s="103"/>
      <c r="P84" s="104"/>
      <c r="Q84" s="62"/>
    </row>
    <row r="85" spans="1:17" outlineLevel="2" x14ac:dyDescent="0.2">
      <c r="A85" s="91" t="s">
        <v>35</v>
      </c>
      <c r="B85" s="91"/>
      <c r="C85" s="111">
        <f t="shared" ref="C85:C94" si="40">IFERROR(C62/C74,0)</f>
        <v>0</v>
      </c>
      <c r="D85" s="93"/>
      <c r="E85" s="111">
        <f t="shared" ref="E85:E94" si="41">IFERROR(E62/E74,0)</f>
        <v>0</v>
      </c>
      <c r="F85" s="93"/>
      <c r="G85" s="111">
        <f t="shared" ref="G85:G94" si="42">IFERROR(G62/G74,0)</f>
        <v>0</v>
      </c>
      <c r="H85" s="93"/>
      <c r="I85" s="111">
        <f t="shared" ref="I85:I94" si="43">IFERROR(I62/I74,0)</f>
        <v>120</v>
      </c>
      <c r="J85" s="93"/>
      <c r="K85" s="111">
        <f t="shared" ref="K85:K94" si="44">IFERROR(K62/K74,0)</f>
        <v>0</v>
      </c>
      <c r="L85" s="93"/>
      <c r="M85" s="111">
        <f t="shared" ref="M85:M94" si="45">IFERROR(M62/M74,0)</f>
        <v>0</v>
      </c>
      <c r="N85" s="93"/>
      <c r="O85" s="94">
        <f t="shared" ref="O85:O95" si="46">SUM(C85,E85,G85,I85,K85,M85)</f>
        <v>120</v>
      </c>
      <c r="P85" s="71">
        <f t="shared" ref="P85:P95" si="47">SUM(D85,F85,H85,J85,L85,N85)</f>
        <v>0</v>
      </c>
      <c r="Q85" s="62"/>
    </row>
    <row r="86" spans="1:17" outlineLevel="2" x14ac:dyDescent="0.2">
      <c r="A86" s="91" t="s">
        <v>36</v>
      </c>
      <c r="B86" s="91"/>
      <c r="C86" s="111">
        <f t="shared" si="40"/>
        <v>0</v>
      </c>
      <c r="D86" s="93"/>
      <c r="E86" s="111">
        <f t="shared" si="41"/>
        <v>0</v>
      </c>
      <c r="F86" s="93"/>
      <c r="G86" s="111">
        <f t="shared" si="42"/>
        <v>0</v>
      </c>
      <c r="H86" s="93"/>
      <c r="I86" s="111">
        <f t="shared" si="43"/>
        <v>0</v>
      </c>
      <c r="J86" s="93"/>
      <c r="K86" s="111">
        <f t="shared" si="44"/>
        <v>0</v>
      </c>
      <c r="L86" s="93"/>
      <c r="M86" s="111">
        <f t="shared" si="45"/>
        <v>0</v>
      </c>
      <c r="N86" s="93"/>
      <c r="O86" s="94">
        <f t="shared" si="46"/>
        <v>0</v>
      </c>
      <c r="P86" s="71">
        <f t="shared" si="47"/>
        <v>0</v>
      </c>
      <c r="Q86" s="62"/>
    </row>
    <row r="87" spans="1:17" outlineLevel="2" x14ac:dyDescent="0.2">
      <c r="A87" s="91" t="s">
        <v>37</v>
      </c>
      <c r="B87" s="91"/>
      <c r="C87" s="111">
        <f t="shared" si="40"/>
        <v>0</v>
      </c>
      <c r="D87" s="93"/>
      <c r="E87" s="111">
        <f t="shared" si="41"/>
        <v>0</v>
      </c>
      <c r="F87" s="93"/>
      <c r="G87" s="111">
        <f t="shared" si="42"/>
        <v>0</v>
      </c>
      <c r="H87" s="93"/>
      <c r="I87" s="111">
        <f t="shared" si="43"/>
        <v>0</v>
      </c>
      <c r="J87" s="93"/>
      <c r="K87" s="111">
        <f t="shared" si="44"/>
        <v>0</v>
      </c>
      <c r="L87" s="93"/>
      <c r="M87" s="111">
        <f t="shared" si="45"/>
        <v>0</v>
      </c>
      <c r="N87" s="93"/>
      <c r="O87" s="94">
        <f t="shared" si="46"/>
        <v>0</v>
      </c>
      <c r="P87" s="71">
        <f t="shared" si="47"/>
        <v>0</v>
      </c>
      <c r="Q87" s="62"/>
    </row>
    <row r="88" spans="1:17" outlineLevel="2" x14ac:dyDescent="0.2">
      <c r="A88" s="105" t="s">
        <v>134</v>
      </c>
      <c r="B88" s="91"/>
      <c r="C88" s="111">
        <f t="shared" si="40"/>
        <v>0</v>
      </c>
      <c r="D88" s="93"/>
      <c r="E88" s="111">
        <f t="shared" si="41"/>
        <v>0</v>
      </c>
      <c r="F88" s="93"/>
      <c r="G88" s="111">
        <f t="shared" si="42"/>
        <v>0</v>
      </c>
      <c r="H88" s="93"/>
      <c r="I88" s="111">
        <f t="shared" si="43"/>
        <v>0</v>
      </c>
      <c r="J88" s="93"/>
      <c r="K88" s="111">
        <f t="shared" si="44"/>
        <v>0</v>
      </c>
      <c r="L88" s="93"/>
      <c r="M88" s="111">
        <f t="shared" si="45"/>
        <v>0</v>
      </c>
      <c r="N88" s="93"/>
      <c r="O88" s="94">
        <f t="shared" si="46"/>
        <v>0</v>
      </c>
      <c r="P88" s="71">
        <f t="shared" si="47"/>
        <v>0</v>
      </c>
      <c r="Q88" s="62"/>
    </row>
    <row r="89" spans="1:17" outlineLevel="2" x14ac:dyDescent="0.2">
      <c r="A89" s="91" t="s">
        <v>39</v>
      </c>
      <c r="B89" s="91"/>
      <c r="C89" s="111">
        <f t="shared" si="40"/>
        <v>0</v>
      </c>
      <c r="D89" s="93"/>
      <c r="E89" s="111">
        <f t="shared" si="41"/>
        <v>0</v>
      </c>
      <c r="F89" s="93"/>
      <c r="G89" s="111">
        <f t="shared" si="42"/>
        <v>0</v>
      </c>
      <c r="H89" s="93"/>
      <c r="I89" s="111">
        <f t="shared" si="43"/>
        <v>0</v>
      </c>
      <c r="J89" s="93"/>
      <c r="K89" s="111">
        <f t="shared" si="44"/>
        <v>0</v>
      </c>
      <c r="L89" s="93"/>
      <c r="M89" s="111">
        <f t="shared" si="45"/>
        <v>0</v>
      </c>
      <c r="N89" s="93"/>
      <c r="O89" s="94">
        <f t="shared" si="46"/>
        <v>0</v>
      </c>
      <c r="P89" s="71">
        <f t="shared" si="47"/>
        <v>0</v>
      </c>
      <c r="Q89" s="62"/>
    </row>
    <row r="90" spans="1:17" outlineLevel="2" x14ac:dyDescent="0.2">
      <c r="A90" s="91" t="s">
        <v>40</v>
      </c>
      <c r="B90" s="91"/>
      <c r="C90" s="111">
        <f t="shared" si="40"/>
        <v>0</v>
      </c>
      <c r="D90" s="93"/>
      <c r="E90" s="111">
        <f t="shared" si="41"/>
        <v>0</v>
      </c>
      <c r="F90" s="93"/>
      <c r="G90" s="111">
        <f t="shared" si="42"/>
        <v>0</v>
      </c>
      <c r="H90" s="93"/>
      <c r="I90" s="111">
        <f t="shared" si="43"/>
        <v>0</v>
      </c>
      <c r="J90" s="93"/>
      <c r="K90" s="111">
        <f t="shared" si="44"/>
        <v>0</v>
      </c>
      <c r="L90" s="93"/>
      <c r="M90" s="111">
        <f t="shared" si="45"/>
        <v>0</v>
      </c>
      <c r="N90" s="93"/>
      <c r="O90" s="94">
        <f t="shared" si="46"/>
        <v>0</v>
      </c>
      <c r="P90" s="71">
        <f t="shared" si="47"/>
        <v>0</v>
      </c>
      <c r="Q90" s="62"/>
    </row>
    <row r="91" spans="1:17" outlineLevel="2" x14ac:dyDescent="0.2">
      <c r="A91" s="91" t="s">
        <v>41</v>
      </c>
      <c r="B91" s="91"/>
      <c r="C91" s="111">
        <f t="shared" si="40"/>
        <v>0</v>
      </c>
      <c r="D91" s="93"/>
      <c r="E91" s="111">
        <f t="shared" si="41"/>
        <v>0</v>
      </c>
      <c r="F91" s="93"/>
      <c r="G91" s="111">
        <f t="shared" si="42"/>
        <v>0</v>
      </c>
      <c r="H91" s="93"/>
      <c r="I91" s="111">
        <f t="shared" si="43"/>
        <v>384.61538461538464</v>
      </c>
      <c r="J91" s="93"/>
      <c r="K91" s="111">
        <f t="shared" si="44"/>
        <v>0</v>
      </c>
      <c r="L91" s="93"/>
      <c r="M91" s="111">
        <f t="shared" si="45"/>
        <v>0</v>
      </c>
      <c r="N91" s="93"/>
      <c r="O91" s="94">
        <f t="shared" si="46"/>
        <v>384.61538461538464</v>
      </c>
      <c r="P91" s="71">
        <f t="shared" si="47"/>
        <v>0</v>
      </c>
      <c r="Q91" s="62"/>
    </row>
    <row r="92" spans="1:17" outlineLevel="2" x14ac:dyDescent="0.2">
      <c r="A92" s="91" t="s">
        <v>135</v>
      </c>
      <c r="B92" s="91"/>
      <c r="C92" s="111">
        <f t="shared" si="40"/>
        <v>0</v>
      </c>
      <c r="D92" s="93"/>
      <c r="E92" s="111">
        <f t="shared" si="41"/>
        <v>0</v>
      </c>
      <c r="F92" s="93"/>
      <c r="G92" s="111">
        <f t="shared" si="42"/>
        <v>0</v>
      </c>
      <c r="H92" s="93"/>
      <c r="I92" s="111">
        <f t="shared" si="43"/>
        <v>923.07692307692309</v>
      </c>
      <c r="J92" s="93"/>
      <c r="K92" s="111">
        <f t="shared" si="44"/>
        <v>0</v>
      </c>
      <c r="L92" s="93"/>
      <c r="M92" s="111">
        <f t="shared" si="45"/>
        <v>0</v>
      </c>
      <c r="N92" s="93"/>
      <c r="O92" s="94">
        <f t="shared" si="46"/>
        <v>923.07692307692309</v>
      </c>
      <c r="P92" s="71">
        <f t="shared" si="47"/>
        <v>0</v>
      </c>
      <c r="Q92" s="62"/>
    </row>
    <row r="93" spans="1:17" outlineLevel="2" x14ac:dyDescent="0.2">
      <c r="A93" s="105" t="s">
        <v>136</v>
      </c>
      <c r="B93" s="91"/>
      <c r="C93" s="111">
        <f t="shared" si="40"/>
        <v>0</v>
      </c>
      <c r="D93" s="93"/>
      <c r="E93" s="111">
        <f t="shared" si="41"/>
        <v>0</v>
      </c>
      <c r="F93" s="93"/>
      <c r="G93" s="111">
        <f t="shared" si="42"/>
        <v>0</v>
      </c>
      <c r="H93" s="93"/>
      <c r="I93" s="111">
        <f t="shared" si="43"/>
        <v>0</v>
      </c>
      <c r="J93" s="93"/>
      <c r="K93" s="111">
        <f t="shared" si="44"/>
        <v>0</v>
      </c>
      <c r="L93" s="93"/>
      <c r="M93" s="111">
        <f t="shared" si="45"/>
        <v>0</v>
      </c>
      <c r="N93" s="93"/>
      <c r="O93" s="94">
        <f t="shared" si="46"/>
        <v>0</v>
      </c>
      <c r="P93" s="71">
        <f t="shared" si="47"/>
        <v>0</v>
      </c>
      <c r="Q93" s="62"/>
    </row>
    <row r="94" spans="1:17" outlineLevel="2" x14ac:dyDescent="0.2">
      <c r="A94" s="91" t="s">
        <v>137</v>
      </c>
      <c r="B94" s="91"/>
      <c r="C94" s="111">
        <f t="shared" si="40"/>
        <v>0</v>
      </c>
      <c r="D94" s="93"/>
      <c r="E94" s="111">
        <f t="shared" si="41"/>
        <v>0</v>
      </c>
      <c r="F94" s="93"/>
      <c r="G94" s="111">
        <f t="shared" si="42"/>
        <v>0</v>
      </c>
      <c r="H94" s="93"/>
      <c r="I94" s="111">
        <f t="shared" si="43"/>
        <v>0</v>
      </c>
      <c r="J94" s="93"/>
      <c r="K94" s="111">
        <f t="shared" si="44"/>
        <v>0</v>
      </c>
      <c r="L94" s="93"/>
      <c r="M94" s="111">
        <f t="shared" si="45"/>
        <v>0</v>
      </c>
      <c r="N94" s="93"/>
      <c r="O94" s="94">
        <f t="shared" si="46"/>
        <v>0</v>
      </c>
      <c r="P94" s="71">
        <f t="shared" si="47"/>
        <v>0</v>
      </c>
      <c r="Q94" s="62"/>
    </row>
    <row r="95" spans="1:17" outlineLevel="1" x14ac:dyDescent="0.2">
      <c r="A95" s="72" t="s">
        <v>133</v>
      </c>
      <c r="B95" s="72"/>
      <c r="C95" s="106">
        <f t="shared" ref="C95:N95" si="48">SUM(C85:C94)</f>
        <v>0</v>
      </c>
      <c r="D95" s="107">
        <f t="shared" si="48"/>
        <v>0</v>
      </c>
      <c r="E95" s="106">
        <f t="shared" si="48"/>
        <v>0</v>
      </c>
      <c r="F95" s="107">
        <f t="shared" si="48"/>
        <v>0</v>
      </c>
      <c r="G95" s="106">
        <f t="shared" si="48"/>
        <v>0</v>
      </c>
      <c r="H95" s="107">
        <f t="shared" si="48"/>
        <v>0</v>
      </c>
      <c r="I95" s="106">
        <f t="shared" si="48"/>
        <v>1427.6923076923076</v>
      </c>
      <c r="J95" s="107">
        <f t="shared" si="48"/>
        <v>0</v>
      </c>
      <c r="K95" s="106">
        <f t="shared" si="48"/>
        <v>0</v>
      </c>
      <c r="L95" s="107">
        <f t="shared" si="48"/>
        <v>0</v>
      </c>
      <c r="M95" s="106">
        <f t="shared" si="48"/>
        <v>0</v>
      </c>
      <c r="N95" s="107">
        <f t="shared" si="48"/>
        <v>0</v>
      </c>
      <c r="O95" s="94">
        <f t="shared" si="46"/>
        <v>1427.6923076923076</v>
      </c>
      <c r="P95" s="71">
        <f t="shared" si="47"/>
        <v>0</v>
      </c>
      <c r="Q95" s="62"/>
    </row>
    <row r="96" spans="1:17" outlineLevel="1" x14ac:dyDescent="0.2">
      <c r="A96" s="91" t="s">
        <v>174</v>
      </c>
      <c r="B96" s="91"/>
      <c r="C96" s="129">
        <v>0.7</v>
      </c>
      <c r="D96" s="130"/>
      <c r="E96" s="129">
        <v>0.7</v>
      </c>
      <c r="F96" s="130"/>
      <c r="G96" s="129">
        <v>0.7</v>
      </c>
      <c r="H96" s="130"/>
      <c r="I96" s="129">
        <v>0.7</v>
      </c>
      <c r="J96" s="130"/>
      <c r="K96" s="129">
        <v>0.7</v>
      </c>
      <c r="L96" s="130"/>
      <c r="M96" s="129">
        <v>0.7</v>
      </c>
      <c r="N96" s="130"/>
      <c r="O96" s="114"/>
      <c r="P96" s="115"/>
      <c r="Q96" s="62"/>
    </row>
    <row r="97" spans="1:17" outlineLevel="1" x14ac:dyDescent="0.2">
      <c r="A97" s="91" t="s">
        <v>175</v>
      </c>
      <c r="B97" s="91"/>
      <c r="C97" s="129">
        <v>0.2</v>
      </c>
      <c r="D97" s="130"/>
      <c r="E97" s="129">
        <v>0.2</v>
      </c>
      <c r="F97" s="130"/>
      <c r="G97" s="129">
        <v>0.2</v>
      </c>
      <c r="H97" s="130"/>
      <c r="I97" s="129">
        <v>0.2</v>
      </c>
      <c r="J97" s="130"/>
      <c r="K97" s="129">
        <v>0.2</v>
      </c>
      <c r="L97" s="130"/>
      <c r="M97" s="129">
        <v>0.2</v>
      </c>
      <c r="N97" s="130"/>
      <c r="O97" s="114"/>
      <c r="P97" s="115"/>
      <c r="Q97" s="62"/>
    </row>
    <row r="98" spans="1:17" outlineLevel="1" x14ac:dyDescent="0.2">
      <c r="A98" s="91" t="s">
        <v>176</v>
      </c>
      <c r="B98" s="91"/>
      <c r="C98" s="129">
        <v>0.1</v>
      </c>
      <c r="D98" s="130"/>
      <c r="E98" s="129">
        <v>0.1</v>
      </c>
      <c r="F98" s="130"/>
      <c r="G98" s="129">
        <v>0.1</v>
      </c>
      <c r="H98" s="130"/>
      <c r="I98" s="129">
        <v>0.1</v>
      </c>
      <c r="J98" s="130"/>
      <c r="K98" s="129">
        <v>0.1</v>
      </c>
      <c r="L98" s="130"/>
      <c r="M98" s="129">
        <v>0.1</v>
      </c>
      <c r="N98" s="130"/>
      <c r="O98" s="114"/>
      <c r="P98" s="115"/>
      <c r="Q98" s="62"/>
    </row>
    <row r="99" spans="1:17" outlineLevel="1" x14ac:dyDescent="0.2">
      <c r="A99" s="131" t="s">
        <v>171</v>
      </c>
      <c r="B99" s="131"/>
      <c r="C99" s="132">
        <f>C$95*C96</f>
        <v>0</v>
      </c>
      <c r="D99" s="133">
        <f>D$95*C96</f>
        <v>0</v>
      </c>
      <c r="E99" s="132">
        <f>E$95*E96</f>
        <v>0</v>
      </c>
      <c r="F99" s="133">
        <f>F$95*E96</f>
        <v>0</v>
      </c>
      <c r="G99" s="132">
        <f>G$95*G96</f>
        <v>0</v>
      </c>
      <c r="H99" s="133">
        <f>H$95*G96</f>
        <v>0</v>
      </c>
      <c r="I99" s="132">
        <f>I$95*I96</f>
        <v>999.38461538461524</v>
      </c>
      <c r="J99" s="133">
        <f>J$95*I96</f>
        <v>0</v>
      </c>
      <c r="K99" s="132">
        <f>K$95*K96</f>
        <v>0</v>
      </c>
      <c r="L99" s="133">
        <f>L$95*K96</f>
        <v>0</v>
      </c>
      <c r="M99" s="132">
        <f>M$95*M96</f>
        <v>0</v>
      </c>
      <c r="N99" s="133">
        <f>N$95*M96</f>
        <v>0</v>
      </c>
      <c r="O99" s="134">
        <f>SUM(C99,E99,G99,I99,K99,M99)</f>
        <v>999.38461538461524</v>
      </c>
      <c r="P99" s="135">
        <f>SUM(D99,F99,H99,J99,L99,N99)</f>
        <v>0</v>
      </c>
      <c r="Q99" s="62"/>
    </row>
    <row r="100" spans="1:17" outlineLevel="1" x14ac:dyDescent="0.2">
      <c r="A100" s="131" t="s">
        <v>172</v>
      </c>
      <c r="B100" s="131"/>
      <c r="C100" s="132">
        <f>C$95*C97</f>
        <v>0</v>
      </c>
      <c r="D100" s="133">
        <f>D$95*C97</f>
        <v>0</v>
      </c>
      <c r="E100" s="132">
        <f>E$95*E97</f>
        <v>0</v>
      </c>
      <c r="F100" s="133">
        <f>F$95*E97</f>
        <v>0</v>
      </c>
      <c r="G100" s="132">
        <f>G$95*G97</f>
        <v>0</v>
      </c>
      <c r="H100" s="133">
        <f>H$95*G97</f>
        <v>0</v>
      </c>
      <c r="I100" s="132">
        <f>I$95*I97</f>
        <v>285.53846153846155</v>
      </c>
      <c r="J100" s="133">
        <f>J$95*I97</f>
        <v>0</v>
      </c>
      <c r="K100" s="132">
        <f>K$95*K97</f>
        <v>0</v>
      </c>
      <c r="L100" s="133">
        <f>L$95*K97</f>
        <v>0</v>
      </c>
      <c r="M100" s="132">
        <f>M$95*M97</f>
        <v>0</v>
      </c>
      <c r="N100" s="133">
        <f>N$95*M97</f>
        <v>0</v>
      </c>
      <c r="O100" s="134">
        <f>SUM(C100,E100,G100,I100,K100,M100)</f>
        <v>285.53846153846155</v>
      </c>
      <c r="P100" s="135">
        <f>SUM(D100,F100,H100,J100,L100,N100)</f>
        <v>0</v>
      </c>
      <c r="Q100" s="62"/>
    </row>
    <row r="101" spans="1:17" outlineLevel="1" x14ac:dyDescent="0.2">
      <c r="A101" s="131" t="s">
        <v>173</v>
      </c>
      <c r="B101" s="131"/>
      <c r="C101" s="132">
        <f>C$95*C98</f>
        <v>0</v>
      </c>
      <c r="D101" s="133">
        <f>D$95*C98</f>
        <v>0</v>
      </c>
      <c r="E101" s="132">
        <f>E$95*E98</f>
        <v>0</v>
      </c>
      <c r="F101" s="133">
        <f>F$95*E98</f>
        <v>0</v>
      </c>
      <c r="G101" s="132">
        <f>G$95*G98</f>
        <v>0</v>
      </c>
      <c r="H101" s="133">
        <f>H$95*G98</f>
        <v>0</v>
      </c>
      <c r="I101" s="132">
        <f>I$95*I98</f>
        <v>142.76923076923077</v>
      </c>
      <c r="J101" s="133">
        <f>J$95*I98</f>
        <v>0</v>
      </c>
      <c r="K101" s="132">
        <f>K$95*K98</f>
        <v>0</v>
      </c>
      <c r="L101" s="133">
        <f>L$95*K98</f>
        <v>0</v>
      </c>
      <c r="M101" s="132">
        <f>M$95*M98</f>
        <v>0</v>
      </c>
      <c r="N101" s="133">
        <f>N$95*M98</f>
        <v>0</v>
      </c>
      <c r="O101" s="134">
        <f>SUM(C101,E101,G101,I101,K101,M101)</f>
        <v>142.76923076923077</v>
      </c>
      <c r="P101" s="135">
        <f>SUM(D101,F101,H101,J101,L101,N101)</f>
        <v>0</v>
      </c>
      <c r="Q101" s="62"/>
    </row>
    <row r="102" spans="1:17" outlineLevel="1" x14ac:dyDescent="0.2">
      <c r="A102" s="72" t="s">
        <v>141</v>
      </c>
      <c r="B102" s="72"/>
      <c r="C102" s="106">
        <f>SUM(C99:C101)</f>
        <v>0</v>
      </c>
      <c r="D102" s="107">
        <f>SUM(D99:D101)</f>
        <v>0</v>
      </c>
      <c r="E102" s="106">
        <f>SUM(E99:E101)</f>
        <v>0</v>
      </c>
      <c r="F102" s="107">
        <f>SUM(F99:F101)</f>
        <v>0</v>
      </c>
      <c r="G102" s="106">
        <f>SUM(G99:G101)</f>
        <v>0</v>
      </c>
      <c r="H102" s="107">
        <f>SUM(H99:H101)</f>
        <v>0</v>
      </c>
      <c r="I102" s="106">
        <f>SUM(I99:I101)</f>
        <v>1427.6923076923074</v>
      </c>
      <c r="J102" s="107">
        <f>SUM(J99:J101)</f>
        <v>0</v>
      </c>
      <c r="K102" s="106">
        <f>SUM(K99:K101)</f>
        <v>0</v>
      </c>
      <c r="L102" s="107">
        <f>SUM(L99:L101)</f>
        <v>0</v>
      </c>
      <c r="M102" s="106">
        <f>SUM(M99:M101)</f>
        <v>0</v>
      </c>
      <c r="N102" s="107">
        <f>SUM(N99:N101)</f>
        <v>0</v>
      </c>
      <c r="O102" s="94">
        <f t="shared" ref="O102:P105" si="49">SUM(C102,E102,G102,I102,K102,M102)</f>
        <v>1427.6923076923074</v>
      </c>
      <c r="P102" s="71">
        <f t="shared" si="49"/>
        <v>0</v>
      </c>
      <c r="Q102" s="62"/>
    </row>
    <row r="103" spans="1:17" outlineLevel="1" x14ac:dyDescent="0.2">
      <c r="A103" s="72" t="s">
        <v>142</v>
      </c>
      <c r="B103" s="72"/>
      <c r="C103" s="106">
        <f>C95*C59</f>
        <v>0</v>
      </c>
      <c r="D103" s="116"/>
      <c r="E103" s="106">
        <f>E95*E59</f>
        <v>0</v>
      </c>
      <c r="F103" s="116"/>
      <c r="G103" s="106">
        <f>G95*G59</f>
        <v>0</v>
      </c>
      <c r="H103" s="116"/>
      <c r="I103" s="106">
        <f>I95*I59</f>
        <v>1713230.7692307692</v>
      </c>
      <c r="J103" s="116"/>
      <c r="K103" s="106">
        <f>K95*K59</f>
        <v>0</v>
      </c>
      <c r="L103" s="116"/>
      <c r="M103" s="106">
        <f>M95*M59</f>
        <v>0</v>
      </c>
      <c r="N103" s="116"/>
      <c r="O103" s="94">
        <f t="shared" si="49"/>
        <v>1713230.7692307692</v>
      </c>
      <c r="P103" s="71">
        <f t="shared" si="49"/>
        <v>0</v>
      </c>
      <c r="Q103" s="62"/>
    </row>
    <row r="104" spans="1:17" outlineLevel="1" x14ac:dyDescent="0.2">
      <c r="A104" s="72" t="s">
        <v>143</v>
      </c>
      <c r="B104" s="72"/>
      <c r="C104" s="106">
        <f>C95*C60</f>
        <v>0</v>
      </c>
      <c r="D104" s="116"/>
      <c r="E104" s="106">
        <f>E95*E60</f>
        <v>0</v>
      </c>
      <c r="F104" s="116"/>
      <c r="G104" s="106">
        <f>G95*G60</f>
        <v>0</v>
      </c>
      <c r="H104" s="116"/>
      <c r="I104" s="106">
        <f>I95*I60</f>
        <v>1356.3076923076922</v>
      </c>
      <c r="J104" s="116"/>
      <c r="K104" s="106">
        <f>K95*K60</f>
        <v>0</v>
      </c>
      <c r="L104" s="116"/>
      <c r="M104" s="106">
        <f>M95*M60</f>
        <v>0</v>
      </c>
      <c r="N104" s="116"/>
      <c r="O104" s="94">
        <f t="shared" si="49"/>
        <v>1356.3076923076922</v>
      </c>
      <c r="P104" s="71">
        <f t="shared" si="49"/>
        <v>0</v>
      </c>
      <c r="Q104" s="62"/>
    </row>
    <row r="105" spans="1:17" outlineLevel="1" x14ac:dyDescent="0.2">
      <c r="A105" s="72" t="s">
        <v>22</v>
      </c>
      <c r="B105" s="72"/>
      <c r="C105" s="106">
        <f>C104*C59</f>
        <v>0</v>
      </c>
      <c r="D105" s="116"/>
      <c r="E105" s="106">
        <f>E104*E59</f>
        <v>0</v>
      </c>
      <c r="F105" s="116"/>
      <c r="G105" s="106">
        <f>G104*G59</f>
        <v>0</v>
      </c>
      <c r="H105" s="116"/>
      <c r="I105" s="106">
        <f>I104*I59</f>
        <v>1627569.2307692305</v>
      </c>
      <c r="J105" s="116"/>
      <c r="K105" s="106">
        <f>K104*K59</f>
        <v>0</v>
      </c>
      <c r="L105" s="116"/>
      <c r="M105" s="106">
        <f>M104*M59</f>
        <v>0</v>
      </c>
      <c r="N105" s="116"/>
      <c r="O105" s="94">
        <f t="shared" si="49"/>
        <v>1627569.2307692305</v>
      </c>
      <c r="P105" s="71">
        <f t="shared" si="49"/>
        <v>0</v>
      </c>
      <c r="Q105" s="62"/>
    </row>
    <row r="106" spans="1:17" outlineLevel="1" x14ac:dyDescent="0.2">
      <c r="A106" s="72" t="s">
        <v>144</v>
      </c>
      <c r="B106" s="72"/>
      <c r="C106" s="118">
        <f t="shared" ref="C106:P106" si="50">IFERROR(C72/C105,0)</f>
        <v>0</v>
      </c>
      <c r="D106" s="119">
        <f t="shared" si="50"/>
        <v>0</v>
      </c>
      <c r="E106" s="118">
        <f t="shared" si="50"/>
        <v>0</v>
      </c>
      <c r="F106" s="119">
        <f t="shared" si="50"/>
        <v>0</v>
      </c>
      <c r="G106" s="118">
        <f t="shared" si="50"/>
        <v>0</v>
      </c>
      <c r="H106" s="119">
        <f t="shared" si="50"/>
        <v>0</v>
      </c>
      <c r="I106" s="118">
        <f t="shared" si="50"/>
        <v>0.28877419842710228</v>
      </c>
      <c r="J106" s="119">
        <f t="shared" si="50"/>
        <v>0</v>
      </c>
      <c r="K106" s="118">
        <f t="shared" si="50"/>
        <v>0</v>
      </c>
      <c r="L106" s="119">
        <f t="shared" si="50"/>
        <v>0</v>
      </c>
      <c r="M106" s="118">
        <f t="shared" si="50"/>
        <v>0</v>
      </c>
      <c r="N106" s="119">
        <f t="shared" si="50"/>
        <v>0</v>
      </c>
      <c r="O106" s="98">
        <f t="shared" si="50"/>
        <v>0.28877419842710228</v>
      </c>
      <c r="P106" s="86">
        <f t="shared" si="50"/>
        <v>0</v>
      </c>
      <c r="Q106" s="62"/>
    </row>
    <row r="107" spans="1:17" outlineLevel="1" x14ac:dyDescent="0.2">
      <c r="A107" s="72" t="s">
        <v>145</v>
      </c>
      <c r="B107" s="72"/>
      <c r="C107" s="106">
        <f t="shared" ref="C107:P107" si="51">IFERROR(C72/C95,0)</f>
        <v>0</v>
      </c>
      <c r="D107" s="107">
        <f t="shared" si="51"/>
        <v>0</v>
      </c>
      <c r="E107" s="106">
        <f t="shared" si="51"/>
        <v>0</v>
      </c>
      <c r="F107" s="107">
        <f t="shared" si="51"/>
        <v>0</v>
      </c>
      <c r="G107" s="106">
        <f t="shared" si="51"/>
        <v>0</v>
      </c>
      <c r="H107" s="107">
        <f t="shared" si="51"/>
        <v>0</v>
      </c>
      <c r="I107" s="106">
        <f t="shared" si="51"/>
        <v>329.20258620689657</v>
      </c>
      <c r="J107" s="107">
        <f t="shared" si="51"/>
        <v>0</v>
      </c>
      <c r="K107" s="106">
        <f t="shared" si="51"/>
        <v>0</v>
      </c>
      <c r="L107" s="107">
        <f t="shared" si="51"/>
        <v>0</v>
      </c>
      <c r="M107" s="106">
        <f t="shared" si="51"/>
        <v>0</v>
      </c>
      <c r="N107" s="107">
        <f t="shared" si="51"/>
        <v>0</v>
      </c>
      <c r="O107" s="94">
        <f t="shared" si="51"/>
        <v>329.20258620689657</v>
      </c>
      <c r="P107" s="71">
        <f t="shared" si="51"/>
        <v>0</v>
      </c>
      <c r="Q107" s="62"/>
    </row>
    <row r="108" spans="1:17" x14ac:dyDescent="0.2">
      <c r="A108" s="57"/>
      <c r="B108" s="57"/>
      <c r="C108" s="63"/>
      <c r="D108" s="57"/>
      <c r="E108" s="63"/>
      <c r="F108" s="57"/>
      <c r="G108" s="63"/>
      <c r="H108" s="57"/>
      <c r="I108" s="63"/>
      <c r="J108" s="57"/>
      <c r="K108" s="63"/>
      <c r="L108" s="57"/>
      <c r="M108" s="63"/>
      <c r="N108" s="57"/>
      <c r="O108" s="63"/>
      <c r="P108" s="57"/>
      <c r="Q108" s="62"/>
    </row>
    <row r="109" spans="1:17" x14ac:dyDescent="0.2">
      <c r="A109" s="88" t="s">
        <v>146</v>
      </c>
      <c r="B109" s="9"/>
      <c r="C109" s="89"/>
      <c r="D109" s="9"/>
      <c r="E109" s="89"/>
      <c r="F109" s="9"/>
      <c r="G109" s="89"/>
      <c r="H109" s="9"/>
      <c r="I109" s="89"/>
      <c r="J109" s="9"/>
      <c r="K109" s="89"/>
      <c r="L109" s="9"/>
      <c r="M109" s="89"/>
      <c r="N109" s="9"/>
      <c r="O109" s="89"/>
      <c r="P109" s="90"/>
      <c r="Q109" s="62"/>
    </row>
    <row r="110" spans="1:17" outlineLevel="1" x14ac:dyDescent="0.2">
      <c r="A110" s="91" t="s">
        <v>123</v>
      </c>
      <c r="B110" s="91"/>
      <c r="C110" s="92">
        <v>5500</v>
      </c>
      <c r="D110" s="93"/>
      <c r="E110" s="92">
        <v>5500</v>
      </c>
      <c r="F110" s="93"/>
      <c r="G110" s="92">
        <v>5500</v>
      </c>
      <c r="H110" s="93">
        <v>6693</v>
      </c>
      <c r="I110" s="92">
        <v>5500</v>
      </c>
      <c r="J110" s="93"/>
      <c r="K110" s="92">
        <v>5500</v>
      </c>
      <c r="L110" s="93"/>
      <c r="M110" s="92">
        <v>5500</v>
      </c>
      <c r="N110" s="93"/>
      <c r="O110" s="94">
        <f>IFERROR(O149/O148,0)</f>
        <v>5500.0000000000009</v>
      </c>
      <c r="P110" s="71">
        <f>IFERROR(P149/P148,0)</f>
        <v>6570.5714285714284</v>
      </c>
      <c r="Q110" s="62"/>
    </row>
    <row r="111" spans="1:17" outlineLevel="1" x14ac:dyDescent="0.2">
      <c r="A111" s="91" t="s">
        <v>125</v>
      </c>
      <c r="B111" s="91"/>
      <c r="C111" s="95">
        <v>0.93</v>
      </c>
      <c r="D111" s="96">
        <f>IFERROR(D148/D146,0)</f>
        <v>0</v>
      </c>
      <c r="E111" s="95">
        <v>0.93</v>
      </c>
      <c r="F111" s="96">
        <f>IFERROR(F148/F146,0)</f>
        <v>0</v>
      </c>
      <c r="G111" s="95">
        <v>0.93</v>
      </c>
      <c r="H111" s="96">
        <f>IFERROR(H148/H146,0)</f>
        <v>0.46666666666666667</v>
      </c>
      <c r="I111" s="95">
        <v>0.93</v>
      </c>
      <c r="J111" s="96">
        <f>IFERROR(J148/J146,0)</f>
        <v>0</v>
      </c>
      <c r="K111" s="95">
        <v>0.93</v>
      </c>
      <c r="L111" s="96">
        <f>IFERROR(L148/L146,0)</f>
        <v>0</v>
      </c>
      <c r="M111" s="95">
        <v>0.93</v>
      </c>
      <c r="N111" s="96">
        <f>IFERROR(N148/N146,0)</f>
        <v>0</v>
      </c>
      <c r="O111" s="98">
        <f>IFERROR(O148/O146,0)</f>
        <v>0.93000000000000016</v>
      </c>
      <c r="P111" s="86">
        <f>IFERROR(P148/P146,0)</f>
        <v>0.46666666666666667</v>
      </c>
      <c r="Q111" s="62"/>
    </row>
    <row r="112" spans="1:17" outlineLevel="1" x14ac:dyDescent="0.2">
      <c r="A112" s="13" t="s">
        <v>126</v>
      </c>
      <c r="B112" s="13"/>
      <c r="C112" s="103"/>
      <c r="D112" s="13"/>
      <c r="E112" s="103"/>
      <c r="F112" s="13"/>
      <c r="G112" s="103"/>
      <c r="H112" s="13"/>
      <c r="I112" s="103"/>
      <c r="J112" s="13"/>
      <c r="K112" s="103"/>
      <c r="L112" s="13"/>
      <c r="M112" s="103"/>
      <c r="N112" s="13"/>
      <c r="O112" s="103"/>
      <c r="P112" s="104"/>
      <c r="Q112" s="62"/>
    </row>
    <row r="113" spans="1:17" outlineLevel="1" x14ac:dyDescent="0.2">
      <c r="A113" s="91" t="s">
        <v>35</v>
      </c>
      <c r="B113" s="91"/>
      <c r="C113" s="92">
        <v>23400</v>
      </c>
      <c r="D113" s="93"/>
      <c r="E113" s="92">
        <v>135000</v>
      </c>
      <c r="F113" s="93"/>
      <c r="G113" s="92">
        <v>100000</v>
      </c>
      <c r="H113" s="93">
        <f>68837</f>
        <v>68837</v>
      </c>
      <c r="I113" s="92">
        <v>0</v>
      </c>
      <c r="J113" s="93"/>
      <c r="K113" s="92">
        <f>I113</f>
        <v>0</v>
      </c>
      <c r="L113" s="93"/>
      <c r="M113" s="92">
        <f>K113</f>
        <v>0</v>
      </c>
      <c r="N113" s="93"/>
      <c r="O113" s="94">
        <f t="shared" ref="O113:O123" si="52">SUM(C113,E113,G113,I113,K113,M113)</f>
        <v>258400</v>
      </c>
      <c r="P113" s="71">
        <f t="shared" ref="P113:P123" si="53">SUM(D113,F113,H113,J113,L113,N113)</f>
        <v>68837</v>
      </c>
      <c r="Q113" s="62"/>
    </row>
    <row r="114" spans="1:17" outlineLevel="1" x14ac:dyDescent="0.2">
      <c r="A114" s="91" t="s">
        <v>36</v>
      </c>
      <c r="B114" s="91"/>
      <c r="C114" s="92">
        <v>0</v>
      </c>
      <c r="D114" s="93"/>
      <c r="E114" s="92">
        <v>0</v>
      </c>
      <c r="F114" s="93"/>
      <c r="G114" s="92"/>
      <c r="H114" s="93"/>
      <c r="I114" s="92">
        <v>30000</v>
      </c>
      <c r="J114" s="93"/>
      <c r="K114" s="92"/>
      <c r="L114" s="93"/>
      <c r="M114" s="92"/>
      <c r="N114" s="93"/>
      <c r="O114" s="94">
        <f t="shared" si="52"/>
        <v>30000</v>
      </c>
      <c r="P114" s="71">
        <f t="shared" si="53"/>
        <v>0</v>
      </c>
      <c r="Q114" s="62"/>
    </row>
    <row r="115" spans="1:17" outlineLevel="1" x14ac:dyDescent="0.2">
      <c r="A115" s="91" t="s">
        <v>37</v>
      </c>
      <c r="B115" s="91"/>
      <c r="C115" s="92">
        <v>0</v>
      </c>
      <c r="D115" s="93"/>
      <c r="E115" s="92">
        <v>0</v>
      </c>
      <c r="F115" s="93"/>
      <c r="G115" s="92">
        <v>20000</v>
      </c>
      <c r="H115" s="93"/>
      <c r="I115" s="92">
        <f>G115</f>
        <v>20000</v>
      </c>
      <c r="J115" s="93"/>
      <c r="K115" s="92">
        <f>I115</f>
        <v>20000</v>
      </c>
      <c r="L115" s="93"/>
      <c r="M115" s="92">
        <f>K115</f>
        <v>20000</v>
      </c>
      <c r="N115" s="93"/>
      <c r="O115" s="94">
        <f t="shared" si="52"/>
        <v>80000</v>
      </c>
      <c r="P115" s="71">
        <f t="shared" si="53"/>
        <v>0</v>
      </c>
      <c r="Q115" s="62"/>
    </row>
    <row r="116" spans="1:17" outlineLevel="1" x14ac:dyDescent="0.2">
      <c r="A116" s="91" t="s">
        <v>134</v>
      </c>
      <c r="B116" s="91"/>
      <c r="C116" s="92">
        <v>0</v>
      </c>
      <c r="D116" s="93"/>
      <c r="E116" s="92">
        <v>0</v>
      </c>
      <c r="F116" s="93"/>
      <c r="G116" s="92"/>
      <c r="H116" s="93"/>
      <c r="I116" s="92"/>
      <c r="J116" s="93"/>
      <c r="K116" s="92"/>
      <c r="L116" s="93"/>
      <c r="M116" s="92"/>
      <c r="N116" s="93"/>
      <c r="O116" s="94">
        <f t="shared" si="52"/>
        <v>0</v>
      </c>
      <c r="P116" s="71">
        <f t="shared" si="53"/>
        <v>0</v>
      </c>
      <c r="Q116" s="62"/>
    </row>
    <row r="117" spans="1:17" outlineLevel="1" x14ac:dyDescent="0.2">
      <c r="A117" s="91" t="s">
        <v>39</v>
      </c>
      <c r="B117" s="91"/>
      <c r="C117" s="92">
        <v>0</v>
      </c>
      <c r="D117" s="93"/>
      <c r="E117" s="92">
        <v>0</v>
      </c>
      <c r="F117" s="93"/>
      <c r="G117" s="92"/>
      <c r="H117" s="93"/>
      <c r="I117" s="92"/>
      <c r="J117" s="93"/>
      <c r="K117" s="92"/>
      <c r="L117" s="93"/>
      <c r="M117" s="92"/>
      <c r="N117" s="93"/>
      <c r="O117" s="94">
        <f t="shared" si="52"/>
        <v>0</v>
      </c>
      <c r="P117" s="71">
        <f t="shared" si="53"/>
        <v>0</v>
      </c>
      <c r="Q117" s="62"/>
    </row>
    <row r="118" spans="1:17" outlineLevel="1" x14ac:dyDescent="0.2">
      <c r="A118" s="91" t="s">
        <v>40</v>
      </c>
      <c r="B118" s="91"/>
      <c r="C118" s="92">
        <v>0</v>
      </c>
      <c r="D118" s="93"/>
      <c r="E118" s="92">
        <v>0</v>
      </c>
      <c r="F118" s="93"/>
      <c r="G118" s="92"/>
      <c r="H118" s="93"/>
      <c r="I118" s="92"/>
      <c r="J118" s="93"/>
      <c r="K118" s="92"/>
      <c r="L118" s="93"/>
      <c r="M118" s="92"/>
      <c r="N118" s="93"/>
      <c r="O118" s="94">
        <f t="shared" si="52"/>
        <v>0</v>
      </c>
      <c r="P118" s="71">
        <f t="shared" si="53"/>
        <v>0</v>
      </c>
      <c r="Q118" s="62"/>
    </row>
    <row r="119" spans="1:17" outlineLevel="1" x14ac:dyDescent="0.2">
      <c r="A119" s="91" t="s">
        <v>41</v>
      </c>
      <c r="B119" s="91"/>
      <c r="C119" s="92">
        <v>2600</v>
      </c>
      <c r="D119" s="93"/>
      <c r="E119" s="92">
        <v>15000</v>
      </c>
      <c r="F119" s="93"/>
      <c r="G119" s="92"/>
      <c r="H119" s="93">
        <f>2064</f>
        <v>2064</v>
      </c>
      <c r="I119" s="92"/>
      <c r="J119" s="93"/>
      <c r="K119" s="92">
        <v>15000</v>
      </c>
      <c r="L119" s="93"/>
      <c r="M119" s="92">
        <v>15000</v>
      </c>
      <c r="N119" s="93"/>
      <c r="O119" s="94">
        <f t="shared" si="52"/>
        <v>47600</v>
      </c>
      <c r="P119" s="71">
        <f t="shared" si="53"/>
        <v>2064</v>
      </c>
      <c r="Q119" s="62"/>
    </row>
    <row r="120" spans="1:17" outlineLevel="1" x14ac:dyDescent="0.2">
      <c r="A120" s="91" t="s">
        <v>135</v>
      </c>
      <c r="B120" s="91"/>
      <c r="C120" s="92">
        <v>0</v>
      </c>
      <c r="D120" s="93"/>
      <c r="E120" s="92">
        <v>0</v>
      </c>
      <c r="F120" s="93"/>
      <c r="G120" s="92"/>
      <c r="H120" s="93">
        <f>7973</f>
        <v>7973</v>
      </c>
      <c r="I120" s="92">
        <v>30000</v>
      </c>
      <c r="J120" s="93"/>
      <c r="K120" s="92">
        <v>15000</v>
      </c>
      <c r="L120" s="93"/>
      <c r="M120" s="92">
        <v>15000</v>
      </c>
      <c r="N120" s="93"/>
      <c r="O120" s="94">
        <f t="shared" si="52"/>
        <v>60000</v>
      </c>
      <c r="P120" s="71">
        <f t="shared" si="53"/>
        <v>7973</v>
      </c>
      <c r="Q120" s="62"/>
    </row>
    <row r="121" spans="1:17" outlineLevel="1" x14ac:dyDescent="0.2">
      <c r="A121" s="91" t="s">
        <v>136</v>
      </c>
      <c r="B121" s="91"/>
      <c r="C121" s="92">
        <v>0</v>
      </c>
      <c r="D121" s="93"/>
      <c r="E121" s="92">
        <v>0</v>
      </c>
      <c r="F121" s="93"/>
      <c r="G121" s="92"/>
      <c r="H121" s="93"/>
      <c r="I121" s="92">
        <v>0</v>
      </c>
      <c r="J121" s="93"/>
      <c r="K121" s="92"/>
      <c r="L121" s="93"/>
      <c r="M121" s="92"/>
      <c r="N121" s="93"/>
      <c r="O121" s="94">
        <f t="shared" si="52"/>
        <v>0</v>
      </c>
      <c r="P121" s="71">
        <f t="shared" si="53"/>
        <v>0</v>
      </c>
      <c r="Q121" s="62"/>
    </row>
    <row r="122" spans="1:17" outlineLevel="1" x14ac:dyDescent="0.2">
      <c r="A122" s="91" t="s">
        <v>137</v>
      </c>
      <c r="B122" s="91"/>
      <c r="C122" s="92">
        <v>0</v>
      </c>
      <c r="D122" s="93"/>
      <c r="E122" s="92">
        <v>0</v>
      </c>
      <c r="F122" s="93"/>
      <c r="G122" s="92"/>
      <c r="H122" s="93"/>
      <c r="I122" s="92"/>
      <c r="J122" s="93"/>
      <c r="K122" s="92"/>
      <c r="L122" s="93"/>
      <c r="M122" s="92"/>
      <c r="N122" s="93"/>
      <c r="O122" s="94">
        <f t="shared" si="52"/>
        <v>0</v>
      </c>
      <c r="P122" s="71">
        <f t="shared" si="53"/>
        <v>0</v>
      </c>
      <c r="Q122" s="62"/>
    </row>
    <row r="123" spans="1:17" outlineLevel="1" x14ac:dyDescent="0.2">
      <c r="A123" s="72" t="s">
        <v>132</v>
      </c>
      <c r="B123" s="72"/>
      <c r="C123" s="106">
        <f t="shared" ref="C123:N123" si="54">SUM(C113:C122)</f>
        <v>26000</v>
      </c>
      <c r="D123" s="107">
        <f t="shared" si="54"/>
        <v>0</v>
      </c>
      <c r="E123" s="106">
        <f t="shared" si="54"/>
        <v>150000</v>
      </c>
      <c r="F123" s="107">
        <f t="shared" si="54"/>
        <v>0</v>
      </c>
      <c r="G123" s="106">
        <f t="shared" si="54"/>
        <v>120000</v>
      </c>
      <c r="H123" s="107">
        <f t="shared" si="54"/>
        <v>78874</v>
      </c>
      <c r="I123" s="106">
        <f t="shared" si="54"/>
        <v>80000</v>
      </c>
      <c r="J123" s="107">
        <f t="shared" si="54"/>
        <v>0</v>
      </c>
      <c r="K123" s="106">
        <f t="shared" si="54"/>
        <v>50000</v>
      </c>
      <c r="L123" s="107">
        <f t="shared" si="54"/>
        <v>0</v>
      </c>
      <c r="M123" s="106">
        <f t="shared" si="54"/>
        <v>50000</v>
      </c>
      <c r="N123" s="107">
        <f t="shared" si="54"/>
        <v>0</v>
      </c>
      <c r="O123" s="94">
        <f t="shared" si="52"/>
        <v>476000</v>
      </c>
      <c r="P123" s="71">
        <f t="shared" si="53"/>
        <v>78874</v>
      </c>
      <c r="Q123" s="62"/>
    </row>
    <row r="124" spans="1:17" outlineLevel="1" x14ac:dyDescent="0.2">
      <c r="A124" s="13" t="s">
        <v>138</v>
      </c>
      <c r="B124" s="13"/>
      <c r="C124" s="103"/>
      <c r="D124" s="13"/>
      <c r="E124" s="103"/>
      <c r="F124" s="13"/>
      <c r="G124" s="103"/>
      <c r="H124" s="13"/>
      <c r="I124" s="103"/>
      <c r="J124" s="13"/>
      <c r="K124" s="103"/>
      <c r="L124" s="13"/>
      <c r="M124" s="103"/>
      <c r="N124" s="13"/>
      <c r="O124" s="103"/>
      <c r="P124" s="104"/>
      <c r="Q124" s="62"/>
    </row>
    <row r="125" spans="1:17" outlineLevel="2" x14ac:dyDescent="0.2">
      <c r="A125" s="91" t="s">
        <v>35</v>
      </c>
      <c r="B125" s="91"/>
      <c r="C125" s="92">
        <v>667</v>
      </c>
      <c r="D125" s="108">
        <f t="shared" ref="D125:D134" si="55">IFERROR(D113/D136,0)</f>
        <v>0</v>
      </c>
      <c r="E125" s="92">
        <v>1027</v>
      </c>
      <c r="F125" s="108">
        <f t="shared" ref="F125:F134" si="56">IFERROR(F113/F136,0)</f>
        <v>0</v>
      </c>
      <c r="G125" s="92">
        <v>3000</v>
      </c>
      <c r="H125" s="108">
        <f t="shared" ref="H125:H134" si="57">IFERROR(H113/H136,0)</f>
        <v>7648.5555555555557</v>
      </c>
      <c r="I125" s="92">
        <f>ROUND(G125*0.7,0)</f>
        <v>2100</v>
      </c>
      <c r="J125" s="108">
        <f t="shared" ref="J125:J134" si="58">IFERROR(J113/J136,0)</f>
        <v>0</v>
      </c>
      <c r="K125" s="92">
        <v>1500</v>
      </c>
      <c r="L125" s="108">
        <f t="shared" ref="L125:L134" si="59">IFERROR(L113/L136,0)</f>
        <v>0</v>
      </c>
      <c r="M125" s="92">
        <v>1500</v>
      </c>
      <c r="N125" s="108">
        <f t="shared" ref="N125:P134" si="60">IFERROR(N113/N136,0)</f>
        <v>0</v>
      </c>
      <c r="O125" s="94">
        <f t="shared" si="60"/>
        <v>1292.8622113776084</v>
      </c>
      <c r="P125" s="71">
        <f t="shared" si="60"/>
        <v>7648.5555555555557</v>
      </c>
      <c r="Q125" s="62"/>
    </row>
    <row r="126" spans="1:17" outlineLevel="2" x14ac:dyDescent="0.2">
      <c r="A126" s="91" t="s">
        <v>36</v>
      </c>
      <c r="B126" s="91"/>
      <c r="C126" s="92">
        <v>667</v>
      </c>
      <c r="D126" s="108">
        <f t="shared" si="55"/>
        <v>0</v>
      </c>
      <c r="E126" s="92">
        <v>1027</v>
      </c>
      <c r="F126" s="108">
        <f t="shared" si="56"/>
        <v>0</v>
      </c>
      <c r="G126" s="92">
        <v>1027</v>
      </c>
      <c r="H126" s="108">
        <f t="shared" si="57"/>
        <v>0</v>
      </c>
      <c r="I126" s="92">
        <v>1027</v>
      </c>
      <c r="J126" s="108">
        <f t="shared" si="58"/>
        <v>0</v>
      </c>
      <c r="K126" s="92">
        <v>1027</v>
      </c>
      <c r="L126" s="108">
        <f t="shared" si="59"/>
        <v>0</v>
      </c>
      <c r="M126" s="92">
        <v>1027</v>
      </c>
      <c r="N126" s="108">
        <f t="shared" si="60"/>
        <v>0</v>
      </c>
      <c r="O126" s="94">
        <f t="shared" si="60"/>
        <v>1027</v>
      </c>
      <c r="P126" s="71">
        <f t="shared" si="60"/>
        <v>0</v>
      </c>
      <c r="Q126" s="62"/>
    </row>
    <row r="127" spans="1:17" outlineLevel="2" x14ac:dyDescent="0.2">
      <c r="A127" s="91" t="s">
        <v>37</v>
      </c>
      <c r="B127" s="91"/>
      <c r="C127" s="92">
        <v>667</v>
      </c>
      <c r="D127" s="108">
        <f t="shared" si="55"/>
        <v>0</v>
      </c>
      <c r="E127" s="92">
        <v>1027</v>
      </c>
      <c r="F127" s="108">
        <f t="shared" si="56"/>
        <v>0</v>
      </c>
      <c r="G127" s="92">
        <v>1027</v>
      </c>
      <c r="H127" s="108">
        <f t="shared" si="57"/>
        <v>0</v>
      </c>
      <c r="I127" s="92">
        <v>1500</v>
      </c>
      <c r="J127" s="108">
        <f t="shared" si="58"/>
        <v>0</v>
      </c>
      <c r="K127" s="92">
        <v>1027</v>
      </c>
      <c r="L127" s="108">
        <f t="shared" si="59"/>
        <v>0</v>
      </c>
      <c r="M127" s="92">
        <v>1027</v>
      </c>
      <c r="N127" s="108">
        <f t="shared" si="60"/>
        <v>0</v>
      </c>
      <c r="O127" s="94">
        <f t="shared" si="60"/>
        <v>1114.890537362041</v>
      </c>
      <c r="P127" s="71">
        <f t="shared" si="60"/>
        <v>0</v>
      </c>
      <c r="Q127" s="62"/>
    </row>
    <row r="128" spans="1:17" outlineLevel="2" x14ac:dyDescent="0.2">
      <c r="A128" s="91" t="s">
        <v>134</v>
      </c>
      <c r="B128" s="91"/>
      <c r="C128" s="92">
        <v>667</v>
      </c>
      <c r="D128" s="108">
        <f t="shared" si="55"/>
        <v>0</v>
      </c>
      <c r="E128" s="92">
        <v>1027</v>
      </c>
      <c r="F128" s="108">
        <f t="shared" si="56"/>
        <v>0</v>
      </c>
      <c r="G128" s="92">
        <v>1027</v>
      </c>
      <c r="H128" s="108">
        <f t="shared" si="57"/>
        <v>0</v>
      </c>
      <c r="I128" s="92">
        <v>1027</v>
      </c>
      <c r="J128" s="108">
        <f t="shared" si="58"/>
        <v>0</v>
      </c>
      <c r="K128" s="92">
        <v>1027</v>
      </c>
      <c r="L128" s="108">
        <f t="shared" si="59"/>
        <v>0</v>
      </c>
      <c r="M128" s="92">
        <v>1027</v>
      </c>
      <c r="N128" s="108">
        <f t="shared" si="60"/>
        <v>0</v>
      </c>
      <c r="O128" s="94">
        <f t="shared" si="60"/>
        <v>0</v>
      </c>
      <c r="P128" s="71">
        <f t="shared" si="60"/>
        <v>0</v>
      </c>
      <c r="Q128" s="62"/>
    </row>
    <row r="129" spans="1:17" outlineLevel="2" x14ac:dyDescent="0.2">
      <c r="A129" s="91" t="s">
        <v>39</v>
      </c>
      <c r="B129" s="91"/>
      <c r="C129" s="92">
        <v>667</v>
      </c>
      <c r="D129" s="108">
        <f t="shared" si="55"/>
        <v>0</v>
      </c>
      <c r="E129" s="92">
        <v>1027</v>
      </c>
      <c r="F129" s="108">
        <f t="shared" si="56"/>
        <v>0</v>
      </c>
      <c r="G129" s="92">
        <v>1027</v>
      </c>
      <c r="H129" s="108">
        <f t="shared" si="57"/>
        <v>0</v>
      </c>
      <c r="I129" s="92">
        <v>1027</v>
      </c>
      <c r="J129" s="108">
        <f t="shared" si="58"/>
        <v>0</v>
      </c>
      <c r="K129" s="92">
        <v>1027</v>
      </c>
      <c r="L129" s="108">
        <f t="shared" si="59"/>
        <v>0</v>
      </c>
      <c r="M129" s="92">
        <v>1027</v>
      </c>
      <c r="N129" s="108">
        <f t="shared" si="60"/>
        <v>0</v>
      </c>
      <c r="O129" s="94">
        <f t="shared" si="60"/>
        <v>0</v>
      </c>
      <c r="P129" s="71">
        <f t="shared" si="60"/>
        <v>0</v>
      </c>
      <c r="Q129" s="62"/>
    </row>
    <row r="130" spans="1:17" outlineLevel="2" x14ac:dyDescent="0.2">
      <c r="A130" s="91" t="s">
        <v>40</v>
      </c>
      <c r="B130" s="91"/>
      <c r="C130" s="92">
        <v>667</v>
      </c>
      <c r="D130" s="108">
        <f t="shared" si="55"/>
        <v>0</v>
      </c>
      <c r="E130" s="92">
        <v>1027</v>
      </c>
      <c r="F130" s="108">
        <f t="shared" si="56"/>
        <v>0</v>
      </c>
      <c r="G130" s="92">
        <v>1027</v>
      </c>
      <c r="H130" s="108">
        <f t="shared" si="57"/>
        <v>0</v>
      </c>
      <c r="I130" s="92">
        <v>1027</v>
      </c>
      <c r="J130" s="108">
        <f t="shared" si="58"/>
        <v>0</v>
      </c>
      <c r="K130" s="92">
        <v>1027</v>
      </c>
      <c r="L130" s="108">
        <f t="shared" si="59"/>
        <v>0</v>
      </c>
      <c r="M130" s="92">
        <v>1027</v>
      </c>
      <c r="N130" s="108">
        <f t="shared" si="60"/>
        <v>0</v>
      </c>
      <c r="O130" s="94">
        <f t="shared" si="60"/>
        <v>0</v>
      </c>
      <c r="P130" s="71">
        <f t="shared" si="60"/>
        <v>0</v>
      </c>
      <c r="Q130" s="62"/>
    </row>
    <row r="131" spans="1:17" outlineLevel="2" x14ac:dyDescent="0.2">
      <c r="A131" s="91" t="s">
        <v>41</v>
      </c>
      <c r="B131" s="91"/>
      <c r="C131" s="92">
        <v>667</v>
      </c>
      <c r="D131" s="108">
        <f t="shared" si="55"/>
        <v>0</v>
      </c>
      <c r="E131" s="92">
        <v>1027</v>
      </c>
      <c r="F131" s="108">
        <f t="shared" si="56"/>
        <v>0</v>
      </c>
      <c r="G131" s="92">
        <v>1027</v>
      </c>
      <c r="H131" s="108">
        <f t="shared" si="57"/>
        <v>0</v>
      </c>
      <c r="I131" s="92">
        <v>1027</v>
      </c>
      <c r="J131" s="108">
        <f t="shared" si="58"/>
        <v>0</v>
      </c>
      <c r="K131" s="92">
        <v>1027</v>
      </c>
      <c r="L131" s="108">
        <f t="shared" si="59"/>
        <v>0</v>
      </c>
      <c r="M131" s="92">
        <v>1027</v>
      </c>
      <c r="N131" s="108">
        <f t="shared" si="60"/>
        <v>0</v>
      </c>
      <c r="O131" s="94">
        <f t="shared" si="60"/>
        <v>997.58999180057037</v>
      </c>
      <c r="P131" s="71">
        <f t="shared" si="60"/>
        <v>0</v>
      </c>
      <c r="Q131" s="62"/>
    </row>
    <row r="132" spans="1:17" outlineLevel="2" x14ac:dyDescent="0.2">
      <c r="A132" s="91" t="s">
        <v>135</v>
      </c>
      <c r="B132" s="91"/>
      <c r="C132" s="92">
        <v>667</v>
      </c>
      <c r="D132" s="108">
        <f t="shared" si="55"/>
        <v>0</v>
      </c>
      <c r="E132" s="92">
        <v>1027</v>
      </c>
      <c r="F132" s="108">
        <f t="shared" si="56"/>
        <v>0</v>
      </c>
      <c r="G132" s="92">
        <v>1027</v>
      </c>
      <c r="H132" s="108">
        <f t="shared" si="57"/>
        <v>1328.8333333333333</v>
      </c>
      <c r="I132" s="92">
        <v>1027</v>
      </c>
      <c r="J132" s="108">
        <f t="shared" si="58"/>
        <v>0</v>
      </c>
      <c r="K132" s="92">
        <v>1027</v>
      </c>
      <c r="L132" s="108">
        <f t="shared" si="59"/>
        <v>0</v>
      </c>
      <c r="M132" s="92">
        <v>1027</v>
      </c>
      <c r="N132" s="108">
        <f t="shared" si="60"/>
        <v>0</v>
      </c>
      <c r="O132" s="94">
        <f t="shared" si="60"/>
        <v>1027</v>
      </c>
      <c r="P132" s="71">
        <f t="shared" si="60"/>
        <v>1328.8333333333333</v>
      </c>
      <c r="Q132" s="62"/>
    </row>
    <row r="133" spans="1:17" outlineLevel="2" x14ac:dyDescent="0.2">
      <c r="A133" s="91" t="s">
        <v>136</v>
      </c>
      <c r="B133" s="91"/>
      <c r="C133" s="92">
        <v>667</v>
      </c>
      <c r="D133" s="108">
        <f t="shared" si="55"/>
        <v>0</v>
      </c>
      <c r="E133" s="92">
        <v>1027</v>
      </c>
      <c r="F133" s="108">
        <f t="shared" si="56"/>
        <v>0</v>
      </c>
      <c r="G133" s="92">
        <v>1027</v>
      </c>
      <c r="H133" s="108">
        <f t="shared" si="57"/>
        <v>0</v>
      </c>
      <c r="I133" s="92">
        <v>1027</v>
      </c>
      <c r="J133" s="108">
        <f t="shared" si="58"/>
        <v>0</v>
      </c>
      <c r="K133" s="92">
        <v>1027</v>
      </c>
      <c r="L133" s="108">
        <f t="shared" si="59"/>
        <v>0</v>
      </c>
      <c r="M133" s="92">
        <v>1027</v>
      </c>
      <c r="N133" s="108">
        <f t="shared" si="60"/>
        <v>0</v>
      </c>
      <c r="O133" s="94">
        <f t="shared" si="60"/>
        <v>0</v>
      </c>
      <c r="P133" s="71">
        <f t="shared" si="60"/>
        <v>0</v>
      </c>
      <c r="Q133" s="62"/>
    </row>
    <row r="134" spans="1:17" outlineLevel="2" x14ac:dyDescent="0.2">
      <c r="A134" s="91" t="s">
        <v>137</v>
      </c>
      <c r="B134" s="91"/>
      <c r="C134" s="92">
        <v>667</v>
      </c>
      <c r="D134" s="108">
        <f t="shared" si="55"/>
        <v>0</v>
      </c>
      <c r="E134" s="92">
        <v>1027</v>
      </c>
      <c r="F134" s="108">
        <f t="shared" si="56"/>
        <v>0</v>
      </c>
      <c r="G134" s="92">
        <v>1027</v>
      </c>
      <c r="H134" s="108">
        <f t="shared" si="57"/>
        <v>0</v>
      </c>
      <c r="I134" s="92">
        <v>1027</v>
      </c>
      <c r="J134" s="108">
        <f t="shared" si="58"/>
        <v>0</v>
      </c>
      <c r="K134" s="92">
        <v>1027</v>
      </c>
      <c r="L134" s="108">
        <f t="shared" si="59"/>
        <v>0</v>
      </c>
      <c r="M134" s="92">
        <v>1027</v>
      </c>
      <c r="N134" s="108">
        <f t="shared" si="60"/>
        <v>0</v>
      </c>
      <c r="O134" s="94">
        <f t="shared" si="60"/>
        <v>0</v>
      </c>
      <c r="P134" s="71">
        <f t="shared" si="60"/>
        <v>0</v>
      </c>
      <c r="Q134" s="62"/>
    </row>
    <row r="135" spans="1:17" outlineLevel="1" x14ac:dyDescent="0.2">
      <c r="A135" s="13" t="s">
        <v>139</v>
      </c>
      <c r="B135" s="13"/>
      <c r="C135" s="103"/>
      <c r="D135" s="13"/>
      <c r="E135" s="103"/>
      <c r="F135" s="13"/>
      <c r="G135" s="103"/>
      <c r="H135" s="13"/>
      <c r="I135" s="103"/>
      <c r="J135" s="13"/>
      <c r="K135" s="103"/>
      <c r="L135" s="13"/>
      <c r="M135" s="103"/>
      <c r="N135" s="13"/>
      <c r="O135" s="103"/>
      <c r="P135" s="104"/>
      <c r="Q135" s="62"/>
    </row>
    <row r="136" spans="1:17" outlineLevel="2" x14ac:dyDescent="0.2">
      <c r="A136" s="91" t="s">
        <v>35</v>
      </c>
      <c r="B136" s="91"/>
      <c r="C136" s="111">
        <f t="shared" ref="C136:C145" si="61">IFERROR(C113/C125,0)</f>
        <v>35.082458770614693</v>
      </c>
      <c r="D136" s="93"/>
      <c r="E136" s="111">
        <f t="shared" ref="E136:E145" si="62">IFERROR(E113/E125,0)</f>
        <v>131.45082765335931</v>
      </c>
      <c r="F136" s="93"/>
      <c r="G136" s="111">
        <f t="shared" ref="G136:G145" si="63">IFERROR(G113/G125,0)</f>
        <v>33.333333333333336</v>
      </c>
      <c r="H136" s="93">
        <f>0+9</f>
        <v>9</v>
      </c>
      <c r="I136" s="111">
        <f t="shared" ref="I136:I145" si="64">IFERROR(I113/I125,0)</f>
        <v>0</v>
      </c>
      <c r="J136" s="93"/>
      <c r="K136" s="111">
        <f t="shared" ref="K136:K145" si="65">IFERROR(K113/K125,0)</f>
        <v>0</v>
      </c>
      <c r="L136" s="93"/>
      <c r="M136" s="111">
        <f t="shared" ref="M136:M145" si="66">IFERROR(M113/M125,0)</f>
        <v>0</v>
      </c>
      <c r="N136" s="93"/>
      <c r="O136" s="94">
        <f t="shared" ref="O136:O149" si="67">SUM(C136,E136,G136,I136,K136,M136)</f>
        <v>199.86661975730735</v>
      </c>
      <c r="P136" s="71">
        <f t="shared" ref="P136:P149" si="68">SUM(D136,F136,H136,J136,L136,N136)</f>
        <v>9</v>
      </c>
      <c r="Q136" s="62"/>
    </row>
    <row r="137" spans="1:17" outlineLevel="2" x14ac:dyDescent="0.2">
      <c r="A137" s="91" t="s">
        <v>36</v>
      </c>
      <c r="B137" s="91"/>
      <c r="C137" s="111">
        <f t="shared" si="61"/>
        <v>0</v>
      </c>
      <c r="D137" s="93"/>
      <c r="E137" s="111">
        <f t="shared" si="62"/>
        <v>0</v>
      </c>
      <c r="F137" s="93"/>
      <c r="G137" s="111">
        <f t="shared" si="63"/>
        <v>0</v>
      </c>
      <c r="H137" s="93"/>
      <c r="I137" s="111">
        <f t="shared" si="64"/>
        <v>29.211295034079843</v>
      </c>
      <c r="J137" s="93"/>
      <c r="K137" s="111">
        <f t="shared" si="65"/>
        <v>0</v>
      </c>
      <c r="L137" s="93"/>
      <c r="M137" s="111">
        <f t="shared" si="66"/>
        <v>0</v>
      </c>
      <c r="N137" s="93"/>
      <c r="O137" s="94">
        <f t="shared" si="67"/>
        <v>29.211295034079843</v>
      </c>
      <c r="P137" s="71">
        <f t="shared" si="68"/>
        <v>0</v>
      </c>
      <c r="Q137" s="62"/>
    </row>
    <row r="138" spans="1:17" outlineLevel="2" x14ac:dyDescent="0.2">
      <c r="A138" s="91" t="s">
        <v>37</v>
      </c>
      <c r="B138" s="91"/>
      <c r="C138" s="111">
        <f t="shared" si="61"/>
        <v>0</v>
      </c>
      <c r="D138" s="93"/>
      <c r="E138" s="111">
        <f t="shared" si="62"/>
        <v>0</v>
      </c>
      <c r="F138" s="93"/>
      <c r="G138" s="111">
        <f t="shared" si="63"/>
        <v>19.474196689386563</v>
      </c>
      <c r="H138" s="93"/>
      <c r="I138" s="111">
        <f t="shared" si="64"/>
        <v>13.333333333333334</v>
      </c>
      <c r="J138" s="93"/>
      <c r="K138" s="111">
        <f t="shared" si="65"/>
        <v>19.474196689386563</v>
      </c>
      <c r="L138" s="93"/>
      <c r="M138" s="111">
        <f t="shared" si="66"/>
        <v>19.474196689386563</v>
      </c>
      <c r="N138" s="93"/>
      <c r="O138" s="94">
        <f t="shared" si="67"/>
        <v>71.755923401493021</v>
      </c>
      <c r="P138" s="71">
        <f t="shared" si="68"/>
        <v>0</v>
      </c>
      <c r="Q138" s="62"/>
    </row>
    <row r="139" spans="1:17" outlineLevel="2" x14ac:dyDescent="0.2">
      <c r="A139" s="91" t="s">
        <v>134</v>
      </c>
      <c r="B139" s="91"/>
      <c r="C139" s="111">
        <f t="shared" si="61"/>
        <v>0</v>
      </c>
      <c r="D139" s="93"/>
      <c r="E139" s="111">
        <f t="shared" si="62"/>
        <v>0</v>
      </c>
      <c r="F139" s="93"/>
      <c r="G139" s="111">
        <f t="shared" si="63"/>
        <v>0</v>
      </c>
      <c r="H139" s="93"/>
      <c r="I139" s="111">
        <f t="shared" si="64"/>
        <v>0</v>
      </c>
      <c r="J139" s="93"/>
      <c r="K139" s="111">
        <f t="shared" si="65"/>
        <v>0</v>
      </c>
      <c r="L139" s="93"/>
      <c r="M139" s="111">
        <f t="shared" si="66"/>
        <v>0</v>
      </c>
      <c r="N139" s="93"/>
      <c r="O139" s="94">
        <f t="shared" si="67"/>
        <v>0</v>
      </c>
      <c r="P139" s="71">
        <f t="shared" si="68"/>
        <v>0</v>
      </c>
      <c r="Q139" s="62"/>
    </row>
    <row r="140" spans="1:17" outlineLevel="2" x14ac:dyDescent="0.2">
      <c r="A140" s="91" t="s">
        <v>39</v>
      </c>
      <c r="B140" s="91"/>
      <c r="C140" s="111">
        <f t="shared" si="61"/>
        <v>0</v>
      </c>
      <c r="D140" s="93"/>
      <c r="E140" s="111">
        <f t="shared" si="62"/>
        <v>0</v>
      </c>
      <c r="F140" s="93"/>
      <c r="G140" s="111">
        <f t="shared" si="63"/>
        <v>0</v>
      </c>
      <c r="H140" s="93"/>
      <c r="I140" s="111">
        <f t="shared" si="64"/>
        <v>0</v>
      </c>
      <c r="J140" s="93"/>
      <c r="K140" s="111">
        <f t="shared" si="65"/>
        <v>0</v>
      </c>
      <c r="L140" s="93"/>
      <c r="M140" s="111">
        <f t="shared" si="66"/>
        <v>0</v>
      </c>
      <c r="N140" s="93"/>
      <c r="O140" s="94">
        <f t="shared" si="67"/>
        <v>0</v>
      </c>
      <c r="P140" s="71">
        <f t="shared" si="68"/>
        <v>0</v>
      </c>
      <c r="Q140" s="62"/>
    </row>
    <row r="141" spans="1:17" outlineLevel="2" x14ac:dyDescent="0.2">
      <c r="A141" s="91" t="s">
        <v>40</v>
      </c>
      <c r="B141" s="91"/>
      <c r="C141" s="111">
        <f t="shared" si="61"/>
        <v>0</v>
      </c>
      <c r="D141" s="93"/>
      <c r="E141" s="111">
        <f t="shared" si="62"/>
        <v>0</v>
      </c>
      <c r="F141" s="93"/>
      <c r="G141" s="111">
        <f t="shared" si="63"/>
        <v>0</v>
      </c>
      <c r="H141" s="93"/>
      <c r="I141" s="111">
        <f t="shared" si="64"/>
        <v>0</v>
      </c>
      <c r="J141" s="93"/>
      <c r="K141" s="111">
        <f t="shared" si="65"/>
        <v>0</v>
      </c>
      <c r="L141" s="93"/>
      <c r="M141" s="111">
        <f t="shared" si="66"/>
        <v>0</v>
      </c>
      <c r="N141" s="93"/>
      <c r="O141" s="94">
        <f t="shared" si="67"/>
        <v>0</v>
      </c>
      <c r="P141" s="71">
        <f t="shared" si="68"/>
        <v>0</v>
      </c>
      <c r="Q141" s="62"/>
    </row>
    <row r="142" spans="1:17" outlineLevel="2" x14ac:dyDescent="0.2">
      <c r="A142" s="91" t="s">
        <v>41</v>
      </c>
      <c r="B142" s="91"/>
      <c r="C142" s="111">
        <f t="shared" si="61"/>
        <v>3.8980509745127438</v>
      </c>
      <c r="D142" s="93"/>
      <c r="E142" s="111">
        <f t="shared" si="62"/>
        <v>14.605647517039921</v>
      </c>
      <c r="F142" s="93"/>
      <c r="G142" s="111">
        <f t="shared" si="63"/>
        <v>0</v>
      </c>
      <c r="H142" s="93">
        <f>0</f>
        <v>0</v>
      </c>
      <c r="I142" s="111">
        <f t="shared" si="64"/>
        <v>0</v>
      </c>
      <c r="J142" s="93"/>
      <c r="K142" s="111">
        <f t="shared" si="65"/>
        <v>14.605647517039921</v>
      </c>
      <c r="L142" s="93"/>
      <c r="M142" s="111">
        <f t="shared" si="66"/>
        <v>14.605647517039921</v>
      </c>
      <c r="N142" s="93"/>
      <c r="O142" s="94">
        <f t="shared" si="67"/>
        <v>47.714993525632508</v>
      </c>
      <c r="P142" s="71">
        <f t="shared" si="68"/>
        <v>0</v>
      </c>
      <c r="Q142" s="62"/>
    </row>
    <row r="143" spans="1:17" outlineLevel="2" x14ac:dyDescent="0.2">
      <c r="A143" s="91" t="s">
        <v>135</v>
      </c>
      <c r="B143" s="91"/>
      <c r="C143" s="111">
        <f t="shared" si="61"/>
        <v>0</v>
      </c>
      <c r="D143" s="93"/>
      <c r="E143" s="111">
        <f t="shared" si="62"/>
        <v>0</v>
      </c>
      <c r="F143" s="93"/>
      <c r="G143" s="111">
        <f t="shared" si="63"/>
        <v>0</v>
      </c>
      <c r="H143" s="93">
        <f>6</f>
        <v>6</v>
      </c>
      <c r="I143" s="111">
        <f t="shared" si="64"/>
        <v>29.211295034079843</v>
      </c>
      <c r="J143" s="93"/>
      <c r="K143" s="111">
        <f t="shared" si="65"/>
        <v>14.605647517039921</v>
      </c>
      <c r="L143" s="93"/>
      <c r="M143" s="111">
        <f t="shared" si="66"/>
        <v>14.605647517039921</v>
      </c>
      <c r="N143" s="93"/>
      <c r="O143" s="94">
        <f t="shared" si="67"/>
        <v>58.422590068159685</v>
      </c>
      <c r="P143" s="71">
        <f t="shared" si="68"/>
        <v>6</v>
      </c>
      <c r="Q143" s="62"/>
    </row>
    <row r="144" spans="1:17" outlineLevel="2" x14ac:dyDescent="0.2">
      <c r="A144" s="91" t="s">
        <v>136</v>
      </c>
      <c r="B144" s="91"/>
      <c r="C144" s="111">
        <f t="shared" si="61"/>
        <v>0</v>
      </c>
      <c r="D144" s="93"/>
      <c r="E144" s="111">
        <f t="shared" si="62"/>
        <v>0</v>
      </c>
      <c r="F144" s="93"/>
      <c r="G144" s="111">
        <f t="shared" si="63"/>
        <v>0</v>
      </c>
      <c r="H144" s="93"/>
      <c r="I144" s="111">
        <f t="shared" si="64"/>
        <v>0</v>
      </c>
      <c r="J144" s="93"/>
      <c r="K144" s="111">
        <f t="shared" si="65"/>
        <v>0</v>
      </c>
      <c r="L144" s="93"/>
      <c r="M144" s="111">
        <f t="shared" si="66"/>
        <v>0</v>
      </c>
      <c r="N144" s="93"/>
      <c r="O144" s="94">
        <f t="shared" si="67"/>
        <v>0</v>
      </c>
      <c r="P144" s="71">
        <f t="shared" si="68"/>
        <v>0</v>
      </c>
      <c r="Q144" s="62"/>
    </row>
    <row r="145" spans="1:17" outlineLevel="2" x14ac:dyDescent="0.2">
      <c r="A145" s="91" t="s">
        <v>137</v>
      </c>
      <c r="B145" s="91"/>
      <c r="C145" s="111">
        <f t="shared" si="61"/>
        <v>0</v>
      </c>
      <c r="D145" s="93"/>
      <c r="E145" s="111">
        <f t="shared" si="62"/>
        <v>0</v>
      </c>
      <c r="F145" s="93"/>
      <c r="G145" s="111">
        <f t="shared" si="63"/>
        <v>0</v>
      </c>
      <c r="H145" s="93"/>
      <c r="I145" s="111">
        <f t="shared" si="64"/>
        <v>0</v>
      </c>
      <c r="J145" s="93"/>
      <c r="K145" s="111">
        <f t="shared" si="65"/>
        <v>0</v>
      </c>
      <c r="L145" s="93"/>
      <c r="M145" s="111">
        <f t="shared" si="66"/>
        <v>0</v>
      </c>
      <c r="N145" s="93"/>
      <c r="O145" s="94">
        <f t="shared" si="67"/>
        <v>0</v>
      </c>
      <c r="P145" s="71">
        <f t="shared" si="68"/>
        <v>0</v>
      </c>
      <c r="Q145" s="62"/>
    </row>
    <row r="146" spans="1:17" outlineLevel="1" x14ac:dyDescent="0.2">
      <c r="A146" s="72" t="s">
        <v>133</v>
      </c>
      <c r="B146" s="72"/>
      <c r="C146" s="106">
        <f t="shared" ref="C146:N146" si="69">SUM(C136:C145)</f>
        <v>38.980509745127435</v>
      </c>
      <c r="D146" s="107">
        <f t="shared" si="69"/>
        <v>0</v>
      </c>
      <c r="E146" s="106">
        <f t="shared" si="69"/>
        <v>146.05647517039924</v>
      </c>
      <c r="F146" s="107">
        <f t="shared" si="69"/>
        <v>0</v>
      </c>
      <c r="G146" s="106">
        <f t="shared" si="69"/>
        <v>52.807530022719902</v>
      </c>
      <c r="H146" s="107">
        <f t="shared" si="69"/>
        <v>15</v>
      </c>
      <c r="I146" s="106">
        <f t="shared" si="69"/>
        <v>71.755923401493021</v>
      </c>
      <c r="J146" s="107">
        <f t="shared" si="69"/>
        <v>0</v>
      </c>
      <c r="K146" s="106">
        <f t="shared" si="69"/>
        <v>48.685491723466406</v>
      </c>
      <c r="L146" s="107">
        <f t="shared" si="69"/>
        <v>0</v>
      </c>
      <c r="M146" s="106">
        <f t="shared" si="69"/>
        <v>48.685491723466406</v>
      </c>
      <c r="N146" s="107">
        <f t="shared" si="69"/>
        <v>0</v>
      </c>
      <c r="O146" s="94">
        <f t="shared" si="67"/>
        <v>406.97142178667235</v>
      </c>
      <c r="P146" s="71">
        <f t="shared" si="68"/>
        <v>15</v>
      </c>
      <c r="Q146" s="62"/>
    </row>
    <row r="147" spans="1:17" outlineLevel="1" x14ac:dyDescent="0.2">
      <c r="A147" s="72" t="s">
        <v>142</v>
      </c>
      <c r="B147" s="72"/>
      <c r="C147" s="106">
        <f>C146*C110</f>
        <v>214392.8035982009</v>
      </c>
      <c r="D147" s="116"/>
      <c r="E147" s="106">
        <f>E146*E110</f>
        <v>803310.61343719577</v>
      </c>
      <c r="F147" s="116"/>
      <c r="G147" s="106">
        <f>G146*G110</f>
        <v>290441.41512495949</v>
      </c>
      <c r="H147" s="116">
        <f>100390</f>
        <v>100390</v>
      </c>
      <c r="I147" s="106">
        <f>I146*I110</f>
        <v>394657.5787082116</v>
      </c>
      <c r="J147" s="116"/>
      <c r="K147" s="106">
        <f>K146*K110</f>
        <v>267770.20447906526</v>
      </c>
      <c r="L147" s="116"/>
      <c r="M147" s="106">
        <f>M146*M110</f>
        <v>267770.20447906526</v>
      </c>
      <c r="N147" s="116"/>
      <c r="O147" s="94">
        <f t="shared" si="67"/>
        <v>2238342.8198266984</v>
      </c>
      <c r="P147" s="71">
        <f t="shared" si="68"/>
        <v>100390</v>
      </c>
      <c r="Q147" s="62"/>
    </row>
    <row r="148" spans="1:17" outlineLevel="1" x14ac:dyDescent="0.2">
      <c r="A148" s="72" t="s">
        <v>143</v>
      </c>
      <c r="B148" s="72"/>
      <c r="C148" s="106">
        <f>C146*C111</f>
        <v>36.251874062968518</v>
      </c>
      <c r="D148" s="116"/>
      <c r="E148" s="106">
        <f>E146*E111</f>
        <v>135.83252190847131</v>
      </c>
      <c r="F148" s="116"/>
      <c r="G148" s="106">
        <f>G146*G111</f>
        <v>49.111002921129511</v>
      </c>
      <c r="H148" s="116">
        <f>7</f>
        <v>7</v>
      </c>
      <c r="I148" s="106">
        <f>I146*I111</f>
        <v>66.733008763388511</v>
      </c>
      <c r="J148" s="116"/>
      <c r="K148" s="106">
        <f>K146*K111</f>
        <v>45.277507302823757</v>
      </c>
      <c r="L148" s="116"/>
      <c r="M148" s="106">
        <f>M146*M111</f>
        <v>45.277507302823757</v>
      </c>
      <c r="N148" s="116"/>
      <c r="O148" s="94">
        <f t="shared" si="67"/>
        <v>378.48342226160537</v>
      </c>
      <c r="P148" s="71">
        <f t="shared" si="68"/>
        <v>7</v>
      </c>
      <c r="Q148" s="62"/>
    </row>
    <row r="149" spans="1:17" outlineLevel="1" x14ac:dyDescent="0.2">
      <c r="A149" s="72" t="s">
        <v>22</v>
      </c>
      <c r="B149" s="72"/>
      <c r="C149" s="106">
        <f>C148*C110</f>
        <v>199385.30734632685</v>
      </c>
      <c r="D149" s="116"/>
      <c r="E149" s="106">
        <f>E148*E110</f>
        <v>747078.87049659214</v>
      </c>
      <c r="F149" s="116"/>
      <c r="G149" s="106">
        <f>G148*G110</f>
        <v>270110.51606621232</v>
      </c>
      <c r="H149" s="116">
        <f>45994</f>
        <v>45994</v>
      </c>
      <c r="I149" s="106">
        <f>I148*I110</f>
        <v>367031.5481986368</v>
      </c>
      <c r="J149" s="116"/>
      <c r="K149" s="106">
        <f>K148*K110</f>
        <v>249026.29016553066</v>
      </c>
      <c r="L149" s="116"/>
      <c r="M149" s="106">
        <f>M148*M110</f>
        <v>249026.29016553066</v>
      </c>
      <c r="N149" s="116"/>
      <c r="O149" s="94">
        <f t="shared" si="67"/>
        <v>2081658.8224388298</v>
      </c>
      <c r="P149" s="71">
        <f t="shared" si="68"/>
        <v>45994</v>
      </c>
      <c r="Q149" s="62"/>
    </row>
    <row r="150" spans="1:17" outlineLevel="1" x14ac:dyDescent="0.2">
      <c r="A150" s="72" t="s">
        <v>144</v>
      </c>
      <c r="B150" s="72"/>
      <c r="C150" s="118">
        <f t="shared" ref="C150:P150" si="70">IFERROR(C123/C149,0)</f>
        <v>0.13040078201368524</v>
      </c>
      <c r="D150" s="119">
        <f t="shared" si="70"/>
        <v>0</v>
      </c>
      <c r="E150" s="118">
        <f t="shared" si="70"/>
        <v>0.20078201368523946</v>
      </c>
      <c r="F150" s="119">
        <f t="shared" si="70"/>
        <v>0</v>
      </c>
      <c r="G150" s="118">
        <f t="shared" si="70"/>
        <v>0.44426259942646712</v>
      </c>
      <c r="H150" s="119">
        <f t="shared" si="70"/>
        <v>1.7148758533721791</v>
      </c>
      <c r="I150" s="118">
        <f t="shared" si="70"/>
        <v>0.21796491444028171</v>
      </c>
      <c r="J150" s="119">
        <f t="shared" si="70"/>
        <v>0</v>
      </c>
      <c r="K150" s="118">
        <f t="shared" si="70"/>
        <v>0.20078201368523949</v>
      </c>
      <c r="L150" s="119">
        <f t="shared" si="70"/>
        <v>0</v>
      </c>
      <c r="M150" s="118">
        <f t="shared" si="70"/>
        <v>0.20078201368523949</v>
      </c>
      <c r="N150" s="119">
        <f t="shared" si="70"/>
        <v>0</v>
      </c>
      <c r="O150" s="98">
        <f t="shared" si="70"/>
        <v>0.2286637920052278</v>
      </c>
      <c r="P150" s="86">
        <f t="shared" si="70"/>
        <v>1.7148758533721791</v>
      </c>
      <c r="Q150" s="62"/>
    </row>
    <row r="151" spans="1:17" outlineLevel="1" x14ac:dyDescent="0.2">
      <c r="A151" s="72" t="s">
        <v>145</v>
      </c>
      <c r="B151" s="72"/>
      <c r="C151" s="106">
        <f t="shared" ref="C151:P151" si="71">IFERROR(C123/C146,0)</f>
        <v>667</v>
      </c>
      <c r="D151" s="107">
        <f t="shared" si="71"/>
        <v>0</v>
      </c>
      <c r="E151" s="106">
        <f t="shared" si="71"/>
        <v>1026.9999999999998</v>
      </c>
      <c r="F151" s="107">
        <f t="shared" si="71"/>
        <v>0</v>
      </c>
      <c r="G151" s="106">
        <f t="shared" si="71"/>
        <v>2272.4031960663797</v>
      </c>
      <c r="H151" s="107">
        <f t="shared" si="71"/>
        <v>5258.2666666666664</v>
      </c>
      <c r="I151" s="106">
        <f t="shared" si="71"/>
        <v>1114.890537362041</v>
      </c>
      <c r="J151" s="107">
        <f t="shared" si="71"/>
        <v>0</v>
      </c>
      <c r="K151" s="106">
        <f t="shared" si="71"/>
        <v>1027</v>
      </c>
      <c r="L151" s="107">
        <f t="shared" si="71"/>
        <v>0</v>
      </c>
      <c r="M151" s="106">
        <f t="shared" si="71"/>
        <v>1027</v>
      </c>
      <c r="N151" s="107">
        <f t="shared" si="71"/>
        <v>0</v>
      </c>
      <c r="O151" s="94">
        <f t="shared" si="71"/>
        <v>1169.6152961067405</v>
      </c>
      <c r="P151" s="71">
        <f t="shared" si="71"/>
        <v>5258.2666666666664</v>
      </c>
      <c r="Q151" s="62"/>
    </row>
    <row r="152" spans="1:17" x14ac:dyDescent="0.2">
      <c r="A152" s="57"/>
      <c r="B152" s="57"/>
      <c r="C152" s="63"/>
      <c r="D152" s="57"/>
      <c r="E152" s="63"/>
      <c r="F152" s="57"/>
      <c r="G152" s="63"/>
      <c r="H152" s="57"/>
      <c r="I152" s="63"/>
      <c r="J152" s="57"/>
      <c r="K152" s="63"/>
      <c r="L152" s="57"/>
      <c r="M152" s="63"/>
      <c r="N152" s="57"/>
      <c r="O152" s="63"/>
      <c r="P152" s="57"/>
      <c r="Q152" s="62"/>
    </row>
    <row r="153" spans="1:17" x14ac:dyDescent="0.2">
      <c r="A153" s="9" t="s">
        <v>47</v>
      </c>
      <c r="B153" s="9"/>
      <c r="C153" s="89"/>
      <c r="D153" s="9"/>
      <c r="E153" s="89"/>
      <c r="F153" s="9"/>
      <c r="G153" s="89"/>
      <c r="H153" s="9"/>
      <c r="I153" s="89"/>
      <c r="J153" s="9"/>
      <c r="K153" s="89"/>
      <c r="L153" s="9"/>
      <c r="M153" s="89"/>
      <c r="N153" s="9"/>
      <c r="O153" s="89"/>
      <c r="P153" s="90"/>
      <c r="Q153" s="62"/>
    </row>
    <row r="154" spans="1:17" hidden="1" outlineLevel="1" x14ac:dyDescent="0.2">
      <c r="A154" s="13" t="s">
        <v>126</v>
      </c>
      <c r="B154" s="13"/>
      <c r="C154" s="103"/>
      <c r="D154" s="13"/>
      <c r="E154" s="103"/>
      <c r="F154" s="13"/>
      <c r="G154" s="103"/>
      <c r="H154" s="13"/>
      <c r="I154" s="103"/>
      <c r="J154" s="13"/>
      <c r="K154" s="103"/>
      <c r="L154" s="13"/>
      <c r="M154" s="103"/>
      <c r="N154" s="13"/>
      <c r="O154" s="103"/>
      <c r="P154" s="104"/>
      <c r="Q154" s="62"/>
    </row>
    <row r="155" spans="1:17" hidden="1" outlineLevel="1" x14ac:dyDescent="0.2">
      <c r="A155" s="91" t="s">
        <v>35</v>
      </c>
      <c r="B155" s="91"/>
      <c r="C155" s="92">
        <v>12500</v>
      </c>
      <c r="D155" s="93"/>
      <c r="E155" s="92">
        <v>50000</v>
      </c>
      <c r="F155" s="93"/>
      <c r="G155" s="92">
        <v>55000</v>
      </c>
      <c r="H155" s="93">
        <f>30242</f>
        <v>30242</v>
      </c>
      <c r="I155" s="92">
        <v>0</v>
      </c>
      <c r="J155" s="93"/>
      <c r="K155" s="92">
        <f>I155</f>
        <v>0</v>
      </c>
      <c r="L155" s="93"/>
      <c r="M155" s="92">
        <f>K155</f>
        <v>0</v>
      </c>
      <c r="N155" s="93"/>
      <c r="O155" s="94">
        <f t="shared" ref="O155:O165" si="72">SUM(C155,E155,G155,I155,K155,M155)</f>
        <v>117500</v>
      </c>
      <c r="P155" s="71">
        <f t="shared" ref="P155:P165" si="73">SUM(D155,F155,H155,J155,L155,N155)</f>
        <v>30242</v>
      </c>
      <c r="Q155" s="62"/>
    </row>
    <row r="156" spans="1:17" hidden="1" outlineLevel="1" x14ac:dyDescent="0.2">
      <c r="A156" s="91" t="s">
        <v>36</v>
      </c>
      <c r="B156" s="91"/>
      <c r="C156" s="92">
        <v>0</v>
      </c>
      <c r="D156" s="93"/>
      <c r="E156" s="92">
        <v>0</v>
      </c>
      <c r="F156" s="93"/>
      <c r="G156" s="92"/>
      <c r="H156" s="93"/>
      <c r="I156" s="92"/>
      <c r="J156" s="93"/>
      <c r="K156" s="92"/>
      <c r="L156" s="93"/>
      <c r="M156" s="92"/>
      <c r="N156" s="93"/>
      <c r="O156" s="94">
        <f t="shared" si="72"/>
        <v>0</v>
      </c>
      <c r="P156" s="71">
        <f t="shared" si="73"/>
        <v>0</v>
      </c>
      <c r="Q156" s="62"/>
    </row>
    <row r="157" spans="1:17" hidden="1" outlineLevel="1" x14ac:dyDescent="0.2">
      <c r="A157" s="91" t="s">
        <v>37</v>
      </c>
      <c r="B157" s="91"/>
      <c r="C157" s="92">
        <v>0</v>
      </c>
      <c r="D157" s="93"/>
      <c r="E157" s="92">
        <v>0</v>
      </c>
      <c r="F157" s="93"/>
      <c r="G157" s="92"/>
      <c r="H157" s="93"/>
      <c r="I157" s="92"/>
      <c r="J157" s="93"/>
      <c r="K157" s="92"/>
      <c r="L157" s="93"/>
      <c r="M157" s="92"/>
      <c r="N157" s="93"/>
      <c r="O157" s="94">
        <f t="shared" si="72"/>
        <v>0</v>
      </c>
      <c r="P157" s="71">
        <f t="shared" si="73"/>
        <v>0</v>
      </c>
      <c r="Q157" s="62"/>
    </row>
    <row r="158" spans="1:17" hidden="1" outlineLevel="1" x14ac:dyDescent="0.2">
      <c r="A158" s="91" t="s">
        <v>134</v>
      </c>
      <c r="B158" s="91"/>
      <c r="C158" s="92">
        <v>0</v>
      </c>
      <c r="D158" s="93"/>
      <c r="E158" s="92">
        <v>0</v>
      </c>
      <c r="F158" s="93"/>
      <c r="G158" s="92"/>
      <c r="H158" s="93"/>
      <c r="I158" s="92"/>
      <c r="J158" s="93"/>
      <c r="K158" s="92"/>
      <c r="L158" s="93"/>
      <c r="M158" s="92"/>
      <c r="N158" s="93"/>
      <c r="O158" s="94">
        <f t="shared" si="72"/>
        <v>0</v>
      </c>
      <c r="P158" s="71">
        <f t="shared" si="73"/>
        <v>0</v>
      </c>
      <c r="Q158" s="62"/>
    </row>
    <row r="159" spans="1:17" hidden="1" outlineLevel="1" x14ac:dyDescent="0.2">
      <c r="A159" s="91" t="s">
        <v>39</v>
      </c>
      <c r="B159" s="91"/>
      <c r="C159" s="92">
        <v>0</v>
      </c>
      <c r="D159" s="93"/>
      <c r="E159" s="92">
        <v>0</v>
      </c>
      <c r="F159" s="93"/>
      <c r="G159" s="92"/>
      <c r="H159" s="93"/>
      <c r="I159" s="92"/>
      <c r="J159" s="93"/>
      <c r="K159" s="92"/>
      <c r="L159" s="93"/>
      <c r="M159" s="92"/>
      <c r="N159" s="93"/>
      <c r="O159" s="94">
        <f t="shared" si="72"/>
        <v>0</v>
      </c>
      <c r="P159" s="71">
        <f t="shared" si="73"/>
        <v>0</v>
      </c>
      <c r="Q159" s="62"/>
    </row>
    <row r="160" spans="1:17" hidden="1" outlineLevel="1" x14ac:dyDescent="0.2">
      <c r="A160" s="91" t="s">
        <v>40</v>
      </c>
      <c r="B160" s="91"/>
      <c r="C160" s="92">
        <v>0</v>
      </c>
      <c r="D160" s="93"/>
      <c r="E160" s="92">
        <v>0</v>
      </c>
      <c r="F160" s="93"/>
      <c r="G160" s="92"/>
      <c r="H160" s="93"/>
      <c r="I160" s="92"/>
      <c r="J160" s="93"/>
      <c r="K160" s="92"/>
      <c r="L160" s="93"/>
      <c r="M160" s="92"/>
      <c r="N160" s="93"/>
      <c r="O160" s="94">
        <f t="shared" si="72"/>
        <v>0</v>
      </c>
      <c r="P160" s="71">
        <f t="shared" si="73"/>
        <v>0</v>
      </c>
      <c r="Q160" s="62"/>
    </row>
    <row r="161" spans="1:17" hidden="1" outlineLevel="1" x14ac:dyDescent="0.2">
      <c r="A161" s="91" t="s">
        <v>41</v>
      </c>
      <c r="B161" s="91"/>
      <c r="C161" s="92">
        <v>0</v>
      </c>
      <c r="D161" s="93"/>
      <c r="E161" s="92">
        <v>0</v>
      </c>
      <c r="F161" s="93"/>
      <c r="G161" s="92"/>
      <c r="H161" s="93"/>
      <c r="I161" s="92"/>
      <c r="J161" s="93"/>
      <c r="K161" s="92"/>
      <c r="L161" s="93"/>
      <c r="M161" s="92"/>
      <c r="N161" s="93"/>
      <c r="O161" s="94">
        <f t="shared" si="72"/>
        <v>0</v>
      </c>
      <c r="P161" s="71">
        <f t="shared" si="73"/>
        <v>0</v>
      </c>
      <c r="Q161" s="62"/>
    </row>
    <row r="162" spans="1:17" hidden="1" outlineLevel="1" x14ac:dyDescent="0.2">
      <c r="A162" s="91" t="s">
        <v>135</v>
      </c>
      <c r="B162" s="91"/>
      <c r="C162" s="92">
        <v>0</v>
      </c>
      <c r="D162" s="93"/>
      <c r="E162" s="92">
        <v>0</v>
      </c>
      <c r="F162" s="93"/>
      <c r="G162" s="92"/>
      <c r="H162" s="93"/>
      <c r="I162" s="92"/>
      <c r="J162" s="93"/>
      <c r="K162" s="92"/>
      <c r="L162" s="93"/>
      <c r="M162" s="92"/>
      <c r="N162" s="93"/>
      <c r="O162" s="94">
        <f t="shared" si="72"/>
        <v>0</v>
      </c>
      <c r="P162" s="71">
        <f t="shared" si="73"/>
        <v>0</v>
      </c>
      <c r="Q162" s="62"/>
    </row>
    <row r="163" spans="1:17" hidden="1" outlineLevel="1" x14ac:dyDescent="0.2">
      <c r="A163" s="91" t="s">
        <v>136</v>
      </c>
      <c r="B163" s="91"/>
      <c r="C163" s="92">
        <v>0</v>
      </c>
      <c r="D163" s="93"/>
      <c r="E163" s="92">
        <v>0</v>
      </c>
      <c r="F163" s="93"/>
      <c r="G163" s="92"/>
      <c r="H163" s="93"/>
      <c r="I163" s="92"/>
      <c r="J163" s="93"/>
      <c r="K163" s="92"/>
      <c r="L163" s="93"/>
      <c r="M163" s="92"/>
      <c r="N163" s="93"/>
      <c r="O163" s="94">
        <f t="shared" si="72"/>
        <v>0</v>
      </c>
      <c r="P163" s="71">
        <f t="shared" si="73"/>
        <v>0</v>
      </c>
      <c r="Q163" s="62"/>
    </row>
    <row r="164" spans="1:17" hidden="1" outlineLevel="1" x14ac:dyDescent="0.2">
      <c r="A164" s="91" t="s">
        <v>137</v>
      </c>
      <c r="B164" s="91"/>
      <c r="C164" s="92">
        <v>0</v>
      </c>
      <c r="D164" s="93"/>
      <c r="E164" s="92">
        <v>0</v>
      </c>
      <c r="F164" s="93"/>
      <c r="G164" s="92"/>
      <c r="H164" s="93"/>
      <c r="I164" s="92"/>
      <c r="J164" s="93"/>
      <c r="K164" s="92"/>
      <c r="L164" s="93"/>
      <c r="M164" s="92"/>
      <c r="N164" s="93"/>
      <c r="O164" s="94">
        <f t="shared" si="72"/>
        <v>0</v>
      </c>
      <c r="P164" s="71">
        <f t="shared" si="73"/>
        <v>0</v>
      </c>
      <c r="Q164" s="62"/>
    </row>
    <row r="165" spans="1:17" hidden="1" outlineLevel="1" x14ac:dyDescent="0.2">
      <c r="A165" s="72" t="s">
        <v>132</v>
      </c>
      <c r="B165" s="72"/>
      <c r="C165" s="106">
        <f t="shared" ref="C165:N165" si="74">SUM(C155:C164)</f>
        <v>12500</v>
      </c>
      <c r="D165" s="107">
        <f t="shared" si="74"/>
        <v>0</v>
      </c>
      <c r="E165" s="106">
        <f t="shared" si="74"/>
        <v>50000</v>
      </c>
      <c r="F165" s="107">
        <f t="shared" si="74"/>
        <v>0</v>
      </c>
      <c r="G165" s="106">
        <f t="shared" si="74"/>
        <v>55000</v>
      </c>
      <c r="H165" s="107">
        <f t="shared" si="74"/>
        <v>30242</v>
      </c>
      <c r="I165" s="106">
        <f t="shared" si="74"/>
        <v>0</v>
      </c>
      <c r="J165" s="107">
        <f t="shared" si="74"/>
        <v>0</v>
      </c>
      <c r="K165" s="106">
        <f t="shared" si="74"/>
        <v>0</v>
      </c>
      <c r="L165" s="107">
        <f t="shared" si="74"/>
        <v>0</v>
      </c>
      <c r="M165" s="106">
        <f t="shared" si="74"/>
        <v>0</v>
      </c>
      <c r="N165" s="107">
        <f t="shared" si="74"/>
        <v>0</v>
      </c>
      <c r="O165" s="94">
        <f t="shared" si="72"/>
        <v>117500</v>
      </c>
      <c r="P165" s="71">
        <f t="shared" si="73"/>
        <v>30242</v>
      </c>
      <c r="Q165" s="62"/>
    </row>
    <row r="166" spans="1:17" hidden="1" outlineLevel="1" x14ac:dyDescent="0.2">
      <c r="A166" s="13" t="s">
        <v>147</v>
      </c>
      <c r="B166" s="13"/>
      <c r="C166" s="103"/>
      <c r="D166" s="13"/>
      <c r="E166" s="103"/>
      <c r="F166" s="13"/>
      <c r="G166" s="103"/>
      <c r="H166" s="13"/>
      <c r="I166" s="103"/>
      <c r="J166" s="13"/>
      <c r="K166" s="103"/>
      <c r="L166" s="13"/>
      <c r="M166" s="103"/>
      <c r="N166" s="13"/>
      <c r="O166" s="103"/>
      <c r="P166" s="104"/>
      <c r="Q166" s="62"/>
    </row>
    <row r="167" spans="1:17" hidden="1" outlineLevel="2" x14ac:dyDescent="0.2">
      <c r="A167" s="91" t="s">
        <v>35</v>
      </c>
      <c r="B167" s="91"/>
      <c r="C167" s="92">
        <v>130</v>
      </c>
      <c r="D167" s="93"/>
      <c r="E167" s="92">
        <v>130</v>
      </c>
      <c r="F167" s="93"/>
      <c r="G167" s="92">
        <v>130</v>
      </c>
      <c r="H167" s="93"/>
      <c r="I167" s="92">
        <v>130</v>
      </c>
      <c r="J167" s="93"/>
      <c r="K167" s="92">
        <v>130</v>
      </c>
      <c r="L167" s="93"/>
      <c r="M167" s="92">
        <v>130</v>
      </c>
      <c r="N167" s="93"/>
      <c r="O167" s="94">
        <f t="shared" ref="O167:P176" si="75">IFERROR(O155/O178,0)</f>
        <v>130</v>
      </c>
      <c r="P167" s="71">
        <f t="shared" si="75"/>
        <v>112.84328358208955</v>
      </c>
      <c r="Q167" s="62"/>
    </row>
    <row r="168" spans="1:17" hidden="1" outlineLevel="2" x14ac:dyDescent="0.2">
      <c r="A168" s="91" t="s">
        <v>36</v>
      </c>
      <c r="B168" s="91"/>
      <c r="C168" s="92">
        <v>130</v>
      </c>
      <c r="D168" s="93"/>
      <c r="E168" s="92">
        <v>130</v>
      </c>
      <c r="F168" s="93"/>
      <c r="G168" s="92">
        <v>130</v>
      </c>
      <c r="H168" s="93"/>
      <c r="I168" s="92">
        <v>130</v>
      </c>
      <c r="J168" s="93"/>
      <c r="K168" s="92">
        <v>130</v>
      </c>
      <c r="L168" s="93"/>
      <c r="M168" s="92">
        <v>130</v>
      </c>
      <c r="N168" s="93"/>
      <c r="O168" s="94">
        <f t="shared" si="75"/>
        <v>0</v>
      </c>
      <c r="P168" s="71">
        <f t="shared" si="75"/>
        <v>0</v>
      </c>
      <c r="Q168" s="62"/>
    </row>
    <row r="169" spans="1:17" hidden="1" outlineLevel="2" x14ac:dyDescent="0.2">
      <c r="A169" s="91" t="s">
        <v>37</v>
      </c>
      <c r="B169" s="91"/>
      <c r="C169" s="92">
        <v>130</v>
      </c>
      <c r="D169" s="93"/>
      <c r="E169" s="92">
        <v>130</v>
      </c>
      <c r="F169" s="93"/>
      <c r="G169" s="92">
        <v>130</v>
      </c>
      <c r="H169" s="93"/>
      <c r="I169" s="92">
        <v>130</v>
      </c>
      <c r="J169" s="93"/>
      <c r="K169" s="92">
        <v>130</v>
      </c>
      <c r="L169" s="93"/>
      <c r="M169" s="92">
        <v>130</v>
      </c>
      <c r="N169" s="93"/>
      <c r="O169" s="94">
        <f t="shared" si="75"/>
        <v>0</v>
      </c>
      <c r="P169" s="71">
        <f t="shared" si="75"/>
        <v>0</v>
      </c>
      <c r="Q169" s="62"/>
    </row>
    <row r="170" spans="1:17" hidden="1" outlineLevel="2" x14ac:dyDescent="0.2">
      <c r="A170" s="91" t="s">
        <v>134</v>
      </c>
      <c r="B170" s="91"/>
      <c r="C170" s="92">
        <v>130</v>
      </c>
      <c r="D170" s="93"/>
      <c r="E170" s="92">
        <v>130</v>
      </c>
      <c r="F170" s="93"/>
      <c r="G170" s="92">
        <v>130</v>
      </c>
      <c r="H170" s="93"/>
      <c r="I170" s="92">
        <v>130</v>
      </c>
      <c r="J170" s="93"/>
      <c r="K170" s="92">
        <v>130</v>
      </c>
      <c r="L170" s="93"/>
      <c r="M170" s="92">
        <v>130</v>
      </c>
      <c r="N170" s="93"/>
      <c r="O170" s="94">
        <f t="shared" si="75"/>
        <v>0</v>
      </c>
      <c r="P170" s="71">
        <f t="shared" si="75"/>
        <v>0</v>
      </c>
      <c r="Q170" s="62"/>
    </row>
    <row r="171" spans="1:17" hidden="1" outlineLevel="2" x14ac:dyDescent="0.2">
      <c r="A171" s="91" t="s">
        <v>39</v>
      </c>
      <c r="B171" s="91"/>
      <c r="C171" s="92">
        <v>130</v>
      </c>
      <c r="D171" s="93"/>
      <c r="E171" s="92">
        <v>130</v>
      </c>
      <c r="F171" s="93"/>
      <c r="G171" s="92">
        <v>130</v>
      </c>
      <c r="H171" s="93"/>
      <c r="I171" s="92">
        <v>130</v>
      </c>
      <c r="J171" s="93"/>
      <c r="K171" s="92">
        <v>130</v>
      </c>
      <c r="L171" s="93"/>
      <c r="M171" s="92">
        <v>130</v>
      </c>
      <c r="N171" s="93"/>
      <c r="O171" s="94">
        <f t="shared" si="75"/>
        <v>0</v>
      </c>
      <c r="P171" s="71">
        <f t="shared" si="75"/>
        <v>0</v>
      </c>
      <c r="Q171" s="62"/>
    </row>
    <row r="172" spans="1:17" hidden="1" outlineLevel="2" x14ac:dyDescent="0.2">
      <c r="A172" s="91" t="s">
        <v>40</v>
      </c>
      <c r="B172" s="91"/>
      <c r="C172" s="92">
        <v>130</v>
      </c>
      <c r="D172" s="93"/>
      <c r="E172" s="92">
        <v>130</v>
      </c>
      <c r="F172" s="93"/>
      <c r="G172" s="92">
        <v>130</v>
      </c>
      <c r="H172" s="93"/>
      <c r="I172" s="92">
        <v>130</v>
      </c>
      <c r="J172" s="93"/>
      <c r="K172" s="92">
        <v>130</v>
      </c>
      <c r="L172" s="93"/>
      <c r="M172" s="92">
        <v>130</v>
      </c>
      <c r="N172" s="93"/>
      <c r="O172" s="94">
        <f t="shared" si="75"/>
        <v>0</v>
      </c>
      <c r="P172" s="71">
        <f t="shared" si="75"/>
        <v>0</v>
      </c>
      <c r="Q172" s="62"/>
    </row>
    <row r="173" spans="1:17" hidden="1" outlineLevel="2" x14ac:dyDescent="0.2">
      <c r="A173" s="91" t="s">
        <v>41</v>
      </c>
      <c r="B173" s="91"/>
      <c r="C173" s="92">
        <v>130</v>
      </c>
      <c r="D173" s="93"/>
      <c r="E173" s="92">
        <v>130</v>
      </c>
      <c r="F173" s="93"/>
      <c r="G173" s="92">
        <v>130</v>
      </c>
      <c r="H173" s="93"/>
      <c r="I173" s="92">
        <v>130</v>
      </c>
      <c r="J173" s="93"/>
      <c r="K173" s="92">
        <v>130</v>
      </c>
      <c r="L173" s="93"/>
      <c r="M173" s="92">
        <v>130</v>
      </c>
      <c r="N173" s="93"/>
      <c r="O173" s="94">
        <f t="shared" si="75"/>
        <v>0</v>
      </c>
      <c r="P173" s="71">
        <f t="shared" si="75"/>
        <v>0</v>
      </c>
      <c r="Q173" s="62"/>
    </row>
    <row r="174" spans="1:17" hidden="1" outlineLevel="2" x14ac:dyDescent="0.2">
      <c r="A174" s="91" t="s">
        <v>135</v>
      </c>
      <c r="B174" s="91"/>
      <c r="C174" s="92">
        <v>130</v>
      </c>
      <c r="D174" s="93"/>
      <c r="E174" s="92">
        <v>130</v>
      </c>
      <c r="F174" s="93"/>
      <c r="G174" s="92">
        <v>130</v>
      </c>
      <c r="H174" s="93"/>
      <c r="I174" s="92">
        <v>130</v>
      </c>
      <c r="J174" s="93"/>
      <c r="K174" s="92">
        <v>130</v>
      </c>
      <c r="L174" s="93"/>
      <c r="M174" s="92">
        <v>130</v>
      </c>
      <c r="N174" s="93"/>
      <c r="O174" s="94">
        <f t="shared" si="75"/>
        <v>0</v>
      </c>
      <c r="P174" s="71">
        <f t="shared" si="75"/>
        <v>0</v>
      </c>
      <c r="Q174" s="62"/>
    </row>
    <row r="175" spans="1:17" hidden="1" outlineLevel="2" x14ac:dyDescent="0.2">
      <c r="A175" s="91" t="s">
        <v>136</v>
      </c>
      <c r="B175" s="91"/>
      <c r="C175" s="92">
        <v>130</v>
      </c>
      <c r="D175" s="93"/>
      <c r="E175" s="92">
        <v>130</v>
      </c>
      <c r="F175" s="93"/>
      <c r="G175" s="92">
        <v>130</v>
      </c>
      <c r="H175" s="93"/>
      <c r="I175" s="92">
        <v>130</v>
      </c>
      <c r="J175" s="93"/>
      <c r="K175" s="92">
        <v>130</v>
      </c>
      <c r="L175" s="93"/>
      <c r="M175" s="92">
        <v>130</v>
      </c>
      <c r="N175" s="93"/>
      <c r="O175" s="94">
        <f t="shared" si="75"/>
        <v>0</v>
      </c>
      <c r="P175" s="71">
        <f t="shared" si="75"/>
        <v>0</v>
      </c>
      <c r="Q175" s="62"/>
    </row>
    <row r="176" spans="1:17" hidden="1" outlineLevel="2" x14ac:dyDescent="0.2">
      <c r="A176" s="91" t="s">
        <v>137</v>
      </c>
      <c r="B176" s="91"/>
      <c r="C176" s="92">
        <v>130</v>
      </c>
      <c r="D176" s="93"/>
      <c r="E176" s="92">
        <v>130</v>
      </c>
      <c r="F176" s="93"/>
      <c r="G176" s="92">
        <v>130</v>
      </c>
      <c r="H176" s="93"/>
      <c r="I176" s="92">
        <v>130</v>
      </c>
      <c r="J176" s="93"/>
      <c r="K176" s="92">
        <v>130</v>
      </c>
      <c r="L176" s="93"/>
      <c r="M176" s="92">
        <v>130</v>
      </c>
      <c r="N176" s="93"/>
      <c r="O176" s="94">
        <f t="shared" si="75"/>
        <v>0</v>
      </c>
      <c r="P176" s="71">
        <f t="shared" si="75"/>
        <v>0</v>
      </c>
      <c r="Q176" s="62"/>
    </row>
    <row r="177" spans="1:17" hidden="1" outlineLevel="1" x14ac:dyDescent="0.2">
      <c r="A177" s="13" t="s">
        <v>148</v>
      </c>
      <c r="B177" s="13"/>
      <c r="C177" s="103"/>
      <c r="D177" s="13"/>
      <c r="E177" s="103"/>
      <c r="F177" s="13"/>
      <c r="G177" s="103"/>
      <c r="H177" s="13"/>
      <c r="I177" s="103"/>
      <c r="J177" s="13"/>
      <c r="K177" s="103"/>
      <c r="L177" s="13"/>
      <c r="M177" s="103"/>
      <c r="N177" s="13"/>
      <c r="O177" s="103"/>
      <c r="P177" s="104"/>
      <c r="Q177" s="62"/>
    </row>
    <row r="178" spans="1:17" hidden="1" outlineLevel="2" x14ac:dyDescent="0.2">
      <c r="A178" s="91" t="s">
        <v>35</v>
      </c>
      <c r="B178" s="91"/>
      <c r="C178" s="111">
        <f t="shared" ref="C178:C187" si="76">IFERROR(C155/C167,0)</f>
        <v>96.15384615384616</v>
      </c>
      <c r="D178" s="93"/>
      <c r="E178" s="111">
        <f t="shared" ref="E178:E187" si="77">IFERROR(E155/E167,0)</f>
        <v>384.61538461538464</v>
      </c>
      <c r="F178" s="93"/>
      <c r="G178" s="111">
        <f t="shared" ref="G178:G187" si="78">IFERROR(G155/G167,0)</f>
        <v>423.07692307692309</v>
      </c>
      <c r="H178" s="93">
        <f>268</f>
        <v>268</v>
      </c>
      <c r="I178" s="111">
        <f t="shared" ref="I178:I187" si="79">IFERROR(I155/I167,0)</f>
        <v>0</v>
      </c>
      <c r="J178" s="93"/>
      <c r="K178" s="111">
        <f t="shared" ref="K178:K187" si="80">IFERROR(K155/K167,0)</f>
        <v>0</v>
      </c>
      <c r="L178" s="93"/>
      <c r="M178" s="111">
        <f t="shared" ref="M178:M187" si="81">IFERROR(M155/M167,0)</f>
        <v>0</v>
      </c>
      <c r="N178" s="93"/>
      <c r="O178" s="94">
        <f t="shared" ref="O178:O188" si="82">SUM(C178,E178,G178,I178,K178,M178)</f>
        <v>903.84615384615392</v>
      </c>
      <c r="P178" s="71">
        <f t="shared" ref="P178:P188" si="83">SUM(D178,F178,H178,J178,L178,N178)</f>
        <v>268</v>
      </c>
      <c r="Q178" s="62"/>
    </row>
    <row r="179" spans="1:17" hidden="1" outlineLevel="2" x14ac:dyDescent="0.2">
      <c r="A179" s="91" t="s">
        <v>36</v>
      </c>
      <c r="B179" s="91"/>
      <c r="C179" s="111">
        <f t="shared" si="76"/>
        <v>0</v>
      </c>
      <c r="D179" s="93"/>
      <c r="E179" s="111">
        <f t="shared" si="77"/>
        <v>0</v>
      </c>
      <c r="F179" s="93"/>
      <c r="G179" s="111">
        <f t="shared" si="78"/>
        <v>0</v>
      </c>
      <c r="H179" s="93"/>
      <c r="I179" s="111">
        <f t="shared" si="79"/>
        <v>0</v>
      </c>
      <c r="J179" s="93"/>
      <c r="K179" s="111">
        <f t="shared" si="80"/>
        <v>0</v>
      </c>
      <c r="L179" s="93"/>
      <c r="M179" s="111">
        <f t="shared" si="81"/>
        <v>0</v>
      </c>
      <c r="N179" s="93"/>
      <c r="O179" s="94">
        <f t="shared" si="82"/>
        <v>0</v>
      </c>
      <c r="P179" s="71">
        <f t="shared" si="83"/>
        <v>0</v>
      </c>
      <c r="Q179" s="62"/>
    </row>
    <row r="180" spans="1:17" hidden="1" outlineLevel="2" x14ac:dyDescent="0.2">
      <c r="A180" s="91" t="s">
        <v>37</v>
      </c>
      <c r="B180" s="91"/>
      <c r="C180" s="111">
        <f t="shared" si="76"/>
        <v>0</v>
      </c>
      <c r="D180" s="93"/>
      <c r="E180" s="111">
        <f t="shared" si="77"/>
        <v>0</v>
      </c>
      <c r="F180" s="93"/>
      <c r="G180" s="111">
        <f t="shared" si="78"/>
        <v>0</v>
      </c>
      <c r="H180" s="93"/>
      <c r="I180" s="111">
        <f t="shared" si="79"/>
        <v>0</v>
      </c>
      <c r="J180" s="93"/>
      <c r="K180" s="111">
        <f t="shared" si="80"/>
        <v>0</v>
      </c>
      <c r="L180" s="93"/>
      <c r="M180" s="111">
        <f t="shared" si="81"/>
        <v>0</v>
      </c>
      <c r="N180" s="93"/>
      <c r="O180" s="94">
        <f t="shared" si="82"/>
        <v>0</v>
      </c>
      <c r="P180" s="71">
        <f t="shared" si="83"/>
        <v>0</v>
      </c>
      <c r="Q180" s="62"/>
    </row>
    <row r="181" spans="1:17" hidden="1" outlineLevel="2" x14ac:dyDescent="0.2">
      <c r="A181" s="91" t="s">
        <v>134</v>
      </c>
      <c r="B181" s="91"/>
      <c r="C181" s="111">
        <f t="shared" si="76"/>
        <v>0</v>
      </c>
      <c r="D181" s="93"/>
      <c r="E181" s="111">
        <f t="shared" si="77"/>
        <v>0</v>
      </c>
      <c r="F181" s="93"/>
      <c r="G181" s="111">
        <f t="shared" si="78"/>
        <v>0</v>
      </c>
      <c r="H181" s="93"/>
      <c r="I181" s="111">
        <f t="shared" si="79"/>
        <v>0</v>
      </c>
      <c r="J181" s="93"/>
      <c r="K181" s="111">
        <f t="shared" si="80"/>
        <v>0</v>
      </c>
      <c r="L181" s="93"/>
      <c r="M181" s="111">
        <f t="shared" si="81"/>
        <v>0</v>
      </c>
      <c r="N181" s="93"/>
      <c r="O181" s="94">
        <f t="shared" si="82"/>
        <v>0</v>
      </c>
      <c r="P181" s="71">
        <f t="shared" si="83"/>
        <v>0</v>
      </c>
      <c r="Q181" s="62"/>
    </row>
    <row r="182" spans="1:17" hidden="1" outlineLevel="2" x14ac:dyDescent="0.2">
      <c r="A182" s="91" t="s">
        <v>39</v>
      </c>
      <c r="B182" s="91"/>
      <c r="C182" s="111">
        <f t="shared" si="76"/>
        <v>0</v>
      </c>
      <c r="D182" s="93"/>
      <c r="E182" s="111">
        <f t="shared" si="77"/>
        <v>0</v>
      </c>
      <c r="F182" s="93"/>
      <c r="G182" s="111">
        <f t="shared" si="78"/>
        <v>0</v>
      </c>
      <c r="H182" s="93"/>
      <c r="I182" s="111">
        <f t="shared" si="79"/>
        <v>0</v>
      </c>
      <c r="J182" s="93"/>
      <c r="K182" s="111">
        <f t="shared" si="80"/>
        <v>0</v>
      </c>
      <c r="L182" s="93"/>
      <c r="M182" s="111">
        <f t="shared" si="81"/>
        <v>0</v>
      </c>
      <c r="N182" s="93"/>
      <c r="O182" s="94">
        <f t="shared" si="82"/>
        <v>0</v>
      </c>
      <c r="P182" s="71">
        <f t="shared" si="83"/>
        <v>0</v>
      </c>
      <c r="Q182" s="62"/>
    </row>
    <row r="183" spans="1:17" hidden="1" outlineLevel="2" x14ac:dyDescent="0.2">
      <c r="A183" s="91" t="s">
        <v>40</v>
      </c>
      <c r="B183" s="91"/>
      <c r="C183" s="111">
        <f t="shared" si="76"/>
        <v>0</v>
      </c>
      <c r="D183" s="93"/>
      <c r="E183" s="111">
        <f t="shared" si="77"/>
        <v>0</v>
      </c>
      <c r="F183" s="93"/>
      <c r="G183" s="111">
        <f t="shared" si="78"/>
        <v>0</v>
      </c>
      <c r="H183" s="93"/>
      <c r="I183" s="111">
        <f t="shared" si="79"/>
        <v>0</v>
      </c>
      <c r="J183" s="93"/>
      <c r="K183" s="111">
        <f t="shared" si="80"/>
        <v>0</v>
      </c>
      <c r="L183" s="93"/>
      <c r="M183" s="111">
        <f t="shared" si="81"/>
        <v>0</v>
      </c>
      <c r="N183" s="93"/>
      <c r="O183" s="94">
        <f t="shared" si="82"/>
        <v>0</v>
      </c>
      <c r="P183" s="71">
        <f t="shared" si="83"/>
        <v>0</v>
      </c>
      <c r="Q183" s="62"/>
    </row>
    <row r="184" spans="1:17" hidden="1" outlineLevel="2" x14ac:dyDescent="0.2">
      <c r="A184" s="91" t="s">
        <v>41</v>
      </c>
      <c r="B184" s="91"/>
      <c r="C184" s="111">
        <f t="shared" si="76"/>
        <v>0</v>
      </c>
      <c r="D184" s="93"/>
      <c r="E184" s="111">
        <f t="shared" si="77"/>
        <v>0</v>
      </c>
      <c r="F184" s="93"/>
      <c r="G184" s="111">
        <f t="shared" si="78"/>
        <v>0</v>
      </c>
      <c r="H184" s="93"/>
      <c r="I184" s="111">
        <f t="shared" si="79"/>
        <v>0</v>
      </c>
      <c r="J184" s="93"/>
      <c r="K184" s="111">
        <f t="shared" si="80"/>
        <v>0</v>
      </c>
      <c r="L184" s="93"/>
      <c r="M184" s="111">
        <f t="shared" si="81"/>
        <v>0</v>
      </c>
      <c r="N184" s="93"/>
      <c r="O184" s="94">
        <f t="shared" si="82"/>
        <v>0</v>
      </c>
      <c r="P184" s="71">
        <f t="shared" si="83"/>
        <v>0</v>
      </c>
      <c r="Q184" s="62"/>
    </row>
    <row r="185" spans="1:17" hidden="1" outlineLevel="2" x14ac:dyDescent="0.2">
      <c r="A185" s="91" t="s">
        <v>135</v>
      </c>
      <c r="B185" s="91"/>
      <c r="C185" s="111">
        <f t="shared" si="76"/>
        <v>0</v>
      </c>
      <c r="D185" s="93"/>
      <c r="E185" s="111">
        <f t="shared" si="77"/>
        <v>0</v>
      </c>
      <c r="F185" s="93"/>
      <c r="G185" s="111">
        <f t="shared" si="78"/>
        <v>0</v>
      </c>
      <c r="H185" s="93"/>
      <c r="I185" s="111">
        <f t="shared" si="79"/>
        <v>0</v>
      </c>
      <c r="J185" s="93"/>
      <c r="K185" s="111">
        <f t="shared" si="80"/>
        <v>0</v>
      </c>
      <c r="L185" s="93"/>
      <c r="M185" s="111">
        <f t="shared" si="81"/>
        <v>0</v>
      </c>
      <c r="N185" s="93"/>
      <c r="O185" s="94">
        <f t="shared" si="82"/>
        <v>0</v>
      </c>
      <c r="P185" s="71">
        <f t="shared" si="83"/>
        <v>0</v>
      </c>
      <c r="Q185" s="62"/>
    </row>
    <row r="186" spans="1:17" hidden="1" outlineLevel="2" x14ac:dyDescent="0.2">
      <c r="A186" s="91" t="s">
        <v>136</v>
      </c>
      <c r="B186" s="91"/>
      <c r="C186" s="111">
        <f t="shared" si="76"/>
        <v>0</v>
      </c>
      <c r="D186" s="93"/>
      <c r="E186" s="111">
        <f t="shared" si="77"/>
        <v>0</v>
      </c>
      <c r="F186" s="93"/>
      <c r="G186" s="111">
        <f t="shared" si="78"/>
        <v>0</v>
      </c>
      <c r="H186" s="93"/>
      <c r="I186" s="111">
        <f t="shared" si="79"/>
        <v>0</v>
      </c>
      <c r="J186" s="93"/>
      <c r="K186" s="111">
        <f t="shared" si="80"/>
        <v>0</v>
      </c>
      <c r="L186" s="93"/>
      <c r="M186" s="111">
        <f t="shared" si="81"/>
        <v>0</v>
      </c>
      <c r="N186" s="93"/>
      <c r="O186" s="94">
        <f t="shared" si="82"/>
        <v>0</v>
      </c>
      <c r="P186" s="71">
        <f t="shared" si="83"/>
        <v>0</v>
      </c>
      <c r="Q186" s="62"/>
    </row>
    <row r="187" spans="1:17" hidden="1" outlineLevel="2" x14ac:dyDescent="0.2">
      <c r="A187" s="91" t="s">
        <v>137</v>
      </c>
      <c r="B187" s="91"/>
      <c r="C187" s="111">
        <f t="shared" si="76"/>
        <v>0</v>
      </c>
      <c r="D187" s="93"/>
      <c r="E187" s="111">
        <f t="shared" si="77"/>
        <v>0</v>
      </c>
      <c r="F187" s="93"/>
      <c r="G187" s="111">
        <f t="shared" si="78"/>
        <v>0</v>
      </c>
      <c r="H187" s="93"/>
      <c r="I187" s="111">
        <f t="shared" si="79"/>
        <v>0</v>
      </c>
      <c r="J187" s="93"/>
      <c r="K187" s="111">
        <f t="shared" si="80"/>
        <v>0</v>
      </c>
      <c r="L187" s="93"/>
      <c r="M187" s="111">
        <f t="shared" si="81"/>
        <v>0</v>
      </c>
      <c r="N187" s="93"/>
      <c r="O187" s="94">
        <f t="shared" si="82"/>
        <v>0</v>
      </c>
      <c r="P187" s="71">
        <f t="shared" si="83"/>
        <v>0</v>
      </c>
      <c r="Q187" s="62"/>
    </row>
    <row r="188" spans="1:17" hidden="1" outlineLevel="1" x14ac:dyDescent="0.2">
      <c r="A188" s="72" t="s">
        <v>149</v>
      </c>
      <c r="B188" s="72"/>
      <c r="C188" s="106">
        <f t="shared" ref="C188:N188" si="84">SUM(C178:C187)</f>
        <v>96.15384615384616</v>
      </c>
      <c r="D188" s="107">
        <f t="shared" si="84"/>
        <v>0</v>
      </c>
      <c r="E188" s="106">
        <f t="shared" si="84"/>
        <v>384.61538461538464</v>
      </c>
      <c r="F188" s="107">
        <f t="shared" si="84"/>
        <v>0</v>
      </c>
      <c r="G188" s="106">
        <f t="shared" si="84"/>
        <v>423.07692307692309</v>
      </c>
      <c r="H188" s="107">
        <f t="shared" si="84"/>
        <v>268</v>
      </c>
      <c r="I188" s="106">
        <f t="shared" si="84"/>
        <v>0</v>
      </c>
      <c r="J188" s="107">
        <f t="shared" si="84"/>
        <v>0</v>
      </c>
      <c r="K188" s="106">
        <f t="shared" si="84"/>
        <v>0</v>
      </c>
      <c r="L188" s="107">
        <f t="shared" si="84"/>
        <v>0</v>
      </c>
      <c r="M188" s="106">
        <f t="shared" si="84"/>
        <v>0</v>
      </c>
      <c r="N188" s="107">
        <f t="shared" si="84"/>
        <v>0</v>
      </c>
      <c r="O188" s="94">
        <f t="shared" si="82"/>
        <v>903.84615384615392</v>
      </c>
      <c r="P188" s="71">
        <f t="shared" si="83"/>
        <v>268</v>
      </c>
      <c r="Q188" s="62"/>
    </row>
    <row r="189" spans="1:17" hidden="1" outlineLevel="1" x14ac:dyDescent="0.2">
      <c r="A189" s="72" t="s">
        <v>150</v>
      </c>
      <c r="B189" s="72"/>
      <c r="C189" s="106">
        <f t="shared" ref="C189:P189" si="85">IFERROR(C165/C188,0)</f>
        <v>130</v>
      </c>
      <c r="D189" s="107">
        <f t="shared" si="85"/>
        <v>0</v>
      </c>
      <c r="E189" s="106">
        <f t="shared" si="85"/>
        <v>130</v>
      </c>
      <c r="F189" s="107">
        <f t="shared" si="85"/>
        <v>0</v>
      </c>
      <c r="G189" s="106">
        <f t="shared" si="85"/>
        <v>130</v>
      </c>
      <c r="H189" s="107">
        <f t="shared" si="85"/>
        <v>112.84328358208955</v>
      </c>
      <c r="I189" s="106">
        <f t="shared" si="85"/>
        <v>0</v>
      </c>
      <c r="J189" s="107">
        <f t="shared" si="85"/>
        <v>0</v>
      </c>
      <c r="K189" s="106">
        <f t="shared" si="85"/>
        <v>0</v>
      </c>
      <c r="L189" s="107">
        <f t="shared" si="85"/>
        <v>0</v>
      </c>
      <c r="M189" s="106">
        <f t="shared" si="85"/>
        <v>0</v>
      </c>
      <c r="N189" s="107">
        <f t="shared" si="85"/>
        <v>0</v>
      </c>
      <c r="O189" s="94">
        <f t="shared" si="85"/>
        <v>130</v>
      </c>
      <c r="P189" s="71">
        <f t="shared" si="85"/>
        <v>112.84328358208955</v>
      </c>
      <c r="Q189" s="62"/>
    </row>
    <row r="190" spans="1:17" collapsed="1" x14ac:dyDescent="0.2">
      <c r="A190" s="57"/>
      <c r="B190" s="57"/>
      <c r="C190" s="63"/>
      <c r="D190" s="57"/>
      <c r="E190" s="63"/>
      <c r="F190" s="57"/>
      <c r="G190" s="63"/>
      <c r="H190" s="57"/>
      <c r="I190" s="63"/>
      <c r="J190" s="57"/>
      <c r="K190" s="63"/>
      <c r="L190" s="57"/>
      <c r="M190" s="63"/>
      <c r="N190" s="57"/>
      <c r="O190" s="63"/>
      <c r="P190" s="57"/>
      <c r="Q190" s="62"/>
    </row>
    <row r="191" spans="1:17" x14ac:dyDescent="0.2">
      <c r="A191" s="9" t="s">
        <v>53</v>
      </c>
      <c r="B191" s="9"/>
      <c r="C191" s="89"/>
      <c r="D191" s="9"/>
      <c r="E191" s="89"/>
      <c r="F191" s="9"/>
      <c r="G191" s="89"/>
      <c r="H191" s="9"/>
      <c r="I191" s="89"/>
      <c r="J191" s="9"/>
      <c r="K191" s="89"/>
      <c r="L191" s="9"/>
      <c r="M191" s="89"/>
      <c r="N191" s="9"/>
      <c r="O191" s="89"/>
      <c r="P191" s="90"/>
      <c r="Q191" s="62"/>
    </row>
    <row r="192" spans="1:17" hidden="1" outlineLevel="1" x14ac:dyDescent="0.2">
      <c r="A192" s="13" t="s">
        <v>126</v>
      </c>
      <c r="B192" s="13"/>
      <c r="C192" s="103"/>
      <c r="D192" s="13"/>
      <c r="E192" s="103"/>
      <c r="F192" s="13"/>
      <c r="G192" s="103"/>
      <c r="H192" s="13"/>
      <c r="I192" s="103"/>
      <c r="J192" s="13"/>
      <c r="K192" s="103"/>
      <c r="L192" s="13"/>
      <c r="M192" s="103"/>
      <c r="N192" s="13"/>
      <c r="O192" s="103"/>
      <c r="P192" s="104"/>
      <c r="Q192" s="62"/>
    </row>
    <row r="193" spans="1:17" hidden="1" outlineLevel="1" x14ac:dyDescent="0.2">
      <c r="A193" s="91" t="s">
        <v>35</v>
      </c>
      <c r="B193" s="91"/>
      <c r="C193" s="92">
        <v>0</v>
      </c>
      <c r="D193" s="93"/>
      <c r="E193" s="92">
        <v>0</v>
      </c>
      <c r="F193" s="93"/>
      <c r="G193" s="92"/>
      <c r="H193" s="93"/>
      <c r="I193" s="92"/>
      <c r="J193" s="93"/>
      <c r="K193" s="92"/>
      <c r="L193" s="93"/>
      <c r="M193" s="92"/>
      <c r="N193" s="93"/>
      <c r="O193" s="94">
        <f t="shared" ref="O193:O203" si="86">SUM(C193,E193,G193,I193,K193,M193)</f>
        <v>0</v>
      </c>
      <c r="P193" s="71">
        <f t="shared" ref="P193:P203" si="87">SUM(D193,F193,H193,J193,L193,N193)</f>
        <v>0</v>
      </c>
      <c r="Q193" s="62"/>
    </row>
    <row r="194" spans="1:17" hidden="1" outlineLevel="1" x14ac:dyDescent="0.2">
      <c r="A194" s="91" t="s">
        <v>36</v>
      </c>
      <c r="B194" s="91"/>
      <c r="C194" s="92">
        <v>0</v>
      </c>
      <c r="D194" s="93"/>
      <c r="E194" s="92">
        <v>0</v>
      </c>
      <c r="F194" s="93"/>
      <c r="G194" s="92"/>
      <c r="H194" s="93"/>
      <c r="I194" s="92"/>
      <c r="J194" s="93"/>
      <c r="K194" s="92"/>
      <c r="L194" s="93"/>
      <c r="M194" s="92"/>
      <c r="N194" s="93"/>
      <c r="O194" s="94">
        <f t="shared" si="86"/>
        <v>0</v>
      </c>
      <c r="P194" s="71">
        <f t="shared" si="87"/>
        <v>0</v>
      </c>
      <c r="Q194" s="62"/>
    </row>
    <row r="195" spans="1:17" hidden="1" outlineLevel="1" x14ac:dyDescent="0.2">
      <c r="A195" s="91" t="s">
        <v>37</v>
      </c>
      <c r="B195" s="91"/>
      <c r="C195" s="92">
        <v>0</v>
      </c>
      <c r="D195" s="93"/>
      <c r="E195" s="92">
        <v>0</v>
      </c>
      <c r="F195" s="93"/>
      <c r="G195" s="92"/>
      <c r="H195" s="93"/>
      <c r="I195" s="92"/>
      <c r="J195" s="93"/>
      <c r="K195" s="92"/>
      <c r="L195" s="93"/>
      <c r="M195" s="92"/>
      <c r="N195" s="93"/>
      <c r="O195" s="94">
        <f t="shared" si="86"/>
        <v>0</v>
      </c>
      <c r="P195" s="71">
        <f t="shared" si="87"/>
        <v>0</v>
      </c>
      <c r="Q195" s="62"/>
    </row>
    <row r="196" spans="1:17" hidden="1" outlineLevel="1" x14ac:dyDescent="0.2">
      <c r="A196" s="91" t="s">
        <v>134</v>
      </c>
      <c r="B196" s="91"/>
      <c r="C196" s="92">
        <v>0</v>
      </c>
      <c r="D196" s="93"/>
      <c r="E196" s="92">
        <v>0</v>
      </c>
      <c r="F196" s="93"/>
      <c r="G196" s="92"/>
      <c r="H196" s="93"/>
      <c r="I196" s="92"/>
      <c r="J196" s="93"/>
      <c r="K196" s="92"/>
      <c r="L196" s="93"/>
      <c r="M196" s="92"/>
      <c r="N196" s="93"/>
      <c r="O196" s="94">
        <f t="shared" si="86"/>
        <v>0</v>
      </c>
      <c r="P196" s="71">
        <f t="shared" si="87"/>
        <v>0</v>
      </c>
      <c r="Q196" s="62"/>
    </row>
    <row r="197" spans="1:17" hidden="1" outlineLevel="1" x14ac:dyDescent="0.2">
      <c r="A197" s="91" t="s">
        <v>39</v>
      </c>
      <c r="B197" s="91"/>
      <c r="C197" s="92">
        <v>0</v>
      </c>
      <c r="D197" s="93"/>
      <c r="E197" s="92">
        <v>0</v>
      </c>
      <c r="F197" s="93"/>
      <c r="G197" s="92"/>
      <c r="H197" s="93"/>
      <c r="I197" s="92"/>
      <c r="J197" s="93"/>
      <c r="K197" s="92"/>
      <c r="L197" s="93"/>
      <c r="M197" s="92"/>
      <c r="N197" s="93"/>
      <c r="O197" s="94">
        <f t="shared" si="86"/>
        <v>0</v>
      </c>
      <c r="P197" s="71">
        <f t="shared" si="87"/>
        <v>0</v>
      </c>
      <c r="Q197" s="62"/>
    </row>
    <row r="198" spans="1:17" hidden="1" outlineLevel="1" x14ac:dyDescent="0.2">
      <c r="A198" s="91" t="s">
        <v>40</v>
      </c>
      <c r="B198" s="91"/>
      <c r="C198" s="92">
        <v>0</v>
      </c>
      <c r="D198" s="93"/>
      <c r="E198" s="92">
        <v>0</v>
      </c>
      <c r="F198" s="93"/>
      <c r="G198" s="92"/>
      <c r="H198" s="93"/>
      <c r="I198" s="92"/>
      <c r="J198" s="93"/>
      <c r="K198" s="92"/>
      <c r="L198" s="93"/>
      <c r="M198" s="92"/>
      <c r="N198" s="93"/>
      <c r="O198" s="94">
        <f t="shared" si="86"/>
        <v>0</v>
      </c>
      <c r="P198" s="71">
        <f t="shared" si="87"/>
        <v>0</v>
      </c>
      <c r="Q198" s="62"/>
    </row>
    <row r="199" spans="1:17" hidden="1" outlineLevel="1" x14ac:dyDescent="0.2">
      <c r="A199" s="91" t="s">
        <v>41</v>
      </c>
      <c r="B199" s="91"/>
      <c r="C199" s="92">
        <v>0</v>
      </c>
      <c r="D199" s="93"/>
      <c r="E199" s="92">
        <v>0</v>
      </c>
      <c r="F199" s="93"/>
      <c r="G199" s="92"/>
      <c r="H199" s="93"/>
      <c r="I199" s="92"/>
      <c r="J199" s="93"/>
      <c r="K199" s="92"/>
      <c r="L199" s="93"/>
      <c r="M199" s="92"/>
      <c r="N199" s="93"/>
      <c r="O199" s="94">
        <f t="shared" si="86"/>
        <v>0</v>
      </c>
      <c r="P199" s="71">
        <f t="shared" si="87"/>
        <v>0</v>
      </c>
      <c r="Q199" s="62"/>
    </row>
    <row r="200" spans="1:17" hidden="1" outlineLevel="1" x14ac:dyDescent="0.2">
      <c r="A200" s="91" t="s">
        <v>135</v>
      </c>
      <c r="B200" s="91"/>
      <c r="C200" s="92">
        <v>0</v>
      </c>
      <c r="D200" s="93"/>
      <c r="E200" s="92">
        <v>0</v>
      </c>
      <c r="F200" s="93"/>
      <c r="G200" s="92"/>
      <c r="H200" s="93"/>
      <c r="I200" s="92"/>
      <c r="J200" s="93"/>
      <c r="K200" s="92"/>
      <c r="L200" s="93"/>
      <c r="M200" s="92"/>
      <c r="N200" s="93"/>
      <c r="O200" s="94">
        <f t="shared" si="86"/>
        <v>0</v>
      </c>
      <c r="P200" s="71">
        <f t="shared" si="87"/>
        <v>0</v>
      </c>
      <c r="Q200" s="62"/>
    </row>
    <row r="201" spans="1:17" hidden="1" outlineLevel="1" x14ac:dyDescent="0.2">
      <c r="A201" s="91" t="s">
        <v>136</v>
      </c>
      <c r="B201" s="91"/>
      <c r="C201" s="92">
        <v>0</v>
      </c>
      <c r="D201" s="93"/>
      <c r="E201" s="92">
        <v>0</v>
      </c>
      <c r="F201" s="93"/>
      <c r="G201" s="92"/>
      <c r="H201" s="93"/>
      <c r="I201" s="92"/>
      <c r="J201" s="93"/>
      <c r="K201" s="92"/>
      <c r="L201" s="93"/>
      <c r="M201" s="92"/>
      <c r="N201" s="93"/>
      <c r="O201" s="94">
        <f t="shared" si="86"/>
        <v>0</v>
      </c>
      <c r="P201" s="71">
        <f t="shared" si="87"/>
        <v>0</v>
      </c>
      <c r="Q201" s="62"/>
    </row>
    <row r="202" spans="1:17" hidden="1" outlineLevel="1" x14ac:dyDescent="0.2">
      <c r="A202" s="91" t="s">
        <v>137</v>
      </c>
      <c r="B202" s="91"/>
      <c r="C202" s="92">
        <v>0</v>
      </c>
      <c r="D202" s="93"/>
      <c r="E202" s="92">
        <v>0</v>
      </c>
      <c r="F202" s="93"/>
      <c r="G202" s="92"/>
      <c r="H202" s="93"/>
      <c r="I202" s="92"/>
      <c r="J202" s="93"/>
      <c r="K202" s="92"/>
      <c r="L202" s="93"/>
      <c r="M202" s="92"/>
      <c r="N202" s="93"/>
      <c r="O202" s="94">
        <f t="shared" si="86"/>
        <v>0</v>
      </c>
      <c r="P202" s="71">
        <f t="shared" si="87"/>
        <v>0</v>
      </c>
      <c r="Q202" s="62"/>
    </row>
    <row r="203" spans="1:17" hidden="1" outlineLevel="1" x14ac:dyDescent="0.2">
      <c r="A203" s="72" t="s">
        <v>132</v>
      </c>
      <c r="B203" s="72"/>
      <c r="C203" s="106">
        <f t="shared" ref="C203:N203" si="88">SUM(C193:C202)</f>
        <v>0</v>
      </c>
      <c r="D203" s="107">
        <f t="shared" si="88"/>
        <v>0</v>
      </c>
      <c r="E203" s="106">
        <f t="shared" si="88"/>
        <v>0</v>
      </c>
      <c r="F203" s="107">
        <f t="shared" si="88"/>
        <v>0</v>
      </c>
      <c r="G203" s="106">
        <f t="shared" si="88"/>
        <v>0</v>
      </c>
      <c r="H203" s="107">
        <f t="shared" si="88"/>
        <v>0</v>
      </c>
      <c r="I203" s="106">
        <f t="shared" si="88"/>
        <v>0</v>
      </c>
      <c r="J203" s="107">
        <f t="shared" si="88"/>
        <v>0</v>
      </c>
      <c r="K203" s="106">
        <f t="shared" si="88"/>
        <v>0</v>
      </c>
      <c r="L203" s="107">
        <f t="shared" si="88"/>
        <v>0</v>
      </c>
      <c r="M203" s="106">
        <f t="shared" si="88"/>
        <v>0</v>
      </c>
      <c r="N203" s="107">
        <f t="shared" si="88"/>
        <v>0</v>
      </c>
      <c r="O203" s="94">
        <f t="shared" si="86"/>
        <v>0</v>
      </c>
      <c r="P203" s="71">
        <f t="shared" si="87"/>
        <v>0</v>
      </c>
      <c r="Q203" s="62"/>
    </row>
    <row r="204" spans="1:17" hidden="1" outlineLevel="1" x14ac:dyDescent="0.2">
      <c r="A204" s="13" t="s">
        <v>147</v>
      </c>
      <c r="B204" s="13"/>
      <c r="C204" s="103"/>
      <c r="D204" s="13"/>
      <c r="E204" s="103"/>
      <c r="F204" s="13"/>
      <c r="G204" s="103"/>
      <c r="H204" s="13"/>
      <c r="I204" s="103"/>
      <c r="J204" s="13"/>
      <c r="K204" s="103"/>
      <c r="L204" s="13"/>
      <c r="M204" s="103"/>
      <c r="N204" s="13"/>
      <c r="O204" s="103"/>
      <c r="P204" s="104"/>
      <c r="Q204" s="62"/>
    </row>
    <row r="205" spans="1:17" hidden="1" outlineLevel="2" x14ac:dyDescent="0.2">
      <c r="A205" s="91" t="s">
        <v>35</v>
      </c>
      <c r="B205" s="91"/>
      <c r="C205" s="92">
        <v>130</v>
      </c>
      <c r="D205" s="93"/>
      <c r="E205" s="92">
        <v>130</v>
      </c>
      <c r="F205" s="93"/>
      <c r="G205" s="92">
        <v>130</v>
      </c>
      <c r="H205" s="93"/>
      <c r="I205" s="92">
        <v>130</v>
      </c>
      <c r="J205" s="93"/>
      <c r="K205" s="92">
        <v>130</v>
      </c>
      <c r="L205" s="93"/>
      <c r="M205" s="92">
        <v>130</v>
      </c>
      <c r="N205" s="93"/>
      <c r="O205" s="94">
        <f t="shared" ref="O205:P214" si="89">IFERROR(O193/O216,0)</f>
        <v>0</v>
      </c>
      <c r="P205" s="71">
        <f t="shared" si="89"/>
        <v>0</v>
      </c>
      <c r="Q205" s="62"/>
    </row>
    <row r="206" spans="1:17" hidden="1" outlineLevel="2" x14ac:dyDescent="0.2">
      <c r="A206" s="91" t="s">
        <v>36</v>
      </c>
      <c r="B206" s="91"/>
      <c r="C206" s="92">
        <v>130</v>
      </c>
      <c r="D206" s="93"/>
      <c r="E206" s="92">
        <v>130</v>
      </c>
      <c r="F206" s="93"/>
      <c r="G206" s="92">
        <v>130</v>
      </c>
      <c r="H206" s="93"/>
      <c r="I206" s="92">
        <v>130</v>
      </c>
      <c r="J206" s="93"/>
      <c r="K206" s="92">
        <v>130</v>
      </c>
      <c r="L206" s="93"/>
      <c r="M206" s="92">
        <v>130</v>
      </c>
      <c r="N206" s="93"/>
      <c r="O206" s="94">
        <f t="shared" si="89"/>
        <v>0</v>
      </c>
      <c r="P206" s="71">
        <f t="shared" si="89"/>
        <v>0</v>
      </c>
      <c r="Q206" s="62"/>
    </row>
    <row r="207" spans="1:17" hidden="1" outlineLevel="2" x14ac:dyDescent="0.2">
      <c r="A207" s="91" t="s">
        <v>37</v>
      </c>
      <c r="B207" s="91"/>
      <c r="C207" s="92">
        <v>130</v>
      </c>
      <c r="D207" s="93"/>
      <c r="E207" s="92">
        <v>130</v>
      </c>
      <c r="F207" s="93"/>
      <c r="G207" s="92">
        <v>130</v>
      </c>
      <c r="H207" s="93"/>
      <c r="I207" s="92">
        <v>130</v>
      </c>
      <c r="J207" s="93"/>
      <c r="K207" s="92">
        <v>130</v>
      </c>
      <c r="L207" s="93"/>
      <c r="M207" s="92">
        <v>130</v>
      </c>
      <c r="N207" s="93"/>
      <c r="O207" s="94">
        <f t="shared" si="89"/>
        <v>0</v>
      </c>
      <c r="P207" s="71">
        <f t="shared" si="89"/>
        <v>0</v>
      </c>
      <c r="Q207" s="62"/>
    </row>
    <row r="208" spans="1:17" hidden="1" outlineLevel="2" x14ac:dyDescent="0.2">
      <c r="A208" s="91" t="s">
        <v>134</v>
      </c>
      <c r="B208" s="91"/>
      <c r="C208" s="92">
        <v>130</v>
      </c>
      <c r="D208" s="93"/>
      <c r="E208" s="92">
        <v>130</v>
      </c>
      <c r="F208" s="93"/>
      <c r="G208" s="92">
        <v>130</v>
      </c>
      <c r="H208" s="93"/>
      <c r="I208" s="92">
        <v>130</v>
      </c>
      <c r="J208" s="93"/>
      <c r="K208" s="92">
        <v>130</v>
      </c>
      <c r="L208" s="93"/>
      <c r="M208" s="92">
        <v>130</v>
      </c>
      <c r="N208" s="93"/>
      <c r="O208" s="94">
        <f t="shared" si="89"/>
        <v>0</v>
      </c>
      <c r="P208" s="71">
        <f t="shared" si="89"/>
        <v>0</v>
      </c>
      <c r="Q208" s="62"/>
    </row>
    <row r="209" spans="1:17" hidden="1" outlineLevel="2" x14ac:dyDescent="0.2">
      <c r="A209" s="91" t="s">
        <v>39</v>
      </c>
      <c r="B209" s="91"/>
      <c r="C209" s="92">
        <v>130</v>
      </c>
      <c r="D209" s="93"/>
      <c r="E209" s="92">
        <v>130</v>
      </c>
      <c r="F209" s="93"/>
      <c r="G209" s="92">
        <v>130</v>
      </c>
      <c r="H209" s="93"/>
      <c r="I209" s="92">
        <v>130</v>
      </c>
      <c r="J209" s="93"/>
      <c r="K209" s="92">
        <v>130</v>
      </c>
      <c r="L209" s="93"/>
      <c r="M209" s="92">
        <v>130</v>
      </c>
      <c r="N209" s="93"/>
      <c r="O209" s="94">
        <f t="shared" si="89"/>
        <v>0</v>
      </c>
      <c r="P209" s="71">
        <f t="shared" si="89"/>
        <v>0</v>
      </c>
      <c r="Q209" s="62"/>
    </row>
    <row r="210" spans="1:17" hidden="1" outlineLevel="2" x14ac:dyDescent="0.2">
      <c r="A210" s="91" t="s">
        <v>40</v>
      </c>
      <c r="B210" s="91"/>
      <c r="C210" s="92">
        <v>130</v>
      </c>
      <c r="D210" s="93"/>
      <c r="E210" s="92">
        <v>130</v>
      </c>
      <c r="F210" s="93"/>
      <c r="G210" s="92">
        <v>130</v>
      </c>
      <c r="H210" s="93"/>
      <c r="I210" s="92">
        <v>130</v>
      </c>
      <c r="J210" s="93"/>
      <c r="K210" s="92">
        <v>130</v>
      </c>
      <c r="L210" s="93"/>
      <c r="M210" s="92">
        <v>130</v>
      </c>
      <c r="N210" s="93"/>
      <c r="O210" s="94">
        <f t="shared" si="89"/>
        <v>0</v>
      </c>
      <c r="P210" s="71">
        <f t="shared" si="89"/>
        <v>0</v>
      </c>
      <c r="Q210" s="62"/>
    </row>
    <row r="211" spans="1:17" hidden="1" outlineLevel="2" x14ac:dyDescent="0.2">
      <c r="A211" s="91" t="s">
        <v>41</v>
      </c>
      <c r="B211" s="91"/>
      <c r="C211" s="92">
        <v>130</v>
      </c>
      <c r="D211" s="93"/>
      <c r="E211" s="92">
        <v>130</v>
      </c>
      <c r="F211" s="93"/>
      <c r="G211" s="92">
        <v>130</v>
      </c>
      <c r="H211" s="93"/>
      <c r="I211" s="92">
        <v>130</v>
      </c>
      <c r="J211" s="93"/>
      <c r="K211" s="92">
        <v>130</v>
      </c>
      <c r="L211" s="93"/>
      <c r="M211" s="92">
        <v>130</v>
      </c>
      <c r="N211" s="93"/>
      <c r="O211" s="94">
        <f t="shared" si="89"/>
        <v>0</v>
      </c>
      <c r="P211" s="71">
        <f t="shared" si="89"/>
        <v>0</v>
      </c>
      <c r="Q211" s="62"/>
    </row>
    <row r="212" spans="1:17" hidden="1" outlineLevel="2" x14ac:dyDescent="0.2">
      <c r="A212" s="91" t="s">
        <v>135</v>
      </c>
      <c r="B212" s="91"/>
      <c r="C212" s="92">
        <v>130</v>
      </c>
      <c r="D212" s="93"/>
      <c r="E212" s="92">
        <v>130</v>
      </c>
      <c r="F212" s="93"/>
      <c r="G212" s="92">
        <v>130</v>
      </c>
      <c r="H212" s="93"/>
      <c r="I212" s="92">
        <v>130</v>
      </c>
      <c r="J212" s="93"/>
      <c r="K212" s="92">
        <v>130</v>
      </c>
      <c r="L212" s="93"/>
      <c r="M212" s="92">
        <v>130</v>
      </c>
      <c r="N212" s="93"/>
      <c r="O212" s="94">
        <f t="shared" si="89"/>
        <v>0</v>
      </c>
      <c r="P212" s="71">
        <f t="shared" si="89"/>
        <v>0</v>
      </c>
      <c r="Q212" s="62"/>
    </row>
    <row r="213" spans="1:17" hidden="1" outlineLevel="2" x14ac:dyDescent="0.2">
      <c r="A213" s="91" t="s">
        <v>136</v>
      </c>
      <c r="B213" s="91"/>
      <c r="C213" s="92">
        <v>130</v>
      </c>
      <c r="D213" s="93"/>
      <c r="E213" s="92">
        <v>130</v>
      </c>
      <c r="F213" s="93"/>
      <c r="G213" s="92">
        <v>130</v>
      </c>
      <c r="H213" s="93"/>
      <c r="I213" s="92">
        <v>130</v>
      </c>
      <c r="J213" s="93"/>
      <c r="K213" s="92">
        <v>130</v>
      </c>
      <c r="L213" s="93"/>
      <c r="M213" s="92">
        <v>130</v>
      </c>
      <c r="N213" s="93"/>
      <c r="O213" s="94">
        <f t="shared" si="89"/>
        <v>0</v>
      </c>
      <c r="P213" s="71">
        <f t="shared" si="89"/>
        <v>0</v>
      </c>
      <c r="Q213" s="62"/>
    </row>
    <row r="214" spans="1:17" hidden="1" outlineLevel="2" x14ac:dyDescent="0.2">
      <c r="A214" s="91" t="s">
        <v>137</v>
      </c>
      <c r="B214" s="91"/>
      <c r="C214" s="92">
        <v>130</v>
      </c>
      <c r="D214" s="93"/>
      <c r="E214" s="92">
        <v>130</v>
      </c>
      <c r="F214" s="93"/>
      <c r="G214" s="92">
        <v>130</v>
      </c>
      <c r="H214" s="93"/>
      <c r="I214" s="92">
        <v>130</v>
      </c>
      <c r="J214" s="93"/>
      <c r="K214" s="92">
        <v>130</v>
      </c>
      <c r="L214" s="93"/>
      <c r="M214" s="92">
        <v>130</v>
      </c>
      <c r="N214" s="93"/>
      <c r="O214" s="94">
        <f t="shared" si="89"/>
        <v>0</v>
      </c>
      <c r="P214" s="71">
        <f t="shared" si="89"/>
        <v>0</v>
      </c>
      <c r="Q214" s="62"/>
    </row>
    <row r="215" spans="1:17" hidden="1" outlineLevel="1" x14ac:dyDescent="0.2">
      <c r="A215" s="13" t="s">
        <v>148</v>
      </c>
      <c r="B215" s="13"/>
      <c r="C215" s="103"/>
      <c r="D215" s="13"/>
      <c r="E215" s="103"/>
      <c r="F215" s="13"/>
      <c r="G215" s="103"/>
      <c r="H215" s="13"/>
      <c r="I215" s="103"/>
      <c r="J215" s="13"/>
      <c r="K215" s="103"/>
      <c r="L215" s="13"/>
      <c r="M215" s="103"/>
      <c r="N215" s="13"/>
      <c r="O215" s="103"/>
      <c r="P215" s="104"/>
      <c r="Q215" s="62"/>
    </row>
    <row r="216" spans="1:17" hidden="1" outlineLevel="2" x14ac:dyDescent="0.2">
      <c r="A216" s="91" t="s">
        <v>35</v>
      </c>
      <c r="B216" s="91"/>
      <c r="C216" s="111">
        <f t="shared" ref="C216:C225" si="90">IFERROR(C193/C205,0)</f>
        <v>0</v>
      </c>
      <c r="D216" s="93"/>
      <c r="E216" s="111">
        <f t="shared" ref="E216:E225" si="91">IFERROR(E193/E205,0)</f>
        <v>0</v>
      </c>
      <c r="F216" s="93"/>
      <c r="G216" s="111">
        <f t="shared" ref="G216:G225" si="92">IFERROR(G193/G205,0)</f>
        <v>0</v>
      </c>
      <c r="H216" s="93"/>
      <c r="I216" s="111">
        <f t="shared" ref="I216:I225" si="93">IFERROR(I193/I205,0)</f>
        <v>0</v>
      </c>
      <c r="J216" s="93"/>
      <c r="K216" s="111">
        <f t="shared" ref="K216:K225" si="94">IFERROR(K193/K205,0)</f>
        <v>0</v>
      </c>
      <c r="L216" s="93"/>
      <c r="M216" s="111">
        <f t="shared" ref="M216:M225" si="95">IFERROR(M193/M205,0)</f>
        <v>0</v>
      </c>
      <c r="N216" s="93"/>
      <c r="O216" s="94">
        <f t="shared" ref="O216:O226" si="96">SUM(C216,E216,G216,I216,K216,M216)</f>
        <v>0</v>
      </c>
      <c r="P216" s="71">
        <f t="shared" ref="P216:P226" si="97">SUM(D216,F216,H216,J216,L216,N216)</f>
        <v>0</v>
      </c>
      <c r="Q216" s="62"/>
    </row>
    <row r="217" spans="1:17" hidden="1" outlineLevel="2" x14ac:dyDescent="0.2">
      <c r="A217" s="91" t="s">
        <v>36</v>
      </c>
      <c r="B217" s="91"/>
      <c r="C217" s="111">
        <f t="shared" si="90"/>
        <v>0</v>
      </c>
      <c r="D217" s="93"/>
      <c r="E217" s="111">
        <f t="shared" si="91"/>
        <v>0</v>
      </c>
      <c r="F217" s="93"/>
      <c r="G217" s="111">
        <f t="shared" si="92"/>
        <v>0</v>
      </c>
      <c r="H217" s="93"/>
      <c r="I217" s="111">
        <f t="shared" si="93"/>
        <v>0</v>
      </c>
      <c r="J217" s="93"/>
      <c r="K217" s="111">
        <f t="shared" si="94"/>
        <v>0</v>
      </c>
      <c r="L217" s="93"/>
      <c r="M217" s="111">
        <f t="shared" si="95"/>
        <v>0</v>
      </c>
      <c r="N217" s="93"/>
      <c r="O217" s="94">
        <f t="shared" si="96"/>
        <v>0</v>
      </c>
      <c r="P217" s="71">
        <f t="shared" si="97"/>
        <v>0</v>
      </c>
      <c r="Q217" s="62"/>
    </row>
    <row r="218" spans="1:17" hidden="1" outlineLevel="2" x14ac:dyDescent="0.2">
      <c r="A218" s="91" t="s">
        <v>37</v>
      </c>
      <c r="B218" s="91"/>
      <c r="C218" s="111">
        <f t="shared" si="90"/>
        <v>0</v>
      </c>
      <c r="D218" s="93"/>
      <c r="E218" s="111">
        <f t="shared" si="91"/>
        <v>0</v>
      </c>
      <c r="F218" s="93"/>
      <c r="G218" s="111">
        <f t="shared" si="92"/>
        <v>0</v>
      </c>
      <c r="H218" s="93"/>
      <c r="I218" s="111">
        <f t="shared" si="93"/>
        <v>0</v>
      </c>
      <c r="J218" s="93"/>
      <c r="K218" s="111">
        <f t="shared" si="94"/>
        <v>0</v>
      </c>
      <c r="L218" s="93"/>
      <c r="M218" s="111">
        <f t="shared" si="95"/>
        <v>0</v>
      </c>
      <c r="N218" s="93"/>
      <c r="O218" s="94">
        <f t="shared" si="96"/>
        <v>0</v>
      </c>
      <c r="P218" s="71">
        <f t="shared" si="97"/>
        <v>0</v>
      </c>
      <c r="Q218" s="62"/>
    </row>
    <row r="219" spans="1:17" hidden="1" outlineLevel="2" x14ac:dyDescent="0.2">
      <c r="A219" s="91" t="s">
        <v>134</v>
      </c>
      <c r="B219" s="91"/>
      <c r="C219" s="111">
        <f t="shared" si="90"/>
        <v>0</v>
      </c>
      <c r="D219" s="93"/>
      <c r="E219" s="111">
        <f t="shared" si="91"/>
        <v>0</v>
      </c>
      <c r="F219" s="93"/>
      <c r="G219" s="111">
        <f t="shared" si="92"/>
        <v>0</v>
      </c>
      <c r="H219" s="93"/>
      <c r="I219" s="111">
        <f t="shared" si="93"/>
        <v>0</v>
      </c>
      <c r="J219" s="93"/>
      <c r="K219" s="111">
        <f t="shared" si="94"/>
        <v>0</v>
      </c>
      <c r="L219" s="93"/>
      <c r="M219" s="111">
        <f t="shared" si="95"/>
        <v>0</v>
      </c>
      <c r="N219" s="93"/>
      <c r="O219" s="94">
        <f t="shared" si="96"/>
        <v>0</v>
      </c>
      <c r="P219" s="71">
        <f t="shared" si="97"/>
        <v>0</v>
      </c>
      <c r="Q219" s="62"/>
    </row>
    <row r="220" spans="1:17" hidden="1" outlineLevel="2" x14ac:dyDescent="0.2">
      <c r="A220" s="91" t="s">
        <v>39</v>
      </c>
      <c r="B220" s="91"/>
      <c r="C220" s="111">
        <f t="shared" si="90"/>
        <v>0</v>
      </c>
      <c r="D220" s="93"/>
      <c r="E220" s="111">
        <f t="shared" si="91"/>
        <v>0</v>
      </c>
      <c r="F220" s="93"/>
      <c r="G220" s="111">
        <f t="shared" si="92"/>
        <v>0</v>
      </c>
      <c r="H220" s="93"/>
      <c r="I220" s="111">
        <f t="shared" si="93"/>
        <v>0</v>
      </c>
      <c r="J220" s="93"/>
      <c r="K220" s="111">
        <f t="shared" si="94"/>
        <v>0</v>
      </c>
      <c r="L220" s="93"/>
      <c r="M220" s="111">
        <f t="shared" si="95"/>
        <v>0</v>
      </c>
      <c r="N220" s="93"/>
      <c r="O220" s="94">
        <f t="shared" si="96"/>
        <v>0</v>
      </c>
      <c r="P220" s="71">
        <f t="shared" si="97"/>
        <v>0</v>
      </c>
      <c r="Q220" s="62"/>
    </row>
    <row r="221" spans="1:17" hidden="1" outlineLevel="2" x14ac:dyDescent="0.2">
      <c r="A221" s="91" t="s">
        <v>40</v>
      </c>
      <c r="B221" s="91"/>
      <c r="C221" s="111">
        <f t="shared" si="90"/>
        <v>0</v>
      </c>
      <c r="D221" s="93"/>
      <c r="E221" s="111">
        <f t="shared" si="91"/>
        <v>0</v>
      </c>
      <c r="F221" s="93"/>
      <c r="G221" s="111">
        <f t="shared" si="92"/>
        <v>0</v>
      </c>
      <c r="H221" s="93"/>
      <c r="I221" s="111">
        <f t="shared" si="93"/>
        <v>0</v>
      </c>
      <c r="J221" s="93"/>
      <c r="K221" s="111">
        <f t="shared" si="94"/>
        <v>0</v>
      </c>
      <c r="L221" s="93"/>
      <c r="M221" s="111">
        <f t="shared" si="95"/>
        <v>0</v>
      </c>
      <c r="N221" s="93"/>
      <c r="O221" s="94">
        <f t="shared" si="96"/>
        <v>0</v>
      </c>
      <c r="P221" s="71">
        <f t="shared" si="97"/>
        <v>0</v>
      </c>
      <c r="Q221" s="62"/>
    </row>
    <row r="222" spans="1:17" hidden="1" outlineLevel="2" x14ac:dyDescent="0.2">
      <c r="A222" s="91" t="s">
        <v>41</v>
      </c>
      <c r="B222" s="91"/>
      <c r="C222" s="111">
        <f t="shared" si="90"/>
        <v>0</v>
      </c>
      <c r="D222" s="93"/>
      <c r="E222" s="111">
        <f t="shared" si="91"/>
        <v>0</v>
      </c>
      <c r="F222" s="93"/>
      <c r="G222" s="111">
        <f t="shared" si="92"/>
        <v>0</v>
      </c>
      <c r="H222" s="93"/>
      <c r="I222" s="111">
        <f t="shared" si="93"/>
        <v>0</v>
      </c>
      <c r="J222" s="93"/>
      <c r="K222" s="111">
        <f t="shared" si="94"/>
        <v>0</v>
      </c>
      <c r="L222" s="93"/>
      <c r="M222" s="111">
        <f t="shared" si="95"/>
        <v>0</v>
      </c>
      <c r="N222" s="93"/>
      <c r="O222" s="94">
        <f t="shared" si="96"/>
        <v>0</v>
      </c>
      <c r="P222" s="71">
        <f t="shared" si="97"/>
        <v>0</v>
      </c>
      <c r="Q222" s="62"/>
    </row>
    <row r="223" spans="1:17" hidden="1" outlineLevel="2" x14ac:dyDescent="0.2">
      <c r="A223" s="91" t="s">
        <v>135</v>
      </c>
      <c r="B223" s="91"/>
      <c r="C223" s="111">
        <f t="shared" si="90"/>
        <v>0</v>
      </c>
      <c r="D223" s="93"/>
      <c r="E223" s="111">
        <f t="shared" si="91"/>
        <v>0</v>
      </c>
      <c r="F223" s="93"/>
      <c r="G223" s="111">
        <f t="shared" si="92"/>
        <v>0</v>
      </c>
      <c r="H223" s="93"/>
      <c r="I223" s="111">
        <f t="shared" si="93"/>
        <v>0</v>
      </c>
      <c r="J223" s="93"/>
      <c r="K223" s="111">
        <f t="shared" si="94"/>
        <v>0</v>
      </c>
      <c r="L223" s="93"/>
      <c r="M223" s="111">
        <f t="shared" si="95"/>
        <v>0</v>
      </c>
      <c r="N223" s="93"/>
      <c r="O223" s="94">
        <f t="shared" si="96"/>
        <v>0</v>
      </c>
      <c r="P223" s="71">
        <f t="shared" si="97"/>
        <v>0</v>
      </c>
      <c r="Q223" s="62"/>
    </row>
    <row r="224" spans="1:17" hidden="1" outlineLevel="2" x14ac:dyDescent="0.2">
      <c r="A224" s="91" t="s">
        <v>136</v>
      </c>
      <c r="B224" s="91"/>
      <c r="C224" s="111">
        <f t="shared" si="90"/>
        <v>0</v>
      </c>
      <c r="D224" s="93"/>
      <c r="E224" s="111">
        <f t="shared" si="91"/>
        <v>0</v>
      </c>
      <c r="F224" s="93"/>
      <c r="G224" s="111">
        <f t="shared" si="92"/>
        <v>0</v>
      </c>
      <c r="H224" s="93"/>
      <c r="I224" s="111">
        <f t="shared" si="93"/>
        <v>0</v>
      </c>
      <c r="J224" s="93"/>
      <c r="K224" s="111">
        <f t="shared" si="94"/>
        <v>0</v>
      </c>
      <c r="L224" s="93"/>
      <c r="M224" s="111">
        <f t="shared" si="95"/>
        <v>0</v>
      </c>
      <c r="N224" s="93"/>
      <c r="O224" s="94">
        <f t="shared" si="96"/>
        <v>0</v>
      </c>
      <c r="P224" s="71">
        <f t="shared" si="97"/>
        <v>0</v>
      </c>
      <c r="Q224" s="62"/>
    </row>
    <row r="225" spans="1:17" hidden="1" outlineLevel="2" x14ac:dyDescent="0.2">
      <c r="A225" s="91" t="s">
        <v>137</v>
      </c>
      <c r="B225" s="91"/>
      <c r="C225" s="111">
        <f t="shared" si="90"/>
        <v>0</v>
      </c>
      <c r="D225" s="93"/>
      <c r="E225" s="111">
        <f t="shared" si="91"/>
        <v>0</v>
      </c>
      <c r="F225" s="93"/>
      <c r="G225" s="111">
        <f t="shared" si="92"/>
        <v>0</v>
      </c>
      <c r="H225" s="93"/>
      <c r="I225" s="111">
        <f t="shared" si="93"/>
        <v>0</v>
      </c>
      <c r="J225" s="93"/>
      <c r="K225" s="111">
        <f t="shared" si="94"/>
        <v>0</v>
      </c>
      <c r="L225" s="93"/>
      <c r="M225" s="111">
        <f t="shared" si="95"/>
        <v>0</v>
      </c>
      <c r="N225" s="93"/>
      <c r="O225" s="94">
        <f t="shared" si="96"/>
        <v>0</v>
      </c>
      <c r="P225" s="71">
        <f t="shared" si="97"/>
        <v>0</v>
      </c>
      <c r="Q225" s="62"/>
    </row>
    <row r="226" spans="1:17" hidden="1" outlineLevel="1" x14ac:dyDescent="0.2">
      <c r="A226" s="72" t="s">
        <v>149</v>
      </c>
      <c r="B226" s="72"/>
      <c r="C226" s="106">
        <f t="shared" ref="C226:N226" si="98">SUM(C216:C225)</f>
        <v>0</v>
      </c>
      <c r="D226" s="107">
        <f t="shared" si="98"/>
        <v>0</v>
      </c>
      <c r="E226" s="106">
        <f t="shared" si="98"/>
        <v>0</v>
      </c>
      <c r="F226" s="107">
        <f t="shared" si="98"/>
        <v>0</v>
      </c>
      <c r="G226" s="106">
        <f t="shared" si="98"/>
        <v>0</v>
      </c>
      <c r="H226" s="107">
        <f t="shared" si="98"/>
        <v>0</v>
      </c>
      <c r="I226" s="106">
        <f t="shared" si="98"/>
        <v>0</v>
      </c>
      <c r="J226" s="107">
        <f t="shared" si="98"/>
        <v>0</v>
      </c>
      <c r="K226" s="106">
        <f t="shared" si="98"/>
        <v>0</v>
      </c>
      <c r="L226" s="107">
        <f t="shared" si="98"/>
        <v>0</v>
      </c>
      <c r="M226" s="106">
        <f t="shared" si="98"/>
        <v>0</v>
      </c>
      <c r="N226" s="107">
        <f t="shared" si="98"/>
        <v>0</v>
      </c>
      <c r="O226" s="94">
        <f t="shared" si="96"/>
        <v>0</v>
      </c>
      <c r="P226" s="71">
        <f t="shared" si="97"/>
        <v>0</v>
      </c>
      <c r="Q226" s="62"/>
    </row>
    <row r="227" spans="1:17" hidden="1" outlineLevel="1" x14ac:dyDescent="0.2">
      <c r="A227" s="72" t="s">
        <v>150</v>
      </c>
      <c r="B227" s="72"/>
      <c r="C227" s="106">
        <f t="shared" ref="C227:P227" si="99">IFERROR(C203/C226,0)</f>
        <v>0</v>
      </c>
      <c r="D227" s="107">
        <f t="shared" si="99"/>
        <v>0</v>
      </c>
      <c r="E227" s="106">
        <f t="shared" si="99"/>
        <v>0</v>
      </c>
      <c r="F227" s="107">
        <f t="shared" si="99"/>
        <v>0</v>
      </c>
      <c r="G227" s="106">
        <f t="shared" si="99"/>
        <v>0</v>
      </c>
      <c r="H227" s="107">
        <f t="shared" si="99"/>
        <v>0</v>
      </c>
      <c r="I227" s="106">
        <f t="shared" si="99"/>
        <v>0</v>
      </c>
      <c r="J227" s="107">
        <f t="shared" si="99"/>
        <v>0</v>
      </c>
      <c r="K227" s="106">
        <f t="shared" si="99"/>
        <v>0</v>
      </c>
      <c r="L227" s="107">
        <f t="shared" si="99"/>
        <v>0</v>
      </c>
      <c r="M227" s="106">
        <f t="shared" si="99"/>
        <v>0</v>
      </c>
      <c r="N227" s="107">
        <f t="shared" si="99"/>
        <v>0</v>
      </c>
      <c r="O227" s="94">
        <f t="shared" si="99"/>
        <v>0</v>
      </c>
      <c r="P227" s="71">
        <f t="shared" si="99"/>
        <v>0</v>
      </c>
      <c r="Q227" s="62"/>
    </row>
    <row r="228" spans="1:17" collapsed="1" x14ac:dyDescent="0.2">
      <c r="A228" s="57"/>
      <c r="B228" s="57"/>
      <c r="C228" s="63"/>
      <c r="D228" s="57"/>
      <c r="E228" s="63"/>
      <c r="F228" s="57"/>
      <c r="G228" s="63"/>
      <c r="H228" s="57"/>
      <c r="I228" s="63"/>
      <c r="J228" s="57"/>
      <c r="K228" s="63"/>
      <c r="L228" s="57"/>
      <c r="M228" s="63"/>
      <c r="N228" s="57"/>
      <c r="O228" s="63"/>
      <c r="P228" s="57"/>
      <c r="Q228" s="62"/>
    </row>
    <row r="229" spans="1:17" x14ac:dyDescent="0.2">
      <c r="A229" s="9" t="s">
        <v>151</v>
      </c>
      <c r="B229" s="9"/>
      <c r="C229" s="89"/>
      <c r="D229" s="9"/>
      <c r="E229" s="89"/>
      <c r="F229" s="9"/>
      <c r="G229" s="89"/>
      <c r="H229" s="9"/>
      <c r="I229" s="89"/>
      <c r="J229" s="9"/>
      <c r="K229" s="89"/>
      <c r="L229" s="9"/>
      <c r="M229" s="89"/>
      <c r="N229" s="9"/>
      <c r="O229" s="89"/>
      <c r="P229" s="90"/>
      <c r="Q229" s="62"/>
    </row>
    <row r="230" spans="1:17" outlineLevel="1" x14ac:dyDescent="0.2">
      <c r="A230" s="13" t="s">
        <v>126</v>
      </c>
      <c r="B230" s="13"/>
      <c r="C230" s="103"/>
      <c r="D230" s="13"/>
      <c r="E230" s="103"/>
      <c r="F230" s="13"/>
      <c r="G230" s="103"/>
      <c r="H230" s="13"/>
      <c r="I230" s="103"/>
      <c r="J230" s="13"/>
      <c r="K230" s="103"/>
      <c r="L230" s="13"/>
      <c r="M230" s="103"/>
      <c r="N230" s="13"/>
      <c r="O230" s="103"/>
      <c r="P230" s="104"/>
      <c r="Q230" s="62"/>
    </row>
    <row r="231" spans="1:17" outlineLevel="1" x14ac:dyDescent="0.2">
      <c r="A231" s="91" t="s">
        <v>35</v>
      </c>
      <c r="B231" s="91"/>
      <c r="C231" s="92">
        <v>0</v>
      </c>
      <c r="D231" s="93"/>
      <c r="E231" s="92">
        <v>100000</v>
      </c>
      <c r="F231" s="93"/>
      <c r="G231" s="92">
        <v>150000</v>
      </c>
      <c r="H231" s="93">
        <f>116860</f>
        <v>116860</v>
      </c>
      <c r="I231" s="92">
        <f>G231*2</f>
        <v>300000</v>
      </c>
      <c r="J231" s="93"/>
      <c r="K231" s="92">
        <v>300000</v>
      </c>
      <c r="L231" s="93"/>
      <c r="M231" s="92">
        <v>300000</v>
      </c>
      <c r="N231" s="93"/>
      <c r="O231" s="94">
        <f t="shared" ref="O231:O241" si="100">SUM(C231,E231,G231,I231,K231,M231)</f>
        <v>1150000</v>
      </c>
      <c r="P231" s="71">
        <f t="shared" ref="P231:P241" si="101">SUM(D231,F231,H231,J231,L231,N231)</f>
        <v>116860</v>
      </c>
      <c r="Q231" s="62"/>
    </row>
    <row r="232" spans="1:17" outlineLevel="1" x14ac:dyDescent="0.2">
      <c r="A232" s="91" t="s">
        <v>36</v>
      </c>
      <c r="B232" s="91"/>
      <c r="C232" s="92">
        <v>0</v>
      </c>
      <c r="D232" s="93"/>
      <c r="E232" s="92">
        <v>0</v>
      </c>
      <c r="F232" s="93"/>
      <c r="G232" s="92"/>
      <c r="H232" s="93"/>
      <c r="I232" s="92"/>
      <c r="J232" s="93"/>
      <c r="K232" s="92"/>
      <c r="L232" s="93"/>
      <c r="M232" s="92"/>
      <c r="N232" s="93"/>
      <c r="O232" s="94">
        <f t="shared" si="100"/>
        <v>0</v>
      </c>
      <c r="P232" s="71">
        <f t="shared" si="101"/>
        <v>0</v>
      </c>
      <c r="Q232" s="62"/>
    </row>
    <row r="233" spans="1:17" outlineLevel="1" x14ac:dyDescent="0.2">
      <c r="A233" s="91" t="s">
        <v>37</v>
      </c>
      <c r="B233" s="91"/>
      <c r="C233" s="92">
        <v>0</v>
      </c>
      <c r="D233" s="93"/>
      <c r="E233" s="92">
        <v>0</v>
      </c>
      <c r="F233" s="93"/>
      <c r="G233" s="92"/>
      <c r="H233" s="93"/>
      <c r="I233" s="92"/>
      <c r="J233" s="93"/>
      <c r="K233" s="92"/>
      <c r="L233" s="93"/>
      <c r="M233" s="92"/>
      <c r="N233" s="93"/>
      <c r="O233" s="94">
        <f t="shared" si="100"/>
        <v>0</v>
      </c>
      <c r="P233" s="71">
        <f t="shared" si="101"/>
        <v>0</v>
      </c>
      <c r="Q233" s="62"/>
    </row>
    <row r="234" spans="1:17" outlineLevel="1" x14ac:dyDescent="0.2">
      <c r="A234" s="91" t="s">
        <v>134</v>
      </c>
      <c r="B234" s="91"/>
      <c r="C234" s="92">
        <v>0</v>
      </c>
      <c r="D234" s="93"/>
      <c r="E234" s="92">
        <v>170000</v>
      </c>
      <c r="F234" s="93"/>
      <c r="G234" s="92"/>
      <c r="H234" s="93"/>
      <c r="I234" s="92">
        <v>140000</v>
      </c>
      <c r="J234" s="93"/>
      <c r="K234" s="92"/>
      <c r="L234" s="93"/>
      <c r="M234" s="92"/>
      <c r="N234" s="93"/>
      <c r="O234" s="94">
        <f t="shared" si="100"/>
        <v>310000</v>
      </c>
      <c r="P234" s="71">
        <f t="shared" si="101"/>
        <v>0</v>
      </c>
      <c r="Q234" s="62"/>
    </row>
    <row r="235" spans="1:17" outlineLevel="1" x14ac:dyDescent="0.2">
      <c r="A235" s="91" t="s">
        <v>39</v>
      </c>
      <c r="B235" s="91"/>
      <c r="C235" s="92">
        <v>0</v>
      </c>
      <c r="D235" s="93"/>
      <c r="E235" s="92">
        <v>0</v>
      </c>
      <c r="F235" s="93"/>
      <c r="G235" s="92"/>
      <c r="H235" s="93"/>
      <c r="I235" s="92"/>
      <c r="J235" s="93"/>
      <c r="K235" s="92"/>
      <c r="L235" s="93"/>
      <c r="M235" s="92"/>
      <c r="N235" s="93"/>
      <c r="O235" s="94">
        <f t="shared" si="100"/>
        <v>0</v>
      </c>
      <c r="P235" s="71">
        <f t="shared" si="101"/>
        <v>0</v>
      </c>
      <c r="Q235" s="62"/>
    </row>
    <row r="236" spans="1:17" outlineLevel="1" x14ac:dyDescent="0.2">
      <c r="A236" s="91" t="s">
        <v>40</v>
      </c>
      <c r="B236" s="91"/>
      <c r="C236" s="92">
        <v>0</v>
      </c>
      <c r="D236" s="93"/>
      <c r="E236" s="92">
        <v>0</v>
      </c>
      <c r="F236" s="93"/>
      <c r="G236" s="92"/>
      <c r="H236" s="93"/>
      <c r="I236" s="92"/>
      <c r="J236" s="93"/>
      <c r="K236" s="92"/>
      <c r="L236" s="93"/>
      <c r="M236" s="92"/>
      <c r="N236" s="93"/>
      <c r="O236" s="94">
        <f t="shared" si="100"/>
        <v>0</v>
      </c>
      <c r="P236" s="71">
        <f t="shared" si="101"/>
        <v>0</v>
      </c>
      <c r="Q236" s="62"/>
    </row>
    <row r="237" spans="1:17" outlineLevel="1" x14ac:dyDescent="0.2">
      <c r="A237" s="91" t="s">
        <v>41</v>
      </c>
      <c r="B237" s="91"/>
      <c r="C237" s="92">
        <v>0</v>
      </c>
      <c r="D237" s="93"/>
      <c r="E237" s="92">
        <v>0</v>
      </c>
      <c r="F237" s="93"/>
      <c r="G237" s="92"/>
      <c r="H237" s="93"/>
      <c r="I237" s="92"/>
      <c r="J237" s="93"/>
      <c r="K237" s="92"/>
      <c r="L237" s="93"/>
      <c r="M237" s="92"/>
      <c r="N237" s="93"/>
      <c r="O237" s="94">
        <f t="shared" si="100"/>
        <v>0</v>
      </c>
      <c r="P237" s="71">
        <f t="shared" si="101"/>
        <v>0</v>
      </c>
      <c r="Q237" s="62"/>
    </row>
    <row r="238" spans="1:17" outlineLevel="1" x14ac:dyDescent="0.2">
      <c r="A238" s="91" t="s">
        <v>135</v>
      </c>
      <c r="B238" s="91"/>
      <c r="C238" s="92">
        <v>0</v>
      </c>
      <c r="D238" s="93"/>
      <c r="E238" s="92">
        <v>0</v>
      </c>
      <c r="F238" s="93"/>
      <c r="G238" s="92"/>
      <c r="H238" s="93"/>
      <c r="I238" s="92"/>
      <c r="J238" s="93"/>
      <c r="K238" s="92"/>
      <c r="L238" s="93"/>
      <c r="M238" s="92"/>
      <c r="N238" s="93"/>
      <c r="O238" s="94">
        <f t="shared" si="100"/>
        <v>0</v>
      </c>
      <c r="P238" s="71">
        <f t="shared" si="101"/>
        <v>0</v>
      </c>
      <c r="Q238" s="62"/>
    </row>
    <row r="239" spans="1:17" outlineLevel="1" x14ac:dyDescent="0.2">
      <c r="A239" s="105" t="s">
        <v>136</v>
      </c>
      <c r="B239" s="91"/>
      <c r="C239" s="92">
        <v>0</v>
      </c>
      <c r="D239" s="93"/>
      <c r="E239" s="92">
        <v>0</v>
      </c>
      <c r="F239" s="93"/>
      <c r="G239" s="92"/>
      <c r="H239" s="93"/>
      <c r="I239" s="92"/>
      <c r="J239" s="93"/>
      <c r="K239" s="92"/>
      <c r="L239" s="93"/>
      <c r="M239" s="92"/>
      <c r="N239" s="93"/>
      <c r="O239" s="94">
        <f t="shared" si="100"/>
        <v>0</v>
      </c>
      <c r="P239" s="71">
        <f t="shared" si="101"/>
        <v>0</v>
      </c>
      <c r="Q239" s="62"/>
    </row>
    <row r="240" spans="1:17" outlineLevel="1" x14ac:dyDescent="0.2">
      <c r="A240" s="105" t="s">
        <v>137</v>
      </c>
      <c r="B240" s="91"/>
      <c r="C240" s="92">
        <v>0</v>
      </c>
      <c r="D240" s="93"/>
      <c r="E240" s="92">
        <v>0</v>
      </c>
      <c r="F240" s="93"/>
      <c r="G240" s="92"/>
      <c r="H240" s="93"/>
      <c r="I240" s="92"/>
      <c r="J240" s="93"/>
      <c r="K240" s="92"/>
      <c r="L240" s="93"/>
      <c r="M240" s="92"/>
      <c r="N240" s="93"/>
      <c r="O240" s="94">
        <f t="shared" si="100"/>
        <v>0</v>
      </c>
      <c r="P240" s="71">
        <f t="shared" si="101"/>
        <v>0</v>
      </c>
      <c r="Q240" s="62"/>
    </row>
    <row r="241" spans="1:17" outlineLevel="1" x14ac:dyDescent="0.2">
      <c r="A241" s="72" t="s">
        <v>132</v>
      </c>
      <c r="B241" s="72"/>
      <c r="C241" s="106">
        <f t="shared" ref="C241:N241" si="102">SUM(C231:C240)</f>
        <v>0</v>
      </c>
      <c r="D241" s="107">
        <f t="shared" si="102"/>
        <v>0</v>
      </c>
      <c r="E241" s="106">
        <f t="shared" si="102"/>
        <v>270000</v>
      </c>
      <c r="F241" s="107">
        <f t="shared" si="102"/>
        <v>0</v>
      </c>
      <c r="G241" s="106">
        <f t="shared" si="102"/>
        <v>150000</v>
      </c>
      <c r="H241" s="107">
        <f t="shared" si="102"/>
        <v>116860</v>
      </c>
      <c r="I241" s="106">
        <f t="shared" si="102"/>
        <v>440000</v>
      </c>
      <c r="J241" s="107">
        <f t="shared" si="102"/>
        <v>0</v>
      </c>
      <c r="K241" s="106">
        <f t="shared" si="102"/>
        <v>300000</v>
      </c>
      <c r="L241" s="107">
        <f t="shared" si="102"/>
        <v>0</v>
      </c>
      <c r="M241" s="106">
        <f t="shared" si="102"/>
        <v>300000</v>
      </c>
      <c r="N241" s="107">
        <f t="shared" si="102"/>
        <v>0</v>
      </c>
      <c r="O241" s="94">
        <f t="shared" si="100"/>
        <v>1460000</v>
      </c>
      <c r="P241" s="71">
        <f t="shared" si="101"/>
        <v>116860</v>
      </c>
      <c r="Q241" s="62"/>
    </row>
    <row r="242" spans="1:17" outlineLevel="1" x14ac:dyDescent="0.2">
      <c r="A242" s="13" t="s">
        <v>147</v>
      </c>
      <c r="B242" s="13"/>
      <c r="C242" s="103"/>
      <c r="D242" s="13"/>
      <c r="E242" s="103"/>
      <c r="F242" s="13"/>
      <c r="G242" s="103"/>
      <c r="H242" s="13"/>
      <c r="I242" s="103"/>
      <c r="J242" s="13"/>
      <c r="K242" s="103"/>
      <c r="L242" s="13"/>
      <c r="M242" s="103"/>
      <c r="N242" s="13"/>
      <c r="O242" s="103"/>
      <c r="P242" s="104"/>
      <c r="Q242" s="62"/>
    </row>
    <row r="243" spans="1:17" outlineLevel="2" x14ac:dyDescent="0.2">
      <c r="A243" s="91" t="s">
        <v>35</v>
      </c>
      <c r="B243" s="91"/>
      <c r="C243" s="92">
        <v>150</v>
      </c>
      <c r="D243" s="93"/>
      <c r="E243" s="92">
        <v>150</v>
      </c>
      <c r="F243" s="93"/>
      <c r="G243" s="92">
        <v>150</v>
      </c>
      <c r="H243" s="93"/>
      <c r="I243" s="92">
        <v>60</v>
      </c>
      <c r="J243" s="93"/>
      <c r="K243" s="92">
        <v>150</v>
      </c>
      <c r="L243" s="93"/>
      <c r="M243" s="92">
        <v>150</v>
      </c>
      <c r="N243" s="93"/>
      <c r="O243" s="94">
        <f t="shared" ref="O243:P252" si="103">IFERROR(O231/O254,0)</f>
        <v>107.8125</v>
      </c>
      <c r="P243" s="71">
        <f t="shared" si="103"/>
        <v>71.869618696186961</v>
      </c>
      <c r="Q243" s="62"/>
    </row>
    <row r="244" spans="1:17" outlineLevel="2" x14ac:dyDescent="0.2">
      <c r="A244" s="91" t="s">
        <v>36</v>
      </c>
      <c r="B244" s="91"/>
      <c r="C244" s="92">
        <v>150</v>
      </c>
      <c r="D244" s="93"/>
      <c r="E244" s="92">
        <v>150</v>
      </c>
      <c r="F244" s="93"/>
      <c r="G244" s="92">
        <v>150</v>
      </c>
      <c r="H244" s="93"/>
      <c r="I244" s="92">
        <v>150</v>
      </c>
      <c r="J244" s="93"/>
      <c r="K244" s="92">
        <v>150</v>
      </c>
      <c r="L244" s="93"/>
      <c r="M244" s="92">
        <v>150</v>
      </c>
      <c r="N244" s="93"/>
      <c r="O244" s="94">
        <f t="shared" si="103"/>
        <v>0</v>
      </c>
      <c r="P244" s="71">
        <f t="shared" si="103"/>
        <v>0</v>
      </c>
      <c r="Q244" s="62"/>
    </row>
    <row r="245" spans="1:17" outlineLevel="2" x14ac:dyDescent="0.2">
      <c r="A245" s="91" t="s">
        <v>37</v>
      </c>
      <c r="B245" s="91"/>
      <c r="C245" s="92">
        <v>150</v>
      </c>
      <c r="D245" s="93"/>
      <c r="E245" s="92">
        <v>150</v>
      </c>
      <c r="F245" s="93"/>
      <c r="G245" s="92">
        <v>150</v>
      </c>
      <c r="H245" s="93"/>
      <c r="I245" s="92">
        <v>150</v>
      </c>
      <c r="J245" s="93"/>
      <c r="K245" s="92">
        <v>150</v>
      </c>
      <c r="L245" s="93"/>
      <c r="M245" s="92">
        <v>150</v>
      </c>
      <c r="N245" s="93"/>
      <c r="O245" s="94">
        <f t="shared" si="103"/>
        <v>0</v>
      </c>
      <c r="P245" s="71">
        <f t="shared" si="103"/>
        <v>0</v>
      </c>
      <c r="Q245" s="62"/>
    </row>
    <row r="246" spans="1:17" outlineLevel="2" x14ac:dyDescent="0.2">
      <c r="A246" s="91" t="s">
        <v>134</v>
      </c>
      <c r="B246" s="91"/>
      <c r="C246" s="92">
        <v>150</v>
      </c>
      <c r="D246" s="93"/>
      <c r="E246" s="92">
        <v>150</v>
      </c>
      <c r="F246" s="93"/>
      <c r="G246" s="92">
        <v>150</v>
      </c>
      <c r="H246" s="93"/>
      <c r="I246" s="92">
        <v>100</v>
      </c>
      <c r="J246" s="93"/>
      <c r="K246" s="92">
        <v>150</v>
      </c>
      <c r="L246" s="93"/>
      <c r="M246" s="92">
        <v>150</v>
      </c>
      <c r="N246" s="93"/>
      <c r="O246" s="94">
        <f t="shared" si="103"/>
        <v>122.36842105263159</v>
      </c>
      <c r="P246" s="71">
        <f t="shared" si="103"/>
        <v>0</v>
      </c>
      <c r="Q246" s="62"/>
    </row>
    <row r="247" spans="1:17" outlineLevel="2" x14ac:dyDescent="0.2">
      <c r="A247" s="91" t="s">
        <v>39</v>
      </c>
      <c r="B247" s="91"/>
      <c r="C247" s="92">
        <v>150</v>
      </c>
      <c r="D247" s="93"/>
      <c r="E247" s="92">
        <v>150</v>
      </c>
      <c r="F247" s="93"/>
      <c r="G247" s="92">
        <v>150</v>
      </c>
      <c r="H247" s="93"/>
      <c r="I247" s="92">
        <v>150</v>
      </c>
      <c r="J247" s="93"/>
      <c r="K247" s="92">
        <v>150</v>
      </c>
      <c r="L247" s="93"/>
      <c r="M247" s="92">
        <v>150</v>
      </c>
      <c r="N247" s="93"/>
      <c r="O247" s="94">
        <f t="shared" si="103"/>
        <v>0</v>
      </c>
      <c r="P247" s="71">
        <f t="shared" si="103"/>
        <v>0</v>
      </c>
      <c r="Q247" s="62"/>
    </row>
    <row r="248" spans="1:17" outlineLevel="2" x14ac:dyDescent="0.2">
      <c r="A248" s="91" t="s">
        <v>40</v>
      </c>
      <c r="B248" s="91"/>
      <c r="C248" s="92">
        <v>150</v>
      </c>
      <c r="D248" s="93"/>
      <c r="E248" s="92">
        <v>150</v>
      </c>
      <c r="F248" s="93"/>
      <c r="G248" s="92">
        <v>150</v>
      </c>
      <c r="H248" s="93"/>
      <c r="I248" s="92">
        <v>150</v>
      </c>
      <c r="J248" s="93"/>
      <c r="K248" s="92">
        <v>150</v>
      </c>
      <c r="L248" s="93"/>
      <c r="M248" s="92">
        <v>150</v>
      </c>
      <c r="N248" s="93"/>
      <c r="O248" s="94">
        <f t="shared" si="103"/>
        <v>0</v>
      </c>
      <c r="P248" s="71">
        <f t="shared" si="103"/>
        <v>0</v>
      </c>
      <c r="Q248" s="62"/>
    </row>
    <row r="249" spans="1:17" outlineLevel="2" x14ac:dyDescent="0.2">
      <c r="A249" s="91" t="s">
        <v>41</v>
      </c>
      <c r="B249" s="91"/>
      <c r="C249" s="92">
        <v>150</v>
      </c>
      <c r="D249" s="93"/>
      <c r="E249" s="92">
        <v>150</v>
      </c>
      <c r="F249" s="93"/>
      <c r="G249" s="92">
        <v>150</v>
      </c>
      <c r="H249" s="93"/>
      <c r="I249" s="92">
        <v>150</v>
      </c>
      <c r="J249" s="93"/>
      <c r="K249" s="92">
        <v>150</v>
      </c>
      <c r="L249" s="93"/>
      <c r="M249" s="92">
        <v>150</v>
      </c>
      <c r="N249" s="93"/>
      <c r="O249" s="94">
        <f t="shared" si="103"/>
        <v>0</v>
      </c>
      <c r="P249" s="71">
        <f t="shared" si="103"/>
        <v>0</v>
      </c>
      <c r="Q249" s="62"/>
    </row>
    <row r="250" spans="1:17" outlineLevel="2" x14ac:dyDescent="0.2">
      <c r="A250" s="91" t="s">
        <v>135</v>
      </c>
      <c r="B250" s="91"/>
      <c r="C250" s="92">
        <v>150</v>
      </c>
      <c r="D250" s="93"/>
      <c r="E250" s="92">
        <v>150</v>
      </c>
      <c r="F250" s="93"/>
      <c r="G250" s="92">
        <v>150</v>
      </c>
      <c r="H250" s="93"/>
      <c r="I250" s="92">
        <v>150</v>
      </c>
      <c r="J250" s="93"/>
      <c r="K250" s="92">
        <v>150</v>
      </c>
      <c r="L250" s="93"/>
      <c r="M250" s="92">
        <v>150</v>
      </c>
      <c r="N250" s="93"/>
      <c r="O250" s="94">
        <f t="shared" si="103"/>
        <v>0</v>
      </c>
      <c r="P250" s="71">
        <f t="shared" si="103"/>
        <v>0</v>
      </c>
      <c r="Q250" s="62"/>
    </row>
    <row r="251" spans="1:17" outlineLevel="2" x14ac:dyDescent="0.2">
      <c r="A251" s="105" t="s">
        <v>136</v>
      </c>
      <c r="B251" s="91"/>
      <c r="C251" s="92">
        <v>150</v>
      </c>
      <c r="D251" s="93"/>
      <c r="E251" s="92">
        <v>150</v>
      </c>
      <c r="F251" s="93"/>
      <c r="G251" s="92">
        <v>150</v>
      </c>
      <c r="H251" s="93"/>
      <c r="I251" s="92">
        <v>150</v>
      </c>
      <c r="J251" s="93"/>
      <c r="K251" s="92">
        <v>150</v>
      </c>
      <c r="L251" s="93"/>
      <c r="M251" s="92">
        <v>150</v>
      </c>
      <c r="N251" s="93"/>
      <c r="O251" s="94">
        <f t="shared" si="103"/>
        <v>0</v>
      </c>
      <c r="P251" s="71">
        <f t="shared" si="103"/>
        <v>0</v>
      </c>
      <c r="Q251" s="62"/>
    </row>
    <row r="252" spans="1:17" outlineLevel="2" x14ac:dyDescent="0.2">
      <c r="A252" s="91" t="s">
        <v>137</v>
      </c>
      <c r="B252" s="91"/>
      <c r="C252" s="92">
        <v>150</v>
      </c>
      <c r="D252" s="93"/>
      <c r="E252" s="92">
        <v>150</v>
      </c>
      <c r="F252" s="93"/>
      <c r="G252" s="92">
        <v>150</v>
      </c>
      <c r="H252" s="93"/>
      <c r="I252" s="92">
        <v>150</v>
      </c>
      <c r="J252" s="93"/>
      <c r="K252" s="92">
        <v>150</v>
      </c>
      <c r="L252" s="93"/>
      <c r="M252" s="92">
        <v>150</v>
      </c>
      <c r="N252" s="93"/>
      <c r="O252" s="94">
        <f t="shared" si="103"/>
        <v>0</v>
      </c>
      <c r="P252" s="71">
        <f t="shared" si="103"/>
        <v>0</v>
      </c>
      <c r="Q252" s="62"/>
    </row>
    <row r="253" spans="1:17" outlineLevel="1" x14ac:dyDescent="0.2">
      <c r="A253" s="13" t="s">
        <v>148</v>
      </c>
      <c r="B253" s="13"/>
      <c r="C253" s="103"/>
      <c r="D253" s="13"/>
      <c r="E253" s="103"/>
      <c r="F253" s="13"/>
      <c r="G253" s="103"/>
      <c r="H253" s="13"/>
      <c r="I253" s="103"/>
      <c r="J253" s="13"/>
      <c r="K253" s="103"/>
      <c r="L253" s="13"/>
      <c r="M253" s="103"/>
      <c r="N253" s="13"/>
      <c r="O253" s="103"/>
      <c r="P253" s="104"/>
      <c r="Q253" s="62"/>
    </row>
    <row r="254" spans="1:17" outlineLevel="2" x14ac:dyDescent="0.2">
      <c r="A254" s="91" t="s">
        <v>35</v>
      </c>
      <c r="B254" s="91"/>
      <c r="C254" s="111">
        <f t="shared" ref="C254:C263" si="104">IFERROR(C231/C243,0)</f>
        <v>0</v>
      </c>
      <c r="D254" s="93"/>
      <c r="E254" s="111">
        <f t="shared" ref="E254:E263" si="105">IFERROR(E231/E243,0)</f>
        <v>666.66666666666663</v>
      </c>
      <c r="F254" s="93"/>
      <c r="G254" s="111">
        <f t="shared" ref="G254:G263" si="106">IFERROR(G231/G243,0)</f>
        <v>1000</v>
      </c>
      <c r="H254" s="93">
        <f>1626</f>
        <v>1626</v>
      </c>
      <c r="I254" s="111">
        <f t="shared" ref="I254:I263" si="107">IFERROR(I231/I243,0)</f>
        <v>5000</v>
      </c>
      <c r="J254" s="93"/>
      <c r="K254" s="111">
        <f t="shared" ref="K254:K263" si="108">IFERROR(K231/K243,0)</f>
        <v>2000</v>
      </c>
      <c r="L254" s="93"/>
      <c r="M254" s="111">
        <f t="shared" ref="M254:M263" si="109">IFERROR(M231/M243,0)</f>
        <v>2000</v>
      </c>
      <c r="N254" s="93"/>
      <c r="O254" s="94">
        <f t="shared" ref="O254:O264" si="110">SUM(C254,E254,G254,I254,K254,M254)</f>
        <v>10666.666666666666</v>
      </c>
      <c r="P254" s="71">
        <f t="shared" ref="P254:P264" si="111">SUM(D254,F254,H254,J254,L254,N254)</f>
        <v>1626</v>
      </c>
      <c r="Q254" s="62"/>
    </row>
    <row r="255" spans="1:17" outlineLevel="2" x14ac:dyDescent="0.2">
      <c r="A255" s="91" t="s">
        <v>36</v>
      </c>
      <c r="B255" s="91"/>
      <c r="C255" s="111">
        <f t="shared" si="104"/>
        <v>0</v>
      </c>
      <c r="D255" s="93"/>
      <c r="E255" s="111">
        <f t="shared" si="105"/>
        <v>0</v>
      </c>
      <c r="F255" s="93"/>
      <c r="G255" s="111">
        <f t="shared" si="106"/>
        <v>0</v>
      </c>
      <c r="H255" s="93"/>
      <c r="I255" s="111">
        <f t="shared" si="107"/>
        <v>0</v>
      </c>
      <c r="J255" s="93"/>
      <c r="K255" s="111">
        <f t="shared" si="108"/>
        <v>0</v>
      </c>
      <c r="L255" s="93"/>
      <c r="M255" s="111">
        <f t="shared" si="109"/>
        <v>0</v>
      </c>
      <c r="N255" s="93"/>
      <c r="O255" s="94">
        <f t="shared" si="110"/>
        <v>0</v>
      </c>
      <c r="P255" s="71">
        <f t="shared" si="111"/>
        <v>0</v>
      </c>
      <c r="Q255" s="62"/>
    </row>
    <row r="256" spans="1:17" outlineLevel="2" x14ac:dyDescent="0.2">
      <c r="A256" s="91" t="s">
        <v>37</v>
      </c>
      <c r="B256" s="91"/>
      <c r="C256" s="111">
        <f t="shared" si="104"/>
        <v>0</v>
      </c>
      <c r="D256" s="93"/>
      <c r="E256" s="111">
        <f t="shared" si="105"/>
        <v>0</v>
      </c>
      <c r="F256" s="93"/>
      <c r="G256" s="111">
        <f t="shared" si="106"/>
        <v>0</v>
      </c>
      <c r="H256" s="93"/>
      <c r="I256" s="111">
        <f t="shared" si="107"/>
        <v>0</v>
      </c>
      <c r="J256" s="93"/>
      <c r="K256" s="111">
        <f t="shared" si="108"/>
        <v>0</v>
      </c>
      <c r="L256" s="93"/>
      <c r="M256" s="111">
        <f t="shared" si="109"/>
        <v>0</v>
      </c>
      <c r="N256" s="93"/>
      <c r="O256" s="94">
        <f t="shared" si="110"/>
        <v>0</v>
      </c>
      <c r="P256" s="71">
        <f t="shared" si="111"/>
        <v>0</v>
      </c>
      <c r="Q256" s="62"/>
    </row>
    <row r="257" spans="1:17" outlineLevel="2" x14ac:dyDescent="0.2">
      <c r="A257" s="91" t="s">
        <v>134</v>
      </c>
      <c r="B257" s="91"/>
      <c r="C257" s="111">
        <f t="shared" si="104"/>
        <v>0</v>
      </c>
      <c r="D257" s="93"/>
      <c r="E257" s="111">
        <f t="shared" si="105"/>
        <v>1133.3333333333333</v>
      </c>
      <c r="F257" s="93"/>
      <c r="G257" s="111">
        <f t="shared" si="106"/>
        <v>0</v>
      </c>
      <c r="H257" s="93"/>
      <c r="I257" s="111">
        <f t="shared" si="107"/>
        <v>1400</v>
      </c>
      <c r="J257" s="93"/>
      <c r="K257" s="111">
        <f t="shared" si="108"/>
        <v>0</v>
      </c>
      <c r="L257" s="93"/>
      <c r="M257" s="111">
        <f t="shared" si="109"/>
        <v>0</v>
      </c>
      <c r="N257" s="93"/>
      <c r="O257" s="94">
        <f t="shared" si="110"/>
        <v>2533.333333333333</v>
      </c>
      <c r="P257" s="71">
        <f t="shared" si="111"/>
        <v>0</v>
      </c>
      <c r="Q257" s="62"/>
    </row>
    <row r="258" spans="1:17" outlineLevel="2" x14ac:dyDescent="0.2">
      <c r="A258" s="91" t="s">
        <v>39</v>
      </c>
      <c r="B258" s="91"/>
      <c r="C258" s="111">
        <f t="shared" si="104"/>
        <v>0</v>
      </c>
      <c r="D258" s="93"/>
      <c r="E258" s="111">
        <f t="shared" si="105"/>
        <v>0</v>
      </c>
      <c r="F258" s="93"/>
      <c r="G258" s="111">
        <f t="shared" si="106"/>
        <v>0</v>
      </c>
      <c r="H258" s="93"/>
      <c r="I258" s="111">
        <f t="shared" si="107"/>
        <v>0</v>
      </c>
      <c r="J258" s="93"/>
      <c r="K258" s="111">
        <f t="shared" si="108"/>
        <v>0</v>
      </c>
      <c r="L258" s="93"/>
      <c r="M258" s="111">
        <f t="shared" si="109"/>
        <v>0</v>
      </c>
      <c r="N258" s="93"/>
      <c r="O258" s="94">
        <f t="shared" si="110"/>
        <v>0</v>
      </c>
      <c r="P258" s="71">
        <f t="shared" si="111"/>
        <v>0</v>
      </c>
      <c r="Q258" s="62"/>
    </row>
    <row r="259" spans="1:17" outlineLevel="2" x14ac:dyDescent="0.2">
      <c r="A259" s="91" t="s">
        <v>40</v>
      </c>
      <c r="B259" s="91"/>
      <c r="C259" s="111">
        <f t="shared" si="104"/>
        <v>0</v>
      </c>
      <c r="D259" s="93"/>
      <c r="E259" s="111">
        <f t="shared" si="105"/>
        <v>0</v>
      </c>
      <c r="F259" s="93"/>
      <c r="G259" s="111">
        <f t="shared" si="106"/>
        <v>0</v>
      </c>
      <c r="H259" s="93"/>
      <c r="I259" s="111">
        <f t="shared" si="107"/>
        <v>0</v>
      </c>
      <c r="J259" s="93"/>
      <c r="K259" s="111">
        <f t="shared" si="108"/>
        <v>0</v>
      </c>
      <c r="L259" s="93"/>
      <c r="M259" s="111">
        <f t="shared" si="109"/>
        <v>0</v>
      </c>
      <c r="N259" s="93"/>
      <c r="O259" s="94">
        <f t="shared" si="110"/>
        <v>0</v>
      </c>
      <c r="P259" s="71">
        <f t="shared" si="111"/>
        <v>0</v>
      </c>
      <c r="Q259" s="62"/>
    </row>
    <row r="260" spans="1:17" outlineLevel="2" x14ac:dyDescent="0.2">
      <c r="A260" s="91" t="s">
        <v>41</v>
      </c>
      <c r="B260" s="91"/>
      <c r="C260" s="111">
        <f t="shared" si="104"/>
        <v>0</v>
      </c>
      <c r="D260" s="93"/>
      <c r="E260" s="111">
        <f t="shared" si="105"/>
        <v>0</v>
      </c>
      <c r="F260" s="93"/>
      <c r="G260" s="111">
        <f t="shared" si="106"/>
        <v>0</v>
      </c>
      <c r="H260" s="93"/>
      <c r="I260" s="111">
        <f t="shared" si="107"/>
        <v>0</v>
      </c>
      <c r="J260" s="93"/>
      <c r="K260" s="111">
        <f t="shared" si="108"/>
        <v>0</v>
      </c>
      <c r="L260" s="93"/>
      <c r="M260" s="111">
        <f t="shared" si="109"/>
        <v>0</v>
      </c>
      <c r="N260" s="93"/>
      <c r="O260" s="94">
        <f t="shared" si="110"/>
        <v>0</v>
      </c>
      <c r="P260" s="71">
        <f t="shared" si="111"/>
        <v>0</v>
      </c>
      <c r="Q260" s="62"/>
    </row>
    <row r="261" spans="1:17" outlineLevel="2" x14ac:dyDescent="0.2">
      <c r="A261" s="91" t="s">
        <v>135</v>
      </c>
      <c r="B261" s="91"/>
      <c r="C261" s="111">
        <f t="shared" si="104"/>
        <v>0</v>
      </c>
      <c r="D261" s="93"/>
      <c r="E261" s="111">
        <f t="shared" si="105"/>
        <v>0</v>
      </c>
      <c r="F261" s="93"/>
      <c r="G261" s="111">
        <f t="shared" si="106"/>
        <v>0</v>
      </c>
      <c r="H261" s="93"/>
      <c r="I261" s="111">
        <f t="shared" si="107"/>
        <v>0</v>
      </c>
      <c r="J261" s="93"/>
      <c r="K261" s="111">
        <f t="shared" si="108"/>
        <v>0</v>
      </c>
      <c r="L261" s="93"/>
      <c r="M261" s="111">
        <f t="shared" si="109"/>
        <v>0</v>
      </c>
      <c r="N261" s="93"/>
      <c r="O261" s="94">
        <f t="shared" si="110"/>
        <v>0</v>
      </c>
      <c r="P261" s="71">
        <f t="shared" si="111"/>
        <v>0</v>
      </c>
      <c r="Q261" s="62"/>
    </row>
    <row r="262" spans="1:17" outlineLevel="2" x14ac:dyDescent="0.2">
      <c r="A262" s="105" t="s">
        <v>136</v>
      </c>
      <c r="B262" s="91"/>
      <c r="C262" s="111">
        <f t="shared" si="104"/>
        <v>0</v>
      </c>
      <c r="D262" s="93"/>
      <c r="E262" s="111">
        <f t="shared" si="105"/>
        <v>0</v>
      </c>
      <c r="F262" s="93"/>
      <c r="G262" s="111">
        <f t="shared" si="106"/>
        <v>0</v>
      </c>
      <c r="H262" s="93"/>
      <c r="I262" s="111">
        <f t="shared" si="107"/>
        <v>0</v>
      </c>
      <c r="J262" s="93"/>
      <c r="K262" s="111">
        <f t="shared" si="108"/>
        <v>0</v>
      </c>
      <c r="L262" s="93"/>
      <c r="M262" s="111">
        <f t="shared" si="109"/>
        <v>0</v>
      </c>
      <c r="N262" s="93"/>
      <c r="O262" s="94">
        <f t="shared" si="110"/>
        <v>0</v>
      </c>
      <c r="P262" s="71">
        <f t="shared" si="111"/>
        <v>0</v>
      </c>
      <c r="Q262" s="62"/>
    </row>
    <row r="263" spans="1:17" outlineLevel="2" x14ac:dyDescent="0.2">
      <c r="A263" s="91" t="s">
        <v>137</v>
      </c>
      <c r="B263" s="91"/>
      <c r="C263" s="111">
        <f t="shared" si="104"/>
        <v>0</v>
      </c>
      <c r="D263" s="93"/>
      <c r="E263" s="111">
        <f t="shared" si="105"/>
        <v>0</v>
      </c>
      <c r="F263" s="93"/>
      <c r="G263" s="111">
        <f t="shared" si="106"/>
        <v>0</v>
      </c>
      <c r="H263" s="93"/>
      <c r="I263" s="111">
        <f t="shared" si="107"/>
        <v>0</v>
      </c>
      <c r="J263" s="93"/>
      <c r="K263" s="111">
        <f t="shared" si="108"/>
        <v>0</v>
      </c>
      <c r="L263" s="93"/>
      <c r="M263" s="111">
        <f t="shared" si="109"/>
        <v>0</v>
      </c>
      <c r="N263" s="93"/>
      <c r="O263" s="94">
        <f t="shared" si="110"/>
        <v>0</v>
      </c>
      <c r="P263" s="71">
        <f t="shared" si="111"/>
        <v>0</v>
      </c>
      <c r="Q263" s="62"/>
    </row>
    <row r="264" spans="1:17" outlineLevel="1" x14ac:dyDescent="0.2">
      <c r="A264" s="72" t="s">
        <v>149</v>
      </c>
      <c r="B264" s="72"/>
      <c r="C264" s="106">
        <f t="shared" ref="C264:N264" si="112">SUM(C254:C263)</f>
        <v>0</v>
      </c>
      <c r="D264" s="107">
        <f t="shared" si="112"/>
        <v>0</v>
      </c>
      <c r="E264" s="106">
        <f t="shared" si="112"/>
        <v>1800</v>
      </c>
      <c r="F264" s="107">
        <f t="shared" si="112"/>
        <v>0</v>
      </c>
      <c r="G264" s="106">
        <f t="shared" si="112"/>
        <v>1000</v>
      </c>
      <c r="H264" s="107">
        <f t="shared" si="112"/>
        <v>1626</v>
      </c>
      <c r="I264" s="106">
        <f t="shared" si="112"/>
        <v>6400</v>
      </c>
      <c r="J264" s="107">
        <f t="shared" si="112"/>
        <v>0</v>
      </c>
      <c r="K264" s="106">
        <f t="shared" si="112"/>
        <v>2000</v>
      </c>
      <c r="L264" s="107">
        <f t="shared" si="112"/>
        <v>0</v>
      </c>
      <c r="M264" s="106">
        <f t="shared" si="112"/>
        <v>2000</v>
      </c>
      <c r="N264" s="107">
        <f t="shared" si="112"/>
        <v>0</v>
      </c>
      <c r="O264" s="94">
        <f t="shared" si="110"/>
        <v>13200</v>
      </c>
      <c r="P264" s="71">
        <f t="shared" si="111"/>
        <v>1626</v>
      </c>
      <c r="Q264" s="62"/>
    </row>
    <row r="265" spans="1:17" outlineLevel="1" x14ac:dyDescent="0.2">
      <c r="A265" s="72" t="s">
        <v>150</v>
      </c>
      <c r="B265" s="72"/>
      <c r="C265" s="106">
        <f t="shared" ref="C265:P265" si="113">IFERROR(C241/C264,0)</f>
        <v>0</v>
      </c>
      <c r="D265" s="107">
        <f t="shared" si="113"/>
        <v>0</v>
      </c>
      <c r="E265" s="106">
        <f t="shared" si="113"/>
        <v>150</v>
      </c>
      <c r="F265" s="107">
        <f t="shared" si="113"/>
        <v>0</v>
      </c>
      <c r="G265" s="106">
        <f t="shared" si="113"/>
        <v>150</v>
      </c>
      <c r="H265" s="107">
        <f t="shared" si="113"/>
        <v>71.869618696186961</v>
      </c>
      <c r="I265" s="106">
        <f t="shared" si="113"/>
        <v>68.75</v>
      </c>
      <c r="J265" s="107">
        <f t="shared" si="113"/>
        <v>0</v>
      </c>
      <c r="K265" s="106">
        <f t="shared" si="113"/>
        <v>150</v>
      </c>
      <c r="L265" s="107">
        <f t="shared" si="113"/>
        <v>0</v>
      </c>
      <c r="M265" s="106">
        <f t="shared" si="113"/>
        <v>150</v>
      </c>
      <c r="N265" s="107">
        <f t="shared" si="113"/>
        <v>0</v>
      </c>
      <c r="O265" s="94">
        <f t="shared" si="113"/>
        <v>110.60606060606061</v>
      </c>
      <c r="P265" s="71">
        <f t="shared" si="113"/>
        <v>71.869618696186961</v>
      </c>
      <c r="Q265" s="62"/>
    </row>
    <row r="266" spans="1:17" x14ac:dyDescent="0.2">
      <c r="A266" s="57"/>
      <c r="B266" s="57"/>
      <c r="C266" s="63"/>
      <c r="D266" s="57"/>
      <c r="E266" s="63"/>
      <c r="F266" s="57"/>
      <c r="G266" s="63"/>
      <c r="H266" s="57"/>
      <c r="I266" s="63"/>
      <c r="J266" s="57"/>
      <c r="K266" s="63"/>
      <c r="L266" s="57"/>
      <c r="M266" s="63"/>
      <c r="N266" s="57"/>
      <c r="O266" s="63"/>
      <c r="P266" s="57"/>
      <c r="Q266" s="62"/>
    </row>
    <row r="267" spans="1:17" x14ac:dyDescent="0.2">
      <c r="A267" s="65" t="s">
        <v>152</v>
      </c>
      <c r="B267" s="65"/>
      <c r="C267" s="120"/>
      <c r="D267" s="65"/>
      <c r="E267" s="120"/>
      <c r="F267" s="65"/>
      <c r="G267" s="120"/>
      <c r="H267" s="65"/>
      <c r="I267" s="120"/>
      <c r="J267" s="65"/>
      <c r="K267" s="120"/>
      <c r="L267" s="65"/>
      <c r="M267" s="120"/>
      <c r="N267" s="65"/>
      <c r="O267" s="120"/>
      <c r="P267" s="3"/>
      <c r="Q267" s="62"/>
    </row>
    <row r="268" spans="1:17" x14ac:dyDescent="0.2">
      <c r="A268" s="121"/>
      <c r="B268" s="121"/>
      <c r="C268" s="122" t="s">
        <v>11</v>
      </c>
      <c r="D268" s="123" t="s">
        <v>101</v>
      </c>
      <c r="E268" s="122" t="s">
        <v>12</v>
      </c>
      <c r="F268" s="123" t="s">
        <v>102</v>
      </c>
      <c r="G268" s="122" t="s">
        <v>13</v>
      </c>
      <c r="H268" s="123" t="s">
        <v>103</v>
      </c>
      <c r="I268" s="122" t="s">
        <v>14</v>
      </c>
      <c r="J268" s="123" t="s">
        <v>104</v>
      </c>
      <c r="K268" s="122" t="s">
        <v>15</v>
      </c>
      <c r="L268" s="123" t="s">
        <v>105</v>
      </c>
      <c r="M268" s="122" t="s">
        <v>16</v>
      </c>
      <c r="N268" s="123" t="s">
        <v>106</v>
      </c>
      <c r="O268" s="122" t="s">
        <v>17</v>
      </c>
      <c r="P268" s="61" t="s">
        <v>107</v>
      </c>
      <c r="Q268" s="62"/>
    </row>
    <row r="269" spans="1:17" x14ac:dyDescent="0.2">
      <c r="A269" s="91" t="s">
        <v>75</v>
      </c>
      <c r="B269" s="91"/>
      <c r="C269" s="111">
        <f t="shared" ref="C269:N269" si="114">C16+C113+C155+C193+C231+C62</f>
        <v>95750</v>
      </c>
      <c r="D269" s="108">
        <f t="shared" si="114"/>
        <v>0</v>
      </c>
      <c r="E269" s="111">
        <f t="shared" si="114"/>
        <v>3439950</v>
      </c>
      <c r="F269" s="108">
        <f t="shared" si="114"/>
        <v>0</v>
      </c>
      <c r="G269" s="111">
        <f t="shared" si="114"/>
        <v>1505000</v>
      </c>
      <c r="H269" s="108">
        <f t="shared" si="114"/>
        <v>1660965</v>
      </c>
      <c r="I269" s="111">
        <f t="shared" si="114"/>
        <v>1400000</v>
      </c>
      <c r="J269" s="108">
        <f t="shared" si="114"/>
        <v>0</v>
      </c>
      <c r="K269" s="111">
        <f t="shared" si="114"/>
        <v>1560000</v>
      </c>
      <c r="L269" s="108">
        <f t="shared" si="114"/>
        <v>0</v>
      </c>
      <c r="M269" s="111">
        <f t="shared" si="114"/>
        <v>1560000</v>
      </c>
      <c r="N269" s="108">
        <f t="shared" si="114"/>
        <v>0</v>
      </c>
      <c r="O269" s="94">
        <f t="shared" ref="O269:O279" si="115">SUM(C269,E269,G269,I269,K269,M269)</f>
        <v>9560700</v>
      </c>
      <c r="P269" s="71">
        <f t="shared" ref="P269:P279" si="116">SUM(D269,F269,H269,J269,L269,N269)</f>
        <v>1660965</v>
      </c>
      <c r="Q269" s="62"/>
    </row>
    <row r="270" spans="1:17" x14ac:dyDescent="0.2">
      <c r="A270" s="91" t="s">
        <v>76</v>
      </c>
      <c r="B270" s="91"/>
      <c r="C270" s="111">
        <f t="shared" ref="C270:N270" si="117">C17+C114+C156+C194+C232+C63</f>
        <v>0</v>
      </c>
      <c r="D270" s="108">
        <f t="shared" si="117"/>
        <v>0</v>
      </c>
      <c r="E270" s="111">
        <f t="shared" si="117"/>
        <v>0</v>
      </c>
      <c r="F270" s="108">
        <f t="shared" si="117"/>
        <v>0</v>
      </c>
      <c r="G270" s="111">
        <f t="shared" si="117"/>
        <v>0</v>
      </c>
      <c r="H270" s="108">
        <f t="shared" si="117"/>
        <v>0</v>
      </c>
      <c r="I270" s="111">
        <f t="shared" si="117"/>
        <v>30000</v>
      </c>
      <c r="J270" s="108">
        <f t="shared" si="117"/>
        <v>0</v>
      </c>
      <c r="K270" s="111">
        <f t="shared" si="117"/>
        <v>0</v>
      </c>
      <c r="L270" s="108">
        <f t="shared" si="117"/>
        <v>0</v>
      </c>
      <c r="M270" s="111">
        <f t="shared" si="117"/>
        <v>0</v>
      </c>
      <c r="N270" s="108">
        <f t="shared" si="117"/>
        <v>0</v>
      </c>
      <c r="O270" s="94">
        <f t="shared" si="115"/>
        <v>30000</v>
      </c>
      <c r="P270" s="71">
        <f t="shared" si="116"/>
        <v>0</v>
      </c>
      <c r="Q270" s="62"/>
    </row>
    <row r="271" spans="1:17" x14ac:dyDescent="0.2">
      <c r="A271" s="91" t="s">
        <v>77</v>
      </c>
      <c r="B271" s="91"/>
      <c r="C271" s="111">
        <f t="shared" ref="C271:N271" si="118">C18+C115+C157+C195+C233+C64</f>
        <v>0</v>
      </c>
      <c r="D271" s="108">
        <f t="shared" si="118"/>
        <v>0</v>
      </c>
      <c r="E271" s="111">
        <f t="shared" si="118"/>
        <v>175275</v>
      </c>
      <c r="F271" s="108">
        <f t="shared" si="118"/>
        <v>0</v>
      </c>
      <c r="G271" s="111">
        <f t="shared" si="118"/>
        <v>170000</v>
      </c>
      <c r="H271" s="108">
        <f t="shared" si="118"/>
        <v>56891</v>
      </c>
      <c r="I271" s="111">
        <f t="shared" si="118"/>
        <v>170000</v>
      </c>
      <c r="J271" s="108">
        <f t="shared" si="118"/>
        <v>0</v>
      </c>
      <c r="K271" s="111">
        <f t="shared" si="118"/>
        <v>170000</v>
      </c>
      <c r="L271" s="108">
        <f t="shared" si="118"/>
        <v>0</v>
      </c>
      <c r="M271" s="111">
        <f t="shared" si="118"/>
        <v>170000</v>
      </c>
      <c r="N271" s="108">
        <f t="shared" si="118"/>
        <v>0</v>
      </c>
      <c r="O271" s="94">
        <f t="shared" si="115"/>
        <v>855275</v>
      </c>
      <c r="P271" s="71">
        <f t="shared" si="116"/>
        <v>56891</v>
      </c>
      <c r="Q271" s="62"/>
    </row>
    <row r="272" spans="1:17" x14ac:dyDescent="0.2">
      <c r="A272" s="105" t="s">
        <v>153</v>
      </c>
      <c r="B272" s="91"/>
      <c r="C272" s="111">
        <f t="shared" ref="C272:N272" si="119">C19+C116+C158+C196+C234+C65</f>
        <v>0</v>
      </c>
      <c r="D272" s="108">
        <f t="shared" si="119"/>
        <v>0</v>
      </c>
      <c r="E272" s="111">
        <f t="shared" si="119"/>
        <v>170000</v>
      </c>
      <c r="F272" s="108">
        <f t="shared" si="119"/>
        <v>0</v>
      </c>
      <c r="G272" s="111">
        <f t="shared" si="119"/>
        <v>0</v>
      </c>
      <c r="H272" s="108">
        <f t="shared" si="119"/>
        <v>0</v>
      </c>
      <c r="I272" s="111">
        <f t="shared" si="119"/>
        <v>140000</v>
      </c>
      <c r="J272" s="108">
        <f t="shared" si="119"/>
        <v>0</v>
      </c>
      <c r="K272" s="111">
        <f t="shared" si="119"/>
        <v>0</v>
      </c>
      <c r="L272" s="108">
        <f t="shared" si="119"/>
        <v>0</v>
      </c>
      <c r="M272" s="111">
        <f t="shared" si="119"/>
        <v>0</v>
      </c>
      <c r="N272" s="108">
        <f t="shared" si="119"/>
        <v>0</v>
      </c>
      <c r="O272" s="94">
        <f t="shared" si="115"/>
        <v>310000</v>
      </c>
      <c r="P272" s="71">
        <f t="shared" si="116"/>
        <v>0</v>
      </c>
      <c r="Q272" s="62"/>
    </row>
    <row r="273" spans="1:17" x14ac:dyDescent="0.2">
      <c r="A273" s="91" t="s">
        <v>79</v>
      </c>
      <c r="B273" s="91"/>
      <c r="C273" s="111">
        <f t="shared" ref="C273:N273" si="120">C20+C117+C159+C197+C235+C66</f>
        <v>0</v>
      </c>
      <c r="D273" s="108">
        <f t="shared" si="120"/>
        <v>0</v>
      </c>
      <c r="E273" s="111">
        <f t="shared" si="120"/>
        <v>0</v>
      </c>
      <c r="F273" s="108">
        <f t="shared" si="120"/>
        <v>0</v>
      </c>
      <c r="G273" s="111">
        <f t="shared" si="120"/>
        <v>0</v>
      </c>
      <c r="H273" s="108">
        <f t="shared" si="120"/>
        <v>0</v>
      </c>
      <c r="I273" s="111">
        <f t="shared" si="120"/>
        <v>0</v>
      </c>
      <c r="J273" s="108">
        <f t="shared" si="120"/>
        <v>0</v>
      </c>
      <c r="K273" s="111">
        <f t="shared" si="120"/>
        <v>0</v>
      </c>
      <c r="L273" s="108">
        <f t="shared" si="120"/>
        <v>0</v>
      </c>
      <c r="M273" s="111">
        <f t="shared" si="120"/>
        <v>0</v>
      </c>
      <c r="N273" s="108">
        <f t="shared" si="120"/>
        <v>0</v>
      </c>
      <c r="O273" s="94">
        <f t="shared" si="115"/>
        <v>0</v>
      </c>
      <c r="P273" s="71">
        <f t="shared" si="116"/>
        <v>0</v>
      </c>
      <c r="Q273" s="62"/>
    </row>
    <row r="274" spans="1:17" x14ac:dyDescent="0.2">
      <c r="A274" s="91" t="s">
        <v>80</v>
      </c>
      <c r="B274" s="91"/>
      <c r="C274" s="111">
        <f t="shared" ref="C274:N274" si="121">C21+C118+C160+C198+C236+C67</f>
        <v>0</v>
      </c>
      <c r="D274" s="108">
        <f t="shared" si="121"/>
        <v>0</v>
      </c>
      <c r="E274" s="111">
        <f t="shared" si="121"/>
        <v>105165</v>
      </c>
      <c r="F274" s="108">
        <f t="shared" si="121"/>
        <v>0</v>
      </c>
      <c r="G274" s="111">
        <f t="shared" si="121"/>
        <v>150000</v>
      </c>
      <c r="H274" s="108">
        <f t="shared" si="121"/>
        <v>0</v>
      </c>
      <c r="I274" s="111">
        <f t="shared" si="121"/>
        <v>110000</v>
      </c>
      <c r="J274" s="108">
        <f t="shared" si="121"/>
        <v>0</v>
      </c>
      <c r="K274" s="111">
        <f t="shared" si="121"/>
        <v>150000</v>
      </c>
      <c r="L274" s="108">
        <f t="shared" si="121"/>
        <v>0</v>
      </c>
      <c r="M274" s="111">
        <f t="shared" si="121"/>
        <v>150000</v>
      </c>
      <c r="N274" s="108">
        <f t="shared" si="121"/>
        <v>0</v>
      </c>
      <c r="O274" s="94">
        <f t="shared" si="115"/>
        <v>665165</v>
      </c>
      <c r="P274" s="71">
        <f t="shared" si="116"/>
        <v>0</v>
      </c>
      <c r="Q274" s="62"/>
    </row>
    <row r="275" spans="1:17" x14ac:dyDescent="0.2">
      <c r="A275" s="91" t="s">
        <v>81</v>
      </c>
      <c r="B275" s="91"/>
      <c r="C275" s="111">
        <f t="shared" ref="C275:N275" si="122">C22+C119+C161+C199+C237+C68</f>
        <v>9250</v>
      </c>
      <c r="D275" s="108">
        <f t="shared" si="122"/>
        <v>0</v>
      </c>
      <c r="E275" s="111">
        <f t="shared" si="122"/>
        <v>85110</v>
      </c>
      <c r="F275" s="108">
        <f t="shared" si="122"/>
        <v>0</v>
      </c>
      <c r="G275" s="111">
        <f t="shared" si="122"/>
        <v>70000</v>
      </c>
      <c r="H275" s="108">
        <f t="shared" si="122"/>
        <v>68792</v>
      </c>
      <c r="I275" s="111">
        <f t="shared" si="122"/>
        <v>210000</v>
      </c>
      <c r="J275" s="108">
        <f t="shared" si="122"/>
        <v>0</v>
      </c>
      <c r="K275" s="111">
        <f t="shared" si="122"/>
        <v>115000</v>
      </c>
      <c r="L275" s="108">
        <f t="shared" si="122"/>
        <v>0</v>
      </c>
      <c r="M275" s="111">
        <f t="shared" si="122"/>
        <v>115000</v>
      </c>
      <c r="N275" s="108">
        <f t="shared" si="122"/>
        <v>0</v>
      </c>
      <c r="O275" s="94">
        <f t="shared" si="115"/>
        <v>604360</v>
      </c>
      <c r="P275" s="71">
        <f t="shared" si="116"/>
        <v>68792</v>
      </c>
      <c r="Q275" s="62"/>
    </row>
    <row r="276" spans="1:17" x14ac:dyDescent="0.2">
      <c r="A276" s="91" t="s">
        <v>154</v>
      </c>
      <c r="B276" s="91"/>
      <c r="C276" s="111">
        <f t="shared" ref="C276:N276" si="123">C23+C120+C162+C200+C238+C69</f>
        <v>0</v>
      </c>
      <c r="D276" s="108">
        <f t="shared" si="123"/>
        <v>0</v>
      </c>
      <c r="E276" s="111">
        <f t="shared" si="123"/>
        <v>0</v>
      </c>
      <c r="F276" s="108">
        <f t="shared" si="123"/>
        <v>0</v>
      </c>
      <c r="G276" s="111">
        <f t="shared" si="123"/>
        <v>70000</v>
      </c>
      <c r="H276" s="108">
        <f t="shared" si="123"/>
        <v>140242</v>
      </c>
      <c r="I276" s="111">
        <f t="shared" si="123"/>
        <v>450000</v>
      </c>
      <c r="J276" s="108">
        <f t="shared" si="123"/>
        <v>0</v>
      </c>
      <c r="K276" s="111">
        <f t="shared" si="123"/>
        <v>115000</v>
      </c>
      <c r="L276" s="108">
        <f t="shared" si="123"/>
        <v>0</v>
      </c>
      <c r="M276" s="111">
        <f t="shared" si="123"/>
        <v>115000</v>
      </c>
      <c r="N276" s="108">
        <f t="shared" si="123"/>
        <v>0</v>
      </c>
      <c r="O276" s="94">
        <f t="shared" si="115"/>
        <v>750000</v>
      </c>
      <c r="P276" s="71">
        <f t="shared" si="116"/>
        <v>140242</v>
      </c>
      <c r="Q276" s="62"/>
    </row>
    <row r="277" spans="1:17" x14ac:dyDescent="0.2">
      <c r="A277" s="91" t="s">
        <v>155</v>
      </c>
      <c r="B277" s="91"/>
      <c r="C277" s="111">
        <f t="shared" ref="C277:N277" si="124">C24+C121+C163+C201+C239+C70</f>
        <v>0</v>
      </c>
      <c r="D277" s="108">
        <f t="shared" si="124"/>
        <v>0</v>
      </c>
      <c r="E277" s="111">
        <f t="shared" si="124"/>
        <v>0</v>
      </c>
      <c r="F277" s="108">
        <f t="shared" si="124"/>
        <v>0</v>
      </c>
      <c r="G277" s="111">
        <f t="shared" si="124"/>
        <v>160000</v>
      </c>
      <c r="H277" s="108">
        <f t="shared" si="124"/>
        <v>0</v>
      </c>
      <c r="I277" s="111">
        <f t="shared" si="124"/>
        <v>241000</v>
      </c>
      <c r="J277" s="108">
        <f t="shared" si="124"/>
        <v>0</v>
      </c>
      <c r="K277" s="111">
        <f t="shared" si="124"/>
        <v>0</v>
      </c>
      <c r="L277" s="108">
        <f t="shared" si="124"/>
        <v>0</v>
      </c>
      <c r="M277" s="111">
        <f t="shared" si="124"/>
        <v>0</v>
      </c>
      <c r="N277" s="108">
        <f t="shared" si="124"/>
        <v>0</v>
      </c>
      <c r="O277" s="94">
        <f t="shared" si="115"/>
        <v>401000</v>
      </c>
      <c r="P277" s="71">
        <f t="shared" si="116"/>
        <v>0</v>
      </c>
      <c r="Q277" s="62"/>
    </row>
    <row r="278" spans="1:17" x14ac:dyDescent="0.2">
      <c r="A278" s="91" t="s">
        <v>156</v>
      </c>
      <c r="B278" s="91"/>
      <c r="C278" s="111">
        <f t="shared" ref="C278:N278" si="125">C25+C122+C164+C202+C240+C71</f>
        <v>0</v>
      </c>
      <c r="D278" s="108">
        <f t="shared" si="125"/>
        <v>0</v>
      </c>
      <c r="E278" s="111">
        <f t="shared" si="125"/>
        <v>0</v>
      </c>
      <c r="F278" s="108">
        <f t="shared" si="125"/>
        <v>0</v>
      </c>
      <c r="G278" s="111">
        <f t="shared" si="125"/>
        <v>0</v>
      </c>
      <c r="H278" s="108">
        <f t="shared" si="125"/>
        <v>0</v>
      </c>
      <c r="I278" s="111">
        <f t="shared" si="125"/>
        <v>200000</v>
      </c>
      <c r="J278" s="108">
        <f t="shared" si="125"/>
        <v>0</v>
      </c>
      <c r="K278" s="111">
        <f t="shared" si="125"/>
        <v>200000</v>
      </c>
      <c r="L278" s="108">
        <f t="shared" si="125"/>
        <v>0</v>
      </c>
      <c r="M278" s="111">
        <f t="shared" si="125"/>
        <v>250000</v>
      </c>
      <c r="N278" s="108">
        <f t="shared" si="125"/>
        <v>0</v>
      </c>
      <c r="O278" s="94">
        <f t="shared" si="115"/>
        <v>650000</v>
      </c>
      <c r="P278" s="71">
        <f t="shared" si="116"/>
        <v>0</v>
      </c>
      <c r="Q278" s="62"/>
    </row>
    <row r="279" spans="1:17" x14ac:dyDescent="0.2">
      <c r="A279" s="72" t="s">
        <v>157</v>
      </c>
      <c r="B279" s="72"/>
      <c r="C279" s="106">
        <f t="shared" ref="C279:N279" si="126">SUM(C269:C278)</f>
        <v>105000</v>
      </c>
      <c r="D279" s="107">
        <f t="shared" si="126"/>
        <v>0</v>
      </c>
      <c r="E279" s="106">
        <f t="shared" si="126"/>
        <v>3975500</v>
      </c>
      <c r="F279" s="107">
        <f t="shared" si="126"/>
        <v>0</v>
      </c>
      <c r="G279" s="106">
        <f t="shared" si="126"/>
        <v>2125000</v>
      </c>
      <c r="H279" s="107">
        <f t="shared" si="126"/>
        <v>1926890</v>
      </c>
      <c r="I279" s="106">
        <f t="shared" si="126"/>
        <v>2951000</v>
      </c>
      <c r="J279" s="107">
        <f t="shared" si="126"/>
        <v>0</v>
      </c>
      <c r="K279" s="106">
        <f t="shared" si="126"/>
        <v>2310000</v>
      </c>
      <c r="L279" s="107">
        <f t="shared" si="126"/>
        <v>0</v>
      </c>
      <c r="M279" s="106">
        <f t="shared" si="126"/>
        <v>2360000</v>
      </c>
      <c r="N279" s="107">
        <f t="shared" si="126"/>
        <v>0</v>
      </c>
      <c r="O279" s="94">
        <f t="shared" si="115"/>
        <v>13826500</v>
      </c>
      <c r="P279" s="71">
        <f t="shared" si="116"/>
        <v>1926890</v>
      </c>
      <c r="Q279" s="62"/>
    </row>
    <row r="280" spans="1:17" x14ac:dyDescent="0.2">
      <c r="A280" s="72" t="s">
        <v>158</v>
      </c>
      <c r="B280" s="72"/>
      <c r="C280" s="124">
        <v>325950</v>
      </c>
      <c r="D280" s="116"/>
      <c r="E280" s="124"/>
      <c r="F280" s="116"/>
      <c r="G280" s="124">
        <f>H279</f>
        <v>1926890</v>
      </c>
      <c r="H280" s="116"/>
      <c r="I280" s="124"/>
      <c r="J280" s="116"/>
      <c r="K280" s="124"/>
      <c r="L280" s="116"/>
      <c r="M280" s="124"/>
      <c r="N280" s="116"/>
      <c r="O280" s="94">
        <f>SUM(C280,E280,G280,I280,K280,M280)</f>
        <v>2252840</v>
      </c>
      <c r="P280" s="71"/>
      <c r="Q280" s="62"/>
    </row>
    <row r="281" spans="1:17" x14ac:dyDescent="0.2">
      <c r="A281" s="72" t="s">
        <v>159</v>
      </c>
      <c r="B281" s="72"/>
      <c r="C281" s="106">
        <f t="shared" ref="C281:N281" si="127">C54+C149+C105</f>
        <v>673197.80734632688</v>
      </c>
      <c r="D281" s="107">
        <f t="shared" si="127"/>
        <v>0</v>
      </c>
      <c r="E281" s="106">
        <f t="shared" si="127"/>
        <v>20146447.80253543</v>
      </c>
      <c r="F281" s="107">
        <f t="shared" si="127"/>
        <v>0</v>
      </c>
      <c r="G281" s="106">
        <f t="shared" si="127"/>
        <v>2837100.992256688</v>
      </c>
      <c r="H281" s="107">
        <f t="shared" si="127"/>
        <v>2737599</v>
      </c>
      <c r="I281" s="106">
        <f t="shared" si="127"/>
        <v>7361808.0119348988</v>
      </c>
      <c r="J281" s="107">
        <f t="shared" si="127"/>
        <v>0</v>
      </c>
      <c r="K281" s="106">
        <f t="shared" si="127"/>
        <v>6943421.112172002</v>
      </c>
      <c r="L281" s="107">
        <f t="shared" si="127"/>
        <v>0</v>
      </c>
      <c r="M281" s="106">
        <f t="shared" si="127"/>
        <v>8246067.4367212392</v>
      </c>
      <c r="N281" s="107">
        <f t="shared" si="127"/>
        <v>0</v>
      </c>
      <c r="O281" s="94">
        <f>SUM(C281,E281,G281,I281,K281,M281)</f>
        <v>46208043.162966579</v>
      </c>
      <c r="P281" s="71">
        <f>SUM(D281,F281,H281,J281,L281,N281)</f>
        <v>2737599</v>
      </c>
      <c r="Q281" s="62"/>
    </row>
    <row r="282" spans="1:17" x14ac:dyDescent="0.2">
      <c r="A282" s="72" t="s">
        <v>160</v>
      </c>
      <c r="B282" s="72"/>
      <c r="C282" s="118">
        <f t="shared" ref="C282:P282" si="128">IFERROR(C279/C281,0)</f>
        <v>0.15597198751121705</v>
      </c>
      <c r="D282" s="119">
        <f t="shared" si="128"/>
        <v>0</v>
      </c>
      <c r="E282" s="118">
        <f t="shared" si="128"/>
        <v>0.19733007222740692</v>
      </c>
      <c r="F282" s="119">
        <f t="shared" si="128"/>
        <v>0</v>
      </c>
      <c r="G282" s="118">
        <f t="shared" si="128"/>
        <v>0.74900400295927838</v>
      </c>
      <c r="H282" s="119">
        <f t="shared" si="128"/>
        <v>0.7038613032807215</v>
      </c>
      <c r="I282" s="118">
        <f t="shared" si="128"/>
        <v>0.40085261598996669</v>
      </c>
      <c r="J282" s="119">
        <f t="shared" si="128"/>
        <v>0</v>
      </c>
      <c r="K282" s="118">
        <f t="shared" si="128"/>
        <v>0.33268902500390024</v>
      </c>
      <c r="L282" s="119">
        <f t="shared" si="128"/>
        <v>0</v>
      </c>
      <c r="M282" s="118">
        <f t="shared" si="128"/>
        <v>0.28619702883952786</v>
      </c>
      <c r="N282" s="119">
        <f t="shared" si="128"/>
        <v>0</v>
      </c>
      <c r="O282" s="98">
        <f t="shared" si="128"/>
        <v>0.29922279875035357</v>
      </c>
      <c r="P282" s="86">
        <f t="shared" si="128"/>
        <v>0.7038613032807215</v>
      </c>
      <c r="Q282" s="62"/>
    </row>
    <row r="283" spans="1:17" x14ac:dyDescent="0.2">
      <c r="A283" s="72" t="s">
        <v>161</v>
      </c>
      <c r="B283" s="72"/>
      <c r="C283" s="106">
        <f t="shared" ref="C283:N283" si="129">C49+C146+C95</f>
        <v>870.23050974512739</v>
      </c>
      <c r="D283" s="107">
        <f t="shared" si="129"/>
        <v>0</v>
      </c>
      <c r="E283" s="106">
        <f t="shared" si="129"/>
        <v>34180.037057694673</v>
      </c>
      <c r="F283" s="107">
        <f t="shared" si="129"/>
        <v>0</v>
      </c>
      <c r="G283" s="106">
        <f t="shared" si="129"/>
        <v>3430.4265776417669</v>
      </c>
      <c r="H283" s="107">
        <f t="shared" si="129"/>
        <v>3398</v>
      </c>
      <c r="I283" s="106">
        <f t="shared" si="129"/>
        <v>5990.4592201047899</v>
      </c>
      <c r="J283" s="107">
        <f t="shared" si="129"/>
        <v>0</v>
      </c>
      <c r="K283" s="106">
        <f t="shared" si="129"/>
        <v>8857.0997312056661</v>
      </c>
      <c r="L283" s="107">
        <f t="shared" si="129"/>
        <v>0</v>
      </c>
      <c r="M283" s="106">
        <f t="shared" si="129"/>
        <v>10571.108052980979</v>
      </c>
      <c r="N283" s="107">
        <f t="shared" si="129"/>
        <v>0</v>
      </c>
      <c r="O283" s="94">
        <f>SUM(C283,E283,G283,I283,K283,M283)</f>
        <v>63899.361149372999</v>
      </c>
      <c r="P283" s="71">
        <f>SUM(D283,F283,H283,J283,L283,N283)</f>
        <v>3398</v>
      </c>
      <c r="Q283" s="62"/>
    </row>
    <row r="284" spans="1:17" x14ac:dyDescent="0.2">
      <c r="A284" s="72" t="s">
        <v>162</v>
      </c>
      <c r="B284" s="72"/>
      <c r="C284" s="124">
        <f>27+680</f>
        <v>707</v>
      </c>
      <c r="D284" s="116"/>
      <c r="E284" s="124"/>
      <c r="F284" s="116"/>
      <c r="G284" s="124">
        <f>H283</f>
        <v>3398</v>
      </c>
      <c r="H284" s="116"/>
      <c r="I284" s="124"/>
      <c r="J284" s="116"/>
      <c r="K284" s="124"/>
      <c r="L284" s="116"/>
      <c r="M284" s="124"/>
      <c r="N284" s="116"/>
      <c r="O284" s="94">
        <f>SUM(C284,E284,G284,I284,K284,M284)</f>
        <v>4105</v>
      </c>
      <c r="P284" s="71"/>
      <c r="Q284" s="62"/>
    </row>
    <row r="285" spans="1:17" x14ac:dyDescent="0.2">
      <c r="A285" s="72" t="s">
        <v>163</v>
      </c>
      <c r="B285" s="72"/>
      <c r="C285" s="106">
        <f t="shared" ref="C285:N285" si="130">C52+C103+C147</f>
        <v>713142.8035982009</v>
      </c>
      <c r="D285" s="107">
        <f t="shared" si="130"/>
        <v>0</v>
      </c>
      <c r="E285" s="106">
        <f t="shared" si="130"/>
        <v>21223698.962951757</v>
      </c>
      <c r="F285" s="107">
        <f t="shared" si="130"/>
        <v>0</v>
      </c>
      <c r="G285" s="106">
        <f t="shared" si="130"/>
        <v>2992536.6532201972</v>
      </c>
      <c r="H285" s="107">
        <f t="shared" si="130"/>
        <v>4639114</v>
      </c>
      <c r="I285" s="106">
        <f t="shared" si="130"/>
        <v>7757580.1721148053</v>
      </c>
      <c r="J285" s="107">
        <f t="shared" si="130"/>
        <v>0</v>
      </c>
      <c r="K285" s="106">
        <f t="shared" si="130"/>
        <v>7314501.5960648246</v>
      </c>
      <c r="L285" s="107">
        <f t="shared" si="130"/>
        <v>0</v>
      </c>
      <c r="M285" s="106">
        <f t="shared" si="130"/>
        <v>8685708.2534850743</v>
      </c>
      <c r="N285" s="107">
        <f t="shared" si="130"/>
        <v>0</v>
      </c>
      <c r="O285" s="94">
        <f>SUM(C285,E285,G285,I285,K285,M285)</f>
        <v>48687168.441434868</v>
      </c>
      <c r="P285" s="71">
        <f>SUM(D285,F285,H285,J285,L285,N285)</f>
        <v>4639114</v>
      </c>
      <c r="Q285" s="62"/>
    </row>
    <row r="286" spans="1:17" x14ac:dyDescent="0.2">
      <c r="A286" s="72" t="s">
        <v>164</v>
      </c>
      <c r="B286" s="72"/>
      <c r="C286" s="124"/>
      <c r="D286" s="116"/>
      <c r="E286" s="124"/>
      <c r="F286" s="116"/>
      <c r="G286" s="124">
        <f>H285</f>
        <v>4639114</v>
      </c>
      <c r="H286" s="116"/>
      <c r="I286" s="124"/>
      <c r="J286" s="116"/>
      <c r="K286" s="124"/>
      <c r="L286" s="116"/>
      <c r="M286" s="124"/>
      <c r="N286" s="116"/>
      <c r="O286" s="94">
        <f>SUM(C286,E286,G286,I286,K286,M286)</f>
        <v>4639114</v>
      </c>
      <c r="P286" s="71"/>
      <c r="Q286" s="62"/>
    </row>
    <row r="287" spans="1:17" x14ac:dyDescent="0.2">
      <c r="A287" s="72" t="s">
        <v>165</v>
      </c>
      <c r="B287" s="72"/>
      <c r="C287" s="106">
        <f t="shared" ref="C287:N287" si="131">C188+C226+C264</f>
        <v>96.15384615384616</v>
      </c>
      <c r="D287" s="107">
        <f t="shared" si="131"/>
        <v>0</v>
      </c>
      <c r="E287" s="106">
        <f t="shared" si="131"/>
        <v>2184.6153846153848</v>
      </c>
      <c r="F287" s="107">
        <f t="shared" si="131"/>
        <v>0</v>
      </c>
      <c r="G287" s="106">
        <f t="shared" si="131"/>
        <v>1423.0769230769231</v>
      </c>
      <c r="H287" s="107">
        <f t="shared" si="131"/>
        <v>1894</v>
      </c>
      <c r="I287" s="106">
        <f>I188+I226+I264</f>
        <v>6400</v>
      </c>
      <c r="J287" s="107">
        <f t="shared" si="131"/>
        <v>0</v>
      </c>
      <c r="K287" s="106">
        <f t="shared" si="131"/>
        <v>2000</v>
      </c>
      <c r="L287" s="107">
        <f t="shared" si="131"/>
        <v>0</v>
      </c>
      <c r="M287" s="106">
        <f t="shared" si="131"/>
        <v>2000</v>
      </c>
      <c r="N287" s="107">
        <f t="shared" si="131"/>
        <v>0</v>
      </c>
      <c r="O287" s="94">
        <f>SUM(C287,E287,G287,I287,K287,M287)</f>
        <v>14103.846153846154</v>
      </c>
      <c r="P287" s="71">
        <f>SUM(D287,F287,H287,J287,L287,N287)</f>
        <v>1894</v>
      </c>
      <c r="Q287" s="62"/>
    </row>
    <row r="288" spans="1:17" x14ac:dyDescent="0.2">
      <c r="A288" s="75" t="s">
        <v>166</v>
      </c>
      <c r="B288" s="75"/>
      <c r="C288" s="125">
        <v>102</v>
      </c>
      <c r="D288" s="126"/>
      <c r="E288" s="125"/>
      <c r="F288" s="126"/>
      <c r="G288" s="125">
        <f>H287</f>
        <v>1894</v>
      </c>
      <c r="H288" s="126"/>
      <c r="I288" s="125"/>
      <c r="J288" s="126"/>
      <c r="K288" s="125"/>
      <c r="L288" s="126"/>
      <c r="M288" s="125"/>
      <c r="N288" s="126"/>
      <c r="O288" s="70">
        <f>SUM(C288,E288,G288,I288,K288,M288)</f>
        <v>1996</v>
      </c>
      <c r="P288" s="71"/>
      <c r="Q288" s="62"/>
    </row>
    <row r="289" spans="1:16" x14ac:dyDescent="0.2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</row>
    <row r="312" spans="7:8" x14ac:dyDescent="0.2">
      <c r="G312" s="127"/>
      <c r="H312" s="127"/>
    </row>
    <row r="313" spans="7:8" x14ac:dyDescent="0.2">
      <c r="G313" s="127"/>
      <c r="H313" s="127"/>
    </row>
  </sheetData>
  <dataValidations count="1">
    <dataValidation type="list" allowBlank="1" showInputMessage="1" showErrorMessage="1" sqref="T6 T17" xr:uid="{00000000-0002-0000-0100-000000000000}">
      <formula1>"Июль,Август,Сентябрь,Октябрь,Ноябрь,Декабрь"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Свод по месяцам</vt:lpstr>
      <vt:lpstr>План упрощённый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2</cp:revision>
  <dcterms:created xsi:type="dcterms:W3CDTF">2026-07-23T14:22:47Z</dcterms:created>
  <dcterms:modified xsi:type="dcterms:W3CDTF">2026-10-01T11:59:41Z</dcterms:modified>
  <dc:language>en-US</dc:language>
</cp:coreProperties>
</file>