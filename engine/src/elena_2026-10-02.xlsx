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ои блогеры" sheetId="1" r:id="rId5"/>
    <sheet state="visible" name="Медиаплан" sheetId="2" r:id="rId6"/>
    <sheet state="visible" name="Август" sheetId="3" r:id="rId7"/>
    <sheet state="visible" name="Сентябрь" sheetId="4" r:id="rId8"/>
    <sheet state="visible" name="Октябрь " sheetId="5" r:id="rId9"/>
  </sheets>
  <definedNames>
    <definedName hidden="1" localSheetId="0" name="_xlnm._FilterDatabase">'Мои блогеры'!$A$4:$X$561</definedName>
    <definedName hidden="1" localSheetId="3" name="_xlnm._FilterDatabase">'Сентябрь'!$A$5:$AL$76</definedName>
    <definedName hidden="1" localSheetId="4" name="_xlnm._FilterDatabase">'Октябрь '!$A$5:$AL$84</definedName>
  </definedNames>
  <calcPr/>
</workbook>
</file>

<file path=xl/sharedStrings.xml><?xml version="1.0" encoding="utf-8"?>
<sst xmlns="http://schemas.openxmlformats.org/spreadsheetml/2006/main" count="7300" uniqueCount="2841">
  <si>
    <t>БАЗА БЛОГЕРОВ — Менеджер 2</t>
  </si>
  <si>
    <t>Имя блогера — кликабельная ссылка на канал. Ответственный пусто = свободен, можно брать. Стоит «Анна» = уже в работе.</t>
  </si>
  <si>
    <t>Блогер (ссылка на канал)</t>
  </si>
  <si>
    <t>Площадка</t>
  </si>
  <si>
    <t>Источник</t>
  </si>
  <si>
    <t>Тематика</t>
  </si>
  <si>
    <t>Подписчики</t>
  </si>
  <si>
    <t>Ср. охват/просмотры</t>
  </si>
  <si>
    <t>ER %</t>
  </si>
  <si>
    <t>Цена (посл.), ₽</t>
  </si>
  <si>
    <t>Контакты</t>
  </si>
  <si>
    <t>Основа промокода</t>
  </si>
  <si>
    <t>Ответственный</t>
  </si>
  <si>
    <t>Заметка о работе</t>
  </si>
  <si>
    <t>Комментарий</t>
  </si>
  <si>
    <t>Ссылка на канал (URL)</t>
  </si>
  <si>
    <t>Расчётный CPV, ₽</t>
  </si>
  <si>
    <t>Расчётный CPM, ₽</t>
  </si>
  <si>
    <t>Во саду ли в огороде</t>
  </si>
  <si>
    <t>YouTube</t>
  </si>
  <si>
    <t>YouTube-база</t>
  </si>
  <si>
    <t>Сад-огород</t>
  </si>
  <si>
    <t>https://www.gosuslugi.ru/snet/67b0da6bb984972032651c5e; https://www.wildberries.ru/catalog/342956246/detail.aspx?targetUrl=EX&amp;utm_source=VoSaduLi&amp;utm_medium=YT&amp;utm_campaign=795299-id-MKSVRassada14.04.26</t>
  </si>
  <si>
    <t>VOSADULI</t>
  </si>
  <si>
    <t>Менеджер 2</t>
  </si>
  <si>
    <t>https://www.youtube.com/channel/UCiWA1Ct_IdiUA8a-DTwBj9A</t>
  </si>
  <si>
    <t>Садовый Гид</t>
  </si>
  <si>
    <t>larazara67@mail.ru; https://knd.gov.ru/license?; https://fitstars.ru/subscribe?tariffs%255B%255D=51&amp;utm_source=YouTube&amp;utm_medium=%D0%A1%D0%90%D0%94%D0%9E%D0%92%D0%AB%D0%99%D0%93%D0%98%D0%94%D0%AE%D0%A2%D0%A3%D0%91&amp;utm_campaign=2022&amp;promo=%D0%A1%D0%90%D0%94%D0%9E%D0%92%D0%AB%D0%99</t>
  </si>
  <si>
    <t>SADOVYIG</t>
  </si>
  <si>
    <t>https://www.youtube.com/channel/UCTXMeEml1hhGYagq7QZFqcA</t>
  </si>
  <si>
    <t>Fishing-Life TVvk</t>
  </si>
  <si>
    <t>VK</t>
  </si>
  <si>
    <t>Рыбалка</t>
  </si>
  <si>
    <t>договор в работе</t>
  </si>
  <si>
    <t>https://vkvideo.ru/@fishinglifetv/all</t>
  </si>
  <si>
    <t>Fishing-Life TV</t>
  </si>
  <si>
    <t>fishinglifetvsibir@gmail.com</t>
  </si>
  <si>
    <t>FISHINGL</t>
  </si>
  <si>
    <t>https://www.youtube.com/channel/UCw4X4WsJHT7UA_XhPONv5VQ</t>
  </si>
  <si>
    <t>Наша Дача</t>
  </si>
  <si>
    <t>Telegram</t>
  </si>
  <si>
    <t>Telega.in</t>
  </si>
  <si>
    <t>https://telega.in/channels/+7oFpKSAGX-s0MTcy/card</t>
  </si>
  <si>
    <t>NASHADAC</t>
  </si>
  <si>
    <t>https://t.me/+7oFpKSAGX-s0MTcy</t>
  </si>
  <si>
    <t>Уютный хуторок</t>
  </si>
  <si>
    <t>SalniS58@yandex.ru; vk.com/hutorok2025</t>
  </si>
  <si>
    <t>UYUTNYIH</t>
  </si>
  <si>
    <t>https://www.youtube.com/channel/UC8n00W78oxs3zSx33-dC6PQ</t>
  </si>
  <si>
    <t>Дача | Дом | Огород</t>
  </si>
  <si>
    <t>https://telega.in/channels/+qxekrBe5oJU5ZmIy/card</t>
  </si>
  <si>
    <t>DACHADOM</t>
  </si>
  <si>
    <t>https://t.me/+qxekrBe5oJU5ZmIy</t>
  </si>
  <si>
    <t>Северная рыбалка /Nord fishing</t>
  </si>
  <si>
    <t>severnayarybalka@adisom.net; vk.com/club122717706; https://www.ozon.ru/product/zhilet-canadian-camper-fokel-1698137246/?at=RltylDMrRI0nRWVpF0EnV3MTMYnv99i3w8YrqtvljWpG&amp;from_sku=1698146084&amp;oos_search=false; https://www.ozon.ru/product/kurtka-canadian-camper-forkan-1831554104/?at=BrtzmXwVMupolJYQuyAXR0Ys6ApOM2fWO10grSDvNDqp&amp;from_sku=1698094916&amp;oos_search=false</t>
  </si>
  <si>
    <t>SEVERNAY</t>
  </si>
  <si>
    <t>отправлено письмо</t>
  </si>
  <si>
    <t>https://www.youtube.com/channel/UC-wseWH5WqECF0lZhZKxJJA</t>
  </si>
  <si>
    <t xml:space="preserve">@batya_ilin   </t>
  </si>
  <si>
    <t>https://youtube.com/@batya_ilin</t>
  </si>
  <si>
    <t>novo_fish</t>
  </si>
  <si>
    <t>TikTok</t>
  </si>
  <si>
    <t>Tiktok-база</t>
  </si>
  <si>
    <t>https://www.tiktok.com/@novo_fish</t>
  </si>
  <si>
    <t>viktorlife24</t>
  </si>
  <si>
    <t>https://www.tiktok.com/@viktorlife24</t>
  </si>
  <si>
    <t>viktorlife24youtube</t>
  </si>
  <si>
    <t>https://www.youtube.com/@%D0%92%D0%B8%D0%BA%D1%82%D0%BE%D1%80%D0%BF%D1%80%D0%BE%D1%81%D1%82%D0%B0%D0%BD%D0%B8%D1%87%D0%BD%D1%83%D1%8E%D0%B6%D0%B8%D0%B7%D0%BD%D1%8C</t>
  </si>
  <si>
    <t>Хороший день для Рыбалки</t>
  </si>
  <si>
    <r>
      <rPr>
        <rFont val="Calibri"/>
        <color theme="1"/>
        <sz val="11.0"/>
      </rPr>
      <t xml:space="preserve">morfion321@gmail.com; vk.com/id222841731; https://www.donationalerts.com/r/golovinv; </t>
    </r>
    <r>
      <rPr>
        <rFont val="Calibri"/>
        <color rgb="FF1155CC"/>
        <sz val="11.0"/>
        <u/>
      </rPr>
      <t>https://minoga.ru/?erid=2VtzquxLtyV</t>
    </r>
  </si>
  <si>
    <t>HOROSHII</t>
  </si>
  <si>
    <t>https://www.youtube.com/channel/UCppHEwOGz7QvGcXab64tIxQ</t>
  </si>
  <si>
    <t>Сибирский Странник</t>
  </si>
  <si>
    <t>RUS151083@mail.ru; vk.com/id52521280; vk.com/alekssibirskiy; https://www.wildberries.ru/seller/250090340</t>
  </si>
  <si>
    <t>SIBIRSKI</t>
  </si>
  <si>
    <t>сказал что подумает</t>
  </si>
  <si>
    <t>https://www.youtube.com/channel/UCgkes8es2x4yoEmLTGpMjEA</t>
  </si>
  <si>
    <t>PETROVCHANKA LERA</t>
  </si>
  <si>
    <t>@petrovchanka_lera; https://knd.gov.ru/license?</t>
  </si>
  <si>
    <t>PETROVCH</t>
  </si>
  <si>
    <t>https://www.youtube.com/channel/UCqJUOdRU1eFDk02BYxbWRnw</t>
  </si>
  <si>
    <t>AssistanceTV</t>
  </si>
  <si>
    <t>serggioq21@gmail.com</t>
  </si>
  <si>
    <t>ASSISTAN</t>
  </si>
  <si>
    <t>украина</t>
  </si>
  <si>
    <t>https://www.youtube.com/channel/UC53tGQacLCKgMoViyQJTA_g</t>
  </si>
  <si>
    <t>Снасти здрасьте!</t>
  </si>
  <si>
    <t>Snastizdraste@yandex.ru</t>
  </si>
  <si>
    <t>SNASTIZD</t>
  </si>
  <si>
    <t>https://www.youtube.com/channel/UCfkn7KM1LBAxxAq7r034a1w</t>
  </si>
  <si>
    <t>Тепличный бизнес в деревне!</t>
  </si>
  <si>
    <t>@yakov_ogorodnik; vk.com/public175441970; vk.com/id521874877; https://yakovogorodnik.ru; https://yakovogorodnik.ru/education</t>
  </si>
  <si>
    <t>TEPLICHN</t>
  </si>
  <si>
    <t>https://www.youtube.com/channel/UCqL7Y7jcVarKAxI45yjdfnw</t>
  </si>
  <si>
    <t>Сад-огород! LIFE</t>
  </si>
  <si>
    <t>https://max.ru/ch_62af5280dda22178b423a5d8</t>
  </si>
  <si>
    <t>SADOGORO</t>
  </si>
  <si>
    <t>https://www.youtube.com/channel/UCpDmoTV4_8FRuiLVqlpa1ww</t>
  </si>
  <si>
    <t>Вероника Поливкина</t>
  </si>
  <si>
    <t>@veronika_polivkina; vk.com/club211638113; https://gosuslugi.ru/snet/67af2e74a7b872052aa3f19c; https://wibes.ru/author/1079485</t>
  </si>
  <si>
    <t>VERONIKA</t>
  </si>
  <si>
    <t>https://www.youtube.com/channel/UC_zKdhty-DNqhnySR9FcVWg</t>
  </si>
  <si>
    <t>Голова садовая</t>
  </si>
  <si>
    <t>afontovo-tv@mail.ru; @golovasadova</t>
  </si>
  <si>
    <t>GOLOVASA</t>
  </si>
  <si>
    <t>https://www.youtube.com/channel/UCZP-t7tMmA-_hXpL90L3WBw</t>
  </si>
  <si>
    <t>СУПЕР - ОТПУСК на ДАЧЕ</t>
  </si>
  <si>
    <t>@garden_ramenskoe; vk.com/superotpusknadache; vk.com/garden_ram; https://knd.gov.ru/license?; https://bit.ly/484Z1aJ</t>
  </si>
  <si>
    <t>SUPEROTP</t>
  </si>
  <si>
    <t>https://www.youtube.com/channel/UCDbkx0Ci91M09HjQxzU9yuw</t>
  </si>
  <si>
    <t>ГЕНЕРАЛЬСКИЙ САД</t>
  </si>
  <si>
    <t>yrojaysad@gmail.com</t>
  </si>
  <si>
    <t>GENERALS</t>
  </si>
  <si>
    <t>https://www.youtube.com/channel/UCHQQ4wAhue1Tx46_IvzNOMQ</t>
  </si>
  <si>
    <t>Огород - сад Медведевых</t>
  </si>
  <si>
    <t>tomatoved@mail.ru; @ogorodsadmedvedevykh; vk.com/svoitomaty; https://svoisemena.ru; https://svoisemena.ru/pelargonii</t>
  </si>
  <si>
    <t>OGORODSA</t>
  </si>
  <si>
    <t>https://www.youtube.com/channel/UC7oAhM5FWIUgOzHZ8oXDQqQ</t>
  </si>
  <si>
    <t>КРУГОВОРОТ_ДАЧА_ОГОРОД</t>
  </si>
  <si>
    <t>-buba22438@gmail.com; @krugovorottdo</t>
  </si>
  <si>
    <t>KRUGOVOR</t>
  </si>
  <si>
    <t>https://www.youtube.com/channel/UCVyq0UBgM60QB434-iaDTVg</t>
  </si>
  <si>
    <t>Моя дача</t>
  </si>
  <si>
    <t>https://telega.in/channels/mydaca/card</t>
  </si>
  <si>
    <t>MOYADACH</t>
  </si>
  <si>
    <t>https://t.me/mydaca</t>
  </si>
  <si>
    <t>Просто Марина</t>
  </si>
  <si>
    <t>alt-marina@yandex.ru; https://knd.gov.ru/license?; https://ydolv.mobz.click/umrkl3</t>
  </si>
  <si>
    <t>PROSTOMA</t>
  </si>
  <si>
    <t>https://www.youtube.com/channel/UCFkoPqrepBhhmfKzClA-r_w</t>
  </si>
  <si>
    <t>ОРЗ ТВ - Охотники и Рыболовы ЗАПОЛЯРЬЯ</t>
  </si>
  <si>
    <t>orztv@themakers.ru; https://clck.ru/F4QLL; https://clck.ru/F4QKx</t>
  </si>
  <si>
    <t>ORZTVOHO</t>
  </si>
  <si>
    <t>https://www.youtube.com/channel/UC6_SwzIMfPfWotQyRqWIKiQ</t>
  </si>
  <si>
    <t>https://vk.ru/ohotnikinao</t>
  </si>
  <si>
    <t>Vkontakte-база</t>
  </si>
  <si>
    <t>АГАТ</t>
  </si>
  <si>
    <t xml:space="preserve">agat017@yandex.ru
</t>
  </si>
  <si>
    <t>AGAT</t>
  </si>
  <si>
    <t>https://www.youtube.com/channel/UC8X_Ri3NBTXCoSNpOfgX82g</t>
  </si>
  <si>
    <t>Волшебная грядка Марины Шевляковой</t>
  </si>
  <si>
    <t>marasja@gmail.com; @volshebnayagryadka; vk.com/volshebnaya_gryadka; https://gosuslugi.ru/snet/67b4a2d08c08d3723f2f3832; https://clck.ru/3TDmmp</t>
  </si>
  <si>
    <t>VOLSHEBN</t>
  </si>
  <si>
    <t>https://www.youtube.com/channel/UCbODBVkNzh3Ny23-m7X5s4w</t>
  </si>
  <si>
    <t>Татьяна Башмакова - Ваша Дача (vashadacha)</t>
  </si>
  <si>
    <t>vk.com/best_dacha</t>
  </si>
  <si>
    <t>TATYANAB</t>
  </si>
  <si>
    <t>https://www.youtube.com/channel/UCK_1NtbyzOK3w_ARLqNiWbg</t>
  </si>
  <si>
    <t>Алёнин сад</t>
  </si>
  <si>
    <t>@aleninsad; vk.com/aleninsad; http://www.aleninsad.com; https://web.max.ru/-68671270868407</t>
  </si>
  <si>
    <t>ALENINSA</t>
  </si>
  <si>
    <t>https://www.youtube.com/channel/UCnJXX-FozHVLpLTeumHCrWQ</t>
  </si>
  <si>
    <t>Дача мечты</t>
  </si>
  <si>
    <t>https://telega.in/channels/+D03xUB3vKRYyNDk6/card</t>
  </si>
  <si>
    <t>DACHAMEC</t>
  </si>
  <si>
    <t>https://t.me/+D03xUB3vKRYyNDk6</t>
  </si>
  <si>
    <t>Земеля</t>
  </si>
  <si>
    <t>ZEMELYA</t>
  </si>
  <si>
    <t xml:space="preserve">отправлено письмо в вк </t>
  </si>
  <si>
    <t>https://www.youtube.com/channel/UC1XrVpIJKHZUD9OCm9mDh8A</t>
  </si>
  <si>
    <t>Павел Про TV</t>
  </si>
  <si>
    <t>vk.com/id366371122; @pavelprotv; altfishing-club.ru/user/755-pavel-pro</t>
  </si>
  <si>
    <t>PAVELPRO</t>
  </si>
  <si>
    <t>не подходит</t>
  </si>
  <si>
    <t>https://www.youtube.com/channel/UCjD01pt7Oic6hJg-h0NVihQ</t>
  </si>
  <si>
    <t>Клёвая рыбалка / Hot fishing</t>
  </si>
  <si>
    <t>vk.com/coolhotfishing; https://клеваярыбалка.рф; https://hot-fishing.com</t>
  </si>
  <si>
    <t>KLEVAYAR</t>
  </si>
  <si>
    <t>https://www.youtube.com/channel/UCaRJiAXxS3j2dEz0FLIjEGg</t>
  </si>
  <si>
    <t>Roman Boldov</t>
  </si>
  <si>
    <t>Roman-b-87@mail.ru</t>
  </si>
  <si>
    <t>ROMANBOL</t>
  </si>
  <si>
    <t>отказ</t>
  </si>
  <si>
    <t>https://www.youtube.com/channel/UCV0m-qMKxE470KxHvlt0jjA</t>
  </si>
  <si>
    <t>Жизнь Рыбака</t>
  </si>
  <si>
    <t>respectmr745@gmail.com; https://ozon.ru/t/qu5sJ2W; https://www.wildberries.ru/brands/berkutiv?utm_source=vkentryprofit&amp;click_id=v1_1423720072</t>
  </si>
  <si>
    <t>ZHIZNRYB</t>
  </si>
  <si>
    <t>https://www.youtube.com/channel/UCZN71cXa20jqDvUJqM_4Dsw</t>
  </si>
  <si>
    <t>ДАЧА БЕЗ ПРОБЛЕМ</t>
  </si>
  <si>
    <t>https://vk.cc/cn46oL; https://app-qr.expert-garden.com</t>
  </si>
  <si>
    <t>DACHABEZ</t>
  </si>
  <si>
    <t>https://www.youtube.com/channel/UCMUja_GhH1ms0OLsjzNnwFA</t>
  </si>
  <si>
    <t>Огород с Вероникой</t>
  </si>
  <si>
    <t>@tantorro</t>
  </si>
  <si>
    <t>OGORODSV</t>
  </si>
  <si>
    <t>https://www.youtube.com/channel/UCllLNbD58QyOfXRyRxoPKFA</t>
  </si>
  <si>
    <t>Sergei Sorokin</t>
  </si>
  <si>
    <t>ser-sor@rambler.ru; @sorokinofficial; vk.com/sorokinpodvodoi</t>
  </si>
  <si>
    <t>SERGEISO</t>
  </si>
  <si>
    <t>мертвый канал</t>
  </si>
  <si>
    <t>https://www.youtube.com/channel/UCqxZ1TG5xVXS2Ra9vO0voOw</t>
  </si>
  <si>
    <t>САДОВОД ТВ</t>
  </si>
  <si>
    <t>SADOVODT</t>
  </si>
  <si>
    <t>https://www.youtube.com/channel/UC8W3xi4E2e_HUmP8RukpUDg</t>
  </si>
  <si>
    <t>"Газета садовод"</t>
  </si>
  <si>
    <t>GAZETASA</t>
  </si>
  <si>
    <t>https://www.youtube.com/channel/UCvZYCYUdqcHlHMxF4SvrCvQ</t>
  </si>
  <si>
    <t>Team Mida. Современная рыбалка.</t>
  </si>
  <si>
    <t xml:space="preserve"> vk.com/teammida; https://max.ru/join/lvR6xd6lSl1epeCKSuKe59pguk-8BVv6P9c5qhxpxp0; https://v</t>
  </si>
  <si>
    <t>TEAMMIDA</t>
  </si>
  <si>
    <t>https://www.youtube.com/channel/UCDpg1XIZgBzK3mAOOOIbY7w</t>
  </si>
  <si>
    <t>Зеленый подоконник</t>
  </si>
  <si>
    <t>@green_podokonnik; @selfsation</t>
  </si>
  <si>
    <t>ZELENYIP</t>
  </si>
  <si>
    <t>https://www.youtube.com/channel/UCsAuu01m7B7VL-4GgF3hL2g</t>
  </si>
  <si>
    <t>Дача для души</t>
  </si>
  <si>
    <t>https://telega.in/channels/+lq7V6APtadU0NTVi/card</t>
  </si>
  <si>
    <t>DACHADLY</t>
  </si>
  <si>
    <t>https://t.me/+lq7V6APtadU0NTVi</t>
  </si>
  <si>
    <t>Юг Fishing</t>
  </si>
  <si>
    <t>vk.com/id711496236; https://www.ozon.ru/product/pellets-zhirnyy-yug-fishing-dlya-flet-metod-3-mm-1000-g-3756839039/?at=gpt4WzPVyuoGn155h0G2w2ZuqmREDpi8KYmQPcZ2o7Bo; https://www.avito.ru/novotitarovskaya/ohota_i_rybalka/pellets_karpovyy_1_kg_zhirnyy_fl</t>
  </si>
  <si>
    <t>YUGFISHI</t>
  </si>
  <si>
    <t>https://www.youtube.com/channel/UCRb6HzMKtsH-dKJz831_dXA</t>
  </si>
  <si>
    <t>Рыбалка с SIBIRYAK'ом'007</t>
  </si>
  <si>
    <t>https://knd.gov.ru/license?</t>
  </si>
  <si>
    <t>RYBALKAS</t>
  </si>
  <si>
    <t>https://www.youtube.com/channel/UCyuBTqJ7N1mtWa6o_nuQWCA</t>
  </si>
  <si>
    <t>Нина К Дача, Огород и не только</t>
  </si>
  <si>
    <t>@garden42; vk.com/club184536437; https://rutube.ru/channel/23844582; https://ok.ru</t>
  </si>
  <si>
    <t>NINAKDAC</t>
  </si>
  <si>
    <t>https://www.youtube.com/channel/UC5lF8cWA7q0pcNcWC0ZOfSQ</t>
  </si>
  <si>
    <t>Идеи для Дачи | Дома</t>
  </si>
  <si>
    <t>https://telega.in/channels/+U9natNWIHh1hNmNi/card</t>
  </si>
  <si>
    <t>IDEIDLYA</t>
  </si>
  <si>
    <t>https://t.me/+U9natNWIHh1hNmNi</t>
  </si>
  <si>
    <t>Простая рыбалка</t>
  </si>
  <si>
    <t>alex.afoni2012@yandex.ru</t>
  </si>
  <si>
    <t>PROSTAYA</t>
  </si>
  <si>
    <t>https://www.youtube.com/channel/UCVFMI_n1if4JN71Sx0BAYPA</t>
  </si>
  <si>
    <t>Aleksandr Chikachev</t>
  </si>
  <si>
    <t>@alex666</t>
  </si>
  <si>
    <t>ALEKSAND</t>
  </si>
  <si>
    <t>https://www.youtube.com/channel/UC10svREzub45n5TXQ_LMT5w</t>
  </si>
  <si>
    <t>ОХОТА И РЫБАЛКА В ТАЙГЕ Коми</t>
  </si>
  <si>
    <t>https://clck.ru/3Sx2nS</t>
  </si>
  <si>
    <t>OHOTAIRY</t>
  </si>
  <si>
    <t>https://www.youtube.com/channel/UCnEv7KTEI9IUGMNybDZQaCg</t>
  </si>
  <si>
    <t>ViNsad</t>
  </si>
  <si>
    <t>VINSAD</t>
  </si>
  <si>
    <t>https://www.youtube.com/channel/UCzeq_faG6ZzS5YFTwrPFCSA</t>
  </si>
  <si>
    <t>Агрофирма Аэлита</t>
  </si>
  <si>
    <t>vopros@ailita.ru; ailitazen@yandex.ru; https://www.ailita.ru; https://ailita-shop.ru</t>
  </si>
  <si>
    <t>AGROFIRM</t>
  </si>
  <si>
    <t>https://www.youtube.com/channel/UCQheT4QWhOG56NLrJV4kzyg</t>
  </si>
  <si>
    <t>Вкусный Огород</t>
  </si>
  <si>
    <t>@tastygarden; vk.com/club212881292</t>
  </si>
  <si>
    <t>VKUSNYIO</t>
  </si>
  <si>
    <t>https://www.youtube.com/channel/UC7ZlNkIlRRcPt3-c5pC2VYg</t>
  </si>
  <si>
    <t>Дачные будни</t>
  </si>
  <si>
    <t>https://telega.in/channels/dacha_ogorod/card</t>
  </si>
  <si>
    <t>DACHNYEB</t>
  </si>
  <si>
    <t>https://t.me/dacha_ogorod</t>
  </si>
  <si>
    <t>Реальный садовод</t>
  </si>
  <si>
    <t>vk.com/realny_sadovod; https://clck.ru/3MYtDa; https://click.tgtrack.ru/f637b132c0c7</t>
  </si>
  <si>
    <t>REALNYIS</t>
  </si>
  <si>
    <t>https://www.youtube.com/channel/UCbJyBJL4jOKXBTfWpevKDYQ</t>
  </si>
  <si>
    <t>ЗУЛЬФИЯ  САДОВОД  ТУРЕЦКАЯ ДУБАЙСКАЯ ОДЕЖДА</t>
  </si>
  <si>
    <t>@ZulfiyaSadovod</t>
  </si>
  <si>
    <t>ZULFIYAS</t>
  </si>
  <si>
    <t>https://www.youtube.com/channel/UCPkFY__r3ZHzRl8cmdn6gWg</t>
  </si>
  <si>
    <t>Садовая видеошкола "Сияние"</t>
  </si>
  <si>
    <t>https://экологическоесадоводство.рф/%20es</t>
  </si>
  <si>
    <t>SADOVAYA</t>
  </si>
  <si>
    <t>https://www.youtube.com/channel/UCh4MKSoSFtBN2RVhhfGm6PQ</t>
  </si>
  <si>
    <t>Хатунский питомник</t>
  </si>
  <si>
    <t>https://t.me/+6RZbRI24FrJiMmQ6; +7-926-579-45-11 (WhatsApp/Telegram)</t>
  </si>
  <si>
    <t>HATUNSKI</t>
  </si>
  <si>
    <t>https://www.youtube.com/channel/UCcodNXOztPjbz0JeEi4L33g</t>
  </si>
  <si>
    <t>VOLGA BAITS</t>
  </si>
  <si>
    <t>@volgabaits_support; vk.com/id729264477</t>
  </si>
  <si>
    <t>VOLGABAI</t>
  </si>
  <si>
    <t>https://www.youtube.com/channel/UCuecqsAJJpRuN9f-aMYkHQA</t>
  </si>
  <si>
    <t>Моя любимая дача</t>
  </si>
  <si>
    <t>https://telega.in/channels/+Jcbpgq-uhLA3NGNi/card</t>
  </si>
  <si>
    <t>MOYALYUB</t>
  </si>
  <si>
    <t>https://t.me/+Jcbpgq-uhLA3NGNi</t>
  </si>
  <si>
    <t>Садовый участок</t>
  </si>
  <si>
    <t>https://telega.in/channels/+CC9q_wKrlc9kYmNi/card</t>
  </si>
  <si>
    <t>SADOVYIU</t>
  </si>
  <si>
    <t>https://t.me/+CC9q_wKrlc9kYmNi</t>
  </si>
  <si>
    <t>Сад и огород | Дача</t>
  </si>
  <si>
    <t>https://telega.in/channels/+rC-80Q6BOmZmOTVi/card</t>
  </si>
  <si>
    <t>SADIOGOR</t>
  </si>
  <si>
    <t>https://t.me/+rC-80Q6BOmZmOTVi</t>
  </si>
  <si>
    <t>ЗА ВЕРСТУ...</t>
  </si>
  <si>
    <t>mikhail_krapivin@inbox.ru; @public220850526; https://vkvideo.ru/@public220850526/all</t>
  </si>
  <si>
    <t>ZAVERSTU</t>
  </si>
  <si>
    <t>https://www.youtube.com/channel/UCRh5y1xNocuLxXJXDi1ovbQ</t>
  </si>
  <si>
    <t>Павел Теплов - Рыболовный Канал</t>
  </si>
  <si>
    <t>PAVELTEP</t>
  </si>
  <si>
    <t>не активный</t>
  </si>
  <si>
    <t>https://www.youtube.com/channel/UCehAWDtHiubIXsmqtNSjM4g</t>
  </si>
  <si>
    <t>Рыбалка на басса Продакшн</t>
  </si>
  <si>
    <t>advertising@linguana.com; @BassFishingProductions; https://lnk.to/BFPRussian; https://directs.me/matsato-ru</t>
  </si>
  <si>
    <t>RYBALKAN</t>
  </si>
  <si>
    <t>не наша ца</t>
  </si>
  <si>
    <t>https://www.youtube.com/channel/UCn6qEUsCGx37M_zOP9TiYGQ</t>
  </si>
  <si>
    <t>Рыбалка крупным планом | AnglersZoom</t>
  </si>
  <si>
    <t>https://gosuslugi.ru/snet/685e4f1ef794ae5554881e8d</t>
  </si>
  <si>
    <t>RYBALKAK</t>
  </si>
  <si>
    <t>https://www.youtube.com/channel/UCmkkLCACwkNesX4dHMo4s9g</t>
  </si>
  <si>
    <t>DUNAEV MEDIA</t>
  </si>
  <si>
    <t>@dunaevmedia; vk.com/dunaevmedia; https://frsrus.ru/wp-content/uploads/2026/03/reglament_provedenija_kubka_rossii_2026_goda_po_lovle_poplavochnoj.pdf; https://www.mirrods.ru</t>
  </si>
  <si>
    <t>DUNAEVME</t>
  </si>
  <si>
    <t>https://www.youtube.com/channel/UCpC0_0lnarWbM2_iGR12f1w</t>
  </si>
  <si>
    <t>в ожидании поклевки</t>
  </si>
  <si>
    <t>ivan_bgrff@mail.ru</t>
  </si>
  <si>
    <t>VOZHIDAN</t>
  </si>
  <si>
    <t>накрученый</t>
  </si>
  <si>
    <t>https://www.youtube.com/channel/UChEXU5Uil5PBXX6qoovJ7AA</t>
  </si>
  <si>
    <t>DMITRY KANEV Охота и Рыбалка</t>
  </si>
  <si>
    <t>vk.com/id299096755</t>
  </si>
  <si>
    <t>DMITRYKA</t>
  </si>
  <si>
    <t>https://www.youtube.com/channel/UCPmC7_3zFWhckq5cmnE5uwg</t>
  </si>
  <si>
    <t>Рыбалка С Олегом</t>
  </si>
  <si>
    <t>https://www.youtube.com/channel/UC3Wc772-8PBelvW1ivL8tcw</t>
  </si>
  <si>
    <t>Рыбалка по кайфу</t>
  </si>
  <si>
    <r>
      <rPr>
        <rFont val="Calibri"/>
        <color theme="1"/>
        <sz val="11.0"/>
      </rPr>
      <t xml:space="preserve">fargame2000@gmail.com; </t>
    </r>
    <r>
      <rPr>
        <rFont val="Calibri"/>
        <color rgb="FF1155CC"/>
        <sz val="11.0"/>
        <u/>
      </rPr>
      <t>vk.com/idfargame</t>
    </r>
  </si>
  <si>
    <t>RYBALKAP</t>
  </si>
  <si>
    <t>https://www.youtube.com/channel/UCENnsGw3xk-1EvjBobTMoUQ</t>
  </si>
  <si>
    <t>Рыбалка на реках и озёрах</t>
  </si>
  <si>
    <t>vk.com/id357569604</t>
  </si>
  <si>
    <t>уже сотрудничают</t>
  </si>
  <si>
    <t>https://www.youtube.com/channel/UCNrT0fjlD-K1TZRPjpz32NA</t>
  </si>
  <si>
    <t>Сергей Веснин</t>
  </si>
  <si>
    <t>https://knd.gov.ru/license?id=6737dcc0b5d2ec30cf746dcc&amp;registryType=bloggersPermission</t>
  </si>
  <si>
    <t>SERGEIVE</t>
  </si>
  <si>
    <t>на хищников не наша ца</t>
  </si>
  <si>
    <t>https://www.youtube.com/channel/UCxNRrMeOWrwvW3ZUHHluC3w</t>
  </si>
  <si>
    <t>Гарик Рыболов.</t>
  </si>
  <si>
    <t>garikfihermen@yandex.ru</t>
  </si>
  <si>
    <t>GARIKRYB</t>
  </si>
  <si>
    <t>https://www.youtube.com/channel/UCHBZmzMpiuvo8sSu1Xtxiew</t>
  </si>
  <si>
    <t>NovichenkovFishing</t>
  </si>
  <si>
    <t>https://clck.ru/3QiDLY; https://clck.ru/3QiDNJ</t>
  </si>
  <si>
    <t>NOVICHEN</t>
  </si>
  <si>
    <t>https://www.youtube.com/channel/UCqwhN5t4D3tMD2QN0SzjMQw</t>
  </si>
  <si>
    <t>Клёвое место Ямал</t>
  </si>
  <si>
    <t>KLEVOEME</t>
  </si>
  <si>
    <t>https://www.youtube.com/channel/UCwmT1rw7ZQFllFVnNlL4oBg</t>
  </si>
  <si>
    <t>Кержак. Рыбалка в тайге</t>
  </si>
  <si>
    <t>https://carptravel.mobz.link/kerzhak</t>
  </si>
  <si>
    <t>KERZHAKR</t>
  </si>
  <si>
    <t>https://www.youtube.com/channel/UCsKbMwfWxBVcbOmDfkqYZEw</t>
  </si>
  <si>
    <t>Сибирская рыбалка</t>
  </si>
  <si>
    <t>vk.com/id324436513; vk.com/...rom; https://knd.gov.ru/license?id=673b1ed031a9292acd15c11a&amp;registryType=bloggersPermission</t>
  </si>
  <si>
    <t>SIBIRSKA</t>
  </si>
  <si>
    <t>https://www.youtube.com/channel/UCB6N3tv-AmmK2cWVOy3KNLg</t>
  </si>
  <si>
    <t>FishingSib.ru</t>
  </si>
  <si>
    <t>FISHINGS</t>
  </si>
  <si>
    <t>https://www.youtube.com/channel/UCVxs5hp57vZZW6_mA74V2Qw</t>
  </si>
  <si>
    <t>Рыбацкий Кайф</t>
  </si>
  <si>
    <t>vladka26a@gmail.com; https://knd.gov.ru/license?</t>
  </si>
  <si>
    <t>RYBACKII</t>
  </si>
  <si>
    <t>https://www.youtube.com/channel/UCekGRaIjwZU8nu0FvSObUmA</t>
  </si>
  <si>
    <t>Рыбалка в Боровом</t>
  </si>
  <si>
    <t>Maksutov-2005@bk.ru; @barkrf_bot201; https://chat.lera-trade.com/6cMvyZNLF2?utm_id=yt31; https://barknn.ru/@barkrf_bot201</t>
  </si>
  <si>
    <t>RYBALKAV</t>
  </si>
  <si>
    <t>https://www.youtube.com/channel/UCrYeV85Ln_udR_g9AE3nG9g</t>
  </si>
  <si>
    <t>Андрей Брюховецкий</t>
  </si>
  <si>
    <t>ANDREIBR</t>
  </si>
  <si>
    <t>https://www.youtube.com/channel/UCecYT9x7r49dkOuzR-jrKEQ</t>
  </si>
  <si>
    <t>Евгений Середа</t>
  </si>
  <si>
    <t>EVGENIIS</t>
  </si>
  <si>
    <t>https://www.youtube.com/channel/UCra4W5pe9fTGjE7ChFadRRw</t>
  </si>
  <si>
    <t>Сматываем Удочки</t>
  </si>
  <si>
    <t>smatyvaemudochki@mail.ru; vk.com/kkisler; vk.com/smatyvaemudochki; vk.com/kiprinofishing; https://www.donationalerts.com/r/smatyvaemudochki; https://knd.gov.ru/license?id=674aa15946efdb335e0c976a&amp;registryType=bloggersPermission</t>
  </si>
  <si>
    <t>SMATYVAE</t>
  </si>
  <si>
    <t>https://www.youtube.com/channel/UClcw3KW_zDl07o1GoDzB1aA</t>
  </si>
  <si>
    <t>Рыбалка В Сибири</t>
  </si>
  <si>
    <t>https://dzen.ru/id/625ead39a0b8661907934f73</t>
  </si>
  <si>
    <t>https://www.youtube.com/channel/UCRY8-G9MxuzOpGCANtY6RlQ</t>
  </si>
  <si>
    <t>Рыбалка с Антоном Мальцевым</t>
  </si>
  <si>
    <t>https://www.youtube.com/channel/UC3deJoTQ0ZdrMHmvy0uVc_w</t>
  </si>
  <si>
    <t>РЫБАЛКА Илья Эверстов</t>
  </si>
  <si>
    <t>RYBALKAI</t>
  </si>
  <si>
    <t>https://www.youtube.com/channel/UC9uLFbxpbfsumFS-JRqgrRg</t>
  </si>
  <si>
    <t>Spin-feeder TV</t>
  </si>
  <si>
    <t>vk.com/spinfeeder</t>
  </si>
  <si>
    <t>SPINFEED</t>
  </si>
  <si>
    <t>https://www.youtube.com/channel/UCK_wzLu0QxxysoVLQrGXhog</t>
  </si>
  <si>
    <t>Александр Заядлый - Рыбалка</t>
  </si>
  <si>
    <t>bbeting@yandex.ru; @aeroladoga; vk.com/sashazayadlyy; https://finntrail.ru/zayadly; https://www.hunting-expo.ru/priroda-premia/stili_gizni/cart/76898</t>
  </si>
  <si>
    <t>https://www.youtube.com/channel/UCG8vVMKgthuE7_tf5DH6Gng</t>
  </si>
  <si>
    <t>рыбалка ньюс</t>
  </si>
  <si>
    <t>https://www.higashi.ru/catalog/udilishcha/spiningovye/seriya_fanat/udilishche_higashi_fanat_2_4m_5_20g; http://alii.pub/6fh65t</t>
  </si>
  <si>
    <t>https://www.youtube.com/channel/UC8xHe5d46bUjwNSepFt0QSw</t>
  </si>
  <si>
    <t>Дача без забот</t>
  </si>
  <si>
    <t>https://telega.in/channels/easy_dacha/card</t>
  </si>
  <si>
    <t>https://t.me/easy_dacha</t>
  </si>
  <si>
    <t>Современная Дача</t>
  </si>
  <si>
    <t>https://telega.in/channels/+2RCOBqjrzA42YTAy/card</t>
  </si>
  <si>
    <t>SOVREMEN</t>
  </si>
  <si>
    <t>https://t.me/+2RCOBqjrzA42YTAy</t>
  </si>
  <si>
    <t>Японские Снасти - JPSNASTI</t>
  </si>
  <si>
    <t>https://www.jpsnasti.ru</t>
  </si>
  <si>
    <t>YAPONSKI</t>
  </si>
  <si>
    <t>https://www.youtube.com/channel/UCOM_Ir3zsiLVpcatY0T_Vhw</t>
  </si>
  <si>
    <t>Милая роза</t>
  </si>
  <si>
    <t>MILAYARO</t>
  </si>
  <si>
    <t>https://www.youtube.com/channel/UCxRgVqFb_QJbj7aCgVWdp_A</t>
  </si>
  <si>
    <t>Сад и Огород</t>
  </si>
  <si>
    <t>https://knd.gov.ru/license?id=673680144d86083881d06472&amp;registryType=bloggersPermission; https://www.wildberries.ru/catalog/149646967/detail.aspx?targetUrl=SP</t>
  </si>
  <si>
    <t>https://www.youtube.com/channel/UCbjAHdLC6AEZYyuEF21Y9cg</t>
  </si>
  <si>
    <t>wOwFiSHing канал о рыбалке</t>
  </si>
  <si>
    <t>@wowvas; https://www.avito.ru/brands/i193331391; https://www.avito.ru/novosibirsk/ohota_i_rybalka/izotermicheskiy_chehol_dly</t>
  </si>
  <si>
    <t>WOWFISHI</t>
  </si>
  <si>
    <t>https://www.youtube.com/channel/UC_7DUbOcu-buomqFenLpc9w</t>
  </si>
  <si>
    <t>Nano Spin Msk</t>
  </si>
  <si>
    <t>@nanospin; https://nanospinmsk.tb.ru; https://www.ozon.ru/seller/nanospinmsk-xul-lab</t>
  </si>
  <si>
    <t>NANOSPIN</t>
  </si>
  <si>
    <t>https://www.youtube.com/channel/UCzwKdShVc1ZJ6OrI8WtgHUg</t>
  </si>
  <si>
    <t>Мой участок</t>
  </si>
  <si>
    <t>MOIUCHAS</t>
  </si>
  <si>
    <t>https://www.youtube.com/channel/UCUinA6dC24LX6e6Vm-1qxwA</t>
  </si>
  <si>
    <t>Чарльз Даудинг 👨‍🌾 Сад без лопат</t>
  </si>
  <si>
    <t>@bez_lopat; @charles_dowding_rus; @charles_dowding</t>
  </si>
  <si>
    <t>CHARLZDA</t>
  </si>
  <si>
    <t>https://www.youtube.com/channel/UCrMnXqSVS707Zv1tnylOlmg</t>
  </si>
  <si>
    <t>МОЙ САД</t>
  </si>
  <si>
    <t>https://telega.in/channels/MJN08H2Bt_Wtlp0cAqemzhH7qKyZU9rcogE4fjQlPKE/card_max</t>
  </si>
  <si>
    <t>MOISAD</t>
  </si>
  <si>
    <t>https://t.me/MJN08H2Bt_Wtlp0cAqemzhH7qKyZU9rcogE4fjQlPKE</t>
  </si>
  <si>
    <t>Дед Щукарь, рыбалка, снасти</t>
  </si>
  <si>
    <t>ribolov33@mail.ru; vk.com/id7735100; vk.com/ded.shchukar.group; @ded.shchukar; http://dedribak.ru/catalog/?utm_source=youtube&amp;utm_medium=menyu&amp;utm_campaign=menyu</t>
  </si>
  <si>
    <t>DEDSHUKA</t>
  </si>
  <si>
    <t>https://www.youtube.com/channel/UCi5GPqcCdfXeTK-PwQSRyTQ</t>
  </si>
  <si>
    <t>Рыбалка с друзьями .</t>
  </si>
  <si>
    <t>https://www.youtube.com/channel/UCEHKxOp1Xaj81V9DQSOnJ4g</t>
  </si>
  <si>
    <t>Аза_Рыбак</t>
  </si>
  <si>
    <t>@amangeldinovvv__03</t>
  </si>
  <si>
    <t>AZARYBAK</t>
  </si>
  <si>
    <t>не рф</t>
  </si>
  <si>
    <t>https://www.youtube.com/channel/UCeO94TANJt0K7nl7HSOjGJA</t>
  </si>
  <si>
    <t>Alex Fish I Рыбалка I Дача I Travel Vlog</t>
  </si>
  <si>
    <t>http://www.epidemicsound.com</t>
  </si>
  <si>
    <t>ALEXFISH</t>
  </si>
  <si>
    <t>не активны</t>
  </si>
  <si>
    <t>https://www.youtube.com/channel/UCR0XoReLrVnk9HA755s2_FQ</t>
  </si>
  <si>
    <t>Удачная дача: Дизайн, Огород</t>
  </si>
  <si>
    <t>https://telega.in/channels/dach_ogorod/card</t>
  </si>
  <si>
    <t>UDACHNAY</t>
  </si>
  <si>
    <t>https://t.me/dach_ogorod</t>
  </si>
  <si>
    <t>Серебряный ручей</t>
  </si>
  <si>
    <r>
      <rPr>
        <rFont val="Calibri"/>
        <color theme="1"/>
        <sz val="11.0"/>
      </rPr>
      <t xml:space="preserve">https://lovi.ru/catalogue/reels/inertialess/?ftext=03-00-0490#1460; </t>
    </r>
    <r>
      <rPr>
        <rFont val="Calibri"/>
        <color rgb="FF1155CC"/>
        <sz val="11.0"/>
        <u/>
      </rPr>
      <t>https://lovi.ru/catalogue/reels/inertialess/?ftext=03-00-0490#11332</t>
    </r>
  </si>
  <si>
    <t>SEREBRYA</t>
  </si>
  <si>
    <t>https://www.youtube.com/channel/UC4IkPp-wOIf-4_nVC_TR6Nw</t>
  </si>
  <si>
    <t>Клёва всем! Ловите рыбу с нами!</t>
  </si>
  <si>
    <t>@klevavsem; https://mas-mebel.ru</t>
  </si>
  <si>
    <t>KLEVAVSE</t>
  </si>
  <si>
    <t>https://www.youtube.com/channel/UCBC_Zo5eq2sz_PPSTfqkUXw</t>
  </si>
  <si>
    <t>Рыбалка с Василием Стебельковым</t>
  </si>
  <si>
    <t>https://www.youtube.com/channel/UC4oCI84blzoCL4e8QfQvt1A</t>
  </si>
  <si>
    <t>В поисках ерша</t>
  </si>
  <si>
    <r>
      <rPr>
        <rFont val="Calibri"/>
        <color theme="1"/>
        <sz val="11.0"/>
      </rPr>
      <t xml:space="preserve">search.ruff@gmail.com @ersh; @tribute; </t>
    </r>
    <r>
      <rPr>
        <rFont val="Calibri"/>
        <color rgb="FF1155CC"/>
        <sz val="11.0"/>
        <u/>
      </rPr>
      <t>vk.com/insearchofaruff</t>
    </r>
  </si>
  <si>
    <t>VPOISKAH</t>
  </si>
  <si>
    <t>https://www.youtube.com/channel/UCldY7nuCfzBmSdrWJKgP46w</t>
  </si>
  <si>
    <t>Роман Байков</t>
  </si>
  <si>
    <t>fish5tvru@yandex.ru; @roman_baikov; @romanich77; vk.com/romanich77</t>
  </si>
  <si>
    <t>ROMANBAI</t>
  </si>
  <si>
    <t>https://www.youtube.com/channel/UC4tbXFTHiEdmJoTLqtmMBNA</t>
  </si>
  <si>
    <t>Агрофирма "ПОИСK"</t>
  </si>
  <si>
    <t>vk.com/agrofirma_; https://www.gosuslugi.ru/snet/67ac61e13687544fb52d8b47; https://www.semenasad.ru/catalog/?q=%D0%BE%D0%B3%D1%83%D1%80%D1%86%D1%8B&amp;s=%D0%9D%D0%B0%D0%B9%D1%82%D0%B8</t>
  </si>
  <si>
    <t>https://www.youtube.com/channel/UCOBL6QtjOzKET542AftOtMA</t>
  </si>
  <si>
    <t>Газета Хозяйство</t>
  </si>
  <si>
    <t>@hozyajstvo</t>
  </si>
  <si>
    <t>GAZETAHO</t>
  </si>
  <si>
    <t>https://www.youtube.com/channel/UCV9Owe_VLeJFtWen6l27DdQ</t>
  </si>
  <si>
    <t>Галина Баскакова</t>
  </si>
  <si>
    <t>GALINABA</t>
  </si>
  <si>
    <t>https://www.youtube.com/channel/UCOxlW7rrs9uMWtJ8gRHq-vA</t>
  </si>
  <si>
    <t>Maria Kordubaeva</t>
  </si>
  <si>
    <t>MARIAKOR</t>
  </si>
  <si>
    <t>https://www.youtube.com/channel/UCdkkDwZsOQ8dyn8Uc56pqVw</t>
  </si>
  <si>
    <t>Сад Огород Цветник</t>
  </si>
  <si>
    <t>@sadogorodcvetnik; vk.com/club210937982; https://knd.gov.ru/license?id=673331783438580dea7f7926&amp;registryType=bloggersPermission</t>
  </si>
  <si>
    <t>https://www.youtube.com/channel/UCnBL2F_JYo7W-3arE5rH88A</t>
  </si>
  <si>
    <t>Дачные Секреты 🏡</t>
  </si>
  <si>
    <t>https://telega.in/channels/+tt6qFMpT2gwxOWEy/card</t>
  </si>
  <si>
    <t>DACHNYES</t>
  </si>
  <si>
    <t>https://t.me/+tt6qFMpT2gwxOWEy</t>
  </si>
  <si>
    <t>Дачный ответ</t>
  </si>
  <si>
    <t>https://telega.in/channels/+sUdmMMOMvxo1MDQy/card</t>
  </si>
  <si>
    <t>DACHNYIO</t>
  </si>
  <si>
    <t>https://t.me/+sUdmMMOMvxo1MDQy</t>
  </si>
  <si>
    <t>Green Tips - Дизайн современного сада</t>
  </si>
  <si>
    <t>@seryakovinvest; @greentips_russia</t>
  </si>
  <si>
    <t>GREENTIP</t>
  </si>
  <si>
    <t>https://www.youtube.com/channel/UCJzIK_1f0vABZVD5Q8ArReg</t>
  </si>
  <si>
    <t>Дневник дачника. Сад и огород</t>
  </si>
  <si>
    <t>https://telega.in/channels/+cC9oE-4ou5U1ZjAy/card</t>
  </si>
  <si>
    <t>DNEVNIKD</t>
  </si>
  <si>
    <t>https://t.me/+cC9oE-4ou5U1ZjAy</t>
  </si>
  <si>
    <t>ЕжеМарина</t>
  </si>
  <si>
    <t>https://ezhemarina.ru</t>
  </si>
  <si>
    <t>EZHEMARI</t>
  </si>
  <si>
    <t>https://www.youtube.com/channel/UChbtNbpgM0BGN1ZDEFyqHMg</t>
  </si>
  <si>
    <t>ELIN ДАЧА</t>
  </si>
  <si>
    <t>@elindacha; vk.com/elindacha; https://www.donationalerts.com/r/elindacha; https://pay.mysbertips.ru/37271402</t>
  </si>
  <si>
    <t>ELINDACH</t>
  </si>
  <si>
    <t>https://www.youtube.com/channel/UCCF6NsddYVgkRQD8klZ4Jaw</t>
  </si>
  <si>
    <t>Сад Флоксов</t>
  </si>
  <si>
    <t>https://kaluginakursy.ru/floksy</t>
  </si>
  <si>
    <t>SADFLOKS</t>
  </si>
  <si>
    <t>https://www.youtube.com/channel/UC7D0Ujm41CvrIcMhBEQR8ZQ</t>
  </si>
  <si>
    <t>Биотехника</t>
  </si>
  <si>
    <t>@biotechnica_ru</t>
  </si>
  <si>
    <t>BIOTEHNI</t>
  </si>
  <si>
    <t>https://www.youtube.com/channel/UC31aVbeXtzwbw2NyzPdyoLQ</t>
  </si>
  <si>
    <t>Урожайный сад и огород</t>
  </si>
  <si>
    <t>https://vk.cc/cVOmBM; https://vk.cc/cVOmE5</t>
  </si>
  <si>
    <t>UROZHAIN</t>
  </si>
  <si>
    <t>https://www.youtube.com/channel/UCRMVvHew4q40nvbMLOSvIiA</t>
  </si>
  <si>
    <t>САД И ОГОРОД В МЕШКАХ</t>
  </si>
  <si>
    <t>vsopshin@mail.ru; vk.com/ogorodvm</t>
  </si>
  <si>
    <t>https://www.youtube.com/channel/UCWAt6i01vcI_lRDYdTSs91w</t>
  </si>
  <si>
    <t>Дачные идеи</t>
  </si>
  <si>
    <t>https://telega.in/channels/zv_N5zjrssU5NGIy/card</t>
  </si>
  <si>
    <t>DACHNYEI</t>
  </si>
  <si>
    <t>https://t.me/zv_N5zjrssU5NGIy</t>
  </si>
  <si>
    <t>Практичный Огород</t>
  </si>
  <si>
    <t>pimenov-blog@mail.ru; @pimenovblog; vk.com/pimenovblog</t>
  </si>
  <si>
    <t>PRAKTICH</t>
  </si>
  <si>
    <t>https://www.youtube.com/channel/UCEtbqpyLhUXRkBLZjHiVDTA</t>
  </si>
  <si>
    <t>Сады России</t>
  </si>
  <si>
    <t>SADYROSS</t>
  </si>
  <si>
    <t>https://www.youtube.com/channel/UC748fKJnqVmUKSiz1U3GvlQ</t>
  </si>
  <si>
    <t>Дача Санкт-Петербург</t>
  </si>
  <si>
    <t>https://semena178.ru</t>
  </si>
  <si>
    <t>DACHASAN</t>
  </si>
  <si>
    <t>https://www.youtube.com/channel/UCu42EVQZDqEL1zUWDdTUs_g</t>
  </si>
  <si>
    <t>Дача | Мой домик</t>
  </si>
  <si>
    <t>https://telega.in/channels/+5wxCnRvq_qllZmRi/card</t>
  </si>
  <si>
    <t>DACHAMOI</t>
  </si>
  <si>
    <t>https://t.me/+5wxCnRvq_qllZmRi</t>
  </si>
  <si>
    <t>Секрет дачи | Дом и Сад</t>
  </si>
  <si>
    <t>https://telega.in/channels/+PFHl2q2wLg83OTZi/card</t>
  </si>
  <si>
    <t>SEKRETDA</t>
  </si>
  <si>
    <t>https://t.me/+PFHl2q2wLg83OTZi</t>
  </si>
  <si>
    <t>Будни обрезчика</t>
  </si>
  <si>
    <t>pruning.skills@gmail.com; https://sponsr.ru/pruning_skills; https://sponsr.ru/pruning_skills1</t>
  </si>
  <si>
    <t>BUDNIOBR</t>
  </si>
  <si>
    <t>https://www.youtube.com/channel/UC2H0yd-S3LWPnYNYmFSMDzA</t>
  </si>
  <si>
    <t>Дача с умом | Огород</t>
  </si>
  <si>
    <t>https://telega.in/channels/+gDnB023hEKZkM2Ey/card</t>
  </si>
  <si>
    <t>DACHASUM</t>
  </si>
  <si>
    <t>https://t.me/+gDnB023hEKZkM2Ey</t>
  </si>
  <si>
    <t>Светлая дача</t>
  </si>
  <si>
    <t>vk.com/public211777069</t>
  </si>
  <si>
    <t>SVETLAYA</t>
  </si>
  <si>
    <t>https://www.youtube.com/channel/UCX1iHuMT4i2mn2jB3k1Umhg</t>
  </si>
  <si>
    <t>САДОВОД ТОП СТИЛЬ</t>
  </si>
  <si>
    <t>@Ami_17_71; @parikirf; @sapka2318; https://max.ru/join/QAh2LK7OElrMon0Uox_dJb4OB40bGzkn2D2YpTGtHoM; https://max.ru/join/0kkwA1uUKWhz_CIgVAABsAiwJ37Xr_kRaRyd221tqQc</t>
  </si>
  <si>
    <t>https://www.youtube.com/channel/UC7RFeYhgMAOzjwwcX97HZOA</t>
  </si>
  <si>
    <t>ВСЕ В САД с Марией Никоновой</t>
  </si>
  <si>
    <t>https://gosuslugi.ru/snet/67ad9e8475b36e054e04fcd4</t>
  </si>
  <si>
    <t>VSEVSADS</t>
  </si>
  <si>
    <t>https://www.youtube.com/channel/UCzpMnmqgkhTTBhcSMPNh8wg</t>
  </si>
  <si>
    <t>Сад Шубиной [Шубина Людмила Николаевна]</t>
  </si>
  <si>
    <t>@kudaizrf; vk.com/shubinasad</t>
  </si>
  <si>
    <t>SADSHUBI</t>
  </si>
  <si>
    <t>https://www.youtube.com/channel/UCPpIsB23cYN1gJPji7m795A</t>
  </si>
  <si>
    <t>САД? ОГОРОД? ТЕПЛИЦА КРУГЛЫЙ ГОД!</t>
  </si>
  <si>
    <t>https://www.youtube.com/channel/UCMfnMo09GisvW3xWWokqXkg</t>
  </si>
  <si>
    <t>Сад и огород без перекопки</t>
  </si>
  <si>
    <t>@nekopayu; vk.com/nekopayu; https://gosuslugi.ru/snet/67d82a5abe8c0d1c0331ea12; https://vkvideo.ru/@nekopayu</t>
  </si>
  <si>
    <t>https://www.youtube.com/channel/UC3WR0lgxbQG4HlRbaY7gtBQ</t>
  </si>
  <si>
    <t>САДОВОД АЙНУРА</t>
  </si>
  <si>
    <t>SADOVODA</t>
  </si>
  <si>
    <t>https://www.youtube.com/channel/UCDcGYZLiMnbIf8_wmuwU3kg</t>
  </si>
  <si>
    <t>Компания Альтфлора</t>
  </si>
  <si>
    <t>+7-916-813-46-25 (Альтфлора, ландшафтная студия)</t>
  </si>
  <si>
    <t>KOMPANIY</t>
  </si>
  <si>
    <t>https://www.youtube.com/channel/UC_ZL-ZPJF9FnUfdNKlkfi4Q</t>
  </si>
  <si>
    <t>МЕТАОРГАНИКА органические удобрения</t>
  </si>
  <si>
    <t>vk.com/metaorganica; https://metaorganica.ru</t>
  </si>
  <si>
    <t>METAORGA</t>
  </si>
  <si>
    <t>https://www.youtube.com/channel/UC94P61tXz5TdnUtyzdU-XAw</t>
  </si>
  <si>
    <t>🌳Петровна в Огороде</t>
  </si>
  <si>
    <t>ogorodpetrovny@yandex.ru; https://gosuslugi.ru/snet/69ba55c638f5082bb5a54bca</t>
  </si>
  <si>
    <t>PETROVNA</t>
  </si>
  <si>
    <t>https://www.youtube.com/channel/UCJjr4tSIkUJfnhLBRJTzz_w</t>
  </si>
  <si>
    <t>KK Fishing</t>
  </si>
  <si>
    <t>KKFISHIN</t>
  </si>
  <si>
    <t>https://www.youtube.com/channel/UC_CGKfGgNFAlIC1csHLehcA</t>
  </si>
  <si>
    <t>Томат — всё о томатах от посева до урожая!</t>
  </si>
  <si>
    <t>vk.com/tomattop; https://tomat.top; https://knd.gov.ru/license?</t>
  </si>
  <si>
    <t>TOMATVSE</t>
  </si>
  <si>
    <t>https://www.youtube.com/channel/UCXUalgRbAKn2X5yDTvRf04A</t>
  </si>
  <si>
    <t>Рыбалка 52RUS</t>
  </si>
  <si>
    <r>
      <rPr>
        <rFont val="Calibri"/>
        <color rgb="FF1155CC"/>
        <sz val="11.0"/>
        <u/>
      </rPr>
      <t>vk.com/id22817591</t>
    </r>
    <r>
      <rPr>
        <rFont val="Calibri"/>
        <color theme="1"/>
        <sz val="11.0"/>
      </rPr>
      <t xml:space="preserve"> gruzd392@rambler.ru</t>
    </r>
  </si>
  <si>
    <t>RYBALKA5</t>
  </si>
  <si>
    <t>https://www.youtube.com/channel/UCtXCUiRp1ddcGTwTxXbFNbw</t>
  </si>
  <si>
    <t>Андрей Николаевич Живая почва</t>
  </si>
  <si>
    <t>+7-913-328-25-96 (Telegram, Андрей Николаевич)</t>
  </si>
  <si>
    <t>ANDREINI</t>
  </si>
  <si>
    <t>https://www.youtube.com/channel/UCmLr2RUCjeUjJ3rlSOYADhQ</t>
  </si>
  <si>
    <t>Рыбалка на Зорьке</t>
  </si>
  <si>
    <t>vk.com/id626953685</t>
  </si>
  <si>
    <t>https://www.youtube.com/channel/UCQmFszZcdz_yxblZAQPdFsw</t>
  </si>
  <si>
    <t>САД ВИКТОРИИ</t>
  </si>
  <si>
    <t>https://max.ru/join/Ql_BfYsThUOMbapl5f-fhpCXuSIVxG3sJK4odVv2cyc</t>
  </si>
  <si>
    <t>SADVIKTO</t>
  </si>
  <si>
    <t>https://www.youtube.com/channel/UCDTw5CswgfGB5JzPfFotE6w</t>
  </si>
  <si>
    <t>Доступная Рыбалка</t>
  </si>
  <si>
    <t>@DostupnayaRybalka; https://ali.click/rtgc51a?erid=2SDnjcG9e4S; https://vk.cc/cWhjxE</t>
  </si>
  <si>
    <t>DOSTUPNA</t>
  </si>
  <si>
    <t>написала в вк</t>
  </si>
  <si>
    <t>https://www.youtube.com/channel/UC2n7bJsOp8O4giFZ_GGeS5g</t>
  </si>
  <si>
    <t>огород без правил</t>
  </si>
  <si>
    <t>sergey30011989nik@yandex.ru; https://clck.ru/3CHm39</t>
  </si>
  <si>
    <t>OGORODBE</t>
  </si>
  <si>
    <t>https://www.youtube.com/channel/UCHKzu4Id3ELAzqjb0nyZGgQ</t>
  </si>
  <si>
    <t>Сад Ворошиловой А.Б.</t>
  </si>
  <si>
    <t>https://www.cvetok-snk.ru/katalog/piony; https://clck.ru/3QFycX</t>
  </si>
  <si>
    <t>SADVOROS</t>
  </si>
  <si>
    <t>https://www.youtube.com/channel/UC3fVhR8O6VpOgY-Ab9ZmaAg</t>
  </si>
  <si>
    <t>MAIN TARGET - ПИТЕРСКАЯ РЫБОЛОВНАЯ БАНДА</t>
  </si>
  <si>
    <t>ALEXYAGELLO@YA.RU; @vyacheslav_ygn; @pashka_mychko; @alexyagello</t>
  </si>
  <si>
    <t>MAINTARG</t>
  </si>
  <si>
    <t>почта</t>
  </si>
  <si>
    <t>https://www.youtube.com/channel/UCA1dgUwaXDZqdULVx_towEw</t>
  </si>
  <si>
    <t>Старая дача</t>
  </si>
  <si>
    <t>@staraya_dacha; https://knd.gov.ru/license?id=6756ae760acf9c1f42dac965&amp;registryType=bloggersPermission; https://max.ru/join/tzpLZ2n5vpZaqqe7m5SZRiO1qpsAI5NU1cGRnZZQjeg</t>
  </si>
  <si>
    <t>STARAYAD</t>
  </si>
  <si>
    <t>https://www.youtube.com/channel/UCp9NrZyeO76EllRyOn0ZPIw</t>
  </si>
  <si>
    <t>Мой сад</t>
  </si>
  <si>
    <t>https://telega.in/channels/+brKKWtI0rm03MmQ6/card</t>
  </si>
  <si>
    <t>https://t.me/+brKKWtI0rm03MmQ6</t>
  </si>
  <si>
    <t>Участок с умом | Ландшафтный дизайн</t>
  </si>
  <si>
    <t>https://telega.in/channels/+NNwtMNOhEFQ3OTAy/card</t>
  </si>
  <si>
    <t>UCHASTOK</t>
  </si>
  <si>
    <t>https://t.me/+NNwtMNOhEFQ3OTAy</t>
  </si>
  <si>
    <t>Огород с Зизюлей👩🏼‍🌾</t>
  </si>
  <si>
    <t>https://telega.in/channels/zizyulya_maria/card</t>
  </si>
  <si>
    <t>OGORODSZ</t>
  </si>
  <si>
    <t>https://t.me/zizyulya_maria</t>
  </si>
  <si>
    <t>Андропов - ОколоРыбалки</t>
  </si>
  <si>
    <t>pikeordie@gmail.com; @modernangler; vk.com/pikedie; https://www.wildberries.ru/seller/963345; https://www.ozon.ru/brand/shchuka-ili-smert-100427089</t>
  </si>
  <si>
    <t>ANDROPOV</t>
  </si>
  <si>
    <t>https://www.youtube.com/channel/UCLuxPhLLyNaWXrSZCxzLGow</t>
  </si>
  <si>
    <t>Лето на Даче</t>
  </si>
  <si>
    <t>https://dzen.ru/id/63b949ee1c8b7a2c475761b1</t>
  </si>
  <si>
    <t>LETONADA</t>
  </si>
  <si>
    <t>https://www.youtube.com/channel/UCr5QwVScPog0cEKdOHtIi9A</t>
  </si>
  <si>
    <t>Экологическое садоводство</t>
  </si>
  <si>
    <t>https://экологическоесадоводство.рф/es; https://экологическоесадоводство.рф/esad</t>
  </si>
  <si>
    <t>EKOLOGIC</t>
  </si>
  <si>
    <t>https://www.youtube.com/channel/UCSqdIGDvW1RcK3flr1kQNSQ</t>
  </si>
  <si>
    <t>Мой дом | дача</t>
  </si>
  <si>
    <t>https://telega.in/channels/+aBEgL549D4diMjEy/card</t>
  </si>
  <si>
    <t>MOIDOMDA</t>
  </si>
  <si>
    <t>https://t.me/+aBEgL549D4diMjEy</t>
  </si>
  <si>
    <t>Идеи для Дома и Дачи</t>
  </si>
  <si>
    <t>https://telega.in/channels/IDEI_HOUSE/card</t>
  </si>
  <si>
    <t>https://t.me/IDEI_HOUSE</t>
  </si>
  <si>
    <t>Секреты Урожая</t>
  </si>
  <si>
    <t>archiveauto522@gmail.com</t>
  </si>
  <si>
    <t>SEKRETYU</t>
  </si>
  <si>
    <t>https://www.youtube.com/channel/UCw1farENUqpQwBYNda3DB2A</t>
  </si>
  <si>
    <t>fishbrothers</t>
  </si>
  <si>
    <t>@red_fishing</t>
  </si>
  <si>
    <t>KRASNAYA</t>
  </si>
  <si>
    <t>свызалась</t>
  </si>
  <si>
    <t>https://www.youtube.com/channel/UCzI9BB5cX_6lvpd8kh6IWrA</t>
  </si>
  <si>
    <t>FISHBROTHERS</t>
  </si>
  <si>
    <t>rad4@bk.ru</t>
  </si>
  <si>
    <t>FISHBROT</t>
  </si>
  <si>
    <t>https://www.youtube.com/channel/UCOwNleWCE88PsPTyFpmiBfw</t>
  </si>
  <si>
    <t>FISHBROTHERS rutube</t>
  </si>
  <si>
    <t>Rutube</t>
  </si>
  <si>
    <t>Менеджер 3</t>
  </si>
  <si>
    <t>Менеджер 4</t>
  </si>
  <si>
    <t>Рыбалка на фидер с Виталием Колгановым</t>
  </si>
  <si>
    <t>facebook.com/KolganovVitaly</t>
  </si>
  <si>
    <t>Менеджер 5</t>
  </si>
  <si>
    <t>отказ хотят наш продукт оптом сбе</t>
  </si>
  <si>
    <t>https://www.youtube.com/channel/UCudBvOgHnINnJU4mHuaTGdw</t>
  </si>
  <si>
    <t>Дача Ольги</t>
  </si>
  <si>
    <t>DACHAOLG</t>
  </si>
  <si>
    <t>https://www.youtube.com/channel/UCgxAg-dPcUi_igZWogsvfQg</t>
  </si>
  <si>
    <t>Рыбалка с дедом Маркелычем.</t>
  </si>
  <si>
    <t>@sdedommarkelichem; https://yoomoney.ru/to/41001559751472</t>
  </si>
  <si>
    <t xml:space="preserve">вк </t>
  </si>
  <si>
    <t>https://www.youtube.com/channel/UCRHNW51sBI83aXBBaHOA9Yw</t>
  </si>
  <si>
    <t>Дача по ГОСТу</t>
  </si>
  <si>
    <t>https://telega.in/channels/+fsTZOl9mGEk3Zjgy/card</t>
  </si>
  <si>
    <t>DACHAPOG</t>
  </si>
  <si>
    <t>https://t.me/+fsTZOl9mGEk3Zjgy</t>
  </si>
  <si>
    <t>Мастер Сада🧑‍🌾</t>
  </si>
  <si>
    <t>MASTERSA</t>
  </si>
  <si>
    <t>https://www.youtube.com/channel/UC51grDmVxQWlt_KmCJhpxTA</t>
  </si>
  <si>
    <t>Огород 365</t>
  </si>
  <si>
    <t>@ogorod365new; vk.com/club228882356</t>
  </si>
  <si>
    <t>OGOROD36</t>
  </si>
  <si>
    <t>https://www.youtube.com/channel/UCmXtvAh0F90vGRwL-D5y-YA</t>
  </si>
  <si>
    <t>Дачная жизнь</t>
  </si>
  <si>
    <t>https://telega.in/channels/+OY_VEJxXPHFlOGFi/card</t>
  </si>
  <si>
    <t>DACHNAYA</t>
  </si>
  <si>
    <t>https://t.me/+OY_VEJxXPHFlOGFi</t>
  </si>
  <si>
    <t>Дачные Хитрости</t>
  </si>
  <si>
    <t>https://telega.in/channels/+_05RxYtpgTpiZTYy/card</t>
  </si>
  <si>
    <t>DACHNYEH</t>
  </si>
  <si>
    <t>https://t.me/+_05RxYtpgTpiZTYy</t>
  </si>
  <si>
    <t>Garden Group: Всё о ландшафтном дизайне</t>
  </si>
  <si>
    <t>https://garden-group.pro; https://school.garden-group.online; https://market.garden-group.pro</t>
  </si>
  <si>
    <t>GARDENGR</t>
  </si>
  <si>
    <t>https://www.youtube.com/channel/UCVvhnp2sPTWzjMRy1klKJGQ</t>
  </si>
  <si>
    <t>Oksana Vasiutinskaia</t>
  </si>
  <si>
    <t>OKSANAVA</t>
  </si>
  <si>
    <t>https://www.youtube.com/channel/UCk5bmKKWOcc4v7OW0xh9ZDA</t>
  </si>
  <si>
    <t>Татьяна Гольцова - дизайнер сада</t>
  </si>
  <si>
    <t>@dilandru; @diland.ru; https://www.diland.ru; https://gosuslugi.ru/snet/685a5ba44b40c72af90efef6</t>
  </si>
  <si>
    <t>TATYANAG</t>
  </si>
  <si>
    <t>https://www.youtube.com/channel/UCfGhGu5Z0bYemtGKRQDQRPw</t>
  </si>
  <si>
    <t>Изумрудная дача</t>
  </si>
  <si>
    <t>@dacha_sad163</t>
  </si>
  <si>
    <t>IZUMRUDN</t>
  </si>
  <si>
    <t>https://www.youtube.com/channel/UCaiNpaNR8ap15GdW1Q0O6Cg</t>
  </si>
  <si>
    <t>СПИННИНГИСТ</t>
  </si>
  <si>
    <t>v.shmankov@mail.ru; @SPINNINGISTVladimir; vk.com/id281125540; https://gosuslugi.ru/snet/67c6f531d85d4c2b49f6ae44; https://titanat.ru/shop/akkumulyatory/akb-l</t>
  </si>
  <si>
    <t>SPINNING</t>
  </si>
  <si>
    <t>https://www.youtube.com/channel/UCKL8dsqpkz3DsxsMrjpZSAg</t>
  </si>
  <si>
    <t>LAND BLOG - Ландшафтный дизайн и всё такое</t>
  </si>
  <si>
    <t>@land_blog; https://style-eko.ru</t>
  </si>
  <si>
    <t>LANDBLOG</t>
  </si>
  <si>
    <t>https://www.youtube.com/channel/UCB0MGlTVhUBemuGOMz_5S9w</t>
  </si>
  <si>
    <t>Серёга "МОЯ РЫБАЛКА"</t>
  </si>
  <si>
    <t>SEREGAMO</t>
  </si>
  <si>
    <t>вк</t>
  </si>
  <si>
    <t>https://www.youtube.com/channel/UCQLP8VzWwZXsPzIfiS_W46Q</t>
  </si>
  <si>
    <t>Анна Глубокова</t>
  </si>
  <si>
    <t>ANNAGLUB</t>
  </si>
  <si>
    <t>https://www.youtube.com/channel/UC8fIEv1YVBkmxguZQ6B1koQ</t>
  </si>
  <si>
    <t>Люблю Цветы</t>
  </si>
  <si>
    <t>vk.com/flowers.with.love</t>
  </si>
  <si>
    <t>LYUBLYUC</t>
  </si>
  <si>
    <t>https://www.youtube.com/channel/UC2e8cr6mhVKe8eP24YYagGA</t>
  </si>
  <si>
    <t>SADLARISY</t>
  </si>
  <si>
    <t>@sadlarisy</t>
  </si>
  <si>
    <t>SADLARIS</t>
  </si>
  <si>
    <t>https://www.youtube.com/channel/UCcile8S8a8RrTJKVUREvAsA</t>
  </si>
  <si>
    <t>МОРМОБЛОК</t>
  </si>
  <si>
    <t>@mormoblok_vk; https://vkvideo.ru/@mormoblok_vk; https://rutub</t>
  </si>
  <si>
    <t>MORMOBLO</t>
  </si>
  <si>
    <t>litvinovtv1@mail.ru</t>
  </si>
  <si>
    <t>https://www.youtube.com/channel/UCsELhN0_b_S2e6wAr7j7kgQ</t>
  </si>
  <si>
    <t>Ванька рыболов</t>
  </si>
  <si>
    <t>VANKARYB</t>
  </si>
  <si>
    <t>https://www.youtube.com/channel/UC9yUzf67e9qbhCs8GFso9hQ</t>
  </si>
  <si>
    <t>Рыболов 70</t>
  </si>
  <si>
    <t>vk.com/market</t>
  </si>
  <si>
    <t>RYBOLOV7</t>
  </si>
  <si>
    <t>igorsoldatov0776@mail.ru</t>
  </si>
  <si>
    <t>https://www.youtube.com/channel/UCTFpY6kpmt0UGHkM6BJuG9Q</t>
  </si>
  <si>
    <t>Клевая рыбалка ЯМАЛА /Fishing Yamal</t>
  </si>
  <si>
    <r>
      <rPr>
        <rFont val="Calibri"/>
        <color rgb="FF1155CC"/>
        <sz val="11.0"/>
        <u/>
      </rPr>
      <t>vk.com/club228653246</t>
    </r>
    <r>
      <rPr>
        <rFont val="Calibri"/>
        <color theme="1"/>
        <sz val="11.0"/>
      </rPr>
      <t xml:space="preserve"> </t>
    </r>
  </si>
  <si>
    <t>https://www.youtube.com/channel/UC8hAzFjuKE_NDRom1gf4Zow</t>
  </si>
  <si>
    <t>Ландшафтный дизайн. Сад по-новому</t>
  </si>
  <si>
    <t>https://www.gosuslugi.ru/snet/678e343cee896061c9ad6bd5; https://bit.ly/2xv2UHV</t>
  </si>
  <si>
    <t>LANDSHAF</t>
  </si>
  <si>
    <t>https://www.youtube.com/channel/UCupamQe3Ug8o-RWn3-a2zeA</t>
  </si>
  <si>
    <t>РЫБАЛКА С НАМИ!</t>
  </si>
  <si>
    <t>https://knd.gov.ru/license?id=67377de99d804a279bb4c8c7&amp;registryType=bloggersPermission</t>
  </si>
  <si>
    <t>https://www.youtube.com/channel/UCeP2azoFTwlJKcOGXtyKA_w</t>
  </si>
  <si>
    <t>Exterity feeder rods</t>
  </si>
  <si>
    <t>https://www.exterity.com.ua/en</t>
  </si>
  <si>
    <t>EXTERITY</t>
  </si>
  <si>
    <t>https://www.youtube.com/channel/UCd00iMP266WNHwUrj9pMIRg</t>
  </si>
  <si>
    <t>Рыбалка РЫБОЛОВА</t>
  </si>
  <si>
    <t>carpyatniktv@gmail.com; @rybalkascarpyatnikom; vk.com/carpyatnik; https://vkvideo.ru/@rybalkascarpyatnikom</t>
  </si>
  <si>
    <t>RYBALKAR</t>
  </si>
  <si>
    <t xml:space="preserve">https://vk.com/carpyatnik  </t>
  </si>
  <si>
    <t>https://www.youtube.com/channel/UCAOAzAPvUzlVN874A-Bt5pg</t>
  </si>
  <si>
    <t>Ленивый Дачник</t>
  </si>
  <si>
    <t>LENIVYID</t>
  </si>
  <si>
    <t>https://www.youtube.com/channel/UC1Ouo2pRxoKrLarq7yEpyhA</t>
  </si>
  <si>
    <t>Розовое хобби</t>
  </si>
  <si>
    <t>ROZOVOEH</t>
  </si>
  <si>
    <t>https://www.youtube.com/channel/UCT0MuD3dXpPzY6UEqRSxs0g</t>
  </si>
  <si>
    <t>Рыбалка со Станиславом Посланчиком</t>
  </si>
  <si>
    <t>https://clck.ru/36LZQ7; https://ozon.ru/t/ql8pB6g</t>
  </si>
  <si>
    <t>https://www.youtube.com/channel/UCa8Le9wU2Wy_OJhM874NIVg</t>
  </si>
  <si>
    <t>Plodorodie74</t>
  </si>
  <si>
    <t>PLODOROD</t>
  </si>
  <si>
    <t>https://www.youtube.com/channel/UCDkeYeyyLU-RqUAIj0v6LQQ</t>
  </si>
  <si>
    <t>Рыбалка 89 Ямал</t>
  </si>
  <si>
    <t>https://wildberries.ru/catalog/0/search.aspx?search=WW336794</t>
  </si>
  <si>
    <t>RYBALKA8</t>
  </si>
  <si>
    <t>https://www.youtube.com/channel/UCHR8hfLChFu8fDnBdeyMazQ</t>
  </si>
  <si>
    <t>Дачные фишки</t>
  </si>
  <si>
    <t>https://telega.in/channels/+41abTb3IJ4c5NDI9/card</t>
  </si>
  <si>
    <t>DACHNYEF</t>
  </si>
  <si>
    <t>https://t.me/+41abTb3IJ4c5NDI9</t>
  </si>
  <si>
    <t>Умелый дачник | Полезные советы</t>
  </si>
  <si>
    <t>https://telega.in/channels/+ZRk_h7RXWhwyZTAy/card</t>
  </si>
  <si>
    <t>UMELYIDA</t>
  </si>
  <si>
    <t>https://t.me/+ZRk_h7RXWhwyZTAy</t>
  </si>
  <si>
    <t>Николай Курдюмов. Умный сад и хитрый огород</t>
  </si>
  <si>
    <t>https://gosuslugi.ru/snet/67bdbec75231b325f50ebc76; https://kurdyumov.ru/super-vinograd</t>
  </si>
  <si>
    <t>NIKOLAIK</t>
  </si>
  <si>
    <t>https://www.youtube.com/channel/UC2yTlUhI3uBee06UMPjuUQA</t>
  </si>
  <si>
    <t>Artem Kolesnikov</t>
  </si>
  <si>
    <t>@rhino_baits; vk.com/nosorogav; @nosorogav; http://nosoblog.ru/reklama; https://rucarp.ru</t>
  </si>
  <si>
    <t>ARTEMKOL</t>
  </si>
  <si>
    <t>https://www.youtube.com/channel/UCKgBftG3-TAqKeG3mWHUkmA</t>
  </si>
  <si>
    <t>Наша Дача плюс. Органическое земледелие</t>
  </si>
  <si>
    <t>https://ndkurs.getcourse.ru/garden_design_2024-2; https://ndkurs.getcourse.ru/garden_design_2024</t>
  </si>
  <si>
    <t>https://www.youtube.com/channel/UCWLyhy6PAetxxbXFKXMkQVg</t>
  </si>
  <si>
    <t>Ландшафтный дизайн1.РФ</t>
  </si>
  <si>
    <t>vk.com/club203417997</t>
  </si>
  <si>
    <t>https://www.youtube.com/channel/UCf3IsREVMI-NTMwU6IwLg1g</t>
  </si>
  <si>
    <t>Рыбалка С Товарищем Сааховым</t>
  </si>
  <si>
    <t>saahovtovarish@yandex.ru; https://pobeda.onf.ru/#donate1_anch</t>
  </si>
  <si>
    <t>https://www.youtube.com/channel/UCBSgaMvB35kCkFqyQ-W1_xw</t>
  </si>
  <si>
    <t>Виноград в Краснодарском крае Виноградник Неуймина</t>
  </si>
  <si>
    <t>yyuurriikk35@gmail.com</t>
  </si>
  <si>
    <t>VINOGRAD</t>
  </si>
  <si>
    <t>https://www.youtube.com/channel/UCiMH0Ubn9jS4CKqa4B_vhbw</t>
  </si>
  <si>
    <t>Рыбалка на хищника</t>
  </si>
  <si>
    <t>veternsk@list.ru; vk.com/hapokru; @veternsk; https://ali.ski/vIqsB</t>
  </si>
  <si>
    <t>https://www.youtube.com/channel/UCYGbf7xsouDL60RBVzSsLZw</t>
  </si>
  <si>
    <t>Питерский сад</t>
  </si>
  <si>
    <t>PITERSKI</t>
  </si>
  <si>
    <t>https://www.youtube.com/channel/UCr1V5BvK4JC_UtIwxNHr8xw</t>
  </si>
  <si>
    <t>Ландшафтный дизайн природных садов</t>
  </si>
  <si>
    <t>https://gosuslugi.ru/snet/67a07cbfff34a8062d1026a5</t>
  </si>
  <si>
    <t>https://www.youtube.com/channel/UC6m1ZHReFHIVgUWQN9SN9Fw</t>
  </si>
  <si>
    <t>HARDCORE SPINNING</t>
  </si>
  <si>
    <t>https://nautilus-fishing.ru; https://www.wildberries.ru/catalog/240155188/detail.aspx?size=377531050</t>
  </si>
  <si>
    <t>HARDCORE</t>
  </si>
  <si>
    <t>https://www.youtube.com/channel/UCWD_P2go6wwMiM7bktaQS1w</t>
  </si>
  <si>
    <t>Садурский Сад Алена</t>
  </si>
  <si>
    <t>vk.com/id108242607; vk.com/public211643017; https://knd.gov.ru/license?</t>
  </si>
  <si>
    <t>SADURSKI</t>
  </si>
  <si>
    <t>https://www.youtube.com/channel/UCY2qrPWH001mKrwm3wCA-vw</t>
  </si>
  <si>
    <t>МishaDem рыбалка,охота и ...</t>
  </si>
  <si>
    <t>MISHADEM</t>
  </si>
  <si>
    <t>https://www.youtube.com/channel/UCzrgFt4HKYTkVKW9jNmC-6g</t>
  </si>
  <si>
    <t>Огород обо всём</t>
  </si>
  <si>
    <t>@iagoda16; https://max.ru/join/zpJzKQO9ugEy6Fse1PMW_3xgplx-_DK30yuihbKwTRY; https://vkvideo.ru/video-211939454_456239216?t=5s</t>
  </si>
  <si>
    <t>OGORODOB</t>
  </si>
  <si>
    <t>https://www.youtube.com/channel/UC3Z8GAoxx95pFJ0w4rGHMfA</t>
  </si>
  <si>
    <t>Зеленая стрела Ландшафтный центр</t>
  </si>
  <si>
    <t>https://zstrela-books.ru/sculpture; https://zstrela.ru</t>
  </si>
  <si>
    <t>ZELENAYA</t>
  </si>
  <si>
    <t>https://www.youtube.com/channel/UCCIVzoN6FqxYrtUU7j9mc4A</t>
  </si>
  <si>
    <t>Sibiryak007 про снасти</t>
  </si>
  <si>
    <t>@sibiryak_007; @Vasiliy_Sibiryak007; vk.com/public_sibiryak007</t>
  </si>
  <si>
    <t>SIBIRYAK</t>
  </si>
  <si>
    <t>https://www.youtube.com/channel/UCLUSs_T8V-N1fA6mRzHBVPQ</t>
  </si>
  <si>
    <t>Зеленый сад</t>
  </si>
  <si>
    <t>ZELENYIS</t>
  </si>
  <si>
    <t>https://www.youtube.com/channel/UCEEsDYRRYIObFua6WwXyjFQ</t>
  </si>
  <si>
    <t>Зелёный участок</t>
  </si>
  <si>
    <t>https://telega.in/channels/+YrddxawFBnRmMDAy/card</t>
  </si>
  <si>
    <t>ZELENYIU</t>
  </si>
  <si>
    <t>https://t.me/+YrddxawFBnRmMDAy</t>
  </si>
  <si>
    <t>Рыбалка с CF</t>
  </si>
  <si>
    <t>vk.com/cfcmpn; https://clck.ru/3CZxnL; https://clck.ru/3CZxxs</t>
  </si>
  <si>
    <t>https://www.youtube.com/channel/UCSgaUf38w4V-lYQsgzIle9w</t>
  </si>
  <si>
    <t>Домашние цветы. Комнатные и садовые растения.</t>
  </si>
  <si>
    <t>DOMASHNI</t>
  </si>
  <si>
    <t>https://www.youtube.com/channel/UCTjewNJmoLM0_l8rdYb-0vw</t>
  </si>
  <si>
    <t>Любимая дача</t>
  </si>
  <si>
    <t>oxana.efimova2012@gmail.com; @lubimay; @lubimaydacha_oksanaefimova; https://search.app/WyobmC54iXxXFBHi8; https://max.ru/join/WuhHYJW46P5qII_pfsRv_1gu_8tbFZ62RBH25An3M-w</t>
  </si>
  <si>
    <t>LYUBIMAY</t>
  </si>
  <si>
    <t>https://www.youtube.com/channel/UCL4nDNKbVrYflolrJgjj3eQ</t>
  </si>
  <si>
    <t>РЫНОК САДОВОД</t>
  </si>
  <si>
    <t>@moskvasadovod; @boost; @viki20_89; vk.com/rynok_sadovod_1; vk.com/rynok_sadovod_video; vk.com/viki2089; https://sadovodbaza.ru; https://max.ru/join/gTzqDKrYq2atZfk4DPYcurE6iftiMx23PV9cpFd4JBA</t>
  </si>
  <si>
    <t>RYNOKSAD</t>
  </si>
  <si>
    <t>https://www.youtube.com/channel/UCD6TSSZczKgyFibUV59QVBw</t>
  </si>
  <si>
    <t>Село и Юля</t>
  </si>
  <si>
    <t>https://telega.in/channels/celo_i_yulya/card</t>
  </si>
  <si>
    <t>SELOIYUL</t>
  </si>
  <si>
    <t>https://t.me/celo_i_yulya</t>
  </si>
  <si>
    <t>https://telega.in/channels/lubimaya_dacha/card</t>
  </si>
  <si>
    <t>https://t.me/lubimaya_dacha</t>
  </si>
  <si>
    <t>Дача по ютуб</t>
  </si>
  <si>
    <t>shabalina.a@list.ru</t>
  </si>
  <si>
    <t>DACHAPOY</t>
  </si>
  <si>
    <t>https://www.youtube.com/channel/UC48F-hy_vZEZe2kUUbFD_lQ</t>
  </si>
  <si>
    <t>ОгородУдачи</t>
  </si>
  <si>
    <t>OGORODUD</t>
  </si>
  <si>
    <t>https://www.youtube.com/channel/UCdV0J6GwaxJYJN0bhxyvi5w</t>
  </si>
  <si>
    <t>Позитивный огород</t>
  </si>
  <si>
    <t>https://gosuslugi.ru/snet/67d779325868046c67deadd4</t>
  </si>
  <si>
    <t>POZITIVN</t>
  </si>
  <si>
    <t>https://www.youtube.com/channel/UCTkDBZHx8pXgv88E3AI3zdQ</t>
  </si>
  <si>
    <t>Современное Земледелие</t>
  </si>
  <si>
    <t>https://rust-land.ru; https://rustneil.ru</t>
  </si>
  <si>
    <t>https://www.youtube.com/channel/UCnt2Z1xMelunuNGWftqOlbA</t>
  </si>
  <si>
    <t>Фёдор Бурмистров</t>
  </si>
  <si>
    <t>vk.com/id9439095; https://rutube.ru/channel/50113804; https://dzen.ru/id/64e3407076e43274ef165451</t>
  </si>
  <si>
    <t>FEDORBUR</t>
  </si>
  <si>
    <t>https://www.youtube.com/channel/UCl4kqoQwngako6KmYF4oVCw</t>
  </si>
  <si>
    <t>Еду на рыбалку!</t>
  </si>
  <si>
    <t>vk.com/id211391291</t>
  </si>
  <si>
    <t>EDUNARYB</t>
  </si>
  <si>
    <t>https://www.youtube.com/channel/UCA2-elZGIdo8YGlkpUIsF3g</t>
  </si>
  <si>
    <t>Виноградник Кіру</t>
  </si>
  <si>
    <t>https://vinogradnikkiru.wixsite.com/grape; https://www.syngenta.ua/sites/g/files/kgtney1466/files/media/document/2023/04/19/%D0%9A%D0%BD%D0%B8%D0%B3%D0%B0%20%D0%A8%D0%BA%D1%96%D0%B4%D0%BD%D0%B8%D0%BA%D0%B8%20%D0%B2%D0%B8%D0%BD%D0%BE%D0%B3%D1%80%D0%B0%D0%B4%D1%83.pdf</t>
  </si>
  <si>
    <t>https://www.youtube.com/channel/UCQrudabs2jRxEoQ3QP1zhGw</t>
  </si>
  <si>
    <t>трудовая рыбалка</t>
  </si>
  <si>
    <t>@TrydovayaRubalka; vk.com/club226883508; vk.com/casporator; https://finntrail.ru/~BFoleg; https://finntra</t>
  </si>
  <si>
    <t>TRUDOVAY</t>
  </si>
  <si>
    <t>https://www.youtube.com/channel/UCjV5wWtKPP0wGQUGpa2izkQ</t>
  </si>
  <si>
    <t>Уют&amp;Дача | Идеи</t>
  </si>
  <si>
    <t>https://telega.in/channels/+DjxoDXz6zqkwYWVi/card</t>
  </si>
  <si>
    <t>UYUTDACH</t>
  </si>
  <si>
    <t>https://t.me/+DjxoDXz6zqkwYWVi</t>
  </si>
  <si>
    <t>Рыбалка с Нуля</t>
  </si>
  <si>
    <t>@rybalkasnuly; vk.com/club178924342; vk.com/id6296017</t>
  </si>
  <si>
    <t>https://www.youtube.com/channel/UCGcSJTH8j4xhGGY4V2eo2mg</t>
  </si>
  <si>
    <t>Домашний огород с Кристиной</t>
  </si>
  <si>
    <t>@christi_home; vk.com/christi_home; https://taplink.cc/ogorodhome</t>
  </si>
  <si>
    <t>https://www.youtube.com/channel/UCSroPwuBhicb-XaZuner8ig</t>
  </si>
  <si>
    <t>Сергей Сидоряка</t>
  </si>
  <si>
    <t>http://orgorod.com/sell; http://forum.vinograd.info/blog.php?b=2598</t>
  </si>
  <si>
    <t>SERGEISI</t>
  </si>
  <si>
    <t>https://www.youtube.com/channel/UC5VJX9s0pI2Ra-phAQvl6MA</t>
  </si>
  <si>
    <t>Метод ловли щуки. Рыбалка</t>
  </si>
  <si>
    <t>METODLOV</t>
  </si>
  <si>
    <t>https://www.youtube.com/channel/UCqMUEoYlZaK8r0d3Q1gWkvA</t>
  </si>
  <si>
    <t>PLEINAIR</t>
  </si>
  <si>
    <t>https://goga.zone/u/PLEINAIR</t>
  </si>
  <si>
    <t>https://www.youtube.com/channel/UCaEa6gdwcs41EfgQKkJ-KKQ</t>
  </si>
  <si>
    <t>Александр Золкин – Реальная рыбалка на малых реках</t>
  </si>
  <si>
    <t>https://www.youtube.com/channel/UCw3ocPPBiohX0_-6L2oTsqQ</t>
  </si>
  <si>
    <t>ЗаводТеплиц.ру</t>
  </si>
  <si>
    <t>ZAVODTEP</t>
  </si>
  <si>
    <t>https://www.youtube.com/channel/UCtqlHqVuH-J4I8jHdJts7ig</t>
  </si>
  <si>
    <t>Bona Forte</t>
  </si>
  <si>
    <t>@bonaforte_official; vk.com/bonaforte; @bona_forte_professional; https://bona-forte.ru; https://www.wildberries.ru/catalog/48428869/detail.aspx?targetUrl=SN</t>
  </si>
  <si>
    <t>BONAFORT</t>
  </si>
  <si>
    <t>https://www.youtube.com/channel/UCMtfdS_we9nq_87L2v14krg</t>
  </si>
  <si>
    <t>чат Реальный садовод</t>
  </si>
  <si>
    <t>https://telega.in/channels/chat_realnyi_sadovod/card</t>
  </si>
  <si>
    <t>CHATREAL</t>
  </si>
  <si>
    <t>https://t.me/chat_realnyi_sadovod</t>
  </si>
  <si>
    <t>Дикая рыбалка</t>
  </si>
  <si>
    <t>@andy_wild_fishing</t>
  </si>
  <si>
    <t>DIKAYARY</t>
  </si>
  <si>
    <t>https://www.youtube.com/channel/UC03Grj5Eb-Z42zHFYVKwhAg</t>
  </si>
  <si>
    <t>Ягода и саженцы Дона</t>
  </si>
  <si>
    <t>YAGODAIS</t>
  </si>
  <si>
    <t>https://www.youtube.com/channel/UCSzv9H_d8EU9gejpF_crIIQ</t>
  </si>
  <si>
    <t>Сад Светланы</t>
  </si>
  <si>
    <t>asvetlana1974@yandex.ru</t>
  </si>
  <si>
    <t>SADSVETL</t>
  </si>
  <si>
    <t>https://www.youtube.com/channel/UCTZKHG95q3_vgsUUe9-1OuA</t>
  </si>
  <si>
    <t>Strogoorganic онлайн-школа садоводов</t>
  </si>
  <si>
    <t>info@school.strogoorganic.ru; @strogoorganic; vk.com/strogoorganic; https://strogoorganic.ru</t>
  </si>
  <si>
    <t>STROGOOR</t>
  </si>
  <si>
    <t>https://www.youtube.com/channel/UC-EYRkRgArSnO2eo8NbsUkw</t>
  </si>
  <si>
    <t>№1 БИРЖА РАСТЕНИЙ</t>
  </si>
  <si>
    <t>https://telega.in/channels/plantexchange/card</t>
  </si>
  <si>
    <t>1BIRZHAR</t>
  </si>
  <si>
    <t>https://t.me/plantexchange</t>
  </si>
  <si>
    <t>Рыболов из трущоб</t>
  </si>
  <si>
    <t>@riboloviztrushob; vk.com/riboloviztrushob; vk.com/id137974006; vk.com/oklures; https://www.ozon.ru/seller/rybolovnaya-akademiya; https://ozon.ru/t/JGNAjJb</t>
  </si>
  <si>
    <t>RYBOLOVI</t>
  </si>
  <si>
    <t>https://www.youtube.com/channel/UCnVkyAKSRgbFQmDZurdkb9Q</t>
  </si>
  <si>
    <t>Дачные советы. Сад и огород</t>
  </si>
  <si>
    <t>https://telega.in/channels/dachniesoveti/card</t>
  </si>
  <si>
    <t>https://t.me/dachniesoveti</t>
  </si>
  <si>
    <t>Хищный спиннинг</t>
  </si>
  <si>
    <t>vk.com/club226775763</t>
  </si>
  <si>
    <t>HISHNYIS</t>
  </si>
  <si>
    <t>https://www.youtube.com/channel/UCi0QH6N_TzzgMw_aodYwoug</t>
  </si>
  <si>
    <t>ICE HOUSE отдых рыбалка</t>
  </si>
  <si>
    <t>@IceHouse_otshelnik; vk.com/club201553143; https://домик-на-льду.рф</t>
  </si>
  <si>
    <t>ICEHOUSE</t>
  </si>
  <si>
    <t>https://www.youtube.com/channel/UCEwuMgDwXxcCBSGmeKerF5w</t>
  </si>
  <si>
    <t>Счастливый огородник</t>
  </si>
  <si>
    <t>SCHASTLI</t>
  </si>
  <si>
    <t>https://www.youtube.com/channel/UCtunIaslnBSQsZseaYHzFWQ</t>
  </si>
  <si>
    <t>Удобрения «ЕвроХим» для стран СНГ</t>
  </si>
  <si>
    <t>@fertilizereurochem; @eurochem_trading; https://max.ru/id7721230290_biz; https://vkvideo.ru/@eurochem_trading</t>
  </si>
  <si>
    <t>UDOBRENI</t>
  </si>
  <si>
    <t>https://www.youtube.com/channel/UCNMuYql6jE7TXXBQh_zxOww</t>
  </si>
  <si>
    <t>Рыбалка моими глазами Москва и область</t>
  </si>
  <si>
    <t>RYBALKAM</t>
  </si>
  <si>
    <t>https://www.youtube.com/channel/UCjZmn1WEljhgIc7X20Gr4NA</t>
  </si>
  <si>
    <t>Огород на Нерли</t>
  </si>
  <si>
    <t>OGORODNA</t>
  </si>
  <si>
    <t>https://www.youtube.com/channel/UCE-9s5_ReW4ZJd0Fkv3GiOA</t>
  </si>
  <si>
    <t>Рыбалка с Dmitry Tolkynov</t>
  </si>
  <si>
    <t>vk.com/id72324892; vk.com/carppeletc31; vk.com/tolkynov88; https://www.armytek.ru; https://m.avito.ru/ekaterinburg/ohota_i_rybalka/turbopechki_1533332241?utm_campaign=native&amp;utm_medium=item_page_ios&amp;utm_source=soc_sharing</t>
  </si>
  <si>
    <t>https://www.youtube.com/channel/UCYgytz3d3RBPWcbXbmgH24A</t>
  </si>
  <si>
    <t>Рыбалка с РыбоМанами</t>
  </si>
  <si>
    <t>https://crodis.ru; https://crodis.ru/catalog/tproduct/504338638302-kostyum-muzhskoi-zimnii-poplavok-korsar</t>
  </si>
  <si>
    <t>https://www.youtube.com/channel/UCshD-psWM53OL1VD7HOWf8g</t>
  </si>
  <si>
    <t>Сад в Подмосковье, Алекса́ндр.</t>
  </si>
  <si>
    <t>sadumoskouakap@mail.ru</t>
  </si>
  <si>
    <t>SADVPODM</t>
  </si>
  <si>
    <t>https://www.youtube.com/channel/UCbaPc6BlTbfDakQrWW9aj3Q</t>
  </si>
  <si>
    <t>Наш Рыболов</t>
  </si>
  <si>
    <t>@nash_rybolov; vk.com/nash_rybolov; vk.com/club203753120</t>
  </si>
  <si>
    <t>NASHRYBO</t>
  </si>
  <si>
    <t>https://www.youtube.com/channel/UCYSayBOaiJE6xdtL1Q9KDNw</t>
  </si>
  <si>
    <t>СОВЕТЫ БИОЛОГА</t>
  </si>
  <si>
    <t>https://telega.in/channels/SovBio/card</t>
  </si>
  <si>
    <t>SOVETYBI</t>
  </si>
  <si>
    <t>https://t.me/SovBio</t>
  </si>
  <si>
    <t>Ландшафтный дизайн / Landscapes Designs🏡</t>
  </si>
  <si>
    <t>https://telega.in/channels/landshaft_blog/card</t>
  </si>
  <si>
    <t>https://t.me/landshaft_blog</t>
  </si>
  <si>
    <t>EDWARD KOSICHKA</t>
  </si>
  <si>
    <t>@edwardkosichka; vk.com/public214758067; vk.com/id603927355</t>
  </si>
  <si>
    <t>EDWARDKO</t>
  </si>
  <si>
    <t>https://www.youtube.com/channel/UCVa8-buprtFVk7KyD5GPerA</t>
  </si>
  <si>
    <t>Огород на даче 🏡</t>
  </si>
  <si>
    <t>https://telega.in/channels/+Y4Cct8pa-RNiOWJi/card</t>
  </si>
  <si>
    <t>https://t.me/+Y4Cct8pa-RNiOWJi</t>
  </si>
  <si>
    <t>https://telega.in/channels/n9LeDpunLwVkMTBi/card</t>
  </si>
  <si>
    <t>https://t.me/n9LeDpunLwVkMTBi</t>
  </si>
  <si>
    <t>Рыболов Михалыч</t>
  </si>
  <si>
    <t>RYBOLOVM</t>
  </si>
  <si>
    <t>https://www.youtube.com/channel/UCqQ14a3NPTkpAfmb9rzLp3Q</t>
  </si>
  <si>
    <t>Питомник Крапива Пермь</t>
  </si>
  <si>
    <t>https://t.me/+OEQBzfesW2gyNjIy; https://krapivaperm.ru</t>
  </si>
  <si>
    <t>PITOMNIK</t>
  </si>
  <si>
    <t>https://www.youtube.com/channel/UCBXHEcJgyC_tWesCqqnrg-A</t>
  </si>
  <si>
    <t>EF Саженцы, семена, удобрения, СЗР,</t>
  </si>
  <si>
    <t>https://telega.in/channels/fruittechnology/card</t>
  </si>
  <si>
    <t>EFSAZHEN</t>
  </si>
  <si>
    <t>https://t.me/fruittechnology</t>
  </si>
  <si>
    <t>Мужская Тема</t>
  </si>
  <si>
    <t>MUZHSKAY</t>
  </si>
  <si>
    <t>https://www.youtube.com/channel/UC00j6N2B3toc5sG6ZGB5okQ</t>
  </si>
  <si>
    <t>Огород без хлопот</t>
  </si>
  <si>
    <t>https://telega.in/channels/+lI052Q8bhnE5MTZi/card</t>
  </si>
  <si>
    <t>https://t.me/+lI052Q8bhnE5MTZi</t>
  </si>
  <si>
    <t>Dmitry Drozdov</t>
  </si>
  <si>
    <t>https://boosty.to/guidefishing/donate</t>
  </si>
  <si>
    <t>DMITRYDR</t>
  </si>
  <si>
    <t>https://www.youtube.com/channel/UCQzdWRWGdpFHiwhgdRtTzLw</t>
  </si>
  <si>
    <t>Акованцев Михаил</t>
  </si>
  <si>
    <t>AKOVANCE</t>
  </si>
  <si>
    <t>https://www.youtube.com/channel/UCsBSo_hIgetL8f8cAAahBlQ</t>
  </si>
  <si>
    <t>Шмелевы в деле. Олег и Елена.</t>
  </si>
  <si>
    <t>https://zen.yandex.ru/profile/editor/id/61d2da2119d65a04d5af8966</t>
  </si>
  <si>
    <t>SHMELEVY</t>
  </si>
  <si>
    <t>https://www.youtube.com/channel/UCRheQmw7639AzT92sWgZ-Yg</t>
  </si>
  <si>
    <t>Рыбалка\Походы на Raslabone</t>
  </si>
  <si>
    <t>sasha19801980@list.ru; @Fishing_with_Raslabon; @raslabon_hat; vk.com/id365406464; https://www.donationalerts.com/r/raslabonstrim; https://qiwi.com/n/NUMER491---Кошелёк</t>
  </si>
  <si>
    <t>https://www.youtube.com/channel/UCAEqaGmAsmGmxFuoBO9bYrw</t>
  </si>
  <si>
    <t>Сад Бессоновой Светланы</t>
  </si>
  <si>
    <t>vk.com/cvet_svetlanki; vk.com/clublivingwithflowers</t>
  </si>
  <si>
    <t>SADBESSO</t>
  </si>
  <si>
    <t>https://www.youtube.com/channel/UC4jgTe-QH-jrK6eCF_-ptXw</t>
  </si>
  <si>
    <t>Дача, сад и огород 🥕</t>
  </si>
  <si>
    <t>DACHASAD</t>
  </si>
  <si>
    <t>https://www.youtube.com/channel/UCz_XsQ13UQjmlJu5VKY-bgg</t>
  </si>
  <si>
    <t>Где Дэн?</t>
  </si>
  <si>
    <t>vk.com/wheredan; vk.com/id556978152</t>
  </si>
  <si>
    <t>GDEDEN</t>
  </si>
  <si>
    <t>https://www.youtube.com/channel/UC4dqt5xDNmesDx8ufr1FGVw</t>
  </si>
  <si>
    <t>Олеся Киях</t>
  </si>
  <si>
    <t>@lovedacha</t>
  </si>
  <si>
    <t>OLESYAKI</t>
  </si>
  <si>
    <t>https://www.youtube.com/channel/UC6VTk7QrS_9u25AKAUPk_vw</t>
  </si>
  <si>
    <t>Голавль На Спиннинг</t>
  </si>
  <si>
    <t>GOLAVLNA</t>
  </si>
  <si>
    <t>https://www.youtube.com/channel/UCTzz3l8qYpha2KdaDsMhftA</t>
  </si>
  <si>
    <t>ТК "САДОВОД" наизнанку!</t>
  </si>
  <si>
    <t>TKSADOVO</t>
  </si>
  <si>
    <t>https://www.youtube.com/channel/UCCwenXAI050EmnLtQfJROkg</t>
  </si>
  <si>
    <t>FISHING 51. В ПОИСКАХ РЫБАЦКОГО СЧАСТЬЯ</t>
  </si>
  <si>
    <t>FISHING5</t>
  </si>
  <si>
    <t>https://www.youtube.com/channel/UCb1B0fggj3bk1lfbw0N41GQ</t>
  </si>
  <si>
    <t>Ваш САД и ОГОРОД</t>
  </si>
  <si>
    <t>@lifeinthegarden</t>
  </si>
  <si>
    <t>VASHSADI</t>
  </si>
  <si>
    <t>https://www.youtube.com/channel/UCQdNtv7Q7AmAyp1l6pqvPzw</t>
  </si>
  <si>
    <t>Лещевый канал (Рыбалка 47 регион)</t>
  </si>
  <si>
    <t>@fisher47region; vk.com/club227036191; https://max.ru/join/pFdzVCrKNfByAqm1xbis_83Y5TMob9-ODC-qmljz_Hg</t>
  </si>
  <si>
    <t>LESHEVYI</t>
  </si>
  <si>
    <t>https://www.youtube.com/channel/UCSNRHh4XAdcTiZIIwuMNO9A</t>
  </si>
  <si>
    <t>Рыбалка с Артемычем</t>
  </si>
  <si>
    <t>vk.com/rvko_team; @temkin727</t>
  </si>
  <si>
    <t>https://www.youtube.com/channel/UC652So1ACltez1kGYfVSgUQ</t>
  </si>
  <si>
    <t>Рыболов Севера</t>
  </si>
  <si>
    <t>@Rybolov_Severa; https://rutube.ru; https://dzen.ru</t>
  </si>
  <si>
    <t>RYBOLOVS</t>
  </si>
  <si>
    <t>https://www.youtube.com/channel/UCyu9sQ13gpX3EQoQVU278Mg</t>
  </si>
  <si>
    <t>Охота Рыбалка Сибири!</t>
  </si>
  <si>
    <t>https://rutube.ru/video/78ae4adf7801b5a38e5b65965c47be85</t>
  </si>
  <si>
    <t>OHOTARYB</t>
  </si>
  <si>
    <t>https://www.youtube.com/channel/UCFBojaP5-dbLHC2LGK7kOMQ</t>
  </si>
  <si>
    <t>Вот это дача</t>
  </si>
  <si>
    <t>@lenasblackhouse</t>
  </si>
  <si>
    <t>VOTETODA</t>
  </si>
  <si>
    <t>https://www.youtube.com/channel/UC3Y7Tx6l-QqEOvaLmuiZ1Nw</t>
  </si>
  <si>
    <t>Ода даче: советы и секреты🏡</t>
  </si>
  <si>
    <t>https://telega.in/channels/odadache/card</t>
  </si>
  <si>
    <t>ODADACHE</t>
  </si>
  <si>
    <t>https://t.me/odadache</t>
  </si>
  <si>
    <t>Fishing Karelia</t>
  </si>
  <si>
    <t>@Fishing_Karelia; vk.com/krezidog1; vk.com/fishing_kareliy; https://donatepay.ru/don/1065589</t>
  </si>
  <si>
    <t>FISHINGK</t>
  </si>
  <si>
    <t>https://www.youtube.com/channel/UCGiYK2lEQcDRFczxcdaJYKg</t>
  </si>
  <si>
    <t>🏠Дача с умом | Огород</t>
  </si>
  <si>
    <t>https://telega.in/channels/+dEBC6CqyGyBmZDA6/card</t>
  </si>
  <si>
    <t>https://t.me/+dEBC6CqyGyBmZDA6</t>
  </si>
  <si>
    <t>Fishing Team ПРАВИЛЬНАЯ ПОДСЕЧКА</t>
  </si>
  <si>
    <t>@pravilnaya_podsechka</t>
  </si>
  <si>
    <t>FISHINGT</t>
  </si>
  <si>
    <t>https://www.youtube.com/channel/UCvkEbk8P5MmU2qMRtOprhbw</t>
  </si>
  <si>
    <t>Дача на радость</t>
  </si>
  <si>
    <t>6890082@mail.ru</t>
  </si>
  <si>
    <t>DACHANAR</t>
  </si>
  <si>
    <t>https://www.youtube.com/channel/UCCjav8SVUMsaJIzonWR0WKw</t>
  </si>
  <si>
    <t>На Дачу🏡</t>
  </si>
  <si>
    <t>https://telega.in/channels/nadachyu/card</t>
  </si>
  <si>
    <t>NADACHU</t>
  </si>
  <si>
    <t>https://t.me/nadachyu</t>
  </si>
  <si>
    <t>Ягода с акцентом</t>
  </si>
  <si>
    <t>YAGODASA</t>
  </si>
  <si>
    <t>https://www.youtube.com/channel/UCCh5MKcGC_e2qrpnHK6bx9Q</t>
  </si>
  <si>
    <t>CARPLIFE TV - здесь живет карпфишинг!</t>
  </si>
  <si>
    <t>vk.com/carplife; vk.com/superhero86; @carplife_ru; http://carplife.ru; http://akubens.ru/catalog-of-product/carp/sumki/ak-31751-sumka-dlya-karpovoj-rybalki</t>
  </si>
  <si>
    <t>CARPLIFE</t>
  </si>
  <si>
    <t>https://www.youtube.com/channel/UCToeTGK07TFesq17RQ0TEgg</t>
  </si>
  <si>
    <t>Огород у дома</t>
  </si>
  <si>
    <t>https://telega.in/channels/+WUt9-GCYsaXnGYjU/card</t>
  </si>
  <si>
    <t>https://t.me/+WUt9-GCYsaXnGYjU</t>
  </si>
  <si>
    <t>Нахлыст. Рыбалка в Сибири</t>
  </si>
  <si>
    <t>NAHLYSTR</t>
  </si>
  <si>
    <t>https://www.youtube.com/channel/UCu7WDCVDJfgdKzFNRtq6Ljw</t>
  </si>
  <si>
    <t>Дачник со стажем</t>
  </si>
  <si>
    <t>https://telega.in/channels/+VbKOT6Ig2A80NmIy/card</t>
  </si>
  <si>
    <t>DACHNIKS</t>
  </si>
  <si>
    <t>https://t.me/+VbKOT6Ig2A80NmIy</t>
  </si>
  <si>
    <t>Помидорный блогер</t>
  </si>
  <si>
    <t>https://telega.in/channels/pomidornyy_bloger/card</t>
  </si>
  <si>
    <t>POMIDORN</t>
  </si>
  <si>
    <t>https://t.me/pomidornyy_bloger</t>
  </si>
  <si>
    <t>Дача🍅огород🥕жизнь</t>
  </si>
  <si>
    <t>https://telega.in/channels/dacha2702/card</t>
  </si>
  <si>
    <t>DACHAOGO</t>
  </si>
  <si>
    <t>https://t.me/dacha2702</t>
  </si>
  <si>
    <t>Теплица от Николая</t>
  </si>
  <si>
    <t>+7-902-868-04-22 (Николай, теплицы Челябинск)</t>
  </si>
  <si>
    <t>TEPLICAO</t>
  </si>
  <si>
    <t>https://www.youtube.com/channel/UC-7PF9rLc6viSXpv5bt8sLA</t>
  </si>
  <si>
    <t>Ловись, рыбка 67!...</t>
  </si>
  <si>
    <t>LOVISRYB</t>
  </si>
  <si>
    <t>https://www.youtube.com/channel/UCT7qe7OJm-CHMP0ohvsbrCg</t>
  </si>
  <si>
    <t>AgroBlog Светланы Золотарёвой</t>
  </si>
  <si>
    <t>https://organicschool.ru/marafonogorod_base?utm_source=youtube&amp;utm_medium=base</t>
  </si>
  <si>
    <t>AGROBLOG</t>
  </si>
  <si>
    <t>https://www.youtube.com/channel/UCz9r2-3zU0FDjV17i3cD4HQ</t>
  </si>
  <si>
    <t>Огород в радость | Дача</t>
  </si>
  <si>
    <t>https://telega.in/channels/RwusT86bCyRiYjgy/card</t>
  </si>
  <si>
    <t>OGORODVR</t>
  </si>
  <si>
    <t>https://t.me/RwusT86bCyRiYjgy</t>
  </si>
  <si>
    <t>Рыбалки, спиннинги и воблеры Алексея Татарчука</t>
  </si>
  <si>
    <t>https://nautilus-fishing.ru/catalog/primanki/voblery/lucky_craft_3</t>
  </si>
  <si>
    <t>RYBALKIS</t>
  </si>
  <si>
    <t>https://www.youtube.com/channel/UCpr-BD1Z9iF7huOBpOHlfuw</t>
  </si>
  <si>
    <t>D F (Donbass Fishing) - рыболовный канал</t>
  </si>
  <si>
    <t>@dfdonbassfishing; vk.com/club160362520; vk.com/club229466501; vk.com/fishmagnitdnr</t>
  </si>
  <si>
    <t>DFDONBAS</t>
  </si>
  <si>
    <t>https://www.youtube.com/channel/UC6ZrQFLm6PtD0lxi2PCmd5w</t>
  </si>
  <si>
    <t>https://telega.in/channels/TlBp4fhLaY44YmUy/card</t>
  </si>
  <si>
    <t>https://t.me/TlBp4fhLaY44YmUy</t>
  </si>
  <si>
    <t>Ленивая фазенда</t>
  </si>
  <si>
    <t>https://telega.in/channels/+A9anQBJ-2941MzAy/card</t>
  </si>
  <si>
    <t>LENIVAYA</t>
  </si>
  <si>
    <t>https://t.me/+A9anQBJ-2941MzAy</t>
  </si>
  <si>
    <t>Теплица66 - Теплицы для практичных людей</t>
  </si>
  <si>
    <t>https://teplica66.ru</t>
  </si>
  <si>
    <t>TEPLICA6</t>
  </si>
  <si>
    <t>https://www.youtube.com/channel/UCN-yvbCtuP06_5dv47aHREg</t>
  </si>
  <si>
    <t>РЫБАЛКА 96</t>
  </si>
  <si>
    <t>https://ozon.ru/t/RldJn65</t>
  </si>
  <si>
    <t>RYBALKA9</t>
  </si>
  <si>
    <t>https://www.youtube.com/channel/UCV1HyuzLsUVthfWGVoLboow</t>
  </si>
  <si>
    <t>Фермер-садовод ЛНР | ДНР</t>
  </si>
  <si>
    <t>https://telega.in/channels/fermer_lnr/card</t>
  </si>
  <si>
    <t>FERMERSA</t>
  </si>
  <si>
    <t>https://t.me/fermer_lnr</t>
  </si>
  <si>
    <t>ВСЕВПАРК ландшафтный клуб</t>
  </si>
  <si>
    <t>https://telega.in/channels/vsevpark/card</t>
  </si>
  <si>
    <t>VSEVPARK</t>
  </si>
  <si>
    <t>https://t.me/vsevpark</t>
  </si>
  <si>
    <t>Дача и огород🏡</t>
  </si>
  <si>
    <t>https://telega.in/channels/dachaogorod_sad/card</t>
  </si>
  <si>
    <t>DACHAIOG</t>
  </si>
  <si>
    <t>https://t.me/dachaogorod_sad</t>
  </si>
  <si>
    <t>Golovanov</t>
  </si>
  <si>
    <t>GOLOVANO</t>
  </si>
  <si>
    <t>https://www.youtube.com/channel/UCK_g-ASIP2sPR0F2zEWKLJQ</t>
  </si>
  <si>
    <t>Рыболов 22</t>
  </si>
  <si>
    <t>RYBOLOV2</t>
  </si>
  <si>
    <t>https://www.youtube.com/channel/UCyZfzJ2tXxyVqmsRCSJasBg</t>
  </si>
  <si>
    <t>Ecogarden. Ландшафтный дизайн в Москве</t>
  </si>
  <si>
    <t>@ecogarden_mos; vk.com/ecogarden.moscow; @ecogarden.moscow; https://ecogarden.moscow; https://dzen.ru/ecogarden; https://rutube.ru/channel/38665533; https://tiktok.com/@ecogarden.moscow; WhatsApp: wa.me/message/IBE2VOUYRYC2O1</t>
  </si>
  <si>
    <t>ECOGARDE</t>
  </si>
  <si>
    <t>https://www.youtube.com/channel/UCTJmYYQ-wwv8-Qpfo_7Kx2Q</t>
  </si>
  <si>
    <t>Удачная Усадьба</t>
  </si>
  <si>
    <t>https://www.youtube.com/channel/UCozR0E4L_82KmZJLfpkroLA</t>
  </si>
  <si>
    <t>рыбалка30rus</t>
  </si>
  <si>
    <t>sedoi.78@mail.ru</t>
  </si>
  <si>
    <t>RYBALKA3</t>
  </si>
  <si>
    <t>https://www.youtube.com/channel/UC-urcyBJUl0uO-CdMYJ7wqA</t>
  </si>
  <si>
    <t>СТРАННИК 73</t>
  </si>
  <si>
    <t>vk.com/korchagin65</t>
  </si>
  <si>
    <t>STRANNIK</t>
  </si>
  <si>
    <t>https://www.youtube.com/channel/UCF3B-GnPyK5_pXj7gXfbcmA</t>
  </si>
  <si>
    <t>Орхидеи чат flowers-yuga.ru</t>
  </si>
  <si>
    <t>https://telega.in/channels/orhidey23/card</t>
  </si>
  <si>
    <t>ORHIDEIC</t>
  </si>
  <si>
    <t>https://t.me/orhidey23</t>
  </si>
  <si>
    <t>Блог Алексея Ревтова</t>
  </si>
  <si>
    <t>vk.com/id162332980</t>
  </si>
  <si>
    <t>BLOGALEK</t>
  </si>
  <si>
    <t>https://www.youtube.com/channel/UCetcVcgV-q3S9xFAT3kPPHA</t>
  </si>
  <si>
    <t>Многогранный сад  . Pogos Harutyunyan</t>
  </si>
  <si>
    <t>@pogos_28; vk.com/club230564206; https://max.ru/join/egMlE1yOZpWsvmnXGsiq2PwDt2flFscMC4CZ9mIrm-U</t>
  </si>
  <si>
    <t>MNOGOGRA</t>
  </si>
  <si>
    <t>https://www.youtube.com/channel/UCQ-rcdEyBgRboa97m8xfm8Q</t>
  </si>
  <si>
    <t>Дачные истории</t>
  </si>
  <si>
    <t>https://telega.in/channels/dachnye_istory/card</t>
  </si>
  <si>
    <t>https://t.me/dachnye_istory</t>
  </si>
  <si>
    <t>Любимый сад в Сибири</t>
  </si>
  <si>
    <t>LYUBIMYI</t>
  </si>
  <si>
    <t>https://www.youtube.com/channel/UCj7KVhif1HC-MO0HaX8RrdA</t>
  </si>
  <si>
    <t>РЫБАЛКА 56</t>
  </si>
  <si>
    <t>https://v</t>
  </si>
  <si>
    <t>https://www.youtube.com/channel/UCtY00YREGbLzlMx5S1hqAsA</t>
  </si>
  <si>
    <t>Рыбалка Наша Страсть Рыбалка с Дмитрием.</t>
  </si>
  <si>
    <t>https://www.youtube.com/channel/UCv7sdOGaSXozR7WP7KkvPYw</t>
  </si>
  <si>
    <t>Петербургский Рыболов</t>
  </si>
  <si>
    <t>i@fisher78.ru; vk.com/loz_baits; vk.com/loz_bai; https://www.donationalerts.com/r/piter_fisher</t>
  </si>
  <si>
    <t>PETERBUR</t>
  </si>
  <si>
    <t>https://www.youtube.com/channel/UC9J-izh_ymeEfwIvO5kTsZg</t>
  </si>
  <si>
    <t>Дмитрий Тароев Tadivan</t>
  </si>
  <si>
    <t>Tadivan@yandex.ru; @DmitriiTadivan</t>
  </si>
  <si>
    <t>DMITRIIT</t>
  </si>
  <si>
    <t>https://www.youtube.com/channel/UCWX9hjZS4m7_fuEYWWVlVqg</t>
  </si>
  <si>
    <t>“JANNA Collection” #Садовод женская одежда</t>
  </si>
  <si>
    <t>JANNACOL</t>
  </si>
  <si>
    <t>https://www.youtube.com/channel/UClkWA2QIFZtFxUvUajlkTzw</t>
  </si>
  <si>
    <t>Любимый сад и огород</t>
  </si>
  <si>
    <t>https://www.youtube.com/channel/UCutIgUh6rJLY4v36QI58HPA</t>
  </si>
  <si>
    <t>Профессор Грядкин 🌱</t>
  </si>
  <si>
    <t>https://telega.in/channels/+yKbDZiWvbLZiOTZi/card</t>
  </si>
  <si>
    <t>PROFESSO</t>
  </si>
  <si>
    <t>https://t.me/+yKbDZiWvbLZiOTZi</t>
  </si>
  <si>
    <t>Жизнь на Грядке</t>
  </si>
  <si>
    <t>ZHIZNNAG</t>
  </si>
  <si>
    <t>https://www.youtube.com/channel/UCF8LQlN_4StUH_1gm2j2MZA</t>
  </si>
  <si>
    <t>ABC Теплица</t>
  </si>
  <si>
    <t>ABCTEPLI</t>
  </si>
  <si>
    <t>https://www.youtube.com/channel/UC8sXTuioL2NnDD_FMCO1EWw</t>
  </si>
  <si>
    <t>Дача и огород</t>
  </si>
  <si>
    <t>https://telega.in/channels/dacha_garden_365/card</t>
  </si>
  <si>
    <t>https://t.me/dacha_garden_365</t>
  </si>
  <si>
    <t>Менеджер на грядке 👩‍🌾</t>
  </si>
  <si>
    <t>https://telega.in/channels/ulyana_manager1/card</t>
  </si>
  <si>
    <t>MENEDZHE</t>
  </si>
  <si>
    <t>https://t.me/ulyana_manager1</t>
  </si>
  <si>
    <t>РАСТЕНИЯ ОПТОМ</t>
  </si>
  <si>
    <t>https://telega.in/channels/plants_opt/card</t>
  </si>
  <si>
    <t>RASTENIY</t>
  </si>
  <si>
    <t>https://t.me/plants_opt</t>
  </si>
  <si>
    <t>ЗИМНЯЯ РЫБАЛКА в КОЛХОЗЕ Красный МАЙ!!!!</t>
  </si>
  <si>
    <t>ZIMNYAYA</t>
  </si>
  <si>
    <t>https://www.youtube.com/channel/UChu51ypMJuXXVRev9DhzjTw</t>
  </si>
  <si>
    <t>САДОВОД НАСИБА ТУРЕЦКИЕ ПЛАТЬЯ</t>
  </si>
  <si>
    <t>SADOVODN</t>
  </si>
  <si>
    <t>https://www.youtube.com/channel/UCA76OTotHzTN0WtuxlUSMrQ</t>
  </si>
  <si>
    <t>Нахлыст с Комариком. Кромаренко Сергей</t>
  </si>
  <si>
    <t>@flyfishru; vk.com/flyfishing_ru; http://fly-fishing.ru/shop/tackle/rods/kola-salmontm/odnoruchnye-udilishcha/odnoruchnyie-udilischa-serii-sf-feather-nymph-specia</t>
  </si>
  <si>
    <t>NAHLYSTS</t>
  </si>
  <si>
    <t>https://www.youtube.com/channel/UCkp8AhXCE4nONE3TioCr5RQ</t>
  </si>
  <si>
    <t>Факты о рыбалке, снасти, трофеи, лайфхаки</t>
  </si>
  <si>
    <t>FAKTYORY</t>
  </si>
  <si>
    <t>https://www.youtube.com/channel/UCshVQDCJZ55XcBsmE8wPQ0w</t>
  </si>
  <si>
    <t>Огородные делишки и не только</t>
  </si>
  <si>
    <t>OGORODNY</t>
  </si>
  <si>
    <t>https://www.youtube.com/channel/UCehXjbovmrFebLP0dVyM27A</t>
  </si>
  <si>
    <t>Моя Дача</t>
  </si>
  <si>
    <t>https://telega.in/channels/+Rri5n8AqLTdKGwCv/card</t>
  </si>
  <si>
    <t>https://t.me/+Rri5n8AqLTdKGwCv</t>
  </si>
  <si>
    <t>Живу на Волге.</t>
  </si>
  <si>
    <t>ZHIVUNAV</t>
  </si>
  <si>
    <t>https://www.youtube.com/channel/UCsdAU_IYxjeu7rODYQZesLw</t>
  </si>
  <si>
    <t>ZUB | Тотальный Спиннинг | Рыбалка</t>
  </si>
  <si>
    <t>vk.com/zub_spinning; https://zubbaits.ru</t>
  </si>
  <si>
    <t>ZUBTOTAL</t>
  </si>
  <si>
    <t>https://www.youtube.com/channel/UCVOqQRyxzCw50EZyiXGsA1Q</t>
  </si>
  <si>
    <t>Питомник растений «Солнечное»</t>
  </si>
  <si>
    <t>@pitomniksolnce; vk.com/pitomniksolnce; https://max.ru/join/34dYtWSDdd9rhiTSsg_Xk5-424zaz6NKHtS78w0Ohj4</t>
  </si>
  <si>
    <t>https://www.youtube.com/channel/UCvQ3xOlohF98v4Wj-3clV1w</t>
  </si>
  <si>
    <t>Дача сад огород</t>
  </si>
  <si>
    <t>https://telega.in/channels/dacha_ogorod_blog/card</t>
  </si>
  <si>
    <t>https://t.me/dacha_ogorod_blog</t>
  </si>
  <si>
    <t>ДАЧА</t>
  </si>
  <si>
    <t>https://telega.in/channels/+sJIrt14yHuQxMTVi/card</t>
  </si>
  <si>
    <t>DACHA</t>
  </si>
  <si>
    <t>https://t.me/+sJIrt14yHuQxMTVi</t>
  </si>
  <si>
    <t>🏠 Дачные идеи</t>
  </si>
  <si>
    <t>https://telega.in/channels/wCZrU9zwkmE5ZDgy/card</t>
  </si>
  <si>
    <t>https://t.me/wCZrU9zwkmE5ZDgy</t>
  </si>
  <si>
    <t>Чат садоводов (Вдали от города)</t>
  </si>
  <si>
    <t>https://telega.in/channels/+D_R3sAuj301hYTgy/card</t>
  </si>
  <si>
    <t>CHATSADO</t>
  </si>
  <si>
    <t>https://t.me/+D_R3sAuj301hYTgy</t>
  </si>
  <si>
    <t>Lures Mania (Лёха)</t>
  </si>
  <si>
    <t>LURESMAN</t>
  </si>
  <si>
    <t>https://www.youtube.com/channel/UCpVLske5SvQnsfm3sTo7oMw</t>
  </si>
  <si>
    <t>Рыбалка 73</t>
  </si>
  <si>
    <t>RYBALKA7</t>
  </si>
  <si>
    <t>https://www.youtube.com/channel/UCqVq8NAPpTgcjPhNDWk07gA</t>
  </si>
  <si>
    <t>Сад | Огород | Подсобное хозяйство | Объявления | Калининград</t>
  </si>
  <si>
    <t>https://telega.in/channels/podsob39/card</t>
  </si>
  <si>
    <t>https://t.me/podsob39</t>
  </si>
  <si>
    <t>Красноярский Рыбак</t>
  </si>
  <si>
    <t>KRASNOYA</t>
  </si>
  <si>
    <t>https://www.youtube.com/channel/UCnu8rv-mECXELdrZwdNH8gA</t>
  </si>
  <si>
    <t>Школа Садоводов</t>
  </si>
  <si>
    <t>SHKOLASA</t>
  </si>
  <si>
    <t>https://www.youtube.com/channel/UCnOZZhPvUPjJXU1L47HpfoQ</t>
  </si>
  <si>
    <t>O.Danilov Fishing</t>
  </si>
  <si>
    <t>vk.com/n.yakushev83; vk.com/oblomovprodavan; vk.com/id468441661</t>
  </si>
  <si>
    <t>ODANILOV</t>
  </si>
  <si>
    <t>https://www.youtube.com/channel/UCNEXmdV74psIDxLDR-UAv6A</t>
  </si>
  <si>
    <t>Рыболов 69</t>
  </si>
  <si>
    <t>https://globaldrive.ru/moskva/power_equipment/snegouborschik/%D1%81%D0%BD%D0%B5%D0%B3%D0%BE%D1%83%D0%B1%D0%BE%D1%80%D1%89%D0%B8%D0%BA-kettama-storm-kta60-b-clone; https://globaldrive.ru/moskva/motory/2%D1%85-%D1%82%D0%B0%D0%BA%D1%82%D0%BD%D1%8B%D0%B9-%D0%BB%D0%BE%D0%B4%D0%BE%D1%87%D0%BD%D1%8B%D0%B9-%D0%BC%D0%BE%D1%82%D0%BE%D1%80-mikatsu-m9.9fhs</t>
  </si>
  <si>
    <t>RYBOLOV6</t>
  </si>
  <si>
    <t>https://www.youtube.com/channel/UCKK6NjFK9B8-ZHuP_MMj2wQ</t>
  </si>
  <si>
    <t>Зелёная линия</t>
  </si>
  <si>
    <t>https://www.youtube.com/channel/UCmUWlK5vVqYw2NpeNMyfxlw</t>
  </si>
  <si>
    <t>Спиннинг RZN</t>
  </si>
  <si>
    <t>https://www.youtube.com/channel/UC6SHaBrN99PHkoRmGBZfS6g</t>
  </si>
  <si>
    <t>Дачные ответы</t>
  </si>
  <si>
    <t>https://telega.in/channels/dachnie_otvety/card</t>
  </si>
  <si>
    <t>DACHNYEO</t>
  </si>
  <si>
    <t>https://t.me/dachnie_otvety</t>
  </si>
  <si>
    <t>Теплицы Ботаник</t>
  </si>
  <si>
    <t>https://ags-agro.by/produkcziya/tepliczyi-iz-policarbonat/teplicy-botanik-tyulpan/antishtorm; https://ags-agro.by/partneryi</t>
  </si>
  <si>
    <t>TEPLICYB</t>
  </si>
  <si>
    <t>https://www.youtube.com/channel/UCwTaK5o8Mxmj5oG60LkICPA</t>
  </si>
  <si>
    <t>iFisher</t>
  </si>
  <si>
    <t>@ifisher_live; vk.com/public212589360</t>
  </si>
  <si>
    <t>IFISHER</t>
  </si>
  <si>
    <t>https://www.youtube.com/channel/UCuEEbGgFArSLUNCM84TQgVA</t>
  </si>
  <si>
    <t>Сибирская Дача</t>
  </si>
  <si>
    <t>@sibiriandacha; https://boosty.to/village.altay</t>
  </si>
  <si>
    <t>https://www.youtube.com/channel/UCwcKMF1JKFPXQIT6Q7R_Jrg</t>
  </si>
  <si>
    <t>Дачные дела</t>
  </si>
  <si>
    <t>https://telega.in/channels/+7FYqcr8bkwhhZjgy/card</t>
  </si>
  <si>
    <t>DACHNYED</t>
  </si>
  <si>
    <t>https://t.me/+7FYqcr8bkwhhZjgy</t>
  </si>
  <si>
    <t>Продажа растений, Москва 🌸🌸🌸</t>
  </si>
  <si>
    <t>https://telega.in/channels/moscow_cvetochki/card</t>
  </si>
  <si>
    <t>PRODAZHA</t>
  </si>
  <si>
    <t>https://t.me/moscow_cvetochki</t>
  </si>
  <si>
    <t>Коллекция Томатов и Перцев 🏡🍅</t>
  </si>
  <si>
    <t>KOLLEKCI</t>
  </si>
  <si>
    <t>https://www.youtube.com/channel/UCvuezIRvqMB-zIuSP0z7HNw</t>
  </si>
  <si>
    <t>https://telega.in/channels/dachabudni/card</t>
  </si>
  <si>
    <t>https://t.me/dachabudni</t>
  </si>
  <si>
    <t>Питомник «Мир растений»</t>
  </si>
  <si>
    <t>https://www.youtube.com/channel/UC13IeOl6NbtnfeQM6aK9C0w</t>
  </si>
  <si>
    <t>Сельхозярмарка Краснокаменск</t>
  </si>
  <si>
    <t>https://telega.in/channels/selxozarmarka/card</t>
  </si>
  <si>
    <t>SELHOZYA</t>
  </si>
  <si>
    <t>https://t.me/selxozarmarka</t>
  </si>
  <si>
    <t>Ботанический Проект. Чат🌿</t>
  </si>
  <si>
    <t>https://telega.in/channels/unusualplants/card</t>
  </si>
  <si>
    <t>BOTANICH</t>
  </si>
  <si>
    <t>https://t.me/unusualplants</t>
  </si>
  <si>
    <t>Идеи для дачи. Ландшафтный дизайн</t>
  </si>
  <si>
    <t>https://telega.in/channels/backyarddesign/card</t>
  </si>
  <si>
    <t>https://t.me/backyarddesign</t>
  </si>
  <si>
    <t>Рыбалка 53</t>
  </si>
  <si>
    <t>boro.fishing53@mail.ru; vk.com/boro.fishing53; @boro.fishing53</t>
  </si>
  <si>
    <t>https://www.youtube.com/channel/UCQFl76hyIodmrJZfqJFuuZA</t>
  </si>
  <si>
    <t>Хищная Рыбалка</t>
  </si>
  <si>
    <t>HISHNAYA</t>
  </si>
  <si>
    <t>https://www.youtube.com/channel/UCrSdAqBn-Stnlg_nUMSTqWg</t>
  </si>
  <si>
    <t>Рыбалка ONLINE</t>
  </si>
  <si>
    <t>@ribalkaonline</t>
  </si>
  <si>
    <t>RYBALKAO</t>
  </si>
  <si>
    <t>https://www.youtube.com/channel/UC6vSaiT7UDSVt_QleY-hYCw</t>
  </si>
  <si>
    <t>Загородный рай</t>
  </si>
  <si>
    <t>ZAGORODN</t>
  </si>
  <si>
    <t>https://www.youtube.com/channel/UC3zb3bGlDOUfe2u0PNvdyDg</t>
  </si>
  <si>
    <t>Fishing and travel</t>
  </si>
  <si>
    <t>FISHINGA</t>
  </si>
  <si>
    <t>https://www.youtube.com/channel/UCyTEvSZ0t1CvrPtoIX_XD6w</t>
  </si>
  <si>
    <t>Рыбалка 196</t>
  </si>
  <si>
    <t>@fishing196; vk.com/inovoselov85</t>
  </si>
  <si>
    <t>RYBALKA1</t>
  </si>
  <si>
    <t>https://www.youtube.com/channel/UCkQ4m2EFDVT48Ap8hAYhYwg</t>
  </si>
  <si>
    <t>Дома | Строительство | Ипотека</t>
  </si>
  <si>
    <t>https://telega.in/channels/Ipotekanadoma/card</t>
  </si>
  <si>
    <t>DOMASTRO</t>
  </si>
  <si>
    <t>https://t.me/Ipotekanadoma</t>
  </si>
  <si>
    <t>САДОВОД УЛДУЗ ТУРЕЦКАЯ ВОСТОЧНАЯ ОДЕЖДА</t>
  </si>
  <si>
    <t>SADOVODU</t>
  </si>
  <si>
    <t>https://www.youtube.com/channel/UCO_zj1-xsG0_z3pmMFgW1zA</t>
  </si>
  <si>
    <t>Рыбалка там, где рыба не клюет.</t>
  </si>
  <si>
    <t>RYBALKAT</t>
  </si>
  <si>
    <t>https://www.youtube.com/channel/UCHlV7KJJP2sDft7zo3eNrmA</t>
  </si>
  <si>
    <t>Fire Tiger [Рыбалка на спиннинг]</t>
  </si>
  <si>
    <t>FIRETIGE</t>
  </si>
  <si>
    <t>https://www.youtube.com/channel/UC-7JFTlBFxOeXRrsXErBC1Q</t>
  </si>
  <si>
    <t>ТОМАТЫ НА БАЛКОНЕ</t>
  </si>
  <si>
    <t>TOMATYNA</t>
  </si>
  <si>
    <t>https://www.youtube.com/channel/UCnlUcRFmyT15xfXBA6Wsi4w</t>
  </si>
  <si>
    <t>По щучьему велению!</t>
  </si>
  <si>
    <t>warehaa@yandex.ru; @rybalka_priroda_kladopoisk; vk.com/povelenie</t>
  </si>
  <si>
    <t>POSHUCHE</t>
  </si>
  <si>
    <t>https://www.youtube.com/channel/UCZuSwts-TxpT9vLme8T0LeA</t>
  </si>
  <si>
    <t>Цветочный Гипермаркет Москвы</t>
  </si>
  <si>
    <t>https://telega.in/channels/FlowJoy_market/card</t>
  </si>
  <si>
    <t>CVETOCHN</t>
  </si>
  <si>
    <t>https://t.me/FlowJoy_market</t>
  </si>
  <si>
    <t>Азбука Садовода</t>
  </si>
  <si>
    <t>AZBUKASA</t>
  </si>
  <si>
    <t>https://www.youtube.com/channel/UC3GYq5lJ3lwUS56GHD36aDQ</t>
  </si>
  <si>
    <t>Рыбалка в Калининграде и области</t>
  </si>
  <si>
    <t>https://www.youtube.com/channel/UCjX5AvCwuEXJzzujkL-VsQw</t>
  </si>
  <si>
    <t>Старинский виноград</t>
  </si>
  <si>
    <t>STARINSK</t>
  </si>
  <si>
    <t>https://www.youtube.com/channel/UCTC3-cfppWPZb-0f7U3xTwg</t>
  </si>
  <si>
    <t>Рыбак в Сапогах</t>
  </si>
  <si>
    <t>RYBAKVSA</t>
  </si>
  <si>
    <t>https://www.youtube.com/channel/UCpWRaERORWmt9IrER_lzQxw</t>
  </si>
  <si>
    <t>Рассада Завидово</t>
  </si>
  <si>
    <t>RASSADAZ</t>
  </si>
  <si>
    <t>https://www.youtube.com/channel/UCpBuqQ9_5POc4a81QosMYXA</t>
  </si>
  <si>
    <t>Нахлыст от Павла Купцова</t>
  </si>
  <si>
    <t>info@pavelkuptsov.ru; @pavelkuptsov; https://Fly-Casting.ru; https://PavelKuptsov.ru</t>
  </si>
  <si>
    <t>NAHLYSTO</t>
  </si>
  <si>
    <t>https://www.youtube.com/channel/UCZpJAM-EhCCv2la_BZeZNyQ</t>
  </si>
  <si>
    <t>Александр Худяков II Fishing Blog</t>
  </si>
  <si>
    <t>https://www.youtube.com/channel/UCwqXA4OYl-UuHiR6iRs50rg</t>
  </si>
  <si>
    <t>Воблер с Алиэкспресс и Рыбалка</t>
  </si>
  <si>
    <t>https://alli.pub/718vn1?erid=2SDnjdu2xBU; https://alli.pub/718vnf?erid=2SDnje2StbC</t>
  </si>
  <si>
    <t>VOBLERSA</t>
  </si>
  <si>
    <t>https://www.youtube.com/channel/UCm05tTk6wpsbWjKm27_k2GQ</t>
  </si>
  <si>
    <t>Мурманские морские рыбалки</t>
  </si>
  <si>
    <t>vk.com/club63708508; https://v.inshotapp.net/invite; https://inshotapp.page.link/YTShare</t>
  </si>
  <si>
    <t>MURMANSK</t>
  </si>
  <si>
    <t>https://www.youtube.com/channel/UCIvbjaWSSiO1dHyX6nANRqw</t>
  </si>
  <si>
    <t>Садоводы Марий Эл</t>
  </si>
  <si>
    <t>https://telega.in/channels/sadovodymariel/card</t>
  </si>
  <si>
    <t>SADOVODY</t>
  </si>
  <si>
    <t>https://t.me/sadovodymariel</t>
  </si>
  <si>
    <t>Дедушкин огород</t>
  </si>
  <si>
    <t>DEDUSHKI</t>
  </si>
  <si>
    <t>https://www.youtube.com/channel/UCWM8uARSXbEqHBqjLzT45DQ</t>
  </si>
  <si>
    <t>Зимняя Рыбалка</t>
  </si>
  <si>
    <t>https://www.youtube.com/channel/UCX7igkL8tCejQ9Xh6B2DIAA</t>
  </si>
  <si>
    <t>Дачный советник</t>
  </si>
  <si>
    <t>https://telega.in/channels/dacha_sovet/card</t>
  </si>
  <si>
    <t>DACHNYIS</t>
  </si>
  <si>
    <t>https://t.me/dacha_sovet</t>
  </si>
  <si>
    <t>Умная дача|Огородные секреты</t>
  </si>
  <si>
    <t>https://telega.in/channels/+QU8jivN167RhY2Iy/card</t>
  </si>
  <si>
    <t>UMNAYADA</t>
  </si>
  <si>
    <t>https://t.me/+QU8jivN167RhY2Iy</t>
  </si>
  <si>
    <t>Садоводы «Красницы»</t>
  </si>
  <si>
    <t>https://telega.in/channels/sadovodi_krasnici/card</t>
  </si>
  <si>
    <t>https://t.me/sadovodi_krasnici</t>
  </si>
  <si>
    <t>Виноградник Кравцова В.Н.</t>
  </si>
  <si>
    <t>https://www.youtube.com/channel/UC4X7pP0ZhxXAOOsYgfL7cGw</t>
  </si>
  <si>
    <t>Feeder Mania!</t>
  </si>
  <si>
    <t>FEEDERMA</t>
  </si>
  <si>
    <t>https://www.youtube.com/channel/UCffv5oFA_2p45yK1GR74OWw</t>
  </si>
  <si>
    <t>Дачник Сибири</t>
  </si>
  <si>
    <t>https://telega.in/channels/da4niksibiri54/card</t>
  </si>
  <si>
    <t>https://t.me/da4niksibiri54</t>
  </si>
  <si>
    <t>Агро Чат Москва и Московская область</t>
  </si>
  <si>
    <t>https://telega.in/channels/Prostor_agro_chat_moscow/card</t>
  </si>
  <si>
    <t>AGROCHAT</t>
  </si>
  <si>
    <t>https://t.me/Prostor_agro_chat_moscow</t>
  </si>
  <si>
    <t>Ловец Щук</t>
  </si>
  <si>
    <t>LOVECSHU</t>
  </si>
  <si>
    <t>https://www.youtube.com/channel/UC6ierMywDXSHLF4Y88dktYQ</t>
  </si>
  <si>
    <t>СУМКИ САДОВОД 23- 111</t>
  </si>
  <si>
    <t>SUMKISAD</t>
  </si>
  <si>
    <t>https://www.youtube.com/channel/UCAu685I99-GvANEUp5rL4XA</t>
  </si>
  <si>
    <t>Тот Самый РЫБАК</t>
  </si>
  <si>
    <t>@totsamyirybak</t>
  </si>
  <si>
    <t>TOTSAMYI</t>
  </si>
  <si>
    <t>https://www.youtube.com/channel/UCmGYSvm6BaChkiTku0wwWrA</t>
  </si>
  <si>
    <t>Рассада по-соседски в Томилино</t>
  </si>
  <si>
    <t>@lerasad_tomilino; https://www.avito.ru/user/81575a2003ffacbcbd9f8bb6b3e2b712/profile?src=sharing</t>
  </si>
  <si>
    <t>RASSADAP</t>
  </si>
  <si>
    <t>https://www.youtube.com/channel/UCQ9sRuU3HSaoTpK4vLCd3BA</t>
  </si>
  <si>
    <t>Рыбалка с Домбровским</t>
  </si>
  <si>
    <t>https://www.youtube.com/channel/UCFAjyiwog6PGPaRGFuKi71g</t>
  </si>
  <si>
    <t>ЗЕЛЁНЫЙ МИР КОМНАТНЫХ РАСТЕНИЙ</t>
  </si>
  <si>
    <t>ZELENYIM</t>
  </si>
  <si>
    <t>https://www.youtube.com/channel/UCuRfKlIKcsf0WloLFV6YWHw</t>
  </si>
  <si>
    <t>Вокруг Сада</t>
  </si>
  <si>
    <t>https://telega.in/channels/vokrug_sada/card</t>
  </si>
  <si>
    <t>VOKRUGSA</t>
  </si>
  <si>
    <t>https://t.me/vokrug_sada</t>
  </si>
  <si>
    <t>МОЯ ЖИЗНЬ в тридевятом царстве</t>
  </si>
  <si>
    <t>@garden024</t>
  </si>
  <si>
    <t>MOYAZHIZ</t>
  </si>
  <si>
    <t>https://www.youtube.com/channel/UCsEyVLwyKcS9ZHTcy0Jd4HQ</t>
  </si>
  <si>
    <t>Рыбалка в Поморье.</t>
  </si>
  <si>
    <t>https://www.youtube.com/channel/UCPUhp5M3UolhJFa5iWp8beg</t>
  </si>
  <si>
    <t>БашЦветы</t>
  </si>
  <si>
    <t>https://telega.in/channels/BashFlower/card</t>
  </si>
  <si>
    <t>BASHCVET</t>
  </si>
  <si>
    <t>https://t.me/BashFlower</t>
  </si>
  <si>
    <t>Чат садоводов|г. Красноярск</t>
  </si>
  <si>
    <t>https://telega.in/channels/Sibsemena_Chat/card</t>
  </si>
  <si>
    <t>https://t.me/Sibsemena_Chat</t>
  </si>
  <si>
    <t>ПЛОДОРОДИЕ</t>
  </si>
  <si>
    <t>https://telega.in/channels/plodorodie_86/card</t>
  </si>
  <si>
    <t>https://t.me/plodorodie_86</t>
  </si>
  <si>
    <t>🌾Элитные семена от ООО«Агро»</t>
  </si>
  <si>
    <t>https://telega.in/channels/agro_senena/card</t>
  </si>
  <si>
    <t>ELITNYES</t>
  </si>
  <si>
    <t>https://t.me/agro_senena</t>
  </si>
  <si>
    <t>Сеня Ахмадулин. Рыболовный человек</t>
  </si>
  <si>
    <t>arsenij.ahmadulin@mail.ru; vk.com/tutrybak</t>
  </si>
  <si>
    <t>SENYAAHM</t>
  </si>
  <si>
    <t>https://www.youtube.com/channel/UC8_awxn6m0il3rKYRY3fZSQ</t>
  </si>
  <si>
    <t>Aleksandr Lapushkin</t>
  </si>
  <si>
    <t>https://www.youtube.com/channel/UCB_hgBA4SHDZNXiNLiTTrPw</t>
  </si>
  <si>
    <t>Лютые Рыбаки DIY</t>
  </si>
  <si>
    <t>https://www.avito.ru/brands/0fefe67503e80e803c111655dffa94b2/all/ohota_i_rybalka?gdlkerfdnwq=101&amp;page_from=from_item_card&amp;iid=7320761268&amp;sellerId=5f7cdd02ab429d2a6de54819db3b58a7</t>
  </si>
  <si>
    <t>LYUTYERY</t>
  </si>
  <si>
    <t>https://www.youtube.com/channel/UCz7CEC2IZOtkdTSvF9AV7zw</t>
  </si>
  <si>
    <t>Рыбалка по-своему!</t>
  </si>
  <si>
    <t>funtv000999@gmail.com</t>
  </si>
  <si>
    <t>https://www.youtube.com/channel/UCPkkPt2RopFfV2MwACSUbww</t>
  </si>
  <si>
    <t>Прогулки На Рыбалке</t>
  </si>
  <si>
    <t>PROGULKI</t>
  </si>
  <si>
    <t>https://www.youtube.com/channel/UCfFcpro4noZCv3Gc8_KdcfA</t>
  </si>
  <si>
    <t>Виноград и малина от Сидоровича</t>
  </si>
  <si>
    <t>Anatolysidorovich@yandex.ru; http://alli.pub/6d7gtz; http://alli.pub/6d7gvc</t>
  </si>
  <si>
    <t>https://www.youtube.com/channel/UC7LBcEaHE4lv8tDgWs6TgXw</t>
  </si>
  <si>
    <t>НАШ КРАСИВЫЙ САД</t>
  </si>
  <si>
    <t>https://telega.in/channels/+3LpxDyIMD5k0Mjky/card</t>
  </si>
  <si>
    <t>NASHKRAS</t>
  </si>
  <si>
    <t>https://t.me/+3LpxDyIMD5k0Mjky</t>
  </si>
  <si>
    <t>Рокфишинг в Крыму</t>
  </si>
  <si>
    <t>@crimean_hunter_croaker</t>
  </si>
  <si>
    <t>ROKFISHI</t>
  </si>
  <si>
    <t>https://www.youtube.com/channel/UCTzeGPzubay716ax2GfUrgA</t>
  </si>
  <si>
    <t>Ловля окуня не снимая рукавиц</t>
  </si>
  <si>
    <t>LOVLYAOK</t>
  </si>
  <si>
    <t>https://www.youtube.com/channel/UCF-RzAeJv-_nWAJn-ConZ5g</t>
  </si>
  <si>
    <t>Мир Теплиц</t>
  </si>
  <si>
    <t>vk.com/mirtep; https://mirtep.ru</t>
  </si>
  <si>
    <t>MIRTEPLI</t>
  </si>
  <si>
    <t>https://www.youtube.com/channel/UC6ad2N_Zw0Gto21jHKU4iCA</t>
  </si>
  <si>
    <t>Sibirus о рыбалке в Сибири</t>
  </si>
  <si>
    <t>SIBIRUSO</t>
  </si>
  <si>
    <t>https://www.youtube.com/channel/UCqlLqhWW9F7yIJXipP5bcZQ</t>
  </si>
  <si>
    <t>Дача "На золотом пруду"</t>
  </si>
  <si>
    <t>Skynet-1985@mail.ru; @NaZolotomPrudu; vk.com/club225432461; https://www.donationalerts.com/r/bodreev</t>
  </si>
  <si>
    <t>DACHANAZ</t>
  </si>
  <si>
    <t>https://www.youtube.com/channel/UClwLie42UZZabCDIlGSbDRQ</t>
  </si>
  <si>
    <t>Садовод огородник</t>
  </si>
  <si>
    <t>@vipagro31; https://www.vipagro31.ru</t>
  </si>
  <si>
    <t>SADOVODO</t>
  </si>
  <si>
    <t>https://www.youtube.com/channel/UC2zWYB0X9wMd-n9XUvVb_Xg</t>
  </si>
  <si>
    <t>Мир зелёной красоты | Цветы и растения 🌿</t>
  </si>
  <si>
    <t>https://telega.in/channels/flowertkk/card</t>
  </si>
  <si>
    <t>MIRZELEN</t>
  </si>
  <si>
    <t>https://t.me/flowertkk</t>
  </si>
  <si>
    <t>🏡 Дачный уют / Дом, дача и сад 🌿</t>
  </si>
  <si>
    <t>https://telega.in/channels/dacha_uyut/card</t>
  </si>
  <si>
    <t>DACHNYIU</t>
  </si>
  <si>
    <t>https://t.me/dacha_uyut</t>
  </si>
  <si>
    <t>Люблю рыбалку 58</t>
  </si>
  <si>
    <t>LYUBLYUR</t>
  </si>
  <si>
    <t>https://www.youtube.com/channel/UCfF1GDP8742h5ibK5H89EoQ</t>
  </si>
  <si>
    <t>Маленький дом 🏡 Огород</t>
  </si>
  <si>
    <t>vk.com/club237417224</t>
  </si>
  <si>
    <t>MALENKII</t>
  </si>
  <si>
    <t>https://www.youtube.com/channel/UC8wBuJ9VeuIA-git-exUUbQ</t>
  </si>
  <si>
    <t>Большая Сибирская Рыбалка «Siberian Big Fishing!»</t>
  </si>
  <si>
    <t>vk.com/eldar_fish_model; @eldar_siberian_angler</t>
  </si>
  <si>
    <t>BOLSHAYA</t>
  </si>
  <si>
    <t>https://www.youtube.com/channel/UC4YeB6gdLnRDSRWqEut_hOA</t>
  </si>
  <si>
    <t>АЛЕКСЕЙ ЛЁВИН</t>
  </si>
  <si>
    <t>ALEKSEIL</t>
  </si>
  <si>
    <t>https://www.youtube.com/channel/UC2U449hZd6x1OXVazgkwv3g</t>
  </si>
  <si>
    <t>Универсальная Рыбалка</t>
  </si>
  <si>
    <t>UNIVERSA</t>
  </si>
  <si>
    <t>https://www.youtube.com/channel/UCCo_3hOwp1M8t60lrmglJbQ</t>
  </si>
  <si>
    <t>Ussury expedition</t>
  </si>
  <si>
    <t>USSURYEX</t>
  </si>
  <si>
    <t>https://www.youtube.com/channel/UCRsy4wAvtVDxSAl-NyIMonw</t>
  </si>
  <si>
    <t>ДНЕВНИК САДОВОДА</t>
  </si>
  <si>
    <t>https://telega.in/channels/DNEVNIKIsadovoda/card</t>
  </si>
  <si>
    <t>DNEVNIKS</t>
  </si>
  <si>
    <t>https://t.me/DNEVNIKIsadovoda</t>
  </si>
  <si>
    <t>РЫБАЛКА 7402</t>
  </si>
  <si>
    <t>https://www.youtube.com/channel/UCjmt8WW_Vpl0FGdaLLkYRvQ</t>
  </si>
  <si>
    <t>Рыбалка со вкусом</t>
  </si>
  <si>
    <t>https://www.youtube.com/channel/UCeFHArMZ0ATEtcOk2RHjpeA</t>
  </si>
  <si>
    <t>Садовод на гектаре</t>
  </si>
  <si>
    <t>https://www.youtube.com/channel/UCKjL66nF_toXoVS3sjNvlNg</t>
  </si>
  <si>
    <t>https://www.youtube.com/channel/UCl80nVyOseIF_Ru8tKHUQiw</t>
  </si>
  <si>
    <t>СЛОВО РЫБАКА</t>
  </si>
  <si>
    <t>https://www.donationalerts.com/r/slovo_rybaka</t>
  </si>
  <si>
    <t>SLOVORYB</t>
  </si>
  <si>
    <t>https://www.youtube.com/channel/UCGG8G7H04gAByt2NXIjr2Zg</t>
  </si>
  <si>
    <t>СЕЕМ СЕМЕНА и СОБИРАЕМ УРОЖАЙ</t>
  </si>
  <si>
    <t>https://telega.in/channels/seemsemena/card</t>
  </si>
  <si>
    <t>SEEMSEME</t>
  </si>
  <si>
    <t>https://t.me/seemsemena</t>
  </si>
  <si>
    <t>Виноград на стоке рек</t>
  </si>
  <si>
    <t>https://www.youtube.com/channel/UCPCn6rdaOsgYd34DUK0JmEQ</t>
  </si>
  <si>
    <t>Рыболов 37</t>
  </si>
  <si>
    <t>@makcsmirnof; @riibolov37; vk.com/makcsmirnof; vk.com/ribolov37; https://tinyurl.com/m873rbnk</t>
  </si>
  <si>
    <t>RYBOLOV3</t>
  </si>
  <si>
    <t>https://www.youtube.com/channel/UCoMjyUcVVJ3O-VM-pVqvDdQ</t>
  </si>
  <si>
    <t>Рыбалка 72</t>
  </si>
  <si>
    <t>https://www.youtube.com/channel/UCis0owyKByKGtDKwtxylVkQ</t>
  </si>
  <si>
    <t>Анна Все о розах</t>
  </si>
  <si>
    <t>ANNAVSEO</t>
  </si>
  <si>
    <t>https://www.youtube.com/channel/UCJ1oNO43jKaLSRU2qJa3B7A</t>
  </si>
  <si>
    <t>Муха Поплетуха. Нахлыст и изготовление приманок</t>
  </si>
  <si>
    <t>https://boosty.to/muhapopletuha</t>
  </si>
  <si>
    <t>MUHAPOPL</t>
  </si>
  <si>
    <t>https://www.youtube.com/channel/UCZfWSJZj1ShgPuSgL7UERMg</t>
  </si>
  <si>
    <t>Дикая Помидорина</t>
  </si>
  <si>
    <t>DIKAYAPO</t>
  </si>
  <si>
    <t>https://www.youtube.com/channel/UC4htCnBHwjvGgTdughXZgNA</t>
  </si>
  <si>
    <t>Американский карпятник Данила Дмитренко</t>
  </si>
  <si>
    <t>AMERIKAN</t>
  </si>
  <si>
    <t>https://www.youtube.com/channel/UCGG5lpGmvE-WEtS1MKAQGjg</t>
  </si>
  <si>
    <t>Дача как с картинки 🏡</t>
  </si>
  <si>
    <t>https://telega.in/channels/dachakakskartinki/card</t>
  </si>
  <si>
    <t>DACHAKAK</t>
  </si>
  <si>
    <t>https://t.me/dachakakskartinki</t>
  </si>
  <si>
    <t>Дача огород 4 сотки</t>
  </si>
  <si>
    <t>vgbezrukov1964@mail.ru</t>
  </si>
  <si>
    <t>https://www.youtube.com/channel/UCm3kGRXxhQdSsYPJ8fa2AEQ</t>
  </si>
  <si>
    <t>LikeFishing</t>
  </si>
  <si>
    <t>zhekaod@gmail.com; @likefishingodessa; https://www</t>
  </si>
  <si>
    <t>LIKEFISH</t>
  </si>
  <si>
    <t>https://www.youtube.com/channel/UCHkMehCfNErntNGnR7KZlGw</t>
  </si>
  <si>
    <t>Fly-Fishing</t>
  </si>
  <si>
    <t>@flyfishru; vk.com/flyfishing_ru; http://fly-fishing.ru/shop/tackle/rods/kola-salmontm/odnoruchnye-udilishcha/odnoruchnyie-udilischa-serii-sf-feather-nymph-specialist</t>
  </si>
  <si>
    <t>FLYFISHI</t>
  </si>
  <si>
    <t>https://www.youtube.com/channel/UCyfJjwHm_9MssWi2G6QonJg</t>
  </si>
  <si>
    <t>Волжская Ягода</t>
  </si>
  <si>
    <t>VOLZHSKA</t>
  </si>
  <si>
    <t>https://www.youtube.com/channel/UCz3VHV7TQxCW8pZokk7t1Tw</t>
  </si>
  <si>
    <t>Теплица ТВ</t>
  </si>
  <si>
    <t>TEPLICAT</t>
  </si>
  <si>
    <t>https://www.youtube.com/channel/UCGQuAYNVh3KNDUsDVTiWcpQ</t>
  </si>
  <si>
    <t>Дача, сад, огород, цветоводство, саженцы. Чат</t>
  </si>
  <si>
    <t>https://telega.in/channels/ogorod_sad/card</t>
  </si>
  <si>
    <t>https://t.me/ogorod_sad</t>
  </si>
  <si>
    <t>Рассада без прикрас!</t>
  </si>
  <si>
    <t>RASSADAB</t>
  </si>
  <si>
    <t>https://www.youtube.com/channel/UCx7UtIAb2Wp8FxmVdOANLHw</t>
  </si>
  <si>
    <t>NA KRUCHKE 69</t>
  </si>
  <si>
    <t>NAKRUCHK</t>
  </si>
  <si>
    <t>https://www.youtube.com/channel/UCwIQSgwl0Ato3jwuNw8rPCA</t>
  </si>
  <si>
    <t>Экспериментальный огород</t>
  </si>
  <si>
    <t>promshkaf@mail.ru; https://clck.ru/pzxts; https://clck.ru/prw2x</t>
  </si>
  <si>
    <t>EKSPERIM</t>
  </si>
  <si>
    <t>https://www.youtube.com/channel/UCuSGD2R3KZDZzr0MqPt1YIQ</t>
  </si>
  <si>
    <t>Прикормочный кораблик для рыбалки CorveD</t>
  </si>
  <si>
    <t>PRIKORMO</t>
  </si>
  <si>
    <t>https://www.youtube.com/channel/UCiwjiiCAK1josFuY4P3lkMg</t>
  </si>
  <si>
    <t>Садовод Кубани Михаил</t>
  </si>
  <si>
    <t>@prasol_mikhail; https://inkubatorblic.ru</t>
  </si>
  <si>
    <t>SADOVODK</t>
  </si>
  <si>
    <t>https://www.youtube.com/channel/UClmmRWexCm6c0C_ALLRM-Cw</t>
  </si>
  <si>
    <t>Садовод из села</t>
  </si>
  <si>
    <t>@sadovod_iz_sela</t>
  </si>
  <si>
    <t>SADOVODI</t>
  </si>
  <si>
    <t>https://www.youtube.com/channel/UCanx7PYny3ZRrpbdAu8Txlw</t>
  </si>
  <si>
    <t>🌳🌲Русские Деревья Новости с полей и СЦ</t>
  </si>
  <si>
    <t>https://telega.in/channels/russkie_derevya_news/card</t>
  </si>
  <si>
    <t>RUSSKIED</t>
  </si>
  <si>
    <t>https://t.me/russkie_derevya_news</t>
  </si>
  <si>
    <t>В поисках рыбы</t>
  </si>
  <si>
    <t>https://www.youtube.com/channel/UCBS4fgvXakaBGxr0dJHaxAA</t>
  </si>
  <si>
    <t>Филипп Рыбак</t>
  </si>
  <si>
    <t>vekshin0800@mail.ru; @Fil_Ribak_SPB</t>
  </si>
  <si>
    <t>FILIPPRY</t>
  </si>
  <si>
    <t>https://www.youtube.com/channel/UC8D2uzK5zXkh9AcytxRDbPw</t>
  </si>
  <si>
    <t>Рыбалка и снасти</t>
  </si>
  <si>
    <t>@roman1828; https://www.avito.ru/sochi/predlozheniya_uslug/pishu_stati_posty_izgotovlyu_logotip_kartinki_4034955501; https://ya.cc/m/E8CsSVR</t>
  </si>
  <si>
    <t>https://www.youtube.com/channel/UCvMZEycWfSf6H_Zf1YNWy8A</t>
  </si>
  <si>
    <t>Машевский Сад!</t>
  </si>
  <si>
    <t>lvitalii@yandex.ru; @mashevskysad</t>
  </si>
  <si>
    <t>MASHEVSK</t>
  </si>
  <si>
    <t>https://www.youtube.com/channel/UCouLDRslagkGVl3ChaT_WQw</t>
  </si>
  <si>
    <t>Пётр шлёт всех на Рыбалку</t>
  </si>
  <si>
    <t>PETRSHLE</t>
  </si>
  <si>
    <t>https://www.youtube.com/channel/UCY1X6Ja6OzvpuPNqGQZIYew</t>
  </si>
  <si>
    <t>Союз органического земледелия</t>
  </si>
  <si>
    <t>https://hlebio.ru; https://hlebio.com</t>
  </si>
  <si>
    <t>SOYUZORG</t>
  </si>
  <si>
    <t>https://www.youtube.com/channel/UCNMX-yEC53oV-attisxSDmg</t>
  </si>
  <si>
    <t>Костя, где рыба?!</t>
  </si>
  <si>
    <t>@KostyaGdeRyba; vk.com/public217745208</t>
  </si>
  <si>
    <t>KOSTYAGD</t>
  </si>
  <si>
    <t>https://www.youtube.com/channel/UCOSDKN_6KAhakd7yxeWRFRQ</t>
  </si>
  <si>
    <t>Садоводство по Железову63</t>
  </si>
  <si>
    <t>vk.com/club96373693</t>
  </si>
  <si>
    <t>SADOVODS</t>
  </si>
  <si>
    <t>https://www.youtube.com/channel/UCO_E1CqNKtdzT4aI_ZYa7aQ</t>
  </si>
  <si>
    <t>Рыбалка с Виталичем</t>
  </si>
  <si>
    <t>https://www.youtube.com/channel/UCS9kAHsSZ-ZETG2yq_USy2w</t>
  </si>
  <si>
    <t>Ждём урожай</t>
  </si>
  <si>
    <t>ZHDEMURO</t>
  </si>
  <si>
    <t>https://www.youtube.com/channel/UCtNfF8h63V0xo0KPSsXJTCQ</t>
  </si>
  <si>
    <t>Спиннинг на Свири</t>
  </si>
  <si>
    <t>vk.com/club227135674</t>
  </si>
  <si>
    <t>https://www.youtube.com/channel/UCX3fbbgChAKa7sgK9dmfW9A</t>
  </si>
  <si>
    <t>БИОМАСТЕР - все для сада и огорода!</t>
  </si>
  <si>
    <t>BIOMASTE</t>
  </si>
  <si>
    <t>https://www.youtube.com/channel/UCW_eUN8gjVjC4jf6g0afBkA</t>
  </si>
  <si>
    <t>HASTA | рыболовный канал</t>
  </si>
  <si>
    <t>@poFaktu39; https://ali.click/3tonzh</t>
  </si>
  <si>
    <t>HASTARYB</t>
  </si>
  <si>
    <t>https://www.youtube.com/channel/UCdPybHavSwZSNBgD5I4vwOg</t>
  </si>
  <si>
    <t>Дмитрий Киселев | VOLGA FISHERS</t>
  </si>
  <si>
    <t>@volga_fishers; vk.com/diman4ik1995; vk.com/club228988984</t>
  </si>
  <si>
    <t>DMITRIIK</t>
  </si>
  <si>
    <t>https://www.youtube.com/channel/UCzo5fLcI2PaxVbq2OFifkzA</t>
  </si>
  <si>
    <t>Лиза-Сад и другие радости жизни</t>
  </si>
  <si>
    <t>@sadrozgruppa</t>
  </si>
  <si>
    <t>LIZASADI</t>
  </si>
  <si>
    <t>https://www.youtube.com/channel/UCinj0Iul4wJL1u0aZhC3muA</t>
  </si>
  <si>
    <t>Фидерная рыбалка без границ</t>
  </si>
  <si>
    <t>fishing63rus@gmail.com</t>
  </si>
  <si>
    <t>FIDERNAY</t>
  </si>
  <si>
    <t>https://www.youtube.com/channel/UChF-de1ZLAN2cn5hZxazBYQ</t>
  </si>
  <si>
    <t>Молодой рыбак</t>
  </si>
  <si>
    <t>MOLODOIR</t>
  </si>
  <si>
    <t>https://www.youtube.com/channel/UCZjua8szvUDiphD5tcbxV3g</t>
  </si>
  <si>
    <t>Татьянин Сад | Вегетативные цветы и черенки</t>
  </si>
  <si>
    <t>@tatyaninsad_irk</t>
  </si>
  <si>
    <t>TATYANIN</t>
  </si>
  <si>
    <t>https://www.youtube.com/channel/UC1t2kl2S39uyfgGlY47x1RA</t>
  </si>
  <si>
    <t>Виноградарство в Можге, Удмуртская Республика</t>
  </si>
  <si>
    <t>https://www.youtube.com/channel/UCdxpZRfLbETAIQUfqSbsTGw</t>
  </si>
  <si>
    <t>Рыбалка с Зайцевым Луга</t>
  </si>
  <si>
    <t>https://www.youtube.com/channel/UCIFMyq-4iwhKDzvtpah_vFg</t>
  </si>
  <si>
    <t>Рыбалка - Нахлыст и Мушки [MS] Fly Fishing &amp; Tying</t>
  </si>
  <si>
    <t>Maxim.Sakulevich@gmail.com; @MaximSakulevich; vk.com/maxim.sakulevich; https://www.donationalerts.com/r/maxim_sakulevich</t>
  </si>
  <si>
    <t>https://www.youtube.com/channel/UCUFTQq19ks1csA81d3ru3fQ</t>
  </si>
  <si>
    <t>ТОМАТЫ ВКУСНЫЕ И УРОЖАЙНЫЕ г.Рыбинск Яр.обл.</t>
  </si>
  <si>
    <t>vk.com/tomaty_v_d.baranovo</t>
  </si>
  <si>
    <t>TOMATYVK</t>
  </si>
  <si>
    <t>https://www.youtube.com/channel/UCsoW6weLuOOIjEqo3VUizRg</t>
  </si>
  <si>
    <t>Михаил Маликов</t>
  </si>
  <si>
    <t>MIHAILMA</t>
  </si>
  <si>
    <t>https://www.youtube.com/channel/UC_fBb7g_OxITNX9PFkOlkMg</t>
  </si>
  <si>
    <t>Рыбалка или как жить в радость</t>
  </si>
  <si>
    <t>https://www.youtube.com/channel/UCZAtEcC9L8cTtop6iMUyAdw</t>
  </si>
  <si>
    <t>Рыбалка-дело клёвое!</t>
  </si>
  <si>
    <t>RYBALKAD</t>
  </si>
  <si>
    <t>https://www.youtube.com/channel/UC0J55lyvb7UJUTv29D2EVKA</t>
  </si>
  <si>
    <t>Школа Александра Толоконникова</t>
  </si>
  <si>
    <t>@tolokonnikov_a; @tolokonnikov_school; vk.com/tolokonnikovschool; @surikat2; https://a.tolokonnikov.com/cource; https://a.tolokonnikov.com</t>
  </si>
  <si>
    <t>SHKOLAAL</t>
  </si>
  <si>
    <t>https://www.youtube.com/channel/UCVNqxyU89XCrim_04DtEW3A</t>
  </si>
  <si>
    <t>РЫБОЛОВ Троицк</t>
  </si>
  <si>
    <t>RYBOLOVT</t>
  </si>
  <si>
    <t>https://www.youtube.com/channel/UCnWuL0oUFQWKYK73xFxg7FQ</t>
  </si>
  <si>
    <t>Dmitry Lin</t>
  </si>
  <si>
    <t>@jerkbaits</t>
  </si>
  <si>
    <t>DMITRYLI</t>
  </si>
  <si>
    <t>https://www.youtube.com/channel/UCySbZ4u-RgIbHpeAbb1eqmA</t>
  </si>
  <si>
    <t>РИНАFISH - студия рыбалки (Рыбалка Life)</t>
  </si>
  <si>
    <t>vk.com/club188993950</t>
  </si>
  <si>
    <t>RINAFISH</t>
  </si>
  <si>
    <t>https://www.youtube.com/channel/UCGLhWI0RQtP4x-fYcSpLFUQ</t>
  </si>
  <si>
    <t>EJBaits. Рыбалка и обзоры снастей.</t>
  </si>
  <si>
    <t>vk.com/ejbaitspvk; vk.com/ejbaits; @ej_baits</t>
  </si>
  <si>
    <t>EJBAITSR</t>
  </si>
  <si>
    <t>https://www.youtube.com/channel/UC-E5zisYenT5gEti6m00hkg</t>
  </si>
  <si>
    <t>Природное Земледелие LIVE</t>
  </si>
  <si>
    <t>pzlive@mail.ru</t>
  </si>
  <si>
    <t>PRIRODNO</t>
  </si>
  <si>
    <t>https://www.youtube.com/channel/UCARuXeQA3yAhL53UETCynhg</t>
  </si>
  <si>
    <t>Дарвин Садовый Гипермаркет</t>
  </si>
  <si>
    <t>vk.com/darvin_market; https://clck.ru/3Bgsg3; https://clck.ru/3A7k8w</t>
  </si>
  <si>
    <t>DARVINSA</t>
  </si>
  <si>
    <t>https://www.youtube.com/channel/UCXyP7NqRXZm3s2kclixXt-w</t>
  </si>
  <si>
    <t>ПЕРВЫЙ на РЫБАЛКЕ</t>
  </si>
  <si>
    <t>PERVYINA</t>
  </si>
  <si>
    <t>https://www.youtube.com/channel/UCA6CYxtkDLoVvTAjCUQEnew</t>
  </si>
  <si>
    <t>Рыбак - это диагноз !!! (Алексеич)</t>
  </si>
  <si>
    <t>RYBAKETO</t>
  </si>
  <si>
    <t>https://www.youtube.com/channel/UCi0VpnfNcISyS3bqnm-BFNQ</t>
  </si>
  <si>
    <t>Рыбалка в Крыму с ОО "КРФРС"</t>
  </si>
  <si>
    <t>https://www.youtube.com/channel/UCUWIqLw5cAiXCBG7kkz_GPg</t>
  </si>
  <si>
    <t>Елена Капролон</t>
  </si>
  <si>
    <t>ELENAKAP</t>
  </si>
  <si>
    <t>https://www.youtube.com/channel/UCl2mopTOpL-ydDnYPxquWkw</t>
  </si>
  <si>
    <t>Рыбачок</t>
  </si>
  <si>
    <t>RYBACHOK</t>
  </si>
  <si>
    <t>https://www.youtube.com/channel/UCDds-a7qXxgxxTKsdh2XT3A</t>
  </si>
  <si>
    <t>Ландшафтный дизайн Green Land</t>
  </si>
  <si>
    <t>https://proektlandshafta.ru; https://vk.cc/cglaPE</t>
  </si>
  <si>
    <t>https://www.youtube.com/channel/UCAqxxHVaA2DDcXgLPkAIq_A</t>
  </si>
  <si>
    <t>Нахлыст с Липчанским</t>
  </si>
  <si>
    <t>https://www.youtube.com/channel/UCzBqzchqSLNqmwatqmgSmWw</t>
  </si>
  <si>
    <t>🥬ДАЧНЫЙ ДИАГНОЗ🥬</t>
  </si>
  <si>
    <t>DACHNYID</t>
  </si>
  <si>
    <t>https://www.youtube.com/channel/UCt5I_vgigbHo8Cq4fzXj0kQ</t>
  </si>
  <si>
    <t>Рыбак Fisher</t>
  </si>
  <si>
    <t>@ribak_fisher</t>
  </si>
  <si>
    <t>RYBAKFIS</t>
  </si>
  <si>
    <t>https://www.youtube.com/channel/UCeb6-wefQehfxwLgZIDC50g</t>
  </si>
  <si>
    <t>Усатый Огородник</t>
  </si>
  <si>
    <t>@usatiyogorodnik; vk.com/club226758669</t>
  </si>
  <si>
    <t>USATYIOG</t>
  </si>
  <si>
    <t>https://www.youtube.com/channel/UCQBS8q6VzBDGOFcEmR8H0pA</t>
  </si>
  <si>
    <t>Emelnov TV- Carpfishing</t>
  </si>
  <si>
    <t>@ArmavirRibak; @ArmawirRibak; vk.com/club226891592; vk.com/club230464350; https://chat.whatsapp.com/JxX0BkCzNiZHUBdZCMf9It?mode=ac_t; https://chat.whatsapp.com/BWdeoHXgfqZ8yjXslWcXJI</t>
  </si>
  <si>
    <t>EMELNOVT</t>
  </si>
  <si>
    <t>https://www.youtube.com/channel/UC5YPL6KWwxAJEboUrmpzRSQ</t>
  </si>
  <si>
    <t>Ландшафтная дизайн SINKOV</t>
  </si>
  <si>
    <t>@sinkovlandscape; vk.com/sinkov_landscape; https://sinkoveco.ru/?utm_source=youtube&amp;utm_campaign=video&amp;utm_content=kapitanskiy</t>
  </si>
  <si>
    <t>https://www.youtube.com/channel/UCoZL8EYEdjhDpzRFshAFGZw</t>
  </si>
  <si>
    <t>Дневник Агронома</t>
  </si>
  <si>
    <t>DNEVNIKA</t>
  </si>
  <si>
    <t>https://www.youtube.com/channel/UC8CAxgY-CWao8r5kOA4reuw</t>
  </si>
  <si>
    <t>Рыбалка с Сергеем</t>
  </si>
  <si>
    <t>https://www.youtube.com/channel/UCOlRSkCWbWlY5CPL9DFI-oA</t>
  </si>
  <si>
    <t>Секреты рыбалки и здоровья</t>
  </si>
  <si>
    <t>@_pikefishing_; https://youcutapp.page.link/BestEditor</t>
  </si>
  <si>
    <t>SEKRETYR</t>
  </si>
  <si>
    <t>https://www.youtube.com/channel/UCM0K4xNrYT6LDpNuYnyTRxA</t>
  </si>
  <si>
    <t>КАРПФИШИНГ. БЮДЖЕТНЫЙ ВАРИАНТ</t>
  </si>
  <si>
    <t>KARPFISH</t>
  </si>
  <si>
    <t>https://www.youtube.com/channel/UCN_GnrM37zgaDnVJ1Fbjg5g</t>
  </si>
  <si>
    <t>Рыбалка с Vovabeer #Shorts</t>
  </si>
  <si>
    <t>https://www.youtube.com/channel/UCyohU24yptt-sxzcZAg0E3w</t>
  </si>
  <si>
    <t>Ёоу Ёрш! рыбалка и путешествии</t>
  </si>
  <si>
    <t>vk.com/travelfish_man; @travel_fishman</t>
  </si>
  <si>
    <t>EOUERSHR</t>
  </si>
  <si>
    <t>https://www.youtube.com/channel/UCyuCukW1T-0dwEGdLqTN8Cg</t>
  </si>
  <si>
    <t>Библия Сада</t>
  </si>
  <si>
    <t>BIBLIYAS</t>
  </si>
  <si>
    <t>https://www.youtube.com/channel/UClt2I2X9Us1lcYEF6_xbZYQ</t>
  </si>
  <si>
    <t>Рыболовный маршрут</t>
  </si>
  <si>
    <t>RYBOLOVN</t>
  </si>
  <si>
    <t>https://www.youtube.com/channel/UCt9AD0F8TiR0K0w7L-xxQXg</t>
  </si>
  <si>
    <t>Рыбалка 32 rus</t>
  </si>
  <si>
    <t>https://www.youtube.com/channel/UCAScEA8B0ghEAG3HJVuh5Gg</t>
  </si>
  <si>
    <t>Удобрение для сада и огорода Благо</t>
  </si>
  <si>
    <t>https://www.youtube.com/channel/UC0TTO7WGiRXC4GmGz11ks9Q</t>
  </si>
  <si>
    <t>Sветлая Рыбалка</t>
  </si>
  <si>
    <t>@SvetlakovFishing; vk.com/svetlakovvv95</t>
  </si>
  <si>
    <t>https://www.youtube.com/channel/UCFzfy60XsGv0NPIGeKu6TPQ</t>
  </si>
  <si>
    <t>ShutGeR</t>
  </si>
  <si>
    <t>vk.com/public202819242; @shutger_2020; https://www.donationalerts.com/r/shutger</t>
  </si>
  <si>
    <t>SHUTGER</t>
  </si>
  <si>
    <t>https://www.youtube.com/channel/UCK07ddFKTQnphyD3s-o_xLw</t>
  </si>
  <si>
    <t>Рыбацкие разборки</t>
  </si>
  <si>
    <t>RYBACKIE</t>
  </si>
  <si>
    <t>https://www.youtube.com/channel/UCgMt1Jz816KOTIPrMmLpx9w</t>
  </si>
  <si>
    <t>Дача, сад и огород с Miss Freni | Полезные советы</t>
  </si>
  <si>
    <t>https://www.youtube.com/channel/UC8L4NACLR1UJFyhkE0uSUgA</t>
  </si>
  <si>
    <t>Down Scan Рыбалка Спиннинг Силиконовые Приманки</t>
  </si>
  <si>
    <t>DOWNSCAN</t>
  </si>
  <si>
    <t>https://www.youtube.com/channel/UCVX1SkqPjqXSP3D8pcCtpog</t>
  </si>
  <si>
    <t>Урожай Гарантирую</t>
  </si>
  <si>
    <t>UROZHAIG</t>
  </si>
  <si>
    <t>https://www.youtube.com/channel/UCMSYCl9oRkIk0uz0lxvZYxw</t>
  </si>
  <si>
    <t>Рыбанутые на Волге</t>
  </si>
  <si>
    <t>RYBANUTY</t>
  </si>
  <si>
    <t>https://www.youtube.com/channel/UC4afxNTam65Uu30SCuX5QIw</t>
  </si>
  <si>
    <t>Непутёвый Рыболов</t>
  </si>
  <si>
    <t>@unluckyfisherman</t>
  </si>
  <si>
    <t>NEPUTEVY</t>
  </si>
  <si>
    <t>https://www.youtube.com/channel/UCS_Ifyb1uubjNcDURyAiNAA</t>
  </si>
  <si>
    <t>ПЛОДОВЫЙ САД.🌳🌲</t>
  </si>
  <si>
    <t>PLODOVYI</t>
  </si>
  <si>
    <t>https://www.youtube.com/channel/UCdR5mi65lym1dm5eP17-DWQ</t>
  </si>
  <si>
    <t>Мой карпфишинг</t>
  </si>
  <si>
    <t>MOIKARPF</t>
  </si>
  <si>
    <t>https://www.youtube.com/channel/UC18U_MikWuRu_HM72CYyeig</t>
  </si>
  <si>
    <t>Щучий глаз Рыбалка троллингом</t>
  </si>
  <si>
    <t>http://www.fishingsib.ru/forum/forum8/topic18568.html</t>
  </si>
  <si>
    <t>SHUCHIIG</t>
  </si>
  <si>
    <t>https://www.youtube.com/channel/UCHP2xryezOeby-guYt2HUNQ</t>
  </si>
  <si>
    <t>Уютный огород</t>
  </si>
  <si>
    <t>UYUTNYIO</t>
  </si>
  <si>
    <t>https://www.youtube.com/channel/UCzULJ84ey0PhEAl7Wm0wAQQ</t>
  </si>
  <si>
    <t>Виноградарство Ростова</t>
  </si>
  <si>
    <t>https://www.youtube.com/channel/UChYajUc2ZjefHIuK84IPmiw</t>
  </si>
  <si>
    <t>Рыбалка с Бережным</t>
  </si>
  <si>
    <t>https://www.youtube.com/channel/UCr_Qu1gBdqJAdt6a7VTvhJg</t>
  </si>
  <si>
    <t>MHM Fishing Lures</t>
  </si>
  <si>
    <t>MHMFISHI</t>
  </si>
  <si>
    <t>https://www.youtube.com/channel/UCyQVb8yYGBNqDSDuCksYqew</t>
  </si>
  <si>
    <t>Анжелика Саф</t>
  </si>
  <si>
    <t>ANZHELIK</t>
  </si>
  <si>
    <t>https://www.youtube.com/channel/UCjQlOvKo1AioNgD6LBniQxw</t>
  </si>
  <si>
    <t>Спиннинг в Омске</t>
  </si>
  <si>
    <t>vk.com/spinning.omsk; @yrevna29</t>
  </si>
  <si>
    <t>https://www.youtube.com/channel/UCIgLc1IYSTDUdGJnkLbo05w</t>
  </si>
  <si>
    <t>Лови и отпускай</t>
  </si>
  <si>
    <t>https://ozon.ru/t/9w8pEBU; https://ozon.ru/t/VphrURE</t>
  </si>
  <si>
    <t>LOVIIOTP</t>
  </si>
  <si>
    <t>https://www.youtube.com/channel/UC8DD66tmmqaqcnNmcgeUaCg</t>
  </si>
  <si>
    <t>Томаты Юлии Яцкив</t>
  </si>
  <si>
    <t>https://mirtomatov.com</t>
  </si>
  <si>
    <t>TOMATYYU</t>
  </si>
  <si>
    <t>https://www.youtube.com/channel/UCPwMUEjqqoBpeTf4zCTLpDg</t>
  </si>
  <si>
    <t>Марина Сыромятникова сад огород для "ленивых"</t>
  </si>
  <si>
    <t>https://v.inshotapp.net/invite; https://inshotshare.app</t>
  </si>
  <si>
    <t>MARINASY</t>
  </si>
  <si>
    <t>https://www.youtube.com/channel/UCLG1QcpalByXP6xJM-klcoA</t>
  </si>
  <si>
    <t>Ольгина рассада</t>
  </si>
  <si>
    <t>@ogorodnie_dela_y_Olgi_chat; vk.com/club216847661</t>
  </si>
  <si>
    <t>OLGINARA</t>
  </si>
  <si>
    <t>https://www.youtube.com/channel/UCnMH2_Sj4pKlgowa8X6kzgw</t>
  </si>
  <si>
    <t>Рыбалка с JIG40</t>
  </si>
  <si>
    <t>vk.com/gon4arovi</t>
  </si>
  <si>
    <t>https://www.youtube.com/channel/UCekHR3GTbY2S_IvQKz6_ijg</t>
  </si>
  <si>
    <t>Любительский Карпфишинг🐳</t>
  </si>
  <si>
    <t>vk.com/goodn1htt; vk.com/club228982922; vk.com/club225277150</t>
  </si>
  <si>
    <t>LYUBITEL</t>
  </si>
  <si>
    <t>https://www.youtube.com/channel/UCD54OFQji3RZstqklVO0uBA</t>
  </si>
  <si>
    <t>сергей будрис</t>
  </si>
  <si>
    <t>SERGEIBU</t>
  </si>
  <si>
    <t>https://www.youtube.com/channel/UC7ERP0OKDyaqO7UXbqW8-fg</t>
  </si>
  <si>
    <t>РЕЧНЫЕ рыбалка,сплавы,походы</t>
  </si>
  <si>
    <t>RECHNYER</t>
  </si>
  <si>
    <t>https://www.youtube.com/channel/UCn73tDK8cIQdX4m9iXUDKLQ</t>
  </si>
  <si>
    <t>Цветы и рассада</t>
  </si>
  <si>
    <t>@art72ru; https://art72.su; https://art72.su/tyulpany-k-8-marta</t>
  </si>
  <si>
    <t>CVETYIRA</t>
  </si>
  <si>
    <t>https://www.youtube.com/channel/UCGaTuaxEDJvuSJsswVKAoXQ</t>
  </si>
  <si>
    <t>Садоводство и животноводство</t>
  </si>
  <si>
    <t>https://www.youtube.com/channel/UCYtGU4eyKmIZy3ebCdPg-Uw</t>
  </si>
  <si>
    <t>Рыбалка с Квокерником</t>
  </si>
  <si>
    <t>https://www.youtube.com/channel/UC6E-LgvDySDxBSkFMNacJ0w</t>
  </si>
  <si>
    <t>Садоводство в Хабаровске</t>
  </si>
  <si>
    <t>https://www.youtube.com/channel/UClt4AZPMYvNKx6JQfX09ahQ</t>
  </si>
  <si>
    <t>PRO Спиннинг</t>
  </si>
  <si>
    <t>PROSPINN</t>
  </si>
  <si>
    <t>https://www.youtube.com/channel/UCg6xC5jS7IzQFfiUUUkCJ8Q</t>
  </si>
  <si>
    <t>НОЧНОЙ ЛЕЩ</t>
  </si>
  <si>
    <t>NOCHNOIL</t>
  </si>
  <si>
    <t>https://www.youtube.com/channel/UCNe_wQcqes9G5Wc2tADxolw</t>
  </si>
  <si>
    <t>Охота Рыбалка ДВ 79RUS</t>
  </si>
  <si>
    <t>https://www.youtube.com/channel/UCVg5YodHwmHl4ByiWFaKBXQ</t>
  </si>
  <si>
    <t>Ландшафтный дизайн</t>
  </si>
  <si>
    <t>https://www.youtube.com/channel/UCZDcaSgWepsn76DT_Pj8mlA</t>
  </si>
  <si>
    <t>Поспеваево ПРО | Промышленные и фермерские теплицы</t>
  </si>
  <si>
    <t>@PospevaevoPro; @PospevaevoPRO; vk.com/kfh_lobeevs; https://vk.m</t>
  </si>
  <si>
    <t>POSPEVAE</t>
  </si>
  <si>
    <t>https://www.youtube.com/channel/UCElHJ_JqTpD5oJ8z2m2nIYQ</t>
  </si>
  <si>
    <t>CarpGOLD</t>
  </si>
  <si>
    <t>@carpgold_team</t>
  </si>
  <si>
    <t>CARPGOLD</t>
  </si>
  <si>
    <t>https://www.youtube.com/channel/UCer2LzdaqNssUgjiSA-1c8A</t>
  </si>
  <si>
    <t>Пермакультура на даче.</t>
  </si>
  <si>
    <t>@pfarm; vk.com/id562338935; https://boosty.to/permfarm</t>
  </si>
  <si>
    <t>PERMAKUL</t>
  </si>
  <si>
    <t>https://www.youtube.com/channel/UC0-EGwZU6OY8mw_GhnlayNg</t>
  </si>
  <si>
    <t>Дмитрий Fisher</t>
  </si>
  <si>
    <t>http://www.moscanella.ru/end-category/431-1-0-kriuchki-ofsietnyie-pontoon21.aspx</t>
  </si>
  <si>
    <t>DMITRIIF</t>
  </si>
  <si>
    <t>https://www.youtube.com/channel/UCebHe7LOwb4lhFPNdCbEtug</t>
  </si>
  <si>
    <t>Клёвое место | Рыбалка</t>
  </si>
  <si>
    <t>MAX</t>
  </si>
  <si>
    <t>https://max.ru/join/uCdz6lLBZaKQQ-TBrM1kCaXNxdhno0LlLSpv1_WO-yI</t>
  </si>
  <si>
    <t>we_and_nature</t>
  </si>
  <si>
    <t>https://max.ru/we_and_nature</t>
  </si>
  <si>
    <t>rybalka_severozapad</t>
  </si>
  <si>
    <t xml:space="preserve">https://max.ru/rybalka_severozapad </t>
  </si>
  <si>
    <t>Астраханская рыбалка и охота</t>
  </si>
  <si>
    <t>https://max.ru/astrafishing30</t>
  </si>
  <si>
    <t>Рыбалка | Рыбанутые | Охота | Туризм</t>
  </si>
  <si>
    <t>https://max.ru/rybanutyye</t>
  </si>
  <si>
    <t>https://max.ru/telefishing</t>
  </si>
  <si>
    <t>РЫБАЛКА В МОСКВЕ И ПОДМОСКОВЬЕ</t>
  </si>
  <si>
    <t>https://t.me/rubalkamoskva</t>
  </si>
  <si>
    <t>Рыбалка Донецк ДНР</t>
  </si>
  <si>
    <t>https://t.me/+vCWMo1HBFIlmMzNi</t>
  </si>
  <si>
    <t>Солнце на крючке | Ультралайт</t>
  </si>
  <si>
    <t>https://t.me/Solnce_na_kruchke_ultralight</t>
  </si>
  <si>
    <t>Рыболовная сводка Спб</t>
  </si>
  <si>
    <t>https://t.me/rybalka_spb_lenoblasti</t>
  </si>
  <si>
    <t xml:space="preserve">https://www.tiktok.com/@batya_ilin
</t>
  </si>
  <si>
    <t>Max-база</t>
  </si>
  <si>
    <t>https://vk.ru/batya_ilin</t>
  </si>
  <si>
    <t>https://max.ru/batya_ilin</t>
  </si>
  <si>
    <t>lukk58</t>
  </si>
  <si>
    <t>https://youtube.com/@lukk58</t>
  </si>
  <si>
    <t>vsegda_klyuyet</t>
  </si>
  <si>
    <t>https://vk.com/vsegda_klyuyet</t>
  </si>
  <si>
    <t>rybalkasakhalin</t>
  </si>
  <si>
    <t>https://max.ru/rybalkasakhalin</t>
  </si>
  <si>
    <t>syilers26</t>
  </si>
  <si>
    <t>Telegram-база</t>
  </si>
  <si>
    <t>https://t.me/syilers26</t>
  </si>
  <si>
    <t>syilers2019</t>
  </si>
  <si>
    <t>https://max.ru/syilers2019</t>
  </si>
  <si>
    <t>fishes43</t>
  </si>
  <si>
    <t>https://max.ru/fishes43</t>
  </si>
  <si>
    <t>fishercl</t>
  </si>
  <si>
    <t>https://t.me/fishercl</t>
  </si>
  <si>
    <t>alexeyvfishing</t>
  </si>
  <si>
    <t>https://max.ru/alexeyvfishing</t>
  </si>
  <si>
    <t>Рыбалка СПб и Карелия</t>
  </si>
  <si>
    <t>https://max.ru/fishingspb1</t>
  </si>
  <si>
    <t>rubalkarussia</t>
  </si>
  <si>
    <t>https://max.ru/rubalkarussia</t>
  </si>
  <si>
    <t>Рыбалка - "Fish fear me"</t>
  </si>
  <si>
    <t>https://max.ru/channel_fishfearme</t>
  </si>
  <si>
    <t>fish_journal</t>
  </si>
  <si>
    <r>
      <rPr>
        <color rgb="FF1155CC"/>
        <u/>
      </rPr>
      <t>https://max.ru/fish_journal</t>
    </r>
  </si>
  <si>
    <t>Рыбалка в Нижнем Новгороде</t>
  </si>
  <si>
    <t>https://max.ru/channel_Rybalka_52</t>
  </si>
  <si>
    <t>Рыбалка по-русски</t>
  </si>
  <si>
    <t>https://max.ru/russian_fishing_pro</t>
  </si>
  <si>
    <t>Рыбалка. Рыба. Рыбаки🎣</t>
  </si>
  <si>
    <t>https://max.ru/rybalka555</t>
  </si>
  <si>
    <t>Рыбалка на фидер в Санкт-Петербурге</t>
  </si>
  <si>
    <t>https://t.me/feeder_spb</t>
  </si>
  <si>
    <t>РЫБАКИ КУБАНЬ АДЫГЕЯ | ОТЧЕТЫ</t>
  </si>
  <si>
    <t>https://max.ru/Fishing_Kuban_Adygea</t>
  </si>
  <si>
    <t>Рыбалка на Волге | Самарская рыбалка</t>
  </si>
  <si>
    <t>https://t.me/samarafish</t>
  </si>
  <si>
    <t>РЫБАЛКА РОСТОВ И ОБЛАСТЬ🐟</t>
  </si>
  <si>
    <t>https://max.ru/channel_Rostov_Fishing</t>
  </si>
  <si>
    <t>https://max.ru/life_fishing</t>
  </si>
  <si>
    <t>https://vk.ru/fishing_region72</t>
  </si>
  <si>
    <t>https://www.youtube.com/@pikeordie</t>
  </si>
  <si>
    <t>Константин Андропов</t>
  </si>
  <si>
    <t>https://rutube.ru/channel/43101422</t>
  </si>
  <si>
    <t xml:space="preserve">Константин Андропов ВК </t>
  </si>
  <si>
    <t>https://vk.ru/spinnest</t>
  </si>
  <si>
    <t>Terskovski</t>
  </si>
  <si>
    <r>
      <rPr>
        <rFont val="Calibri"/>
        <color rgb="FF1155CC"/>
        <sz val="11.0"/>
        <u/>
      </rPr>
      <t>https://www.youtube.com/@Terskovski</t>
    </r>
    <r>
      <rPr>
        <rFont val="Calibri"/>
        <color theme="1"/>
        <sz val="11.0"/>
      </rPr>
      <t xml:space="preserve"> </t>
    </r>
  </si>
  <si>
    <t>pugleonid</t>
  </si>
  <si>
    <t>https://vk.ru/pugleonid</t>
  </si>
  <si>
    <t xml:space="preserve">Деревенский паренек </t>
  </si>
  <si>
    <t>https://vk.ru/club211368519</t>
  </si>
  <si>
    <t>derevenski_parenek</t>
  </si>
  <si>
    <t>Тикто-база</t>
  </si>
  <si>
    <t xml:space="preserve">Доступная рыбалка </t>
  </si>
  <si>
    <t>https://vk.ru/aliexfisher</t>
  </si>
  <si>
    <t>fishinglifetvrutub</t>
  </si>
  <si>
    <t>Rutebe-база</t>
  </si>
  <si>
    <t>https://rutube.ru/video/1726869439763055380402e1c8fb4aee/?r=a</t>
  </si>
  <si>
    <t>https://vk.ru/fishinglifetv</t>
  </si>
  <si>
    <t>отчеты рыбалка</t>
  </si>
  <si>
    <t>https://telegram.me/fishingspb1</t>
  </si>
  <si>
    <t xml:space="preserve">блог рыбака </t>
  </si>
  <si>
    <t>https://max.ru/join/-B1pH9O5LwDun19v5QK_CES0a8YCZ940MUNS4gEcKOo</t>
  </si>
  <si>
    <t>Рыбалка в Башкортостане, Башкирии | Уфа</t>
  </si>
  <si>
    <t>https://max.ru/Rybalka_Bashkortostan</t>
  </si>
  <si>
    <t>В САДКЕ - Рыбалка Хабаровский край и ДВ</t>
  </si>
  <si>
    <t>https://max.ru/channel_VSADKE</t>
  </si>
  <si>
    <t>Точки клева</t>
  </si>
  <si>
    <t>https://t.me/Russian_FishRR4</t>
  </si>
  <si>
    <t xml:space="preserve">Русская рыбалка </t>
  </si>
  <si>
    <r>
      <rPr>
        <color rgb="FF1155CC"/>
        <u/>
      </rPr>
      <t>https://max.ru/rus_fishin</t>
    </r>
  </si>
  <si>
    <t>Вали от города</t>
  </si>
  <si>
    <t>https://max.ru/vdali_ot_goroda</t>
  </si>
  <si>
    <t>Находки озон</t>
  </si>
  <si>
    <t>скидки</t>
  </si>
  <si>
    <t>https://max.ru/channel_ozon_nahodki_ru</t>
  </si>
  <si>
    <t>Зая!чья лапка? | Товары за отзыв | WB и OZON</t>
  </si>
  <si>
    <r>
      <rPr>
        <color rgb="FF1155CC"/>
        <u/>
      </rPr>
      <t>https://max.ru/join/aCIbN1JRxCFy84v811-Q8Iadi1-loYRgzzUF2UQv0Ko</t>
    </r>
  </si>
  <si>
    <t>⚡РАСПРОДАЖА OZON WB 🛒 | Находки Озон</t>
  </si>
  <si>
    <t>https://max.ru/id575201032930_biz</t>
  </si>
  <si>
    <t>Сочи Online</t>
  </si>
  <si>
    <t>городские</t>
  </si>
  <si>
    <t>https://max.ru/proonlineee</t>
  </si>
  <si>
    <t>Рыбалка в Сибири на Байкале</t>
  </si>
  <si>
    <t>https://max.ru/fish38rus</t>
  </si>
  <si>
    <t>Рыбалка | Клёвое место</t>
  </si>
  <si>
    <t>https://max.ru/rybalka_7</t>
  </si>
  <si>
    <t>Подмосковные грибники и</t>
  </si>
  <si>
    <t>https://telegram.me/gribniki_i_ribalka_v_podmsk</t>
  </si>
  <si>
    <t>трофейный</t>
  </si>
  <si>
    <t>https://max.ru/trofeysaratov</t>
  </si>
  <si>
    <t>домашние хитрости</t>
  </si>
  <si>
    <t>https://max.ru/join/-Ga5MmYNaN5TUj1yklwyICg_zp8zmmqzGhT9oJZq5BY</t>
  </si>
  <si>
    <t>Тульские рыбаки</t>
  </si>
  <si>
    <t>https://t.me/fishing_71</t>
  </si>
  <si>
    <t>Рыбалка в кайф</t>
  </si>
  <si>
    <t>https://max.ru/channel_riabalka</t>
  </si>
  <si>
    <t>Челнинские рыбаки</t>
  </si>
  <si>
    <t>https://t.me/chelny_rybaki</t>
  </si>
  <si>
    <t>Рыбалка Воронеж. Чат</t>
  </si>
  <si>
    <t>https://t.me/rybalka_vrn</t>
  </si>
  <si>
    <t>Рыбацкий канал | Рыбалка</t>
  </si>
  <si>
    <t>https://max.ru/ribalka_fishing24</t>
  </si>
  <si>
    <t>https://max.ru/ylov_ribaka</t>
  </si>
  <si>
    <t>Русская Рыбалка 4. Фарм. Троф. Мальцевидзе</t>
  </si>
  <si>
    <t>https://max.ru/pp4farmtrof</t>
  </si>
  <si>
    <t xml:space="preserve">РЫБАЛКА </t>
  </si>
  <si>
    <t>https://max.ru/join/tv-zOLgP61IYsvZA5CGo-pJe1cAmeOwctc3pafS22ZE</t>
  </si>
  <si>
    <t>Рыбалка в Астрахани и за её пределами</t>
  </si>
  <si>
    <t>https://t.me/spinning_Kubani_Adygei</t>
  </si>
  <si>
    <t>Спиннингисты Кубани и Адыгеи</t>
  </si>
  <si>
    <t>https://vk.com/feallkin_dom</t>
  </si>
  <si>
    <t>https://max.ru/feallkin_dom</t>
  </si>
  <si>
    <t>bibliya_sada</t>
  </si>
  <si>
    <t>https://max.ru/bibliya_sada</t>
  </si>
  <si>
    <t>Жизнь между городом и дачей</t>
  </si>
  <si>
    <t>https://max.ru/city_and_house</t>
  </si>
  <si>
    <t xml:space="preserve">На даче пригодиться </t>
  </si>
  <si>
    <t>https://max.ru/Nadacheprigoditc</t>
  </si>
  <si>
    <t>супер отпуск</t>
  </si>
  <si>
    <t>https://telegram.me/superotpusknadache</t>
  </si>
  <si>
    <t>деревня сосотояние души</t>
  </si>
  <si>
    <t>https://max.ru/ch_60a62c32e184214713fa6055</t>
  </si>
  <si>
    <t>@pug_leonid</t>
  </si>
  <si>
    <t>https://www.tiktok.com/@pug_leonid</t>
  </si>
  <si>
    <t>Leonid_music</t>
  </si>
  <si>
    <t>https://t.me/Leonid_music</t>
  </si>
  <si>
    <t>http://tiktok.com/@budni_zubareva</t>
  </si>
  <si>
    <t>https://vk.ru/budni_zubareva</t>
  </si>
  <si>
    <r>
      <rPr>
        <rFont val="Calibri"/>
        <color rgb="FF000000"/>
        <sz val="11.0"/>
        <u/>
      </rPr>
      <t>https://vk.ru/budni_zubareva</t>
    </r>
    <r>
      <rPr>
        <rFont val="Calibri"/>
        <color rgb="FF1F1F1F"/>
        <sz val="11.0"/>
      </rPr>
      <t xml:space="preserve"> </t>
    </r>
  </si>
  <si>
    <r>
      <rPr>
        <rFont val="Calibri"/>
        <color rgb="FF1155CC"/>
        <sz val="11.0"/>
        <u/>
      </rPr>
      <t>https://youtube.com/@budni_zubareva</t>
    </r>
    <r>
      <rPr>
        <rFont val="Calibri"/>
        <color theme="1"/>
        <sz val="11.0"/>
      </rPr>
      <t xml:space="preserve"> </t>
    </r>
  </si>
  <si>
    <r>
      <rPr>
        <rFont val="Calibri"/>
        <color rgb="FF1155CC"/>
        <sz val="11.0"/>
        <u/>
      </rPr>
      <t>https://youtube.com/@budni_zubareva</t>
    </r>
    <r>
      <rPr>
        <rFont val="Calibri"/>
        <color theme="1"/>
        <sz val="11.0"/>
      </rPr>
      <t xml:space="preserve"> </t>
    </r>
  </si>
  <si>
    <t>https://www.tiktok.com/@semenov.alexander</t>
  </si>
  <si>
    <t>https://youtube.com/@official.semenov</t>
  </si>
  <si>
    <t>https://vk.ru/official.semenov</t>
  </si>
  <si>
    <r>
      <rPr>
        <color rgb="FF1155CC"/>
        <u/>
      </rPr>
      <t>https://www.youtube.com/@slavkaivanov5497</t>
    </r>
    <r>
      <rPr>
        <color rgb="FF000000"/>
      </rPr>
      <t xml:space="preserve"> </t>
    </r>
  </si>
  <si>
    <t/>
  </si>
  <si>
    <r>
      <rPr>
        <color rgb="FF1155CC"/>
        <u/>
      </rPr>
      <t>https://www.youtube.com/@slavkaivanov5497</t>
    </r>
    <r>
      <rPr>
        <color rgb="FF000000"/>
      </rPr>
      <t xml:space="preserve"> </t>
    </r>
  </si>
  <si>
    <r>
      <rPr>
        <color rgb="FF1155CC"/>
        <u/>
      </rPr>
      <t>https://t.me/SlavkaIvanovTv</t>
    </r>
    <r>
      <rPr>
        <color rgb="FF000000"/>
      </rPr>
      <t xml:space="preserve"> </t>
    </r>
  </si>
  <si>
    <r>
      <rPr>
        <color rgb="FF1155CC"/>
        <u/>
      </rPr>
      <t>https://t.me/SlavkaIvanovTv</t>
    </r>
    <r>
      <rPr>
        <color rgb="FF000000"/>
      </rPr>
      <t xml:space="preserve"> </t>
    </r>
  </si>
  <si>
    <t>www.tiktok.com/@vyacheslav19916</t>
  </si>
  <si>
    <t>https://vk.com/clips/vyacheslav246</t>
  </si>
  <si>
    <t>https://vk.ru/dimon_dloger</t>
  </si>
  <si>
    <t>https://www.tiktok.com/@bloger_dimon</t>
  </si>
  <si>
    <t>https://max.ru/channel_Dimon_Bloger</t>
  </si>
  <si>
    <t>https://vk.ru/rybakikubani</t>
  </si>
  <si>
    <t>в тихом омуте</t>
  </si>
  <si>
    <t>namechtala</t>
  </si>
  <si>
    <t>https://vk.com/namechtala</t>
  </si>
  <si>
    <t>https://vk.ru/syilers</t>
  </si>
  <si>
    <t>Иванов МАХ</t>
  </si>
  <si>
    <t>https://max.ru/join/BdpFb_OnAKVK9ZwJMX7JSGH7jZmsUHACR6T_8yOR5BI</t>
  </si>
  <si>
    <t>Простая Рыбалка🐟</t>
  </si>
  <si>
    <t>https://t.me/ribalka_prostaya</t>
  </si>
  <si>
    <t xml:space="preserve">Сад и огород и дача </t>
  </si>
  <si>
    <t>https://max.ru/join/__OvnQb3bzZzI5byvALgfigzQA1gwIo0ZNxBfYXDAyg</t>
  </si>
  <si>
    <t>Дачные секреты | Дача и Огород</t>
  </si>
  <si>
    <t>https://max.ru/prosto_dacha</t>
  </si>
  <si>
    <t xml:space="preserve">Дача | Сад и Огород </t>
  </si>
  <si>
    <t>https://max.ru/join/L5jEV8WiwQ0PnORs9PzpP4qBAZttshkSFmnpokCbgPs</t>
  </si>
  <si>
    <t>https://max.ru/dachniesoveti</t>
  </si>
  <si>
    <t>ДАЧА ДЛЯ ДУШИ ✅ I СОВЕТЫ САДОВОДАМ И</t>
  </si>
  <si>
    <t>https://max.ru/public223173343</t>
  </si>
  <si>
    <t>Моя Дача. Сад и огород</t>
  </si>
  <si>
    <t>https://telegram.me/dacha_my</t>
  </si>
  <si>
    <r>
      <rPr>
        <rFont val="Calibri"/>
        <color rgb="FF1155CC"/>
        <sz val="11.0"/>
        <u/>
      </rPr>
      <t xml:space="preserve">aliexfishermax </t>
    </r>
    <r>
      <rPr>
        <rFont val="Calibri"/>
        <color theme="1"/>
        <sz val="11.0"/>
      </rPr>
      <t xml:space="preserve">
</t>
    </r>
  </si>
  <si>
    <t>https://max.ru/aliexfisher/AaCazIVzfcM</t>
  </si>
  <si>
    <t>dostupnaya_rybalka</t>
  </si>
  <si>
    <t>https://tiktok.com/@dostupnaya_rybalka</t>
  </si>
  <si>
    <t>DostupnayaRybalka</t>
  </si>
  <si>
    <t>https://t.me/DostupnayaRybalka/7972</t>
  </si>
  <si>
    <t>aliexfisher</t>
  </si>
  <si>
    <t>ttps://vk.ru/aliexfisher?w=wall-136853349_64956</t>
  </si>
  <si>
    <r>
      <rPr>
        <rFont val="Calibri"/>
        <sz val="11.0"/>
      </rPr>
      <t>r</t>
    </r>
    <r>
      <rPr>
        <rFont val="Calibri"/>
        <color rgb="FF1155CC"/>
        <sz val="11.0"/>
        <u/>
      </rPr>
      <t>utuиDostupnayaRybalka</t>
    </r>
  </si>
  <si>
    <r>
      <rPr>
        <color rgb="FF52ADF7"/>
      </rPr>
      <t xml:space="preserve"> </t>
    </r>
    <r>
      <rPr>
        <color rgb="FF1155CC"/>
        <u/>
      </rPr>
      <t>https://rutube.ru/u/DostupnayaRybalka</t>
    </r>
  </si>
  <si>
    <r>
      <rPr>
        <rFont val="Calibri"/>
        <color rgb="FF0000FF"/>
        <sz val="11.0"/>
        <u/>
      </rPr>
      <t>Сиимонов</t>
    </r>
    <r>
      <rPr>
        <rFont val="Calibri"/>
        <color rgb="FF1F1F1F"/>
        <sz val="11.0"/>
      </rPr>
      <t>ы</t>
    </r>
  </si>
  <si>
    <t>https://t.me/simoniata</t>
  </si>
  <si>
    <r>
      <rPr>
        <color rgb="FF52ADF7"/>
        <u/>
      </rPr>
      <t>simoniata</t>
    </r>
    <r>
      <rPr>
        <color rgb="FF1F1F1F"/>
        <u/>
      </rPr>
      <t>max</t>
    </r>
  </si>
  <si>
    <t>https://max.ru/simoniata</t>
  </si>
  <si>
    <t>relaxcomedy</t>
  </si>
  <si>
    <t>https://vk.ru/relaxcomedy</t>
  </si>
  <si>
    <t>greenpapan_blog</t>
  </si>
  <si>
    <t>https://vk.ru/greenpapan_blog</t>
  </si>
  <si>
    <t>dadvision</t>
  </si>
  <si>
    <t>https://vk.ru/dadvision</t>
  </si>
  <si>
    <t>Рыбалка в спб чат</t>
  </si>
  <si>
    <t>https://telegram.me/dumbfishspb</t>
  </si>
  <si>
    <t>Рыбалка Казань чат</t>
  </si>
  <si>
    <t>https://t.me/kazanfisher</t>
  </si>
  <si>
    <t xml:space="preserve">
ТОЧКИ КЛЁВА РУССКАЯ РЫБАЛКА 4</t>
  </si>
  <si>
    <t>https://max.ru/rf4map</t>
  </si>
  <si>
    <t>Рыбалка фидер спб</t>
  </si>
  <si>
    <t>https://max.ru/feederspb</t>
  </si>
  <si>
    <t>avto_dvizg</t>
  </si>
  <si>
    <t>https://vk.ru/avto_dvizg</t>
  </si>
  <si>
    <t>макавозы</t>
  </si>
  <si>
    <t>https://vk.ru/club211182784</t>
  </si>
  <si>
    <t>https://t.me/makovozovy</t>
  </si>
  <si>
    <t>Рыбалка с Иванычем</t>
  </si>
  <si>
    <t>https://max.ru/join/kvs60m93OU3-oc3VRfehLDVbvVymDAR0Q-Rcs0e3qDY</t>
  </si>
  <si>
    <t>Русская рыбалка крейзи</t>
  </si>
  <si>
    <t>https://telegram.me/rf4crazyft</t>
  </si>
  <si>
    <t xml:space="preserve">A_lfa_live </t>
  </si>
  <si>
    <t>ttps://t.me/A_lfa_live</t>
  </si>
  <si>
    <t>stas_blogs</t>
  </si>
  <si>
    <t>https://t.me/stas_blogs</t>
  </si>
  <si>
    <t>Мужская гильдия</t>
  </si>
  <si>
    <t>https://t.me/Mans_Clan</t>
  </si>
  <si>
    <t>big_zozh</t>
  </si>
  <si>
    <t>https://vk.ru/big_zozh</t>
  </si>
  <si>
    <t>Русская рыбалка нев</t>
  </si>
  <si>
    <r>
      <rPr>
        <color rgb="FF1155CC"/>
        <u/>
      </rPr>
      <t>https://max.ru/channel_rus_fishin</t>
    </r>
  </si>
  <si>
    <t>Охота рыбалка отдых</t>
  </si>
  <si>
    <t>https://max.ru/join/-MJhyPPkgreSIoYuLu0lh-AJuR-cShsiv9NjhUZbTuM</t>
  </si>
  <si>
    <t>Рыбалка в ростова ВРР</t>
  </si>
  <si>
    <t>https://max.ru/rybalkavrostove</t>
  </si>
  <si>
    <t>УДачная рыбалка</t>
  </si>
  <si>
    <t>https://max.ru/rybalkaudachnaya</t>
  </si>
  <si>
    <t>Рыбалка снасти обзоры</t>
  </si>
  <si>
    <r>
      <rPr>
        <color rgb="FF1155CC"/>
        <u/>
      </rPr>
      <t>https://max.ru/aliekemp</t>
    </r>
  </si>
  <si>
    <t>с полем охота и рыбалка</t>
  </si>
  <si>
    <t>https://max.ru/join/TAz62IvarhreupeVWAwOLTP6R8EY_0-2O7jKs9CK0tM</t>
  </si>
  <si>
    <t>Рыбалка 25 - Рыбалка Приморский край и ДВ</t>
  </si>
  <si>
    <r>
      <rPr>
        <color rgb="FF1155CC"/>
        <u/>
      </rPr>
      <t>https://max.ru/channel_Ribalka25</t>
    </r>
  </si>
  <si>
    <t>papavkyrse</t>
  </si>
  <si>
    <t>https://t.me/papavkyrse</t>
  </si>
  <si>
    <t xml:space="preserve">Водитель рф </t>
  </si>
  <si>
    <t>https://max.ru/id560405164432_biz</t>
  </si>
  <si>
    <t>Мы родились в сибири</t>
  </si>
  <si>
    <t>https://max.ru/ch_602408dd140d5e56b2f80f26</t>
  </si>
  <si>
    <t>дальнобойщики</t>
  </si>
  <si>
    <t>https://max.ru/vk_dalnoboy</t>
  </si>
  <si>
    <t>в курской деревне</t>
  </si>
  <si>
    <t>https://max.ru/ch_600bd9ea0424210ae70922c8</t>
  </si>
  <si>
    <t>СВО сводки</t>
  </si>
  <si>
    <t>https://max.ru/bestnogotochki</t>
  </si>
  <si>
    <t>сводки сво</t>
  </si>
  <si>
    <t>https://max.ru/razumdoz</t>
  </si>
  <si>
    <t>Мужские хитрости</t>
  </si>
  <si>
    <t>https://max.ru/men_115</t>
  </si>
  <si>
    <t>Автоновости авто</t>
  </si>
  <si>
    <t>https://max.ru/murom_navashino</t>
  </si>
  <si>
    <t>Лешка забавный</t>
  </si>
  <si>
    <t>https://max.ru/club230588680</t>
  </si>
  <si>
    <t>official.semenov</t>
  </si>
  <si>
    <t>Новости Ростова</t>
  </si>
  <si>
    <t>https://max.ru/rostovnews61</t>
  </si>
  <si>
    <t>Краснода Новости</t>
  </si>
  <si>
    <t>https://max.ru/krdns</t>
  </si>
  <si>
    <t>Жизнь в деревне</t>
  </si>
  <si>
    <t>https://max.ru/club228966716</t>
  </si>
  <si>
    <t xml:space="preserve">Марина и Вовчик </t>
  </si>
  <si>
    <t>Марина и Вова , простые деревенские блогеры.</t>
  </si>
  <si>
    <t>https://max.ru/club228054301</t>
  </si>
  <si>
    <t>@dobrikka</t>
  </si>
  <si>
    <t>https://www.tiktok.com/@dobrikka?_r=1&amp;_t=ZS-96SUAMU0m2v</t>
  </si>
  <si>
    <t>Артём из глубинки</t>
  </si>
  <si>
    <t>https://vk.ru/club232326034</t>
  </si>
  <si>
    <t>_traktorist163</t>
  </si>
  <si>
    <t>https://www.tiktok.com/@_traktorist163?_r=1&amp;_t=ZS-9A4p1jn9wgP</t>
  </si>
  <si>
    <t>tema_gotovit63</t>
  </si>
  <si>
    <t>https://youtube.com/@tema_gotovit63</t>
  </si>
  <si>
    <r>
      <rPr>
        <rFont val="Calibri"/>
        <color rgb="FF000000"/>
        <sz val="11.0"/>
        <u/>
      </rPr>
      <t xml:space="preserve">alexander_karasik
</t>
    </r>
    <r>
      <rPr>
        <rFont val="Calibri"/>
        <color rgb="FF1F1F1F"/>
        <sz val="11.0"/>
        <u/>
      </rPr>
      <t xml:space="preserve"> </t>
    </r>
  </si>
  <si>
    <t xml:space="preserve">https://www.tiktok.com/@alexander_karasik
</t>
  </si>
  <si>
    <t xml:space="preserve">buhlopovar
</t>
  </si>
  <si>
    <t xml:space="preserve">https://youtube.com/@buhlopovar
</t>
  </si>
  <si>
    <t>vkbuhlopovar</t>
  </si>
  <si>
    <t>https://vk.com/buhlopovar</t>
  </si>
  <si>
    <t>papa.optimist.offical</t>
  </si>
  <si>
    <t>https://vk.ru/papa.optimist.offical</t>
  </si>
  <si>
    <t>life_cts</t>
  </si>
  <si>
    <t>https://m.vk.ru/life_cts</t>
  </si>
  <si>
    <t>carnivore_baits</t>
  </si>
  <si>
    <t>https://www.tiktok.com/@carnivore_baits?</t>
  </si>
  <si>
    <t>artur1ofishing</t>
  </si>
  <si>
    <t>https://youtube.com/@artur1ofishing</t>
  </si>
  <si>
    <t>aturiofishing</t>
  </si>
  <si>
    <t>https://vk.ru/aturiofishing</t>
  </si>
  <si>
    <t>daniil.record</t>
  </si>
  <si>
    <r>
      <rPr>
        <rFont val="Calibri"/>
        <color rgb="FF000000"/>
        <sz val="11.0"/>
        <u/>
      </rPr>
      <t>https://www.tiktok.com/@daniil.record</t>
    </r>
    <r>
      <rPr>
        <rFont val="Calibri"/>
        <color rgb="FF1F1F1F"/>
        <sz val="11.0"/>
      </rPr>
      <t xml:space="preserve"> </t>
    </r>
  </si>
  <si>
    <t>youtubeDaniil.record</t>
  </si>
  <si>
    <t>https://www.youtube.com/@Daniil.record</t>
  </si>
  <si>
    <t xml:space="preserve">
Батя на Даче</t>
  </si>
  <si>
    <r>
      <rPr>
        <rFont val="Raleway"/>
        <color rgb="FF1155CC"/>
        <sz val="9.0"/>
        <u/>
      </rPr>
      <t>https://max.ru/join/RsYvXIhAcs28ZYjx1GDjtbwyOTN2xXZ0YnLF78jfGHY</t>
    </r>
  </si>
  <si>
    <t>Автобан</t>
  </si>
  <si>
    <t>https://max.ru/join/fZZmbgSqiU07NxW5iRZLBZH_J8nMGr_W6Zo6XF6taPw</t>
  </si>
  <si>
    <t>Лайфхакыч</t>
  </si>
  <si>
    <t>https://max.ru/join/Sum2uwyOiduGO_YdA4SJEYF4Vu9OQel1MSFE0wnDjrE</t>
  </si>
  <si>
    <t>Батя строит</t>
  </si>
  <si>
    <t>https://max.ru/join/P916KhDigIXCMbPKMrwnl0-caHoBE-zLMIZsEvB0ZXs</t>
  </si>
  <si>
    <t>На дорогах балаоково</t>
  </si>
  <si>
    <t>МЕДИАПЛАН — Триггер (прикормки для рыб)</t>
  </si>
  <si>
    <t>Синее — задаёт руководитель (бюджет, цель). Жёлтое — заполняет менеджер (охват, CTR, CR, чек, % выкупа). Серое — считается формулами.</t>
  </si>
  <si>
    <t>▼ АВГУСТ 2026</t>
  </si>
  <si>
    <t>Бюджет на месяц, ₽</t>
  </si>
  <si>
    <t>Целевой DRR</t>
  </si>
  <si>
    <t>Канал</t>
  </si>
  <si>
    <t>Бюджет, ₽</t>
  </si>
  <si>
    <t>Прогноз CPV, ₽</t>
  </si>
  <si>
    <t>Прогноз охвата</t>
  </si>
  <si>
    <t>CTR %</t>
  </si>
  <si>
    <t>Клики</t>
  </si>
  <si>
    <t>CR в заказ %</t>
  </si>
  <si>
    <t>Заказы</t>
  </si>
  <si>
    <t>CPO, ₽</t>
  </si>
  <si>
    <t>Выкупы</t>
  </si>
  <si>
    <t>Стоимость выкупа, ₽</t>
  </si>
  <si>
    <t>Выручка, ₽</t>
  </si>
  <si>
    <t>DRR</t>
  </si>
  <si>
    <t>МАРКЕТПЛЕЙС (ВБ / Ozon)</t>
  </si>
  <si>
    <t>Ср. чек, ₽</t>
  </si>
  <si>
    <t>% выкупа</t>
  </si>
  <si>
    <t>Instagram</t>
  </si>
  <si>
    <t>ИТОГО — МП</t>
  </si>
  <si>
    <t>САЙТ</t>
  </si>
  <si>
    <t>ИТОГО — Сайт</t>
  </si>
  <si>
    <t>ИТОГО ЗА МЕСЯЦ (МП + Сайт)</t>
  </si>
  <si>
    <t>Вердикт по DRR</t>
  </si>
  <si>
    <t>▼ Сентябрь 2026</t>
  </si>
  <si>
    <t>AT</t>
  </si>
  <si>
    <t>ап</t>
  </si>
  <si>
    <t>▼ Октябрь  2026</t>
  </si>
  <si>
    <t>корм</t>
  </si>
  <si>
    <t>▼ НОЯБРЬ 2026</t>
  </si>
  <si>
    <t>▼ ДЕКАБРЬ 2026</t>
  </si>
  <si>
    <t>не</t>
  </si>
  <si>
    <t>Выбери блогера в колонке A — ссылка, подписчики, площадка, промокод, стоимость подтянутся. «🔗 открыть» ведёт на канал.</t>
  </si>
  <si>
    <t>Выкупы = Заказы × %выкупа. Выручка = Средний чек × Выкупы. CAC/CPO по факту.</t>
  </si>
  <si>
    <t>Блогер</t>
  </si>
  <si>
    <t>Ссылка на канал</t>
  </si>
  <si>
    <t>Канал продаж</t>
  </si>
  <si>
    <t>№ договора</t>
  </si>
  <si>
    <t>Сценарий рекламы</t>
  </si>
  <si>
    <t>Дата выхода</t>
  </si>
  <si>
    <t>Статус</t>
  </si>
  <si>
    <t>Стоимость размещения</t>
  </si>
  <si>
    <t>Налог</t>
  </si>
  <si>
    <t>Себестоимость продукции</t>
  </si>
  <si>
    <t>Итого к оплате</t>
  </si>
  <si>
    <t>Код маркировки (ERID)</t>
  </si>
  <si>
    <t>Ссылка с UTM</t>
  </si>
  <si>
    <t>Ссылка Мобзио</t>
  </si>
  <si>
    <t>Промокод</t>
  </si>
  <si>
    <t>Подменный артикул</t>
  </si>
  <si>
    <t>Ссылка на размещение</t>
  </si>
  <si>
    <t>Право использования</t>
  </si>
  <si>
    <t>Охват</t>
  </si>
  <si>
    <t>CPV, ₽</t>
  </si>
  <si>
    <t>Клики WB/ сайт</t>
  </si>
  <si>
    <t>Клики мобзио</t>
  </si>
  <si>
    <t>Цена за клик, ₽</t>
  </si>
  <si>
    <t>Корзины</t>
  </si>
  <si>
    <t>Сумма заказов, ₽</t>
  </si>
  <si>
    <t>Средний чек, ₽</t>
  </si>
  <si>
    <t>Выручка от выкупов, ₽</t>
  </si>
  <si>
    <t>Продукт</t>
  </si>
  <si>
    <t>НЕДЕЛЯ — 3–9 августа</t>
  </si>
  <si>
    <t>Сайт</t>
  </si>
  <si>
    <t>telega in</t>
  </si>
  <si>
    <t>t27</t>
  </si>
  <si>
    <t>Вышло</t>
  </si>
  <si>
    <t>https://trigger-fish.ru/?utm_source=max&amp;utm_medium=publik&amp;utm_campaign=rybalkasakhalin&amp;utm_content=t27&amp;utm_term=0</t>
  </si>
  <si>
    <t>https://max.ru/fishes43/AZ_f9UjBUjw</t>
  </si>
  <si>
    <t>3 дня</t>
  </si>
  <si>
    <t>-</t>
  </si>
  <si>
    <t>https://trigger-fish.ru/?utm_source=max&amp;utm_medium=publik&amp;utm_campaign=klevoemesto&amp;utm_content=t27&amp;utm_term=0</t>
  </si>
  <si>
    <t>пост на месяц</t>
  </si>
  <si>
    <t>https://trigger-fish.ru/?utm_source=max&amp;utm_medium=publik&amp;utm_campaign=rybalka_severozapad&amp;utm_content=t27&amp;utm_term=0</t>
  </si>
  <si>
    <t>https://max.ru/rybalka_severozapad/AZ_anGIoWTQ</t>
  </si>
  <si>
    <t>https://trigger-fish.ru/?utm_source=max&amp;utm_medium=publik&amp;utm_campaign=rybalkavmoskve&amp;utm_content=t27&amp;utm_term=0</t>
  </si>
  <si>
    <t>https://telegram.me/rubalkamoskva/42761</t>
  </si>
  <si>
    <t>t28</t>
  </si>
  <si>
    <t>https://trigger-fish.ru/?utm_source=max&amp;utm_medium=publik&amp;utm_campaign=we_and_nature&amp;utm_content=t28&amp;utm_term=0</t>
  </si>
  <si>
    <t>https://max.ru/we_and_nature/AZ_nQLlvTwc</t>
  </si>
  <si>
    <t>https://trigger-fish.ru/?utm_source=max&amp;utm_medium=publik&amp;utm_campaign=rybalka&amp;utm_content=t28&amp;utm_term=0</t>
  </si>
  <si>
    <t>https://max.ru/telefishing/AZ_gLNBzC3g</t>
  </si>
  <si>
    <t>на сутки</t>
  </si>
  <si>
    <t>https://trigger-fish.ru/?utm_source=max&amp;utm_medium=publik&amp;utm_campaign=rybalovnayasvodkaspb&amp;utm_content=t28&amp;utm_term=0</t>
  </si>
  <si>
    <t>https://max.ru/rybalka_severozapad/AZ_dYejXTGo</t>
  </si>
  <si>
    <t>https://trigger-fish.ru/?utm_source=max&amp;utm_medium=publik&amp;utm_campaign=rybalkasakhalin&amp;utm_content=28</t>
  </si>
  <si>
    <t>https://max.ru/rybalkasakhalin/AZ_mXo2jbBY</t>
  </si>
  <si>
    <t>Итого:3-9 августа</t>
  </si>
  <si>
    <t>НЕДЕЛЯ —10–17августа</t>
  </si>
  <si>
    <t>WB</t>
  </si>
  <si>
    <t>v1</t>
  </si>
  <si>
    <t>2W5zFJrZboX</t>
  </si>
  <si>
    <t>https://wildberries.ru/catalog/0/search.aspx?search=WW888364</t>
  </si>
  <si>
    <t>https://aminotriggerfish.mobz.market/7icq</t>
  </si>
  <si>
    <t>WW888364</t>
  </si>
  <si>
    <t>https://vt.tiktok.com/ZSVewxP5s/</t>
  </si>
  <si>
    <t>Да</t>
  </si>
  <si>
    <t>2W5zFJPtADF</t>
  </si>
  <si>
    <t>https://wildberries.ru/catalog/0/search.aspx?search=WW888378</t>
  </si>
  <si>
    <t>https://aminotriggerfish.mobz.market/hs9mwe</t>
  </si>
  <si>
    <t>WW888378</t>
  </si>
  <si>
    <t>https://youtube.com/shorts/rKxxYD_SDCc?si=B1QcWbyyjv0rHg-u</t>
  </si>
  <si>
    <t>https://trigger-fish.ru/?utm_source=tg&amp;utm_medium=publik&amp;utm_campaign=fishercl&amp;utm_content=t27</t>
  </si>
  <si>
    <t>https://telegram.me/fishercl/5219</t>
  </si>
  <si>
    <t>2 суток</t>
  </si>
  <si>
    <t>https://trigger-fish.ru/?utm_source=max&amp;utm_medium=publik&amp;utm_campaign=alexeyvfishing&amp;utm_content=t27</t>
  </si>
  <si>
    <t>https://max.ru/alexeyvfishing/AaAEOW_-O0w</t>
  </si>
  <si>
    <t>https://trigger-fish.ru/?utm_source=max&amp;utm_medium=publik&amp;utm_campaign=spbkorel&amp;utm_content=t27</t>
  </si>
  <si>
    <t>https://max.ru/fishingspb1/AaAEcE1jd0w</t>
  </si>
  <si>
    <t>https://trigger-fish.ru/?utm_source=max&amp;utm_medium=publik&amp;utm_campaign=max.ru%2Frubalkarussia&amp;utm_content=t27</t>
  </si>
  <si>
    <t>https://max.ru/rubalkarussia/AaAGSbIzf8g</t>
  </si>
  <si>
    <r>
      <rPr>
        <rFont val="Calibri"/>
        <color rgb="FF0000FF"/>
        <sz val="11.0"/>
        <u/>
      </rPr>
      <t>fish_journal</t>
    </r>
    <r>
      <rPr>
        <rFont val="Calibri"/>
        <color rgb="FF1F1F1F"/>
        <sz val="11.0"/>
      </rPr>
      <t xml:space="preserve"> дневник</t>
    </r>
  </si>
  <si>
    <t>https://trigger-fish.ru/?utm_source=max&amp;utm_medium=publik&amp;utm_campaign=fish_journal&amp;utm_content=t27</t>
  </si>
  <si>
    <t>https://max.ru/fish_journal/AaAEqvUQEUw</t>
  </si>
  <si>
    <t>https://trigger-fish.ru/?utm_source=max&amp;utm_medium=publik&amp;utm_campaign=channel_rybalka_52&amp;utm_content=t27</t>
  </si>
  <si>
    <t>https://max.ru/channel_Rybalka_52/AaAGlQguSww</t>
  </si>
  <si>
    <t>https://trigger-fish.ru/?utm_source=max&amp;utm_medium=publik&amp;utm_campaign=russian_fishing_pro&amp;utm_content=t27</t>
  </si>
  <si>
    <t>https://max.ru/russian_fishing_pro/AaAG5yAKQQw</t>
  </si>
  <si>
    <t>https://trigger-fish.ru/?utm_source=max&amp;utm_medium=publik&amp;utm_campaign=rybalka555&amp;utm_content=t27</t>
  </si>
  <si>
    <t>https://max.ru/rybalka555/AaADy5FHb0w</t>
  </si>
  <si>
    <t>https://trigger-fish.ru/?utm_source=max&amp;utm_medium=publik&amp;utm_campaign=feeder_spb&amp;utm_content=t27</t>
  </si>
  <si>
    <t>https://telegram.me/feeder_spb/10105</t>
  </si>
  <si>
    <t>https://trigger-fish.ru/?utm_source=max&amp;utm_medium=publik&amp;utm_campaign=fishing_kuban_adygea&amp;utm_content=t27</t>
  </si>
  <si>
    <t>https://max.ru/Fishing_Kuban_Adygea/AaAFS5vOGOw</t>
  </si>
  <si>
    <t>https://trigger-fish.ru/?utm_source=telegram&amp;utm_medium=publik&amp;utm_campaign=samarafish&amp;utm_content=t27</t>
  </si>
  <si>
    <t>https://telegram.me/samarafish/19820</t>
  </si>
  <si>
    <t>https://trigger-fish.ru/?utm_source=max&amp;utm_medium=publik&amp;utm_campaign=channel_rostov_fishing&amp;utm_content=t27</t>
  </si>
  <si>
    <t>https://max.ru/channel_Rostov_Fishing/AaAEOXtMP0w</t>
  </si>
  <si>
    <t>https://trigger-fish.ru/?utm_source=max&amp;utm_medium=publik&amp;utm_campaign=life_fishing&amp;utm_content=t27</t>
  </si>
  <si>
    <t>https://max.ru/life_fishing/AaAJXv4LLk0</t>
  </si>
  <si>
    <t>Итого 10-16 августа</t>
  </si>
  <si>
    <t>НЕДЕЛЯ — 17–23 августа</t>
  </si>
  <si>
    <t>Ozon</t>
  </si>
  <si>
    <t>свой сценарий</t>
  </si>
  <si>
    <t>https://ozon.onelink.me/SNMZ?af_dp=https://ozon.ru/product/aminotrigger-fish-aromatizator-dlya-rybalki-250-ml-5340361400/&amp;af_web_dp=https://ozon.ru/product/aminotrigger-fish-aromatizator-dlya-rybalki-250-ml-5340361400/&amp;is_retargeting=true&amp;c=vendor_org_4202727_t28&amp;pid=vk|video&amp;af_keywords=fishinglifetv&amp;hs=1&amp;utm_source=vk&amp;utm_medium=video&amp;utm_campaign=vendor_org_4202727_t28&amp;utm_term=fishinglifetv</t>
  </si>
  <si>
    <r>
      <rPr>
        <rFont val="Calibri"/>
        <color rgb="FF1155CC"/>
        <sz val="10.0"/>
        <u/>
      </rPr>
      <t>https://aminotriggerfish.mobz.market/b0g</t>
    </r>
    <r>
      <rPr>
        <rFont val="Calibri"/>
        <sz val="10.0"/>
      </rPr>
      <t xml:space="preserve"> </t>
    </r>
  </si>
  <si>
    <t>https://vk.ru/wall-226894765_643</t>
  </si>
  <si>
    <t>тут будут еще доп посты</t>
  </si>
  <si>
    <t>https://ozon.ru/product/aminotrigger-fish-aromatizator-dlya-rybalki-250-ml-5340361400/?hs=1&amp;utm_campaign=vendor_org_4202727_pugleonid&amp;utm_medium=video&amp;utm_source=vk</t>
  </si>
  <si>
    <t>https://aminotriggerfish.mobz.market/s6i</t>
  </si>
  <si>
    <t>https://vk.ru/clip-221128641_456239567?c=1</t>
  </si>
  <si>
    <t>дубль в други соц сети будет</t>
  </si>
  <si>
    <t>https://wildberries.ru/catalog/0/search.aspx?search=WW947786</t>
  </si>
  <si>
    <t>WW947786</t>
  </si>
  <si>
    <t>https://www.tiktok.com/@novo_fish/video/7677190984953908513</t>
  </si>
  <si>
    <t>только вышел</t>
  </si>
  <si>
    <t xml:space="preserve">https://ozon.onelink.me/SNMZ?af_dp=https://ozon.ru/product/aminotrigger-fish-aromatizator-dlya-rybalki-250-ml-5340361400/&amp;af_web_dp=https://ozon.ru/product/aminotrigger-fish-aromatizator-dlya-rybalki-250-ml-5340361400/&amp;is_retargeting=true&amp;c=vendor_org_4202727_доступная рыбалка
&amp;pid=vk|blog&amp;af_adset=т28
&amp;hs=1&amp;utm_source=vk&amp;utm_medium=blog&amp;utm_campaign=vendor_org_4202727_доступная+рыбалка
&amp;utm_content=т28     </t>
  </si>
  <si>
    <t>https://vk.ru/wall-136853349_64568</t>
  </si>
  <si>
    <t>сутки</t>
  </si>
  <si>
    <t>https://trigger-fish.ru/?utm_source=max&amp;utm_medium=publik&amp;utm_campaign=vkaifl_riabalka&amp;utm_content=t27</t>
  </si>
  <si>
    <t>https://max.ru/channel_riabalka/AaAiQ4ZBKcY</t>
  </si>
  <si>
    <t>https://trigger-fish.ru/?utm_source=max&amp;utm_medium=publik&amp;utm_campaign=rybalka_7&amp;utm_content=t27</t>
  </si>
  <si>
    <t>https://max.ru/rybalka_7/AaAiQ3aoC8Y</t>
  </si>
  <si>
    <t>https://trigger-fish.ru/?utm_source=max&amp;utm_medium=publik&amp;utm_campaign=blogrybaka&amp;utm_content=t27</t>
  </si>
  <si>
    <t>https://trigger-fish.ru/?utm_source=max&amp;utm_medium=publik&amp;utm_campaign=channel_vsadke&amp;utm_content=t27</t>
  </si>
  <si>
    <t>https://max.ru/channel_VSADKE/AaAjWQZCNeY</t>
  </si>
  <si>
    <t>https://trigger-fish.ru/?utm_source=max&amp;utm_medium=publik&amp;utm_campaign=max.ru%2Ftrofeysaratov&amp;utm_content=t27</t>
  </si>
  <si>
    <t>https://max.ru/trofeysaratov/AaAjklWKX-Y</t>
  </si>
  <si>
    <t>https://trigger-fish.ru/?utm_source=max&amp;utm_medium=publik&amp;utm_campaign=chilapka&amp;utm_content=t27</t>
  </si>
  <si>
    <t>https://max.ru/join/aCIbN1JRxCFy84v811-Q8Iadi1-loYRgzzUF2UQv0Ko</t>
  </si>
  <si>
    <t>https://trigger-fish.ru/?utm_source=max&amp;utm_medium=publik&amp;utm_campaign=domashniehitrosti&amp;utm_content=t27</t>
  </si>
  <si>
    <t>https://trigger-fish.ru/?utm_source=max&amp;utm_medium=publik&amp;utm_campaign=baikfish38rus&amp;utm_content=t27</t>
  </si>
  <si>
    <t>https://max.ru/fish38rus/AaAirVw6ecY</t>
  </si>
  <si>
    <t>https://trigger-fish.ru/?utm_source=tg&amp;utm_medium=publik&amp;utm_campaign=tochkaklevarussian_fishrr4&amp;utm_content=t27</t>
  </si>
  <si>
    <t>https://telegram.me/Russian_FishRR4/48389</t>
  </si>
  <si>
    <t>https://trigger-fish.ru/?utm_source=tg&amp;utm_medium=publik&amp;utm_campaign=gribniki_i_ribalka_v_podmsk&amp;utm_content=t27</t>
  </si>
  <si>
    <t>https://telegram.me/gribniki_podmos/27434</t>
  </si>
  <si>
    <t>https://trigger-fish.ru/?utm_source=tg&amp;utm_medium=publik&amp;utm_campaign=chelny_rybaki&amp;utm_content=t27</t>
  </si>
  <si>
    <t>https://telegram.me/chelny_rybaki/242830</t>
  </si>
  <si>
    <t>https://trigger-fish.ru/?utm_source=tg&amp;utm_medium=publik&amp;utm_campaign=tulfishing_71&amp;utm_content=t27</t>
  </si>
  <si>
    <t>https://telegram.me/fishing_71/4145</t>
  </si>
  <si>
    <t>https://trigger-fish.ru/?utm_source=tg&amp;utm_medium=publik&amp;utm_campaign=rybalka_vrn&amp;utm_content=t27</t>
  </si>
  <si>
    <t>https://t.me/rybalka_vrn/156582</t>
  </si>
  <si>
    <t>https://trigger-fish.ru/?utm_source=max&amp;utm_medium=publik&amp;utm_campaign=rybalka_bashkortostan&amp;utm_content=t27</t>
  </si>
  <si>
    <t>https://max.ru/Rybalka_Bashkortostan/AaAlNjdWCYY</t>
  </si>
  <si>
    <t>https://trigger-fish.ru/?utm_source=max&amp;utm_medium=publik&amp;utm_campaign=rasprodachaozon&amp;utm_content=t27</t>
  </si>
  <si>
    <t>https://max.ru/id575201032930_biz/AaApjzBmb0Y</t>
  </si>
  <si>
    <t>https://trigger-fish.ru/?utm_source=max&amp;utm_medium=publik&amp;utm_campaign=proonlineee&amp;utm_content=t27</t>
  </si>
  <si>
    <t>https://max.ru/proonlineee/AaAta71JQQY</t>
  </si>
  <si>
    <t>Итого: 17–23августа</t>
  </si>
  <si>
    <t>НЕДЕЛЯ — 24–29 августа</t>
  </si>
  <si>
    <t>https://ozon.onelink.me/SNMZ/8de5za7t</t>
  </si>
  <si>
    <t>https://www.youtube.com/watch?v=954zrnc9vLA</t>
  </si>
  <si>
    <t>https://ozon.onelink.me/SNMZ/tstkfwui</t>
  </si>
  <si>
    <t>https://rutube.ru/video/87ce60088ef9c6bb5e353507f1301ad7/</t>
  </si>
  <si>
    <t>аминотригер</t>
  </si>
  <si>
    <t>https://ozon.onelink.me/SNMZ/8l5jco46</t>
  </si>
  <si>
    <t>https://vk.ru/im?z=video-110328564_456241951</t>
  </si>
  <si>
    <t>https://ozon.onelink.me/SNMZ/5xw8wjxe</t>
  </si>
  <si>
    <t>https://t.me/syilers26/4200</t>
  </si>
  <si>
    <t>Нет</t>
  </si>
  <si>
    <t>https://ozon.onelink.me/SNMZ/fzc2s8oo</t>
  </si>
  <si>
    <t>https://max.ru/syilers2019/AaBC_lixIxo</t>
  </si>
  <si>
    <t>https://ozon.onelink.me/SNMZ/tc61op2m</t>
  </si>
  <si>
    <t>https://rutube.ru/video/9ead77f4a5d7ce5094851ac7e3fd4a5d/?r=a/</t>
  </si>
  <si>
    <t>https://ozon.onelink.me/SNMZ/wxkr03el</t>
  </si>
  <si>
    <t>https://www.youtube.com/watch?v=IpPwpwE1GPc&amp;t=100s</t>
  </si>
  <si>
    <t>Vkontakte</t>
  </si>
  <si>
    <t>https://ozon.onelink.me/SNMZ/r298yc2n</t>
  </si>
  <si>
    <t>https://vkvideo.ru/video-226894765_456239497</t>
  </si>
  <si>
    <t>https://www.youtube.com/shorts/mA8JJoOmi50</t>
  </si>
  <si>
    <t>https://ozon.onelink.me/SNMZ/3lrtowoe</t>
  </si>
  <si>
    <t>https://aminotriggerfish.mobz.market/j3s</t>
  </si>
  <si>
    <t>https://t.me/Spinning_Kubani_Adygei/47228/312122</t>
  </si>
  <si>
    <t>https://ozon.onelink.me/SNMZ/a0jumhdp</t>
  </si>
  <si>
    <t>https://aminotriggerfish.mobz.market/ciiuh</t>
  </si>
  <si>
    <t>https://max.ru/rybanutyye/AaA8rBz7BJg</t>
  </si>
  <si>
    <t>https://ozon.onelink.me/SNMZ/wzijwzue</t>
  </si>
  <si>
    <t>https://aminotriggerfish.mobz.market/w5kp</t>
  </si>
  <si>
    <t>https://max.ru/ribalka_fishing24/AaA8rCnOepg</t>
  </si>
  <si>
    <t>https://ozon.onelink.me/SNMZ/35xi838x</t>
  </si>
  <si>
    <t>https://aminotriggerfish.mobz.market/6dyu</t>
  </si>
  <si>
    <r>
      <rPr>
        <rFont val="Calibri"/>
        <sz val="10.0"/>
      </rPr>
      <t xml:space="preserve"> </t>
    </r>
    <r>
      <rPr>
        <rFont val="Calibri"/>
        <color rgb="FF1155CC"/>
        <sz val="10.0"/>
        <u/>
      </rPr>
      <t>https://max.ru/join/tv-zOLgP61IYsvZA5CGo-pJe1cAmeOwctc3pafS22ZEhttps://max.ru/ylov_ribaka</t>
    </r>
  </si>
  <si>
    <t>https://ozon.onelink.me/SNMZ/373m7kvy</t>
  </si>
  <si>
    <t>https://aminotriggerfish.mobz.market/1kr</t>
  </si>
  <si>
    <t>https://max.ru/pp4farmtrof/AaA8PNzgPpg</t>
  </si>
  <si>
    <t>https://ozon.onelink.me/SNMZ/ukn1iac9</t>
  </si>
  <si>
    <t>https://aminotriggerfish.mobz.market/xej</t>
  </si>
  <si>
    <t>https://max.ru/ylov_ribaka/AaA-YGB_KDg</t>
  </si>
  <si>
    <t>https://wildberries.ru/catalog/0/search.aspx?search=WW979669</t>
  </si>
  <si>
    <t>https://aminotriggerfish.mobz.market/86db1v</t>
  </si>
  <si>
    <t>WW979669</t>
  </si>
  <si>
    <t>https://max.ru/bibliya_sada/AaBIOSqPbnk</t>
  </si>
  <si>
    <t>аппликатор</t>
  </si>
  <si>
    <t>https://wildberries.ru/catalog/0/search.aspx?search=WW979700</t>
  </si>
  <si>
    <t>https://aminotriggerfish.mobz.market/w0rbq</t>
  </si>
  <si>
    <t>WW979700</t>
  </si>
  <si>
    <t>https://t.me/superotpusknadache/17431</t>
  </si>
  <si>
    <t>https://wildberries.ru/catalog/0/search.aspx?search=WW979686</t>
  </si>
  <si>
    <t>https://aminotriggerfish.mobz.market/4l3ji</t>
  </si>
  <si>
    <t>WW979686</t>
  </si>
  <si>
    <t>https://max.ru/ch_60a62c32e184214713fa6055/AaBNSNJPawo</t>
  </si>
  <si>
    <t>https://wildberries.ru/catalog/0/search.aspx?search=WW979690</t>
  </si>
  <si>
    <t>https://aminotriggerfish.mobz.market/okk3</t>
  </si>
  <si>
    <t>WW979690</t>
  </si>
  <si>
    <t>https://max.ru/Nadacheprigoditca/AaBMV_FWX50</t>
  </si>
  <si>
    <t>https://wildberries.ru/catalog/0/search.aspx?search=WW979704</t>
  </si>
  <si>
    <t>https://aminotriggerfish.mobz.market/7q1</t>
  </si>
  <si>
    <t>WW979704</t>
  </si>
  <si>
    <t>Итого: 24–29 августа</t>
  </si>
  <si>
    <t>НЕДЕЛЯ — 30–31 августа</t>
  </si>
  <si>
    <t>https://wildberries.ru/catalog/0/search.aspx?search=WW996788</t>
  </si>
  <si>
    <t>WW996788</t>
  </si>
  <si>
    <t>https://vk.ru/story-211208898_456241852</t>
  </si>
  <si>
    <t xml:space="preserve">только вышла </t>
  </si>
  <si>
    <t>https://wildberries.ru/catalog/0/search.aspx?search=WW996801</t>
  </si>
  <si>
    <t>WW996801</t>
  </si>
  <si>
    <t>https://max.ru/feallkin_dom/AaBTOlA3JnI</t>
  </si>
  <si>
    <t>https://ozon.onelink.me/SNMZ/7kc6t0p4</t>
  </si>
  <si>
    <t>https://t.me/Leonid_music/2828</t>
  </si>
  <si>
    <t xml:space="preserve">доп </t>
  </si>
  <si>
    <t>https://vt.tiktok.com/ZSV3VRjhs/</t>
  </si>
  <si>
    <t>Итого: 29–31 июля</t>
  </si>
  <si>
    <t>ИТОГО ЗА МЕСЯЦ</t>
  </si>
  <si>
    <t>Охват факт</t>
  </si>
  <si>
    <t>РЕГ</t>
  </si>
  <si>
    <t>CPA</t>
  </si>
  <si>
    <t>НЕДЕЛЯ —1–7 сентября</t>
  </si>
  <si>
    <t>2W5zFJ8vuds</t>
  </si>
  <si>
    <t>BATYA10</t>
  </si>
  <si>
    <r>
      <rPr>
        <rFont val="Calibri"/>
        <color rgb="FF1155CC"/>
        <sz val="10.0"/>
        <u/>
      </rPr>
      <t>https://vt.tiktok.com/ZSVKS2TKF/</t>
    </r>
    <r>
      <rPr>
        <rFont val="Calibri"/>
        <sz val="10.0"/>
      </rPr>
      <t xml:space="preserve"> 
</t>
    </r>
  </si>
  <si>
    <t>Aminotrigger-Fish</t>
  </si>
  <si>
    <t>2W5zFJd6fzR</t>
  </si>
  <si>
    <t>https://ozon.onelink.me/SNMZ/ik1u4ho0</t>
  </si>
  <si>
    <r>
      <rPr>
        <rFont val="Calibri"/>
        <color rgb="FF1155CC"/>
        <sz val="10.0"/>
        <u/>
      </rPr>
      <t>https://vk.ru/clip-235277864_456239553?c=1</t>
    </r>
    <r>
      <rPr>
        <rFont val="Calibri"/>
        <sz val="10.0"/>
      </rPr>
      <t xml:space="preserve"> </t>
    </r>
  </si>
  <si>
    <t>2W5zFJkWcQ9</t>
  </si>
  <si>
    <r>
      <rPr>
        <rFont val="Calibri"/>
        <color rgb="FF1155CC"/>
        <sz val="10.0"/>
        <u/>
      </rPr>
      <t>https://ozon.onelink.me/SNMZ/5enzywu9</t>
    </r>
    <r>
      <rPr>
        <rFont val="Calibri"/>
        <sz val="10.0"/>
      </rPr>
      <t xml:space="preserve"> </t>
    </r>
  </si>
  <si>
    <t>https://max.ru/batya_ilin/AaBdXlvIQR8</t>
  </si>
  <si>
    <t>t30</t>
  </si>
  <si>
    <t>доп размещение</t>
  </si>
  <si>
    <t>https://ozon.onelink.me/SNMZ/fmla4pxl</t>
  </si>
  <si>
    <t>https://vk.ru/wall-226894765_699</t>
  </si>
  <si>
    <t>Итого: 1–7 сентябрь</t>
  </si>
  <si>
    <t>НЕДЕЛЯ —8–14 сентября</t>
  </si>
  <si>
    <t>своя подача общая</t>
  </si>
  <si>
    <t>https://ozon.ru/product/aminotrigger-fish-aromatizator-dlya-rybalki-250-ml-5340361400?hs=1&amp;utm_campaign=vendor_org_4202727_youohotnikinao&amp;utm_content=video&amp;utm_medium=blog&amp;utm_source=youtube&amp;utm_term=youohotnikinao</t>
  </si>
  <si>
    <t>https://aminotriggerfish.mobz.market/nsd</t>
  </si>
  <si>
    <t>https://www.youtube.com/watch?v=nSfzw0ZV1RM</t>
  </si>
  <si>
    <t>полная интеграция дольше набирает охват</t>
  </si>
  <si>
    <t>https://ozon.ru/product/aminotrigger-fish-aromatizator-dlya-rybalki-250-ml-5340361400?hs=1&amp;utm_campaign=vendor_org_4202727_ohotnikinao&amp;utm_content=video&amp;utm_medium=blog&amp;utm_source=vk&amp;utm_term=ohotnikinao</t>
  </si>
  <si>
    <t>https://aminotriggerfish.mobz.market/89g?detail_erid=5340361400</t>
  </si>
  <si>
    <t>https://vk.ru/ohotnikinao?z=video-7653648_456239864</t>
  </si>
  <si>
    <t>доп выход</t>
  </si>
  <si>
    <t>https://ozon.ru/product/aminotrigger-fish-aromatizator-dlya-rybalki-250-ml-5340361400/?hs=1&amp;utm_campaign=vendor_org_4202727_vkrusyilers&amp;utm_content=stories&amp;utm_medium=video&amp;utm_source=vk&amp;utm_term=syilers</t>
  </si>
  <si>
    <t>https://aminotriggerfish.mobz.market/470li</t>
  </si>
  <si>
    <t>https://vk.ru/story-212140642_456241030</t>
  </si>
  <si>
    <t>консоль</t>
  </si>
  <si>
    <t>v4</t>
  </si>
  <si>
    <t>https://ozon.onelink.me/SNMZ/24nhzhe9</t>
  </si>
  <si>
    <t>https://vk.ru/clip-232644511_456239777?c=1</t>
  </si>
  <si>
    <t>промокод</t>
  </si>
  <si>
    <t>Dimon5</t>
  </si>
  <si>
    <t>https://vt.tiktok.com/ZSqfQ5b88</t>
  </si>
  <si>
    <t>https://ozon.onelink.me/SNMZ/ly3le08a</t>
  </si>
  <si>
    <t>телега ин</t>
  </si>
  <si>
    <t>https://ozon.onelink.me/SNMZ/qwnnkdli</t>
  </si>
  <si>
    <t>https://aminotriggerfish.mobz.market/t4mjo1</t>
  </si>
  <si>
    <t>https://t.me/ribalka_prostaya/31130</t>
  </si>
  <si>
    <t>https://ozon.onelink.me/SNMZ/1qd8qzmz</t>
  </si>
  <si>
    <t>https://aminotriggerfish.mobz.market/mekc5</t>
  </si>
  <si>
    <t>https://max.ru/rybalka_severozapad/AaCMlZAhLfQ</t>
  </si>
  <si>
    <t>https://ozon.onelink.me/SNMZ/dii0wx5b</t>
  </si>
  <si>
    <t>https://aminotriggerfish.mobz.market/0jyfax</t>
  </si>
  <si>
    <t>https://max.ru/rybanutyye/AaCQVylgLM4</t>
  </si>
  <si>
    <t>https://ozon.onelink.me/SNMZ/rcu58t0c</t>
  </si>
  <si>
    <t>https://aminotriggerfish.mobz.market/voyt</t>
  </si>
  <si>
    <t>https://t.me/rybalka_vrn/156708</t>
  </si>
  <si>
    <t>https://ozon.onelink.me/SNMZ/qn6e0e54</t>
  </si>
  <si>
    <t>https://aminotriggerfish.mobz.market/zkczqy</t>
  </si>
  <si>
    <t>https://max.ru/life_fishing/AaCZkNqHdb0</t>
  </si>
  <si>
    <t>https://vk.ru/wall-226894765_699?w=story-226894765_456239037%2Fowner_feed-226894765</t>
  </si>
  <si>
    <r>
      <rPr>
        <color rgb="FF1155CC"/>
        <u/>
      </rPr>
      <t>https://www.youtube.com/@slavkaivanov5497</t>
    </r>
    <r>
      <rPr>
        <color rgb="FF000000"/>
      </rPr>
      <t xml:space="preserve"> </t>
    </r>
  </si>
  <si>
    <t>Ivanov</t>
  </si>
  <si>
    <t>https://youtube.com/shorts/yRe3U-VjnO0?si=9P_G8F7NPaKb2Zo7</t>
  </si>
  <si>
    <t>продажи по промо</t>
  </si>
  <si>
    <r>
      <rPr>
        <color rgb="FF1155CC"/>
        <u/>
      </rPr>
      <t>https://t.me/SlavkaIvanovTv</t>
    </r>
    <r>
      <rPr>
        <color rgb="FF000000"/>
      </rPr>
      <t xml:space="preserve"> </t>
    </r>
  </si>
  <si>
    <t>https://ozon.onelink.me/SNMZ/bjw197k8</t>
  </si>
  <si>
    <t>https://t.me/SlavkaIvanovTv/1127</t>
  </si>
  <si>
    <t>Ivanov5</t>
  </si>
  <si>
    <t>https://vt.tiktok.com/ZSqHX9VUe/</t>
  </si>
  <si>
    <t>https://ozon.onelink.me/SNMZ/nm4y995d</t>
  </si>
  <si>
    <t>https://ozon.onelink.me/SNMZ/ucvmp6cd</t>
  </si>
  <si>
    <t>vk.com/clip-228281080_456239149?c=1</t>
  </si>
  <si>
    <t>https://wildberries.ru/catalog/0/search.aspx?search=WW1072329</t>
  </si>
  <si>
    <t>https://aminotriggerfish.mobz.market/730vqb</t>
  </si>
  <si>
    <t>Аппликатор Ермакова</t>
  </si>
  <si>
    <t>https://wildberries.ru/catalog/0/search.aspx?search=WW1072350</t>
  </si>
  <si>
    <t>https://aminotriggerfish.mobz.market/d57v</t>
  </si>
  <si>
    <t>https://max.ru/prosto_dacha/AaCVgcZ8GDY</t>
  </si>
  <si>
    <t>https://wildberries.ru/catalog/0/search.aspx?search=WW1072383</t>
  </si>
  <si>
    <t>https://aminotriggerfish.mobz.market/t125dp</t>
  </si>
  <si>
    <t>https://wildberries.ru/catalog/0/search.aspx?search=WW1072388</t>
  </si>
  <si>
    <t>https://aminotriggerfish.mobz.market/kykkxs</t>
  </si>
  <si>
    <t>https://max.ru/dachniesoveti/AaCZkfVVLoY</t>
  </si>
  <si>
    <t>https://wildberries.ru/catalog/0/search.aspx?search=WW1072400</t>
  </si>
  <si>
    <t>https://aminotriggerfish.mobz.market/wy33q9</t>
  </si>
  <si>
    <t>https://wildberries.ru/catalog/0/search.aspx?search=WW1072412</t>
  </si>
  <si>
    <t>https://aminotriggerfish.mobz.market/38lllx</t>
  </si>
  <si>
    <t>Итого: 8-14 сентября</t>
  </si>
  <si>
    <t>НЕДЕЛЯ —15-21 сентября</t>
  </si>
  <si>
    <t>zuborev5</t>
  </si>
  <si>
    <t>https://vt.tiktok.com/ZSqpcwWMU/</t>
  </si>
  <si>
    <r>
      <rPr>
        <color rgb="FF4A86E8"/>
        <u/>
      </rPr>
      <t>https://vk.ru/clip-236832541_456239267?c=1</t>
    </r>
    <r>
      <rPr>
        <color rgb="FF4A86E8"/>
      </rPr>
      <t xml:space="preserve"> </t>
    </r>
  </si>
  <si>
    <r>
      <rPr>
        <rFont val="Calibri"/>
        <color rgb="FF1155CC"/>
        <sz val="11.0"/>
        <u/>
      </rPr>
      <t>https://youtube.com/@budni_zubareva</t>
    </r>
    <r>
      <rPr>
        <rFont val="Calibri"/>
        <color theme="1"/>
        <sz val="11.0"/>
      </rPr>
      <t xml:space="preserve"> </t>
    </r>
  </si>
  <si>
    <t>zuborev</t>
  </si>
  <si>
    <t>https://youtube.com/shorts/kUBgu_gtu9M?si=s8s8zRp5driIQUHc</t>
  </si>
  <si>
    <t>v5</t>
  </si>
  <si>
    <t>semenov10</t>
  </si>
  <si>
    <t>https://www.tiktok.com/@semenov.alexander/video/7685735317101415688</t>
  </si>
  <si>
    <t>semenov11</t>
  </si>
  <si>
    <t>https://www.youtube.com/shorts/LK9adofQvpw</t>
  </si>
  <si>
    <t>https://wildberries.ru/catalog/0/search.aspx?search=WW1111630</t>
  </si>
  <si>
    <t>WW1111630</t>
  </si>
  <si>
    <t>https://vk.ru/story-211242042_456248667</t>
  </si>
  <si>
    <t>сторис</t>
  </si>
  <si>
    <r>
      <rPr>
        <rFont val="Calibri"/>
        <color rgb="FF0000FF"/>
        <sz val="11.0"/>
        <u/>
      </rPr>
      <t>Сиимонов</t>
    </r>
    <r>
      <rPr>
        <rFont val="Calibri"/>
        <color rgb="FF1F1F1F"/>
        <sz val="11.0"/>
      </rPr>
      <t>ы</t>
    </r>
  </si>
  <si>
    <t>t31</t>
  </si>
  <si>
    <t>https://ozon.onelink.me/SNMZ/kkfg4xvb</t>
  </si>
  <si>
    <t>https://t.me/simoniata/15098</t>
  </si>
  <si>
    <t>месяц</t>
  </si>
  <si>
    <r>
      <rPr>
        <color rgb="FF52ADF7"/>
        <u/>
      </rPr>
      <t>simoniata</t>
    </r>
    <r>
      <rPr>
        <color rgb="FF1F1F1F"/>
        <u/>
      </rPr>
      <t>max</t>
    </r>
  </si>
  <si>
    <t>https://ozon.onelink.me/SNMZ/vu1a681t</t>
  </si>
  <si>
    <t>https://max.ru/simoniata/AaC4n18id-w</t>
  </si>
  <si>
    <t>https://ozon.onelink.me/SNMZ/imk1epi4</t>
  </si>
  <si>
    <t>https://vk.ru/wall-211691270_11342</t>
  </si>
  <si>
    <t>4 суток</t>
  </si>
  <si>
    <t>https://ozon.onelink.me/SNMZ/pgo7yb0t</t>
  </si>
  <si>
    <t>https://vk.ru/wall-236887004_658</t>
  </si>
  <si>
    <t>https://ozon.onelink.me/SNMZ/0cvk5ooe</t>
  </si>
  <si>
    <t>https://vk.ru/wall-51070170_9362</t>
  </si>
  <si>
    <t>неделя</t>
  </si>
  <si>
    <t>https://ozon.ru/product/aktivator-kleva-attraktant-prikormka-rybolovnaya-karp-leshch-250-ml-5340361400?hs=1&amp;utm_campaign=vendor_org_4202727_DostupnayaRybalka&amp;utm_content=t31&amp;utm_medium=blog&amp;utm_source=telegram</t>
  </si>
  <si>
    <t>https://vk.ru/aliexfisher?z=photo-136853349_457276135%2Falbum-136853349_0%2Frev</t>
  </si>
  <si>
    <t>сутк</t>
  </si>
  <si>
    <t>https://ozon.ru/product/aktivator-kleva-attraktant-prikormka-rybolovnaya-karp-leshch-250-ml-5340361400?hs=1&amp;utm_campaign=vendor_org_4202727_vkaliexfisher&amp;utm_content=t31&amp;utm_medium=blog&amp;utm_source=vk</t>
  </si>
  <si>
    <t>https://t.me/DostupnayaRybalka/7990</t>
  </si>
  <si>
    <t>телегаин</t>
  </si>
  <si>
    <t>https://ozon.onelink.me/SNMZ/gigc33eh</t>
  </si>
  <si>
    <t>https://aminotriggerfish.mobz.market/4sr</t>
  </si>
  <si>
    <t>2 сут</t>
  </si>
  <si>
    <t>https://ozon.onelink.me/SNMZ/an60ulki</t>
  </si>
  <si>
    <t>https://aminotriggerfish.mobz.market/30s</t>
  </si>
  <si>
    <t>https://max.ru/rubalkarussia/AaCunOlNUfQ</t>
  </si>
  <si>
    <t>https://ozon.onelink.me/SNMZ/1ctcef22</t>
  </si>
  <si>
    <t>https://aminotriggerfish.mobz.market/z8n8q</t>
  </si>
  <si>
    <t>https://t.me/rybalka_spb_lenoblasti/26621</t>
  </si>
  <si>
    <t>https://ozon.onelink.me/SNMZ/nrwpzvr9</t>
  </si>
  <si>
    <t>https://aminotriggerfish.mobz.market/ckpw</t>
  </si>
  <si>
    <t>https://t.me/dumbfishspb/501064</t>
  </si>
  <si>
    <t>https://ozon.onelink.me/SNMZ/cq9b529c</t>
  </si>
  <si>
    <t>https://aminotriggerfish.mobz.market/ego</t>
  </si>
  <si>
    <t>https://telegram.me/kazanfisher/116977</t>
  </si>
  <si>
    <t xml:space="preserve">опрос </t>
  </si>
  <si>
    <t>https://max.ru/rf4map/AaC1rfbIIKI</t>
  </si>
  <si>
    <t>опрос подарок</t>
  </si>
  <si>
    <t>https://max.ru/fishingspb1/AaCziRtzWqI</t>
  </si>
  <si>
    <t>https://max.ru/ylov_ribaka/AaC0LX28KqI</t>
  </si>
  <si>
    <t>https://max.ru/feederspb/AaCy41ZNJiA</t>
  </si>
  <si>
    <t>https://t.me/rubalkamoskva/43973</t>
  </si>
  <si>
    <t>https://ozon.onelink.me/SNMZ/0klzbi87</t>
  </si>
  <si>
    <t>https://vk.ru/wall-165180619_132415</t>
  </si>
  <si>
    <t>30 дней</t>
  </si>
  <si>
    <t>https://ozon.onelink.me/SNMZ/kvl1wzir</t>
  </si>
  <si>
    <r>
      <rPr>
        <color rgb="FF4A86E8"/>
        <u/>
      </rPr>
      <t>https://vk.ru/wall-235277864_27244</t>
    </r>
    <r>
      <rPr>
        <color rgb="FF4A86E8"/>
      </rPr>
      <t xml:space="preserve"> </t>
    </r>
  </si>
  <si>
    <t>https://ozon.onelink.me/SNMZ/z93ytn17</t>
  </si>
  <si>
    <t>https://max.ru/batya_ilin/AaC30kbQID0</t>
  </si>
  <si>
    <t>https://ozon.ru/product/aminotrigger-fish-aromatizator-dlya-rybalki-250-ml-5340361400/?hs=1&amp;utm_campaign=vendor_org_4202727_ivanich&amp;utm_content=t31&amp;utm_medium=blog&amp;utm_source=max</t>
  </si>
  <si>
    <t>https://ozon.ru/product/aminotrigger-fish-aromatizator-dlya-rybalki-250-ml-5340361400?hs=1&amp;utm_campaign=vendor_org_4202727_ruskayacrazy&amp;utm_content=t32&amp;utm_medium=blog&amp;utm_source=max</t>
  </si>
  <si>
    <t>https://telegram.me/rf4crazyft/80192</t>
  </si>
  <si>
    <r>
      <rPr>
        <rFont val="Calibri"/>
        <color rgb="FF1155CC"/>
        <sz val="10.0"/>
        <u/>
      </rPr>
      <t>https://ozon.ru/product/aktivator-kleva-attraktant-prikormka-rybolovnaya-karp-leshch-250-ml-5340361400?hs=1&amp;utm_campaign=vendor_org_4202727_club211182784&amp;utm_content=t31</t>
    </r>
    <r>
      <rPr>
        <rFont val="Calibri"/>
        <sz val="10.0"/>
      </rPr>
      <t xml:space="preserve">
&amp;utm_medium=blog&amp;utm_source=vk  </t>
    </r>
  </si>
  <si>
    <t>https://vk.ru/club211182784?w=story-211182784_456240270%2Fowner_feed-211182784</t>
  </si>
  <si>
    <t>https://ozon.ru/product/aktivator-kleva-attraktant-prikormka-rybolovnaya-karp-leshch-250-ml-5340361400?hs=1&amp;utm_campaign=vendor_org_4202727_makovozovy&amp;utm_content=t31&amp;utm_medium=blog&amp;utm_source=telegram</t>
  </si>
  <si>
    <t>https://t.me/makovozovy/68707</t>
  </si>
  <si>
    <t>Итого: 15-21 сентября</t>
  </si>
  <si>
    <t>НЕДЕЛЯ —22-28 сентября</t>
  </si>
  <si>
    <t>договор</t>
  </si>
  <si>
    <t>https://ozon.onelink.me/SNMZ/cifnxffc</t>
  </si>
  <si>
    <t>https://youtu.be/rkx_oIUERaM?t=291</t>
  </si>
  <si>
    <t>только вышел сутки не прошли</t>
  </si>
  <si>
    <t>https://ozon.onelink.me/SNMZ/z2e2wcmr</t>
  </si>
  <si>
    <t>https://t.me/stas_blogs/175</t>
  </si>
  <si>
    <t>10 дней</t>
  </si>
  <si>
    <t>https://ozon.ru/product/aktivator-kleva-attraktant-prikormka-rybolovnaya-karp-leshch-250-ml-5340361400/?hs=1&amp;utm_campaign=vendor_org_4202727_A_lfa_live&amp;utm_content=t31&amp;utm_medium=blog&amp;utm_source=telegram</t>
  </si>
  <si>
    <t>https://aminotriggerfish.mobz.market/lscy</t>
  </si>
  <si>
    <t>https://t.me/A_lfa_live/2609</t>
  </si>
  <si>
    <t>https://ozon.ru/product/aktivator-kleva-attraktant-prikormka-rybolovnaya-karp-leshch-250-ml-5340361400/?hs=1&amp;utm_campaign=vendor_org_4202727_vk.rubig_zozh&amp;utm_content=t31&amp;utm_medium=blog&amp;utm_source=vk</t>
  </si>
  <si>
    <t>https://aminotriggerfish.mobz.market/zu4pvf</t>
  </si>
  <si>
    <t>https://vk.ru/wall-184497761_301</t>
  </si>
  <si>
    <t>https://ozon.ru/product/aktivator-kleva-attraktant-prikormka-rybolovnaya-karp-leshch-250-ml-5340361400/?hs=1&amp;utm_campaign=vendor_org_4202727_papavkyrse&amp;utm_content=t31&amp;utm_medium=blog&amp;utm_source=vk</t>
  </si>
  <si>
    <t>https://aminotriggerfish.mobz.market/5x5</t>
  </si>
  <si>
    <t>https://t.me/papavkyrse/2507</t>
  </si>
  <si>
    <t>https://ozon.ru/product/aktivator-kleva-attraktant-prikormka-rybolovnaya-karp-leshch-250-ml-5340361400/?hs=1&amp;utm_campaign=vendor_org_4202727_mushckaygildiy&amp;utm_content=t31&amp;utm_medium=blog&amp;utm_source=telegram</t>
  </si>
  <si>
    <t>https://aminotriggerfish.mobz.market/j5kc</t>
  </si>
  <si>
    <t>https://t.me/Mans_Clan/2441</t>
  </si>
  <si>
    <t>3 сутк</t>
  </si>
  <si>
    <t>https://ozon.ru/product/aminotrigger-fish-aromatizator-dlya-rybalki-250-ml-5340361400/?hs=1&amp;utm_campaign=vendor_org_4202727_max.ruchannel_rus_fishin&amp;utm_content=t31&amp;utm_medium=blog&amp;utm_source=max</t>
  </si>
  <si>
    <t>https://aminotriggerfish.mobz.market/ytee</t>
  </si>
  <si>
    <t>https://max.ru/channel_rus_fishin/AaDMhyZVaXg</t>
  </si>
  <si>
    <t>https://ozon.ru/product/aminotrigger-fish-aromatizator-dlya-rybalki-250-ml-5340361400/?hs=1&amp;utm_campaign=vendor_org_4202727_ohotarybalka&amp;utm_content=t31&amp;utm_medium=blog&amp;utm_source=max</t>
  </si>
  <si>
    <t>https://aminotriggerfish.mobz.market/9bd</t>
  </si>
  <si>
    <t>https://ozon.ru/product/aminotrigger-fish-aromatizator-dlya-rybalki-250-ml-5340361400/?hs=1&amp;utm_campaign=vendor_org_4202727_rybalkavrostove&amp;utm_content=t31&amp;utm_medium=blog&amp;utm_source=max</t>
  </si>
  <si>
    <t>https://aminotriggerfish.mobz.market/d83kuh</t>
  </si>
  <si>
    <t>https://max.ru/rybalkavrostove/AaDIueixF3g</t>
  </si>
  <si>
    <t>https://ozon.ru/product/aminotrigger-fish-aromatizator-dlya-rybalki-250-ml-5340361400/?hs=1&amp;utm_campaign=vendor_org_4202727_rybalkaudachnaya&amp;utm_content=t31&amp;utm_medium=blog&amp;utm_source=max</t>
  </si>
  <si>
    <t>https://aminotriggerfish.mobz.market/3rcc</t>
  </si>
  <si>
    <t>https://max.ru/rybalkaudachnaya/AaDIhVdSUJs</t>
  </si>
  <si>
    <t>https://ozon.ru/product/aminotrigger-fish-aromatizator-dlya-rybalki-250-ml-5340361400/?hs=1&amp;utm_campaign=vendor_org_4202727_aliekemp&amp;utm_content=t31&amp;utm_medium=blog&amp;utm_source=max</t>
  </si>
  <si>
    <t>https://aminotriggerfish.mobz.market/f0lo7</t>
  </si>
  <si>
    <t>https://max.ru/aliekemp/AaDIf94PF3g</t>
  </si>
  <si>
    <t>https://ozon.ru/product/aminotrigger-fish-aromatizator-dlya-rybalki-250-ml-5340361400/?hs=1&amp;utm_campaign=vendor_org_4202727_spolem&amp;utm_content=t31&amp;utm_medium=blog&amp;utm_source=max</t>
  </si>
  <si>
    <t>https://aminotriggerfish.mobz.market/j3iq9n</t>
  </si>
  <si>
    <t>https://ozon.ru/product/aminotrigger-fish-aromatizator-dlya-rybalki-250-ml-5340361400/?hs=1&amp;utm_campaign=vendor_org_4202727_channel_Ribalka25&amp;utm_content=t31&amp;utm_medium=blog&amp;utm_source=max</t>
  </si>
  <si>
    <t>https://aminotriggerfish.mobz.market/asy7sl</t>
  </si>
  <si>
    <t>https://max.ru/channel_Ribalka25/AaDLWRbjdXg</t>
  </si>
  <si>
    <t>t32</t>
  </si>
  <si>
    <t>https://ozon.ru/product/aktivator-kleva-attraktant-prikormka-rybolovnaya-karp-leshch-250-ml-5340361400/?hs=1&amp;utm_campaign=vendor_org_4202727_voditelrf&amp;utm_content=t32&amp;utm_medium=blog&amp;utm_source=max</t>
  </si>
  <si>
    <t>https://aminotriggerfish.mobz.market/lyn2u</t>
  </si>
  <si>
    <t>https://max.ru/id560405164432_biz/AaDSqjWlakU</t>
  </si>
  <si>
    <t>https://ozon.ru/product/aktivator-kleva-attraktant-prikormka-rybolovnaya-karp-leshch-250-ml-5340361400/?hs=1&amp;utm_campaign=vendor_org_4202727_rybanutyye&amp;utm_content=t32&amp;utm_medium=blog&amp;utm_source=max</t>
  </si>
  <si>
    <t>https://aminotriggerfish.mobz.market/rezl</t>
  </si>
  <si>
    <t>https://max.ru/rybanutyye/AaDSAr2CekU</t>
  </si>
  <si>
    <t>https://ozon.ru/product/aktivator-kleva-attraktant-prikormka-rybolovnaya-karp-leshch-250-ml-5340361400/?hs=1&amp;utm_campaign=vendor_org_4202727_myrodilisvsibiri&amp;utm_content=t32&amp;utm_medium=blog&amp;utm_source=max</t>
  </si>
  <si>
    <t>https://aminotriggerfish.mobz.market/htj</t>
  </si>
  <si>
    <t>https://max.ru/ch_602408dd140d5e56b2f80f26/AaDY9JY8QkU</t>
  </si>
  <si>
    <t>https://ozon.ru/product/aktivator-kleva-attraktant-prikormka-rybolovnaya-karp-leshch-250-ml-5340361400/?hs=1&amp;utm_campaign=vendor_org_4202727_dolnoboishiki&amp;utm_content=t32&amp;utm_medium=blog&amp;utm_source=max</t>
  </si>
  <si>
    <t>https://aminotriggerfish.mobz.market/0i3e</t>
  </si>
  <si>
    <t>https://max.ru/vk_dalnoboy/AaDQJaOWOkU</t>
  </si>
  <si>
    <t>https://ozon.ru/product/aktivator-kleva-attraktant-prikormka-rybolovnaya-karp-leshch-250-ml-5340361400/?hs=1&amp;utm_campaign=vendor_org_4202727_vkurskoyderevne&amp;utm_content=t32&amp;utm_medium=blog&amp;utm_source=max</t>
  </si>
  <si>
    <t>https://aminotriggerfish.mobz.market/hxbim</t>
  </si>
  <si>
    <t>https://max.ru/ch_600bd9ea0424210ae70922c8/AaDPbRtuePg</t>
  </si>
  <si>
    <t>https://ozon.ru/product/aktivator-kleva-attraktant-prikormka-rybolovnaya-karp-leshch-250-ml-5340361400/?hs=1&amp;utm_campaign=vendor_org_4202727_svodkisvo&amp;utm_content=t32&amp;utm_medium=blog&amp;utm_source=max</t>
  </si>
  <si>
    <t>https://aminotriggerfish.mobz.market/ufxk3u</t>
  </si>
  <si>
    <t>https://max.ru/bestnogotochki/AaDS3xkUGEU</t>
  </si>
  <si>
    <t>https://ozon.ru/product/aktivator-kleva-attraktant-prikormka-rybolovnaya-karp-leshch-250-ml-5340361400/?hs=1&amp;utm_campaign=vendor_org_4202727_klevoemesto&amp;utm_content=t32&amp;utm_medium=blog&amp;utm_source=max</t>
  </si>
  <si>
    <t>https://aminotriggerfish.mobz.market/nuip</t>
  </si>
  <si>
    <t>https://ozon.ru/product/aktivator-kleva-attraktant-prikormka-rybolovnaya-karp-leshch-250-ml-5340361400/?hs=1&amp;utm_campaign=vendor_org_4202727_rybatskiykanal&amp;utm_content=t32&amp;utm_medium=blog&amp;utm_source=max</t>
  </si>
  <si>
    <t>https://aminotriggerfish.mobz.market/edkpeg</t>
  </si>
  <si>
    <t>https://max.ru/ribalka_fishing24/AaDSAsPnUkU</t>
  </si>
  <si>
    <t>https://ozon.ru/product/aktivator-kleva-attraktant-prikormka-rybolovnaya-karp-leshch-250-ml-5340361400/?hs=1&amp;utm_campaign=vendor_org_4202727_rybalkarussii&amp;utm_content=t32&amp;utm_medium=blog&amp;utm_source=max</t>
  </si>
  <si>
    <t>https://aminotriggerfish.mobz.market/491</t>
  </si>
  <si>
    <t>https://max.ru/rubalkarussia/AaDScAuhBEU</t>
  </si>
  <si>
    <t>https://aminotriggerfish.mobz.market/jc8ot</t>
  </si>
  <si>
    <t>https://ozon.ru/product/aktivator-kleva-attraktant-prikormka-rybolovnaya-karp-leshch-250-ml-5340361400/?hs=1&amp;utm_campaign=vendor_org_4202727_mychskaygildiy&amp;utm_content=t32&amp;utm_medium=blog&amp;utm_source=max</t>
  </si>
  <si>
    <t>https://aminotriggerfish.mobz.market/k16rxq</t>
  </si>
  <si>
    <t>https://max.ru/men_115/AaDSAsDkYkU</t>
  </si>
  <si>
    <t>https://ozon.ru/product/aktivator-kleva-attraktant-prikormka-rybolovnaya-karp-leshch-250-ml-5340361400/?hs=1&amp;utm_campaign=vendor_org_4202727_avtomobiln+avto&amp;utm_content=t32&amp;utm_medium=blog&amp;utm_source=max</t>
  </si>
  <si>
    <t>https://aminotriggerfish.mobz.market/t21</t>
  </si>
  <si>
    <t>https://max.ru/murom_navashino/AaDRzJfrNEU</t>
  </si>
  <si>
    <t>https://ozon.ru/product/aktivator-kleva-attraktant-prikormka-rybolovnaya-karp-leshch-250-ml-5340361400/?hs=1&amp;utm_campaign=vendor_org_4202727_leshkazabavniy&amp;utm_content=t32&amp;utm_medium=blog&amp;utm_source=max</t>
  </si>
  <si>
    <t>https://aminotriggerfish.mobz.market/xaq</t>
  </si>
  <si>
    <t>https://max.ru/club230588680/AaDPiRquOkU</t>
  </si>
  <si>
    <t>https://ozon.ru/product/aminotrigger-fish-aromatizator-dlya-rybalki-250-ml-5340361400?hs=1&amp;utm_campaign=vendor_org_4202727_https://max.ru/rostovnews61&amp;utm_content=t32&amp;utm_medium=blog&amp;utm_source=max</t>
  </si>
  <si>
    <t>https://aminotriggerfish.mobz.market/45kj</t>
  </si>
  <si>
    <t>https://max.ru/rostovnews61/AaDe3-h4JkU</t>
  </si>
  <si>
    <t>https://ozon.ru/product/aminotrigger-fish-aromatizator-dlya-rybalki-250-ml-5340361400?hs=1&amp;utm_campaign=vendor_org_4202727_krdns&amp;utm_content=t32&amp;utm_medium=blog&amp;utm_source=max</t>
  </si>
  <si>
    <t>https://aminotriggerfish.mobz.market/lmqe</t>
  </si>
  <si>
    <t>https://max.ru/krdns/AaDjKwOsNkU</t>
  </si>
  <si>
    <t>https://ozon.ru/product/aktivator-kleva-attraktant-prikormka-rybolovnaya-karp-leshch-250-ml-5340361400/?hs=1&amp;utm_campaign=vendor_org_4202727_club228966716&amp;utm_content=t32&amp;utm_medium=blog&amp;utm_source=max</t>
  </si>
  <si>
    <t>https://aminotriggerfish.mobz.market/s2bsgb</t>
  </si>
  <si>
    <t>https://max.ru/club228966716/AaDeUbcYGkU</t>
  </si>
  <si>
    <t>https://ozon.ru/product/aktivator-kleva-attraktant-prikormka-rybolovnaya-karp-leshch-250-ml-5340361400/?hs=1&amp;utm_campaign=vendor_org_4202727_greenpapan_blog&amp;utm_content=t32&amp;utm_medium=blog&amp;utm_source=vk</t>
  </si>
  <si>
    <t>https://vk.ru/storieswall-51070170_9362</t>
  </si>
  <si>
    <t>https://ozon.ru/product/aktivator-kleva-attraktant-prikormka-rybolovnaya-karp-leshch-250-ml-5340361400/?hs=1&amp;utm_campaign=vendor_org_4202727_marina_vovchik&amp;utm_content=t32&amp;utm_medium=blog&amp;utm_source=max</t>
  </si>
  <si>
    <t>https://aminotriggerfish.mobz.market/g7op5b</t>
  </si>
  <si>
    <t>https://max.ru/marina_vovchik/AaDlhqisREU</t>
  </si>
  <si>
    <t>Итого: 22-28 сентября</t>
  </si>
  <si>
    <t>НЕДЕЛЯ —29-30 сентября</t>
  </si>
  <si>
    <t>https://ozon.ru/product/aminotrigger-fish-aromatizator-dlya-rybalki-250-ml-5340361400/?hs=1&amp;utm_campaign=vendor_org_4202727_papa.optimist.offical&amp;utm_content=t31&amp;utm_medium=blog&amp;utm_source=vk</t>
  </si>
  <si>
    <t>https://vk.ru/papa.optimist.offical?z=137273932_457239331%2Falbum-137273932_0%2Frev</t>
  </si>
  <si>
    <t>https://ozon.onelink.me/SNMZ/jt8ksdyc</t>
  </si>
  <si>
    <t>https://aminotriggerfish.mobz.market/tr6rs</t>
  </si>
  <si>
    <t>https://vt.tiktok.com/ZSbAYA7vJ/</t>
  </si>
  <si>
    <t xml:space="preserve">только вышел </t>
  </si>
  <si>
    <t>https://ozon.onelink.me/SNMZ/8hncrivk</t>
  </si>
  <si>
    <t>https://max.ru/syilers2019/AaDsKHTAHUQ</t>
  </si>
  <si>
    <t>https://ozon.onelink.me/SNMZ/ohbov7st</t>
  </si>
  <si>
    <t>https://vk.ru/wall-235741278_947</t>
  </si>
  <si>
    <t>я тут косячнула одну ссылку двум блогерам дала</t>
  </si>
  <si>
    <t>https://vk.ru/clip-231449213_456239416?c=1</t>
  </si>
  <si>
    <t>Итого: 29-30 сентября</t>
  </si>
  <si>
    <t>НЕДЕЛЯ —1–7 октября</t>
  </si>
  <si>
    <t>Ожидаем выхода</t>
  </si>
  <si>
    <t>https://ozon.ru/product/aktivator-kleva-attraktant-prikormka-rybolovnaya-karp-leshch-250-ml-5340361400/?hs=1&amp;utm_campaign=vendor_org_4202727_RYBALKA&amp;utm_content=t32+2&amp;utm_medium=blog&amp;utm_source=max&amp;utm_term=01.01</t>
  </si>
  <si>
    <t>https://aminotriggerfish.mobz.market/ixq</t>
  </si>
  <si>
    <t>https://ozon.ru/product/aktivator-kleva-attraktant-prikormka-rybolovnaya-karp-leshch-250-ml-5340361400/?hs=1&amp;utm_campaign=vendor_org_4202727_batyanadache&amp;utm_content=t32+2&amp;utm_medium=blog&amp;utm_source=max&amp;utm_term=01.10</t>
  </si>
  <si>
    <t>https://aminotriggerfish.mobz.market/q69</t>
  </si>
  <si>
    <t>https://ozon.ru/product/aktivator-kleva-attraktant-prikormka-rybolovnaya-karp-leshch-250-ml-5340361400/?hs=1&amp;utm_campaign=vendor_org_4202727_atoban&amp;utm_content=t32+2+&amp;utm_medium=blog&amp;utm_source=max&amp;utm_term=1.10</t>
  </si>
  <si>
    <t>https://aminotriggerfish.mobz.market/t7b</t>
  </si>
  <si>
    <t>https://aminotriggerfish.mobz.market/1vi</t>
  </si>
  <si>
    <t>https://ozon.ru/product/aktivator-kleva-attraktant-prikormka-rybolovnaya-karp-leshch-250-ml-5340361400/?hs=1&amp;utm_campaign=vendor_org_4202727_batystroit&amp;utm_content=t+32+2&amp;utm_medium=blog&amp;utm_source=max&amp;utm_term=1.10</t>
  </si>
  <si>
    <t>https://aminotriggerfish.mobz.market/yf3f</t>
  </si>
  <si>
    <t>https://ozon.ru/product/aktivator-kleva-attraktant-prikormka-rybolovnaya-karp-leshch-250-ml-5340361400/?hs=1&amp;utm_campaign=vendor_org_4202727_balakovo&amp;utm_content=t+32+2&amp;utm_medium=blog&amp;utm_source=telegram&amp;utm_term=1.10</t>
  </si>
  <si>
    <t>https://aminotriggerfish.mobz.market/w0nb7</t>
  </si>
  <si>
    <t>Итого: 1–7 октября</t>
  </si>
  <si>
    <t>НЕДЕЛЯ —8–14 октября</t>
  </si>
  <si>
    <r>
      <rPr>
        <rFont val="Calibri"/>
        <color rgb="FF000000"/>
        <sz val="11.0"/>
        <u/>
      </rPr>
      <t xml:space="preserve">alexander_karasik
</t>
    </r>
    <r>
      <rPr>
        <rFont val="Calibri"/>
        <color rgb="FF1F1F1F"/>
        <sz val="11.0"/>
        <u/>
      </rPr>
      <t xml:space="preserve"> </t>
    </r>
  </si>
  <si>
    <t>договор на подписании</t>
  </si>
  <si>
    <t>Итого: 8-14 октября</t>
  </si>
  <si>
    <t>НЕДЕЛЯ —15-21 октября</t>
  </si>
  <si>
    <t>Итого: 15-21 октября</t>
  </si>
  <si>
    <t>НЕДЕЛЯ —22-28 октября</t>
  </si>
  <si>
    <t>Итого: 22-28 октября</t>
  </si>
  <si>
    <t>НЕДЕЛЯ —29-31 октября</t>
  </si>
  <si>
    <t>Итого: 29-31 октября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</si>
</sst>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#,##0.0"/>
    <numFmt numFmtId="166" formatCode="dd\.mm"/>
    <numFmt numFmtId="167" formatCode="dd.mm.yyyy"/>
    <numFmt numFmtId="168" formatCode="dd.mm"/>
  </numFmts>
  <fonts count="128">
    <font>
      <sz val="10.0"/>
      <color rgb="FF000000"/>
      <name val="Calibri"/>
      <scheme val="minor"/>
    </font>
    <font>
      <b/>
      <sz val="13.0"/>
      <color rgb="FF1F4E79"/>
      <name val="Calibri"/>
    </font>
    <font>
      <sz val="11.0"/>
      <color theme="1"/>
      <name val="Calibri"/>
    </font>
    <font>
      <i/>
      <sz val="11.0"/>
      <color rgb="FF808080"/>
      <name val="Calibri"/>
    </font>
    <font>
      <b/>
      <sz val="10.0"/>
      <color rgb="FFFFFFFF"/>
      <name val="Calibri"/>
    </font>
    <font>
      <b/>
      <sz val="9.0"/>
      <color theme="1"/>
      <name val="Cambria"/>
    </font>
    <font>
      <u/>
      <sz val="10.0"/>
      <color rgb="FF0563C1"/>
      <name val="Calibri"/>
    </font>
    <font>
      <sz val="9.0"/>
      <color rgb="FF0563C1"/>
      <name val="Calibri"/>
    </font>
    <font>
      <u/>
      <sz val="9.0"/>
      <color rgb="FF0563C1"/>
      <name val="Calibri"/>
    </font>
    <font>
      <sz val="10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0.0"/>
      <color rgb="FF0000FF"/>
      <name val="Calibri"/>
    </font>
    <font>
      <u/>
      <sz val="9.0"/>
      <color rgb="FF0000FF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sz val="11.0"/>
      <color rgb="FFFF4000"/>
      <name val="Calibri"/>
    </font>
    <font>
      <sz val="11.0"/>
      <color rgb="FFFF0000"/>
      <name val="Calibri"/>
    </font>
    <font>
      <sz val="14.0"/>
      <color rgb="FF52ADF7"/>
      <name val="Helvetica Neue"/>
    </font>
    <font>
      <u/>
      <sz val="10.0"/>
      <color rgb="FF000000"/>
      <name val="Calibri"/>
    </font>
    <font>
      <u/>
      <sz val="10.0"/>
      <color rgb="FF0000FF"/>
      <name val="Calibri"/>
    </font>
    <font>
      <u/>
      <sz val="9.0"/>
      <color rgb="FF0563C1"/>
      <name val="Calibri"/>
    </font>
    <font>
      <u/>
      <sz val="10.0"/>
      <color rgb="FFFF0000"/>
      <name val="Calibri"/>
    </font>
    <font>
      <u/>
      <sz val="11.0"/>
      <color theme="1"/>
      <name val="Calibri"/>
    </font>
    <font>
      <u/>
      <sz val="10.0"/>
      <color rgb="FFFF0000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theme="1"/>
      <name val="Calibri"/>
    </font>
    <font>
      <u/>
      <sz val="10.0"/>
      <color rgb="FF0000FF"/>
      <name val="Calibri"/>
    </font>
    <font>
      <sz val="10.0"/>
      <color rgb="FF0563C1"/>
      <name val="Calibri"/>
    </font>
    <font>
      <u/>
      <sz val="11.0"/>
      <color rgb="FF000000"/>
      <name val="Calibri"/>
    </font>
    <font>
      <u/>
      <sz val="10.0"/>
      <color rgb="FFFF0000"/>
      <name val="Calibri"/>
    </font>
    <font>
      <u/>
      <sz val="11.0"/>
      <color theme="10"/>
      <name val="Calibri"/>
    </font>
    <font>
      <sz val="11.0"/>
      <color theme="10"/>
      <name val="Calibri"/>
    </font>
    <font>
      <u/>
      <sz val="13.0"/>
      <color rgb="FF000000"/>
      <name val="Alef"/>
    </font>
    <font>
      <u/>
      <sz val="13.0"/>
      <color rgb="FFFFFFFF"/>
      <name val="Helvetica Neue"/>
    </font>
    <font>
      <u/>
      <sz val="11.0"/>
      <color theme="1"/>
      <name val="Calibri"/>
    </font>
    <font>
      <u/>
      <sz val="11.0"/>
      <color theme="1"/>
      <name val="Calibri"/>
    </font>
    <font>
      <u/>
      <color rgb="FF0000FF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color rgb="FF000000"/>
    </font>
    <font>
      <color theme="1"/>
      <name val="Calibri"/>
      <scheme val="minor"/>
    </font>
    <font>
      <color rgb="FF000000"/>
      <name val="Calibri"/>
      <scheme val="minor"/>
    </font>
    <font>
      <u/>
      <color rgb="FF000000"/>
    </font>
    <font>
      <u/>
      <color rgb="FF0000FF"/>
    </font>
    <font>
      <u/>
      <color rgb="FF0000FF"/>
    </font>
    <font>
      <u/>
      <color rgb="FF0000FF"/>
    </font>
    <font>
      <u/>
      <color rgb="FF52ADF7"/>
    </font>
    <font>
      <u/>
      <color rgb="FF52ADF7"/>
    </font>
    <font>
      <u/>
      <sz val="11.0"/>
      <color rgb="FF000000"/>
      <name val="Calibri"/>
    </font>
    <font>
      <u/>
      <color rgb="FF0563C1"/>
    </font>
    <font>
      <u/>
      <color rgb="FF0563C1"/>
    </font>
    <font>
      <u/>
      <sz val="9.0"/>
      <color rgb="FF39414E"/>
      <name val="Raleway"/>
    </font>
    <font>
      <u/>
      <sz val="12.0"/>
      <color rgb="FF0000FF"/>
      <name val="Raleway"/>
    </font>
    <font>
      <b/>
      <sz val="12.0"/>
      <color rgb="FF1F4E79"/>
      <name val="Cambria"/>
    </font>
    <font>
      <i/>
      <sz val="9.0"/>
      <color rgb="FF808080"/>
      <name val="Cambria"/>
    </font>
    <font>
      <b/>
      <sz val="12.0"/>
      <color theme="1"/>
      <name val="Cambria"/>
    </font>
    <font>
      <b/>
      <sz val="11.0"/>
      <color theme="1"/>
      <name val="Cambria"/>
    </font>
    <font>
      <b/>
      <sz val="11.0"/>
      <color theme="1"/>
      <name val="Calibri"/>
    </font>
    <font>
      <b/>
      <sz val="10.0"/>
      <color theme="1"/>
      <name val="Cambria"/>
    </font>
    <font>
      <b/>
      <i/>
      <sz val="11.0"/>
      <color theme="1"/>
      <name val="Calibri"/>
    </font>
    <font/>
    <font>
      <b/>
      <sz val="11.0"/>
      <color rgb="FFFFFFFF"/>
      <name val="Cambria"/>
    </font>
    <font>
      <b/>
      <sz val="9.0"/>
      <color rgb="FF000000"/>
      <name val="Cambria"/>
    </font>
    <font>
      <b/>
      <sz val="10.0"/>
      <color rgb="FF1F2A44"/>
      <name val="Cambria"/>
    </font>
    <font>
      <b/>
      <sz val="9.0"/>
      <color rgb="FF1F2A44"/>
      <name val="Cambria"/>
    </font>
    <font>
      <b/>
      <sz val="13.0"/>
      <color rgb="FF1F4E79"/>
      <name val="Cambria"/>
    </font>
    <font>
      <b/>
      <sz val="10.0"/>
      <color rgb="FFFFFFFF"/>
      <name val="Cambria"/>
    </font>
    <font>
      <u/>
      <sz val="11.0"/>
      <color rgb="FF0000FF"/>
      <name val="Calibri"/>
    </font>
    <font>
      <u/>
      <sz val="10.0"/>
      <color rgb="FF0563C1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rgb="FF4A86E8"/>
      <name val="Calibri"/>
    </font>
    <font>
      <u/>
      <sz val="10.0"/>
      <color rgb="FF0563C1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1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1.0"/>
      <color rgb="FF0000FF"/>
      <name val="Calibri"/>
    </font>
    <font>
      <u/>
      <sz val="10.0"/>
      <color rgb="FF0000FF"/>
      <name val="Calibri"/>
    </font>
    <font>
      <u/>
      <sz val="11.0"/>
      <color rgb="FF0000FF"/>
      <name val="Calibri"/>
    </font>
    <font>
      <u/>
      <sz val="11.0"/>
      <color rgb="FF4A86E8"/>
      <name val="Calibri"/>
    </font>
    <font>
      <u/>
      <sz val="10.0"/>
      <color rgb="FF0563C1"/>
      <name val="Calibri"/>
    </font>
    <font>
      <color theme="1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4A86E8"/>
      <name val="Calibri"/>
    </font>
    <font>
      <u/>
      <sz val="10.0"/>
      <color rgb="FF0000FF"/>
      <name val="Calibri"/>
    </font>
    <font>
      <u/>
      <sz val="11.0"/>
      <color rgb="FF4A86E8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sz val="10.0"/>
      <color rgb="FF1F1F1F"/>
      <name val="Calibri"/>
    </font>
    <font>
      <u/>
      <sz val="11.0"/>
      <color theme="10"/>
      <name val="Calibri"/>
    </font>
    <font>
      <b/>
      <sz val="10.0"/>
      <color theme="1"/>
      <name val="Calibri"/>
    </font>
    <font>
      <u/>
      <sz val="10.0"/>
      <color rgb="FF000000"/>
      <name val="Calibri"/>
    </font>
    <font>
      <u/>
      <color rgb="FF000000"/>
    </font>
    <font>
      <u/>
      <color rgb="FF0000FF"/>
    </font>
    <font>
      <u/>
      <color rgb="FF000000"/>
    </font>
    <font>
      <u/>
      <sz val="11.0"/>
      <color rgb="FF0000FF"/>
      <name val="Calibri"/>
    </font>
    <font>
      <u/>
      <color rgb="FF4A86E8"/>
    </font>
    <font>
      <u/>
      <sz val="11.0"/>
      <color theme="1"/>
      <name val="Calibri"/>
    </font>
    <font>
      <u/>
      <color rgb="FF52ADF7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color rgb="FF000000"/>
    </font>
    <font>
      <u/>
      <sz val="10.0"/>
      <color rgb="FF0000FF"/>
      <name val="Calibri"/>
    </font>
    <font>
      <u/>
      <sz val="10.0"/>
      <color rgb="FF4A86E8"/>
      <name val="Calibri"/>
    </font>
    <font>
      <sz val="10.0"/>
      <color rgb="FF000000"/>
      <name val="Calibri"/>
    </font>
    <font>
      <u/>
      <sz val="10.0"/>
      <color rgb="FF0000FF"/>
      <name val="Calibri"/>
    </font>
    <font>
      <u/>
      <sz val="11.0"/>
      <color rgb="FF4A86E8"/>
      <name val="Calibri"/>
    </font>
    <font>
      <u/>
      <color rgb="FF4A86E8"/>
    </font>
    <font>
      <u/>
      <sz val="10.0"/>
      <color rgb="FF0563C1"/>
      <name val="Calibri"/>
    </font>
    <font>
      <u/>
      <sz val="11.0"/>
      <color rgb="FF000000"/>
      <name val="Calibri"/>
    </font>
    <font>
      <u/>
      <color rgb="FF0563C1"/>
    </font>
    <font>
      <u/>
      <color rgb="FF0000FF"/>
      <name val="Calibri"/>
      <scheme val="minor"/>
    </font>
    <font>
      <color rgb="FF4A86E8"/>
      <name val="Calibri"/>
      <scheme val="minor"/>
    </font>
    <font>
      <u/>
      <color rgb="FF52ADF7"/>
      <name val="Calibri"/>
      <scheme val="minor"/>
    </font>
    <font>
      <sz val="11.0"/>
      <color rgb="FF4A86E8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F9C4"/>
        <bgColor rgb="FFFFF9C4"/>
      </patternFill>
    </fill>
    <fill>
      <patternFill patternType="solid">
        <fgColor rgb="FFE7E6E6"/>
        <bgColor rgb="FFE7E6E6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9C5"/>
        <bgColor rgb="FFFFF9C5"/>
      </patternFill>
    </fill>
    <fill>
      <patternFill patternType="solid">
        <fgColor rgb="FFFFFFD7"/>
        <bgColor rgb="FFFFFFD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ED7D31"/>
        <bgColor rgb="FFED7D31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2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 style="thin">
        <color rgb="FFD9D9D9"/>
      </left>
      <right/>
      <top/>
      <bottom/>
    </border>
    <border>
      <left style="thin">
        <color rgb="FFD9D9D9"/>
      </left>
    </border>
    <border>
      <left style="thin">
        <color rgb="FFD9D9D9"/>
      </left>
      <right style="thin">
        <color rgb="FFD9D9D9"/>
      </right>
      <top style="thin">
        <color rgb="FFD9D9D9"/>
      </top>
      <bottom/>
    </border>
    <border>
      <top style="thin">
        <color rgb="FFD9D9D9"/>
      </top>
    </border>
    <border>
      <left style="thin">
        <color rgb="FFD9D9D9"/>
      </left>
      <right style="thin">
        <color rgb="FFD9D9D9"/>
      </right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3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4" fontId="2" numFmtId="3" xfId="0" applyAlignment="1" applyBorder="1" applyFill="1" applyFont="1" applyNumberFormat="1">
      <alignment shrinkToFit="0" vertical="bottom" wrapText="0"/>
    </xf>
    <xf borderId="1" fillId="4" fontId="2" numFmtId="164" xfId="0" applyAlignment="1" applyBorder="1" applyFill="1" applyFont="1" applyNumberFormat="1">
      <alignment shrinkToFit="0" vertical="bottom" wrapText="0"/>
    </xf>
    <xf borderId="1" fillId="5" fontId="2" numFmtId="3" xfId="0" applyAlignment="1" applyBorder="1" applyFill="1" applyFont="1" applyNumberFormat="1">
      <alignment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4" fontId="2" numFmtId="3" xfId="0" applyAlignment="1" applyBorder="1" applyFill="1" applyFont="1" applyNumberFormat="1">
      <alignment readingOrder="0" shrinkToFit="0" vertical="bottom" wrapText="0"/>
    </xf>
    <xf borderId="1" fillId="5" fontId="2" numFmtId="3" xfId="0" applyAlignment="1" applyBorder="1" applyFill="1" applyFont="1" applyNumberForma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1" fillId="6" fontId="9" numFmtId="2" xfId="0" applyAlignment="1" applyBorder="1" applyFill="1" applyFont="1" applyNumberFormat="1">
      <alignment shrinkToFit="0" vertical="bottom" wrapText="0"/>
    </xf>
    <xf borderId="1" fillId="6" fontId="9" numFmtId="3" xfId="0" applyAlignment="1" applyBorder="1" applyFill="1" applyFont="1" applyNumberFormat="1">
      <alignment shrinkToFit="0" vertical="bottom" wrapText="0"/>
    </xf>
    <xf borderId="1" fillId="5" fontId="10" numFmtId="0" xfId="0" applyAlignment="1" applyBorder="1" applyFill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2" fillId="5" fontId="2" numFmtId="0" xfId="0" applyAlignment="1" applyBorder="1" applyFill="1" applyFont="1">
      <alignment readingOrder="0" shrinkToFit="0" vertical="bottom" wrapText="0"/>
    </xf>
    <xf borderId="0" fillId="5" fontId="2" numFmtId="0" xfId="0" applyAlignment="1" applyFill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4" fontId="2" numFmtId="0" xfId="0" applyAlignment="1" applyFill="1" applyFont="1">
      <alignment shrinkToFit="0" vertical="bottom" wrapText="0"/>
    </xf>
    <xf borderId="3" fillId="4" fontId="2" numFmtId="3" xfId="0" applyAlignment="1" applyBorder="1" applyFill="1" applyFont="1" applyNumberFormat="1">
      <alignment shrinkToFit="0" vertical="bottom" wrapText="0"/>
    </xf>
    <xf borderId="2" fillId="4" fontId="2" numFmtId="3" xfId="0" applyAlignment="1" applyBorder="1" applyFill="1" applyFont="1" applyNumberFormat="1">
      <alignment readingOrder="0" shrinkToFit="0" vertical="bottom" wrapText="0"/>
    </xf>
    <xf borderId="2" fillId="5" fontId="2" numFmtId="0" xfId="0" applyAlignment="1" applyBorder="1" applyFill="1" applyFont="1">
      <alignment shrinkToFit="0" vertical="bottom" wrapText="0"/>
    </xf>
    <xf borderId="3" fillId="4" fontId="2" numFmtId="3" xfId="0" applyAlignment="1" applyBorder="1" applyFill="1" applyFont="1" applyNumberFormat="1">
      <alignment readingOrder="0" shrinkToFit="0" vertical="bottom" wrapText="0"/>
    </xf>
    <xf borderId="0" fillId="4" fontId="13" numFmtId="0" xfId="0" applyAlignment="1" applyFill="1" applyFont="1">
      <alignment readingOrder="0" shrinkToFit="0" vertical="bottom" wrapText="0"/>
    </xf>
    <xf borderId="4" fillId="4" fontId="2" numFmtId="3" xfId="0" applyAlignment="1" applyBorder="1" applyFill="1" applyFont="1" applyNumberFormat="1">
      <alignment readingOrder="0" shrinkToFit="0" vertical="bottom" wrapText="0"/>
    </xf>
    <xf borderId="0" fillId="4" fontId="2" numFmtId="3" xfId="0" applyAlignment="1" applyFill="1" applyFont="1" applyNumberFormat="1">
      <alignment readingOrder="0" shrinkToFit="0" vertical="bottom" wrapText="0"/>
    </xf>
    <xf borderId="0" fillId="4" fontId="2" numFmtId="164" xfId="0" applyAlignment="1" applyFill="1" applyFont="1" applyNumberFormat="1">
      <alignment shrinkToFit="0" vertical="bottom" wrapText="0"/>
    </xf>
    <xf borderId="0" fillId="5" fontId="2" numFmtId="3" xfId="0" applyAlignment="1" applyFill="1" applyFont="1" applyNumberForma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6" fontId="9" numFmtId="1" xfId="0" applyAlignment="1" applyFill="1" applyFont="1" applyNumberForma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1" fillId="5" fontId="15" numFmtId="0" xfId="0" applyAlignment="1" applyBorder="1" applyFill="1" applyFont="1">
      <alignment readingOrder="0" shrinkToFit="0" vertical="bottom" wrapText="0"/>
    </xf>
    <xf borderId="1" fillId="6" fontId="9" numFmtId="1" xfId="0" applyAlignment="1" applyBorder="1" applyFill="1" applyFont="1" applyNumberFormat="1">
      <alignment horizontal="center"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1" fillId="5" fontId="16" numFmtId="0" xfId="0" applyAlignment="1" applyBorder="1" applyFill="1" applyFont="1">
      <alignment shrinkToFit="0" vertical="bottom" wrapText="0"/>
    </xf>
    <xf borderId="1" fillId="4" fontId="17" numFmtId="0" xfId="0" applyAlignment="1" applyBorder="1" applyFill="1" applyFont="1">
      <alignment shrinkToFit="0" vertical="bottom" wrapText="0"/>
    </xf>
    <xf borderId="1" fillId="4" fontId="18" numFmtId="164" xfId="0" applyAlignment="1" applyBorder="1" applyFill="1" applyFont="1" applyNumberFormat="1">
      <alignment shrinkToFit="0" vertical="bottom" wrapText="0"/>
    </xf>
    <xf borderId="0" fillId="5" fontId="19" numFmtId="0" xfId="0" applyAlignment="1" applyFill="1" applyFont="1">
      <alignment shrinkToFit="0" vertical="bottom" wrapText="0"/>
    </xf>
    <xf borderId="1" fillId="4" fontId="20" numFmtId="0" xfId="0" applyAlignment="1" applyBorder="1" applyFill="1" applyFont="1">
      <alignment shrinkToFit="0" vertical="bottom" wrapText="0"/>
    </xf>
    <xf borderId="1" fillId="4" fontId="21" numFmtId="0" xfId="0" applyAlignment="1" applyBorder="1" applyFill="1" applyFont="1">
      <alignment readingOrder="0" shrinkToFit="0" vertical="bottom" wrapText="0"/>
    </xf>
    <xf borderId="1" fillId="5" fontId="2" numFmtId="0" xfId="0" applyAlignment="1" applyBorder="1" applyFill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1" fillId="4" fontId="23" numFmtId="0" xfId="0" applyAlignment="1" applyBorder="1" applyFill="1" applyFont="1">
      <alignment shrinkToFit="0" vertical="bottom" wrapText="0"/>
    </xf>
    <xf borderId="1" fillId="4" fontId="18" numFmtId="0" xfId="0" applyAlignment="1" applyBorder="1" applyFill="1" applyFont="1">
      <alignment shrinkToFit="0" vertical="bottom" wrapText="0"/>
    </xf>
    <xf borderId="1" fillId="5" fontId="24" numFmtId="0" xfId="0" applyAlignment="1" applyBorder="1" applyFill="1" applyFont="1">
      <alignment readingOrder="0" shrinkToFit="0" vertical="bottom" wrapText="0"/>
    </xf>
    <xf borderId="1" fillId="4" fontId="25" numFmtId="0" xfId="0" applyAlignment="1" applyBorder="1" applyFill="1" applyFont="1">
      <alignment readingOrder="0" shrinkToFit="0" vertical="bottom" wrapText="0"/>
    </xf>
    <xf borderId="1" fillId="7" fontId="26" numFmtId="0" xfId="0" applyAlignment="1" applyBorder="1" applyFill="1" applyFont="1">
      <alignment shrinkToFit="0" vertical="bottom" wrapText="0"/>
    </xf>
    <xf borderId="1" fillId="8" fontId="27" numFmtId="0" xfId="0" applyAlignment="1" applyBorder="1" applyFill="1" applyFont="1">
      <alignment readingOrder="0" shrinkToFit="0" vertical="bottom" wrapText="0"/>
    </xf>
    <xf borderId="1" fillId="8" fontId="28" numFmtId="0" xfId="0" applyAlignment="1" applyBorder="1" applyFill="1" applyFont="1">
      <alignment shrinkToFit="0" vertical="bottom" wrapText="0"/>
    </xf>
    <xf borderId="1" fillId="5" fontId="29" numFmtId="0" xfId="0" applyAlignment="1" applyBorder="1" applyFill="1" applyFont="1">
      <alignment shrinkToFit="0" vertical="bottom" wrapText="0"/>
    </xf>
    <xf borderId="1" fillId="8" fontId="30" numFmtId="0" xfId="0" applyAlignment="1" applyBorder="1" applyFill="1" applyFont="1">
      <alignment readingOrder="0" shrinkToFit="0" vertical="bottom" wrapText="0"/>
    </xf>
    <xf borderId="1" fillId="4" fontId="2" numFmtId="164" xfId="0" applyAlignment="1" applyBorder="1" applyFill="1" applyFont="1" applyNumberFormat="1">
      <alignment readingOrder="0" shrinkToFit="0" vertical="bottom" wrapText="0"/>
    </xf>
    <xf borderId="1" fillId="4" fontId="31" numFmtId="0" xfId="0" applyAlignment="1" applyBorder="1" applyFill="1" applyFont="1">
      <alignment shrinkToFit="0" vertical="bottom" wrapText="0"/>
    </xf>
    <xf borderId="1" fillId="4" fontId="32" numFmtId="0" xfId="0" applyAlignment="1" applyBorder="1" applyFill="1" applyFont="1">
      <alignment readingOrder="0" shrinkToFit="0" vertical="bottom" wrapText="0"/>
    </xf>
    <xf borderId="1" fillId="9" fontId="33" numFmtId="0" xfId="0" applyAlignment="1" applyBorder="1" applyFill="1" applyFont="1">
      <alignment shrinkToFit="0" vertical="bottom" wrapText="0"/>
    </xf>
    <xf borderId="0" fillId="0" fontId="34" numFmtId="0" xfId="0" applyAlignment="1" applyFont="1">
      <alignment shrinkToFit="0" vertical="bottom" wrapText="1"/>
    </xf>
    <xf borderId="5" fillId="4" fontId="2" numFmtId="0" xfId="0" applyAlignment="1" applyBorder="1" applyFill="1" applyFont="1">
      <alignment shrinkToFit="0" vertical="bottom" wrapText="0"/>
    </xf>
    <xf borderId="5" fillId="4" fontId="2" numFmtId="3" xfId="0" applyAlignment="1" applyBorder="1" applyFill="1" applyFont="1" applyNumberFormat="1">
      <alignment shrinkToFit="0" vertical="bottom" wrapText="0"/>
    </xf>
    <xf borderId="5" fillId="4" fontId="2" numFmtId="164" xfId="0" applyAlignment="1" applyBorder="1" applyFill="1" applyFont="1" applyNumberFormat="1">
      <alignment shrinkToFit="0" vertical="bottom" wrapText="0"/>
    </xf>
    <xf borderId="1" fillId="10" fontId="9" numFmtId="3" xfId="0" applyAlignment="1" applyBorder="1" applyFill="1" applyFont="1" applyNumberForma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7" fillId="4" fontId="2" numFmtId="0" xfId="0" applyAlignment="1" applyBorder="1" applyFill="1" applyFont="1">
      <alignment shrinkToFit="0" vertical="bottom" wrapText="0"/>
    </xf>
    <xf borderId="7" fillId="4" fontId="2" numFmtId="3" xfId="0" applyAlignment="1" applyBorder="1" applyFill="1" applyFont="1" applyNumberFormat="1">
      <alignment shrinkToFit="0" vertical="bottom" wrapText="0"/>
    </xf>
    <xf borderId="2" fillId="10" fontId="2" numFmtId="0" xfId="0" applyAlignment="1" applyBorder="1" applyFill="1" applyFont="1">
      <alignment shrinkToFit="0" vertical="bottom" wrapText="0"/>
    </xf>
    <xf borderId="7" fillId="4" fontId="2" numFmtId="3" xfId="0" applyAlignment="1" applyBorder="1" applyFill="1" applyFont="1" applyNumberFormat="1">
      <alignment readingOrder="0" shrinkToFit="0" vertical="bottom" wrapText="0"/>
    </xf>
    <xf borderId="2" fillId="10" fontId="2" numFmtId="0" xfId="0" applyAlignment="1" applyBorder="1" applyFill="1" applyFont="1">
      <alignment readingOrder="0" shrinkToFit="0" vertical="bottom" wrapText="0"/>
    </xf>
    <xf borderId="2" fillId="11" fontId="2" numFmtId="0" xfId="0" applyAlignment="1" applyBorder="1" applyFill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9" fillId="11" fontId="2" numFmtId="0" xfId="0" applyAlignment="1" applyBorder="1" applyFill="1" applyFont="1">
      <alignment shrinkToFit="0" vertical="bottom" wrapText="0"/>
    </xf>
    <xf borderId="2" fillId="4" fontId="2" numFmtId="3" xfId="0" applyAlignment="1" applyBorder="1" applyFill="1" applyFont="1" applyNumberFormat="1">
      <alignment shrinkToFit="0" vertical="bottom" wrapText="0"/>
    </xf>
    <xf borderId="2" fillId="11" fontId="2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5" numFmtId="0" xfId="0" applyAlignment="1" applyFont="1">
      <alignment shrinkToFit="0" vertical="bottom" wrapText="0"/>
    </xf>
    <xf borderId="0" fillId="0" fontId="36" numFmtId="0" xfId="0" applyAlignment="1" applyFont="1">
      <alignment shrinkToFit="0" vertical="bottom" wrapText="0"/>
    </xf>
    <xf borderId="0" fillId="0" fontId="37" numFmtId="0" xfId="0" applyAlignment="1" applyFont="1">
      <alignment shrinkToFit="0" vertical="bottom" wrapText="0"/>
    </xf>
    <xf borderId="0" fillId="0" fontId="38" numFmtId="0" xfId="0" applyAlignment="1" applyFont="1">
      <alignment shrinkToFit="0" vertical="bottom" wrapText="0"/>
    </xf>
    <xf borderId="0" fillId="0" fontId="39" numFmtId="0" xfId="0" applyAlignment="1" applyFont="1">
      <alignment readingOrder="0" shrinkToFit="0" vertical="bottom" wrapText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 shrinkToFit="0" vertical="bottom" wrapText="0"/>
    </xf>
    <xf borderId="0" fillId="0" fontId="42" numFmtId="0" xfId="0" applyAlignment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43" numFmtId="0" xfId="0" applyAlignment="1" applyFont="1">
      <alignment horizontal="center" readingOrder="0" shrinkToFit="0" vertical="bottom" wrapText="0"/>
    </xf>
    <xf borderId="0" fillId="0" fontId="44" numFmtId="0" xfId="0" applyAlignment="1" applyFont="1">
      <alignment horizontal="center" readingOrder="0" vertical="bottom"/>
    </xf>
    <xf borderId="0" fillId="0" fontId="45" numFmtId="0" xfId="0" applyAlignment="1" applyFont="1">
      <alignment horizontal="center" vertical="bottom"/>
    </xf>
    <xf borderId="0" fillId="0" fontId="46" numFmtId="0" xfId="0" applyAlignment="1" applyFont="1">
      <alignment horizontal="center" readingOrder="0" vertical="bottom"/>
    </xf>
    <xf borderId="0" fillId="0" fontId="47" numFmtId="0" xfId="0" applyAlignment="1" applyFont="1">
      <alignment horizontal="left" readingOrder="0" vertical="bottom"/>
    </xf>
    <xf borderId="0" fillId="0" fontId="48" numFmtId="0" xfId="0" applyAlignment="1" applyFont="1">
      <alignment horizontal="center" readingOrder="0" vertical="bottom"/>
    </xf>
    <xf borderId="0" fillId="0" fontId="45" numFmtId="0" xfId="0" applyAlignment="1" applyFont="1">
      <alignment horizontal="center" readingOrder="0" vertical="bottom"/>
    </xf>
    <xf borderId="0" fillId="0" fontId="49" numFmtId="0" xfId="0" applyAlignment="1" applyFont="1">
      <alignment horizontal="left" readingOrder="0" vertical="bottom"/>
    </xf>
    <xf borderId="0" fillId="0" fontId="50" numFmtId="0" xfId="0" applyAlignment="1" applyFont="1">
      <alignment readingOrder="0"/>
    </xf>
    <xf borderId="0" fillId="0" fontId="51" numFmtId="0" xfId="0" applyAlignment="1" applyFont="1">
      <alignment readingOrder="0"/>
    </xf>
    <xf borderId="0" fillId="0" fontId="52" numFmtId="0" xfId="0" applyAlignment="1" applyFont="1">
      <alignment readingOrder="0"/>
    </xf>
    <xf borderId="0" fillId="0" fontId="53" numFmtId="0" xfId="0" applyAlignment="1" applyFont="1">
      <alignment readingOrder="0" shrinkToFit="0" vertical="bottom" wrapText="0"/>
    </xf>
    <xf borderId="0" fillId="0" fontId="54" numFmtId="0" xfId="0" applyAlignment="1" applyFont="1">
      <alignment readingOrder="0"/>
    </xf>
    <xf borderId="0" fillId="0" fontId="55" numFmtId="0" xfId="0" applyAlignment="1" applyFont="1">
      <alignment readingOrder="0"/>
    </xf>
    <xf borderId="0" fillId="0" fontId="56" numFmtId="0" xfId="0" applyAlignment="1" applyFont="1">
      <alignment readingOrder="0"/>
    </xf>
    <xf borderId="0" fillId="9" fontId="57" numFmtId="0" xfId="0" applyAlignment="1" applyFill="1" applyFont="1">
      <alignment readingOrder="0"/>
    </xf>
    <xf borderId="0" fillId="0" fontId="58" numFmtId="0" xfId="0" applyAlignment="1" applyFont="1">
      <alignment shrinkToFit="0" vertical="bottom" wrapText="0"/>
    </xf>
    <xf borderId="0" fillId="0" fontId="59" numFmtId="0" xfId="0" applyAlignment="1" applyFont="1">
      <alignment shrinkToFit="0" vertical="bottom" wrapText="0"/>
    </xf>
    <xf borderId="10" fillId="2" fontId="60" numFmtId="0" xfId="0" applyAlignment="1" applyBorder="1" applyFill="1" applyFont="1">
      <alignment horizontal="left" shrinkToFit="0" vertical="center" wrapText="0"/>
    </xf>
    <xf borderId="10" fillId="2" fontId="61" numFmtId="0" xfId="0" applyAlignment="1" applyBorder="1" applyFill="1" applyFont="1">
      <alignment shrinkToFit="0" vertical="bottom" wrapText="0"/>
    </xf>
    <xf borderId="10" fillId="0" fontId="62" numFmtId="0" xfId="0" applyAlignment="1" applyBorder="1" applyFont="1">
      <alignment horizontal="left" shrinkToFit="0" vertical="center" wrapText="0"/>
    </xf>
    <xf borderId="10" fillId="3" fontId="2" numFmtId="3" xfId="0" applyAlignment="1" applyBorder="1" applyFill="1" applyFont="1" applyNumberForma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10" fillId="0" fontId="62" numFmtId="0" xfId="0" applyAlignment="1" applyBorder="1" applyFont="1">
      <alignment horizontal="right" shrinkToFit="0" vertical="bottom" wrapText="0"/>
    </xf>
    <xf borderId="10" fillId="3" fontId="2" numFmtId="164" xfId="0" applyAlignment="1" applyBorder="1" applyFill="1" applyFont="1" applyNumberFormat="1">
      <alignment shrinkToFit="0" vertical="bottom" wrapText="0"/>
    </xf>
    <xf borderId="10" fillId="3" fontId="5" numFmtId="0" xfId="0" applyAlignment="1" applyBorder="1" applyFill="1" applyFont="1">
      <alignment horizontal="center" shrinkToFit="0" vertical="center" wrapText="1"/>
    </xf>
    <xf borderId="10" fillId="12" fontId="63" numFmtId="0" xfId="0" applyAlignment="1" applyBorder="1" applyFill="1" applyFont="1">
      <alignment horizontal="left" shrinkToFit="0" vertical="center" wrapText="0"/>
    </xf>
    <xf borderId="10" fillId="12" fontId="63" numFmtId="0" xfId="0" applyAlignment="1" applyBorder="1" applyFill="1" applyFont="1">
      <alignment shrinkToFit="0" vertical="bottom" wrapText="0"/>
    </xf>
    <xf borderId="10" fillId="12" fontId="5" numFmtId="0" xfId="0" applyAlignment="1" applyBorder="1" applyFill="1" applyFont="1">
      <alignment horizontal="right" shrinkToFit="0" vertical="bottom" wrapText="0"/>
    </xf>
    <xf borderId="10" fillId="5" fontId="2" numFmtId="3" xfId="0" applyAlignment="1" applyBorder="1" applyFill="1" applyFont="1" applyNumberFormat="1">
      <alignment shrinkToFit="0" vertical="bottom" wrapText="0"/>
    </xf>
    <xf borderId="10" fillId="5" fontId="2" numFmtId="164" xfId="0" applyAlignment="1" applyBorder="1" applyFill="1" applyFont="1" applyNumberFormat="1">
      <alignment shrinkToFit="0" vertical="bottom" wrapText="0"/>
    </xf>
    <xf borderId="10" fillId="12" fontId="63" numFmtId="10" xfId="0" applyAlignment="1" applyBorder="1" applyFill="1" applyFont="1" applyNumberFormat="1">
      <alignment shrinkToFit="0" vertical="bottom" wrapText="0"/>
    </xf>
    <xf borderId="10" fillId="0" fontId="2" numFmtId="0" xfId="0" applyAlignment="1" applyBorder="1" applyFont="1">
      <alignment horizontal="left" shrinkToFit="0" vertical="center" wrapText="0"/>
    </xf>
    <xf borderId="10" fillId="5" fontId="2" numFmtId="2" xfId="0" applyAlignment="1" applyBorder="1" applyFill="1" applyFont="1" applyNumberFormat="1">
      <alignment shrinkToFit="0" vertical="bottom" wrapText="0"/>
    </xf>
    <xf borderId="10" fillId="6" fontId="2" numFmtId="3" xfId="0" applyAlignment="1" applyBorder="1" applyFill="1" applyFont="1" applyNumberFormat="1">
      <alignment shrinkToFit="0" vertical="bottom" wrapText="0"/>
    </xf>
    <xf borderId="10" fillId="6" fontId="2" numFmtId="164" xfId="0" applyAlignment="1" applyBorder="1" applyFill="1" applyFont="1" applyNumberFormat="1">
      <alignment shrinkToFit="0" vertical="bottom" wrapText="0"/>
    </xf>
    <xf borderId="10" fillId="13" fontId="61" numFmtId="0" xfId="0" applyAlignment="1" applyBorder="1" applyFill="1" applyFont="1">
      <alignment horizontal="left" shrinkToFit="0" vertical="center" wrapText="0"/>
    </xf>
    <xf borderId="10" fillId="13" fontId="61" numFmtId="3" xfId="0" applyAlignment="1" applyBorder="1" applyFill="1" applyFont="1" applyNumberFormat="1">
      <alignment shrinkToFit="0" vertical="bottom" wrapText="0"/>
    </xf>
    <xf borderId="10" fillId="13" fontId="61" numFmtId="2" xfId="0" applyAlignment="1" applyBorder="1" applyFill="1" applyFont="1" applyNumberFormat="1">
      <alignment shrinkToFit="0" vertical="bottom" wrapText="0"/>
    </xf>
    <xf borderId="10" fillId="13" fontId="61" numFmtId="0" xfId="0" applyAlignment="1" applyBorder="1" applyFill="1" applyFont="1">
      <alignment shrinkToFit="0" vertical="bottom" wrapText="0"/>
    </xf>
    <xf borderId="10" fillId="13" fontId="61" numFmtId="164" xfId="0" applyAlignment="1" applyBorder="1" applyFill="1" applyFont="1" applyNumberFormat="1">
      <alignment shrinkToFit="0" vertical="bottom" wrapText="0"/>
    </xf>
    <xf borderId="10" fillId="12" fontId="63" numFmtId="4" xfId="0" applyAlignment="1" applyBorder="1" applyFill="1" applyFont="1" applyNumberFormat="1">
      <alignment shrinkToFit="0" vertical="bottom" wrapText="0"/>
    </xf>
    <xf borderId="10" fillId="2" fontId="61" numFmtId="0" xfId="0" applyAlignment="1" applyBorder="1" applyFill="1" applyFont="1">
      <alignment horizontal="left" shrinkToFit="0" vertical="center" wrapText="0"/>
    </xf>
    <xf borderId="10" fillId="2" fontId="61" numFmtId="3" xfId="0" applyAlignment="1" applyBorder="1" applyFill="1" applyFont="1" applyNumberFormat="1">
      <alignment shrinkToFit="0" vertical="bottom" wrapText="0"/>
    </xf>
    <xf borderId="10" fillId="2" fontId="61" numFmtId="2" xfId="0" applyAlignment="1" applyBorder="1" applyFill="1" applyFont="1" applyNumberFormat="1">
      <alignment shrinkToFit="0" vertical="bottom" wrapText="0"/>
    </xf>
    <xf borderId="10" fillId="2" fontId="61" numFmtId="164" xfId="0" applyAlignment="1" applyBorder="1" applyFill="1" applyFont="1" applyNumberFormat="1">
      <alignment shrinkToFit="0" vertical="bottom" wrapText="0"/>
    </xf>
    <xf borderId="10" fillId="0" fontId="64" numFmtId="0" xfId="0" applyAlignment="1" applyBorder="1" applyFont="1">
      <alignment horizontal="left" shrinkToFit="0" vertical="center" wrapText="0"/>
    </xf>
    <xf borderId="11" fillId="6" fontId="61" numFmtId="0" xfId="0" applyAlignment="1" applyBorder="1" applyFill="1" applyFont="1">
      <alignment horizontal="left" shrinkToFit="0" vertical="center" wrapText="0"/>
    </xf>
    <xf borderId="12" fillId="0" fontId="65" numFmtId="0" xfId="0" applyBorder="1" applyFont="1"/>
    <xf borderId="13" fillId="0" fontId="65" numFmtId="0" xfId="0" applyBorder="1" applyFont="1"/>
    <xf borderId="10" fillId="2" fontId="60" numFmtId="0" xfId="0" applyAlignment="1" applyBorder="1" applyFill="1" applyFont="1">
      <alignment horizontal="left" readingOrder="0" shrinkToFit="0" vertical="center" wrapText="0"/>
    </xf>
    <xf borderId="10" fillId="2" fontId="61" numFmtId="0" xfId="0" applyAlignment="1" applyBorder="1" applyFill="1" applyFont="1">
      <alignment readingOrder="0" shrinkToFit="0" vertical="bottom" wrapText="0"/>
    </xf>
    <xf borderId="10" fillId="3" fontId="2" numFmtId="3" xfId="0" applyAlignment="1" applyBorder="1" applyFill="1" applyFont="1" applyNumberFormat="1">
      <alignment readingOrder="0" shrinkToFit="0" vertical="bottom" wrapText="0"/>
    </xf>
    <xf borderId="10" fillId="5" fontId="2" numFmtId="3" xfId="0" applyAlignment="1" applyBorder="1" applyFill="1" applyFont="1" applyNumberFormat="1">
      <alignment readingOrder="0" shrinkToFit="0" vertical="bottom" wrapText="0"/>
    </xf>
    <xf borderId="10" fillId="5" fontId="2" numFmtId="2" xfId="0" applyAlignment="1" applyBorder="1" applyFill="1" applyFont="1" applyNumberFormat="1">
      <alignment readingOrder="0" shrinkToFit="0" vertical="bottom" wrapText="0"/>
    </xf>
    <xf borderId="0" fillId="2" fontId="66" numFmtId="0" xfId="0" applyAlignment="1" applyFill="1" applyFont="1">
      <alignment shrinkToFit="0" vertical="bottom" wrapText="0"/>
    </xf>
    <xf borderId="2" fillId="2" fontId="66" numFmtId="0" xfId="0" applyAlignment="1" applyBorder="1" applyFill="1" applyFont="1">
      <alignment shrinkToFit="0" vertical="bottom" wrapText="0"/>
    </xf>
    <xf borderId="10" fillId="3" fontId="67" numFmtId="0" xfId="0" applyAlignment="1" applyBorder="1" applyFill="1" applyFont="1">
      <alignment horizontal="center" shrinkToFit="0" vertical="center" wrapText="1"/>
    </xf>
    <xf borderId="11" fillId="3" fontId="67" numFmtId="0" xfId="0" applyAlignment="1" applyBorder="1" applyFill="1" applyFont="1">
      <alignment horizontal="center" shrinkToFit="0" vertical="center" wrapText="1"/>
    </xf>
    <xf borderId="10" fillId="12" fontId="68" numFmtId="0" xfId="0" applyAlignment="1" applyBorder="1" applyFill="1" applyFont="1">
      <alignment shrinkToFit="0" vertical="bottom" wrapText="0"/>
    </xf>
    <xf borderId="10" fillId="12" fontId="2" numFmtId="0" xfId="0" applyAlignment="1" applyBorder="1" applyFill="1" applyFont="1">
      <alignment shrinkToFit="0" vertical="bottom" wrapText="0"/>
    </xf>
    <xf borderId="10" fillId="12" fontId="69" numFmtId="0" xfId="0" applyAlignment="1" applyBorder="1" applyFill="1" applyFont="1">
      <alignment horizontal="right" shrinkToFit="0" vertical="bottom" wrapText="0"/>
    </xf>
    <xf borderId="10" fillId="12" fontId="2" numFmtId="3" xfId="0" applyAlignment="1" applyBorder="1" applyFill="1" applyFont="1" applyNumberFormat="1">
      <alignment shrinkToFit="0" vertical="bottom" wrapText="0"/>
    </xf>
    <xf borderId="10" fillId="12" fontId="2" numFmtId="164" xfId="0" applyAlignment="1" applyBorder="1" applyFill="1" applyFont="1" applyNumberFormat="1">
      <alignment shrinkToFit="0" vertical="bottom" wrapText="0"/>
    </xf>
    <xf borderId="2" fillId="2" fontId="66" numFmtId="3" xfId="0" applyAlignment="1" applyBorder="1" applyFill="1" applyFont="1" applyNumberFormat="1">
      <alignment shrinkToFit="0" vertical="bottom" wrapText="0"/>
    </xf>
    <xf borderId="2" fillId="2" fontId="66" numFmtId="164" xfId="0" applyAlignment="1" applyBorder="1" applyFill="1" applyFont="1" applyNumberFormat="1">
      <alignment shrinkToFit="0" vertical="bottom" wrapText="0"/>
    </xf>
    <xf borderId="0" fillId="0" fontId="64" numFmtId="0" xfId="0" applyAlignment="1" applyFont="1">
      <alignment shrinkToFit="0" vertical="bottom" wrapText="0"/>
    </xf>
    <xf borderId="14" fillId="6" fontId="61" numFmtId="0" xfId="0" applyAlignment="1" applyBorder="1" applyFill="1" applyFont="1">
      <alignment shrinkToFit="0" vertical="bottom" wrapText="0"/>
    </xf>
    <xf borderId="15" fillId="0" fontId="65" numFmtId="0" xfId="0" applyBorder="1" applyFont="1"/>
    <xf borderId="16" fillId="0" fontId="65" numFmtId="0" xfId="0" applyBorder="1" applyFont="1"/>
    <xf borderId="11" fillId="12" fontId="2" numFmtId="0" xfId="0" applyAlignment="1" applyBorder="1" applyFill="1" applyFont="1">
      <alignment shrinkToFit="0" vertical="bottom" wrapText="0"/>
    </xf>
    <xf borderId="0" fillId="0" fontId="70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shrinkToFit="0" vertical="bottom" wrapText="0"/>
    </xf>
    <xf borderId="1" fillId="2" fontId="71" numFmtId="0" xfId="0" applyAlignment="1" applyBorder="1" applyFill="1" applyFont="1">
      <alignment horizontal="center" shrinkToFit="0" vertical="center" wrapText="1"/>
    </xf>
    <xf borderId="1" fillId="2" fontId="71" numFmtId="0" xfId="0" applyAlignment="1" applyBorder="1" applyFill="1" applyFont="1">
      <alignment horizontal="center" readingOrder="0" shrinkToFit="0" vertical="center" wrapText="1"/>
    </xf>
    <xf borderId="1" fillId="2" fontId="71" numFmtId="165" xfId="0" applyAlignment="1" applyBorder="1" applyFill="1" applyFont="1" applyNumberFormat="1">
      <alignment horizontal="center" shrinkToFit="0" vertical="center" wrapText="1"/>
    </xf>
    <xf borderId="2" fillId="14" fontId="71" numFmtId="0" xfId="0" applyAlignment="1" applyBorder="1" applyFill="1" applyFont="1">
      <alignment shrinkToFit="0" vertical="bottom" wrapText="0"/>
    </xf>
    <xf borderId="2" fillId="14" fontId="71" numFmtId="165" xfId="0" applyAlignment="1" applyBorder="1" applyFill="1" applyFont="1" applyNumberFormat="1">
      <alignment shrinkToFit="0" vertical="bottom" wrapText="0"/>
    </xf>
    <xf borderId="0" fillId="11" fontId="72" numFmtId="0" xfId="0" applyAlignment="1" applyFill="1" applyFont="1">
      <alignment readingOrder="0" shrinkToFit="0" vertical="bottom" wrapText="0"/>
    </xf>
    <xf borderId="1" fillId="6" fontId="73" numFmtId="0" xfId="0" applyAlignment="1" applyBorder="1" applyFill="1" applyFont="1">
      <alignment shrinkToFit="0" vertical="bottom" wrapText="0"/>
    </xf>
    <xf borderId="7" fillId="6" fontId="2" numFmtId="3" xfId="0" applyAlignment="1" applyBorder="1" applyFill="1" applyFont="1" applyNumberFormat="1">
      <alignment readingOrder="0" shrinkToFit="0" vertical="bottom" wrapText="0"/>
    </xf>
    <xf borderId="1" fillId="6" fontId="9" numFmtId="0" xfId="0" applyAlignment="1" applyBorder="1" applyFill="1" applyFont="1">
      <alignment shrinkToFit="0" vertical="bottom" wrapText="0"/>
    </xf>
    <xf borderId="1" fillId="5" fontId="9" numFmtId="0" xfId="0" applyAlignment="1" applyBorder="1" applyFill="1" applyFont="1">
      <alignment readingOrder="0" shrinkToFit="0" vertical="bottom" wrapText="0"/>
    </xf>
    <xf borderId="1" fillId="5" fontId="9" numFmtId="0" xfId="0" applyAlignment="1" applyBorder="1" applyFill="1" applyFont="1">
      <alignment shrinkToFit="0" vertical="bottom" wrapText="0"/>
    </xf>
    <xf borderId="1" fillId="5" fontId="9" numFmtId="166" xfId="0" applyAlignment="1" applyBorder="1" applyFill="1" applyFont="1" applyNumberFormat="1">
      <alignment readingOrder="0" shrinkToFit="0" vertical="bottom" wrapText="0"/>
    </xf>
    <xf borderId="1" fillId="6" fontId="9" numFmtId="3" xfId="0" applyAlignment="1" applyBorder="1" applyFill="1" applyFont="1" applyNumberFormat="1">
      <alignment readingOrder="0" shrinkToFit="0" vertical="bottom" wrapText="0"/>
    </xf>
    <xf borderId="1" fillId="5" fontId="9" numFmtId="3" xfId="0" applyAlignment="1" applyBorder="1" applyFill="1" applyFont="1" applyNumberFormat="1">
      <alignment shrinkToFit="0" vertical="bottom" wrapText="0"/>
    </xf>
    <xf borderId="1" fillId="5" fontId="74" numFmtId="0" xfId="0" applyAlignment="1" applyBorder="1" applyFill="1" applyFont="1">
      <alignment readingOrder="0" shrinkToFit="0" vertical="bottom" wrapText="0"/>
    </xf>
    <xf borderId="1" fillId="5" fontId="75" numFmtId="0" xfId="0" applyAlignment="1" applyBorder="1" applyFill="1" applyFont="1">
      <alignment readingOrder="0" shrinkToFit="0" vertical="bottom" wrapText="0"/>
    </xf>
    <xf borderId="1" fillId="5" fontId="9" numFmtId="3" xfId="0" applyAlignment="1" applyBorder="1" applyFill="1" applyFont="1" applyNumberFormat="1">
      <alignment readingOrder="0" shrinkToFit="0" vertical="bottom" wrapText="0"/>
    </xf>
    <xf borderId="1" fillId="6" fontId="9" numFmtId="165" xfId="0" applyAlignment="1" applyBorder="1" applyFill="1" applyFont="1" applyNumberFormat="1">
      <alignment shrinkToFit="0" vertical="bottom" wrapText="0"/>
    </xf>
    <xf borderId="1" fillId="5" fontId="9" numFmtId="9" xfId="0" applyAlignment="1" applyBorder="1" applyFill="1" applyFont="1" applyNumberFormat="1">
      <alignment shrinkToFit="0" vertical="bottom" wrapText="0"/>
    </xf>
    <xf borderId="2" fillId="11" fontId="76" numFmtId="0" xfId="0" applyAlignment="1" applyBorder="1" applyFill="1" applyFont="1">
      <alignment shrinkToFit="0" vertical="bottom" wrapText="1"/>
    </xf>
    <xf borderId="7" fillId="6" fontId="2" numFmtId="3" xfId="0" applyAlignment="1" applyBorder="1" applyFill="1" applyFont="1" applyNumberFormat="1">
      <alignment shrinkToFit="0" vertical="bottom" wrapText="0"/>
    </xf>
    <xf borderId="2" fillId="11" fontId="77" numFmtId="0" xfId="0" applyAlignment="1" applyBorder="1" applyFill="1" applyFont="1">
      <alignment readingOrder="0" shrinkToFit="0" vertical="bottom" wrapText="0"/>
    </xf>
    <xf borderId="1" fillId="6" fontId="9" numFmtId="0" xfId="0" applyAlignment="1" applyBorder="1" applyFill="1" applyFont="1">
      <alignment readingOrder="0" shrinkToFit="0" vertical="bottom" wrapText="0"/>
    </xf>
    <xf borderId="2" fillId="11" fontId="78" numFmtId="0" xfId="0" applyAlignment="1" applyBorder="1" applyFill="1" applyFont="1">
      <alignment shrinkToFit="0" vertical="bottom" wrapText="0"/>
    </xf>
    <xf borderId="1" fillId="11" fontId="63" numFmtId="0" xfId="0" applyAlignment="1" applyBorder="1" applyFill="1" applyFont="1">
      <alignment shrinkToFit="0" vertical="bottom" wrapText="0"/>
    </xf>
    <xf borderId="1" fillId="13" fontId="63" numFmtId="0" xfId="0" applyAlignment="1" applyBorder="1" applyFill="1" applyFont="1">
      <alignment shrinkToFit="0" vertical="bottom" wrapText="0"/>
    </xf>
    <xf borderId="1" fillId="13" fontId="63" numFmtId="3" xfId="0" applyAlignment="1" applyBorder="1" applyFill="1" applyFont="1" applyNumberFormat="1">
      <alignment shrinkToFit="0" vertical="bottom" wrapText="0"/>
    </xf>
    <xf borderId="17" fillId="14" fontId="71" numFmtId="0" xfId="0" applyAlignment="1" applyBorder="1" applyFill="1" applyFont="1">
      <alignment readingOrder="0" shrinkToFit="0" vertical="bottom" wrapText="0"/>
    </xf>
    <xf borderId="18" fillId="11" fontId="79" numFmtId="0" xfId="0" applyAlignment="1" applyBorder="1" applyFill="1" applyFont="1">
      <alignment shrinkToFit="0" vertical="bottom" wrapText="0"/>
    </xf>
    <xf borderId="19" fillId="6" fontId="80" numFmtId="0" xfId="0" applyAlignment="1" applyBorder="1" applyFill="1" applyFont="1">
      <alignment shrinkToFit="0" vertical="bottom" wrapText="0"/>
    </xf>
    <xf borderId="1" fillId="6" fontId="81" numFmtId="0" xfId="0" applyAlignment="1" applyBorder="1" applyFill="1" applyFont="1">
      <alignment readingOrder="0" shrinkToFit="0" vertical="bottom" wrapText="0"/>
    </xf>
    <xf borderId="1" fillId="6" fontId="9" numFmtId="0" xfId="0" applyAlignment="1" applyBorder="1" applyFill="1" applyFont="1">
      <alignment readingOrder="0" shrinkToFit="0" vertical="bottom" wrapText="0"/>
    </xf>
    <xf borderId="18" fillId="11" fontId="82" numFmtId="0" xfId="0" applyAlignment="1" applyBorder="1" applyFill="1" applyFont="1">
      <alignment readingOrder="0" shrinkToFit="0" vertical="bottom" wrapText="0"/>
    </xf>
    <xf borderId="1" fillId="5" fontId="9" numFmtId="3" xfId="0" applyAlignment="1" applyBorder="1" applyFill="1" applyFont="1" applyNumberFormat="1">
      <alignment horizontal="center" readingOrder="0" shrinkToFit="0" vertical="bottom" wrapText="0"/>
    </xf>
    <xf borderId="18" fillId="11" fontId="83" numFmtId="0" xfId="0" applyAlignment="1" applyBorder="1" applyFill="1" applyFont="1">
      <alignment readingOrder="0" shrinkToFit="0" vertical="bottom" wrapText="0"/>
    </xf>
    <xf borderId="1" fillId="15" fontId="84" numFmtId="0" xfId="0" applyAlignment="1" applyBorder="1" applyFill="1" applyFont="1">
      <alignment readingOrder="0" shrinkToFit="0" vertical="bottom" wrapText="0"/>
    </xf>
    <xf borderId="1" fillId="6" fontId="2" numFmtId="0" xfId="0" applyAlignment="1" applyBorder="1" applyFill="1" applyFont="1">
      <alignment readingOrder="0" shrinkToFit="0" vertical="bottom" wrapText="0"/>
    </xf>
    <xf borderId="1" fillId="15" fontId="85" numFmtId="0" xfId="0" applyAlignment="1" applyBorder="1" applyFill="1" applyFont="1">
      <alignment readingOrder="0" shrinkToFit="0" vertical="bottom" wrapText="0"/>
    </xf>
    <xf borderId="1" fillId="13" fontId="63" numFmtId="0" xfId="0" applyAlignment="1" applyBorder="1" applyFill="1" applyFont="1">
      <alignment readingOrder="0" shrinkToFit="0" vertical="bottom" wrapText="0"/>
    </xf>
    <xf borderId="1" fillId="13" fontId="63" numFmtId="165" xfId="0" applyAlignment="1" applyBorder="1" applyFill="1" applyFont="1" applyNumberFormat="1">
      <alignment shrinkToFit="0" vertical="bottom" wrapText="0"/>
    </xf>
    <xf borderId="2" fillId="14" fontId="71" numFmtId="0" xfId="0" applyAlignment="1" applyBorder="1" applyFill="1" applyFont="1">
      <alignment readingOrder="0" shrinkToFit="0" vertical="bottom" wrapText="0"/>
    </xf>
    <xf borderId="0" fillId="5" fontId="86" numFmtId="0" xfId="0" applyAlignment="1" applyFill="1" applyFont="1">
      <alignment readingOrder="0" shrinkToFit="0" vertical="bottom" wrapText="0"/>
    </xf>
    <xf borderId="1" fillId="5" fontId="87" numFmtId="0" xfId="0" applyAlignment="1" applyBorder="1" applyFill="1" applyFont="1">
      <alignment readingOrder="0" shrinkToFit="0" vertical="bottom" wrapText="0"/>
    </xf>
    <xf borderId="0" fillId="15" fontId="88" numFmtId="0" xfId="0" applyAlignment="1" applyFill="1" applyFont="1">
      <alignment readingOrder="0" shrinkToFit="0" vertical="bottom" wrapText="0"/>
    </xf>
    <xf borderId="2" fillId="5" fontId="89" numFmtId="0" xfId="0" applyAlignment="1" applyBorder="1" applyFill="1" applyFont="1">
      <alignment shrinkToFit="0" vertical="bottom" wrapText="0"/>
    </xf>
    <xf borderId="1" fillId="5" fontId="90" numFmtId="0" xfId="0" applyAlignment="1" applyBorder="1" applyFill="1" applyFont="1">
      <alignment shrinkToFit="0" vertical="bottom" wrapText="0"/>
    </xf>
    <xf borderId="0" fillId="5" fontId="45" numFmtId="0" xfId="0" applyAlignment="1" applyFill="1" applyFont="1">
      <alignment readingOrder="0"/>
    </xf>
    <xf borderId="1" fillId="5" fontId="9" numFmtId="0" xfId="0" applyAlignment="1" applyBorder="1" applyFill="1" applyFont="1">
      <alignment readingOrder="0" shrinkToFit="0" vertical="bottom" wrapText="0"/>
    </xf>
    <xf borderId="1" fillId="5" fontId="91" numFmtId="0" xfId="0" applyAlignment="1" applyBorder="1" applyFill="1" applyFont="1">
      <alignment vertical="bottom"/>
    </xf>
    <xf borderId="1" fillId="5" fontId="91" numFmtId="0" xfId="0" applyAlignment="1" applyBorder="1" applyFill="1" applyFont="1">
      <alignment vertical="bottom"/>
    </xf>
    <xf borderId="1" fillId="5" fontId="92" numFmtId="0" xfId="0" applyAlignment="1" applyBorder="1" applyFill="1" applyFont="1">
      <alignment readingOrder="0" shrinkToFit="0" vertical="bottom" wrapText="0"/>
    </xf>
    <xf borderId="17" fillId="14" fontId="71" numFmtId="0" xfId="0" applyAlignment="1" applyBorder="1" applyFill="1" applyFont="1">
      <alignment shrinkToFit="0" vertical="bottom" wrapText="0"/>
    </xf>
    <xf borderId="20" fillId="5" fontId="9" numFmtId="0" xfId="0" applyAlignment="1" applyBorder="1" applyFill="1" applyFont="1">
      <alignment readingOrder="0" shrinkToFit="0" vertical="bottom" wrapText="0"/>
    </xf>
    <xf borderId="1" fillId="5" fontId="93" numFmtId="0" xfId="0" applyAlignment="1" applyBorder="1" applyFill="1" applyFont="1">
      <alignment readingOrder="0" shrinkToFit="0" vertical="bottom" wrapText="1"/>
    </xf>
    <xf borderId="1" fillId="5" fontId="94" numFmtId="0" xfId="0" applyAlignment="1" applyBorder="1" applyFill="1" applyFont="1">
      <alignment readingOrder="0" shrinkToFit="0" vertical="bottom" wrapText="1"/>
    </xf>
    <xf borderId="1" fillId="5" fontId="9" numFmtId="167" xfId="0" applyAlignment="1" applyBorder="1" applyFill="1" applyFont="1" applyNumberFormat="1">
      <alignment readingOrder="0" shrinkToFit="0" vertical="bottom" wrapText="0"/>
    </xf>
    <xf borderId="18" fillId="5" fontId="95" numFmtId="0" xfId="0" applyAlignment="1" applyBorder="1" applyFill="1" applyFont="1">
      <alignment readingOrder="0" shrinkToFit="0" vertical="bottom" wrapText="0"/>
    </xf>
    <xf borderId="1" fillId="15" fontId="96" numFmtId="0" xfId="0" applyAlignment="1" applyBorder="1" applyFill="1" applyFont="1">
      <alignment readingOrder="0" shrinkToFit="0" vertical="bottom" wrapText="1"/>
    </xf>
    <xf borderId="0" fillId="5" fontId="97" numFmtId="0" xfId="0" applyAlignment="1" applyFill="1" applyFont="1">
      <alignment readingOrder="0" shrinkToFit="0" vertical="bottom" wrapText="0"/>
    </xf>
    <xf borderId="1" fillId="5" fontId="9" numFmtId="0" xfId="0" applyAlignment="1" applyBorder="1" applyFill="1" applyFont="1">
      <alignment readingOrder="0" shrinkToFit="0" vertical="bottom" wrapText="1"/>
    </xf>
    <xf borderId="0" fillId="5" fontId="98" numFmtId="0" xfId="0" applyAlignment="1" applyFill="1" applyFont="1">
      <alignment shrinkToFit="0" vertical="bottom" wrapText="0"/>
    </xf>
    <xf borderId="0" fillId="16" fontId="99" numFmtId="0" xfId="0" applyAlignment="1" applyFill="1" applyFont="1">
      <alignment readingOrder="0" shrinkToFit="0" vertical="bottom" wrapText="0"/>
    </xf>
    <xf borderId="1" fillId="5" fontId="9" numFmtId="3" xfId="0" applyAlignment="1" applyBorder="1" applyFill="1" applyFont="1" applyNumberFormat="1">
      <alignment horizontal="right" readingOrder="0" shrinkToFit="0" vertical="bottom" wrapText="0"/>
    </xf>
    <xf borderId="1" fillId="5" fontId="9" numFmtId="0" xfId="0" applyAlignment="1" applyBorder="1" applyFill="1" applyFont="1">
      <alignment readingOrder="0" shrinkToFit="0" vertical="bottom" wrapText="0"/>
    </xf>
    <xf borderId="1" fillId="5" fontId="100" numFmtId="0" xfId="0" applyAlignment="1" applyBorder="1" applyFill="1" applyFont="1">
      <alignment readingOrder="0" shrinkToFit="0" vertical="bottom" wrapText="0"/>
    </xf>
    <xf borderId="1" fillId="5" fontId="9" numFmtId="166" xfId="0" applyAlignment="1" applyBorder="1" applyFill="1" applyFont="1" applyNumberFormat="1">
      <alignment shrinkToFit="0" vertical="bottom" wrapText="0"/>
    </xf>
    <xf borderId="2" fillId="2" fontId="71" numFmtId="0" xfId="0" applyAlignment="1" applyBorder="1" applyFill="1" applyFont="1">
      <alignment shrinkToFit="0" vertical="bottom" wrapText="0"/>
    </xf>
    <xf borderId="2" fillId="2" fontId="71" numFmtId="3" xfId="0" applyAlignment="1" applyBorder="1" applyFill="1" applyFont="1" applyNumberFormat="1">
      <alignment shrinkToFit="0" vertical="bottom" wrapText="0"/>
    </xf>
    <xf borderId="2" fillId="2" fontId="71" numFmtId="165" xfId="0" applyAlignment="1" applyBorder="1" applyFill="1" applyFont="1" applyNumberFormat="1">
      <alignment shrinkToFit="0" vertical="bottom" wrapText="0"/>
    </xf>
    <xf borderId="0" fillId="5" fontId="101" numFmtId="0" xfId="0" applyAlignment="1" applyFill="1" applyFont="1">
      <alignment shrinkToFit="0" vertical="bottom" wrapText="1"/>
    </xf>
    <xf borderId="1" fillId="17" fontId="9" numFmtId="0" xfId="0" applyAlignment="1" applyBorder="1" applyFill="1" applyFont="1">
      <alignment shrinkToFit="0" vertical="bottom" wrapText="0"/>
    </xf>
    <xf borderId="1" fillId="13" fontId="9" numFmtId="165" xfId="0" applyAlignment="1" applyBorder="1" applyFill="1" applyFont="1" applyNumberFormat="1">
      <alignment shrinkToFit="0" vertical="bottom" wrapText="0"/>
    </xf>
    <xf borderId="1" fillId="13" fontId="102" numFmtId="3" xfId="0" applyAlignment="1" applyBorder="1" applyFill="1" applyFont="1" applyNumberFormat="1">
      <alignment shrinkToFit="0" vertical="bottom" wrapText="0"/>
    </xf>
    <xf borderId="1" fillId="5" fontId="103" numFmtId="0" xfId="0" applyAlignment="1" applyBorder="1" applyFill="1" applyFont="1">
      <alignment readingOrder="0" shrinkToFit="0" vertical="bottom" wrapText="0"/>
    </xf>
    <xf borderId="20" fillId="5" fontId="9" numFmtId="168" xfId="0" applyAlignment="1" applyBorder="1" applyFill="1" applyFont="1" applyNumberFormat="1">
      <alignment readingOrder="0" shrinkToFit="0" vertical="bottom" wrapText="0"/>
    </xf>
    <xf borderId="0" fillId="0" fontId="104" numFmtId="0" xfId="0" applyAlignment="1" applyFont="1">
      <alignment readingOrder="0"/>
    </xf>
    <xf borderId="0" fillId="5" fontId="105" numFmtId="0" xfId="0" applyAlignment="1" applyFill="1" applyFont="1">
      <alignment horizontal="left" readingOrder="0" vertical="bottom"/>
    </xf>
    <xf borderId="1" fillId="5" fontId="9" numFmtId="0" xfId="0" applyAlignment="1" applyBorder="1" applyFill="1" applyFont="1">
      <alignment shrinkToFit="0" vertical="bottom" wrapText="0"/>
    </xf>
    <xf borderId="1" fillId="18" fontId="9" numFmtId="3" xfId="0" applyAlignment="1" applyBorder="1" applyFill="1" applyFont="1" applyNumberFormat="1">
      <alignment shrinkToFit="0" vertical="bottom" wrapText="0"/>
    </xf>
    <xf borderId="20" fillId="5" fontId="9" numFmtId="166" xfId="0" applyAlignment="1" applyBorder="1" applyFill="1" applyFont="1" applyNumberFormat="1">
      <alignment readingOrder="0" shrinkToFit="0" vertical="bottom" wrapText="0"/>
    </xf>
    <xf borderId="0" fillId="5" fontId="106" numFmtId="0" xfId="0" applyAlignment="1" applyFill="1" applyFont="1">
      <alignment horizontal="left" readingOrder="0" vertical="bottom"/>
    </xf>
    <xf borderId="1" fillId="5" fontId="91" numFmtId="3" xfId="0" applyAlignment="1" applyBorder="1" applyFill="1" applyFont="1" applyNumberFormat="1">
      <alignment horizontal="right" readingOrder="0" vertical="bottom"/>
    </xf>
    <xf borderId="0" fillId="0" fontId="45" numFmtId="0" xfId="0" applyFont="1"/>
    <xf borderId="0" fillId="5" fontId="107" numFmtId="0" xfId="0" applyAlignment="1" applyFill="1" applyFont="1">
      <alignment horizontal="center" readingOrder="0" shrinkToFit="0" vertical="bottom" wrapText="0"/>
    </xf>
    <xf borderId="0" fillId="5" fontId="108" numFmtId="0" xfId="0" applyAlignment="1" applyFill="1" applyFont="1">
      <alignment readingOrder="0"/>
    </xf>
    <xf borderId="0" fillId="5" fontId="109" numFmtId="0" xfId="0" applyAlignment="1" applyFill="1" applyFont="1">
      <alignment readingOrder="0" shrinkToFit="0" vertical="bottom" wrapText="0"/>
    </xf>
    <xf borderId="1" fillId="19" fontId="9" numFmtId="166" xfId="0" applyAlignment="1" applyBorder="1" applyFill="1" applyFont="1" applyNumberFormat="1">
      <alignment readingOrder="0" shrinkToFit="0" vertical="bottom" wrapText="0"/>
    </xf>
    <xf borderId="1" fillId="19" fontId="9" numFmtId="168" xfId="0" applyAlignment="1" applyBorder="1" applyFill="1" applyFont="1" applyNumberFormat="1">
      <alignment horizontal="right" readingOrder="0" shrinkToFit="0" vertical="bottom" wrapText="0"/>
    </xf>
    <xf borderId="20" fillId="5" fontId="9" numFmtId="3" xfId="0" applyAlignment="1" applyBorder="1" applyFill="1" applyFont="1" applyNumberFormat="1">
      <alignment readingOrder="0" shrinkToFit="0" vertical="bottom" wrapText="0"/>
    </xf>
    <xf borderId="1" fillId="5" fontId="9" numFmtId="0" xfId="0" applyAlignment="1" applyBorder="1" applyFill="1" applyFont="1">
      <alignment shrinkToFit="0" vertical="bottom" wrapText="1"/>
    </xf>
    <xf borderId="1" fillId="6" fontId="9" numFmtId="0" xfId="0" applyAlignment="1" applyBorder="1" applyFill="1" applyFont="1">
      <alignment shrinkToFit="0" vertical="bottom" wrapText="1"/>
    </xf>
    <xf borderId="0" fillId="5" fontId="110" numFmtId="0" xfId="0" applyAlignment="1" applyFill="1" applyFont="1">
      <alignment readingOrder="0"/>
    </xf>
    <xf borderId="21" fillId="5" fontId="9" numFmtId="3" xfId="0" applyAlignment="1" applyBorder="1" applyFill="1" applyFont="1" applyNumberFormat="1">
      <alignment readingOrder="0" shrinkToFit="0" vertical="bottom" wrapText="0"/>
    </xf>
    <xf borderId="22" fillId="5" fontId="111" numFmtId="0" xfId="0" applyAlignment="1" applyBorder="1" applyFill="1" applyFont="1">
      <alignment horizontal="right" readingOrder="0" shrinkToFit="0" vertical="bottom" wrapText="0"/>
    </xf>
    <xf borderId="19" fillId="5" fontId="9" numFmtId="3" xfId="0" applyAlignment="1" applyBorder="1" applyFill="1" applyFont="1" applyNumberFormat="1">
      <alignment readingOrder="0" shrinkToFit="0" vertical="bottom" wrapText="0"/>
    </xf>
    <xf borderId="23" fillId="5" fontId="9" numFmtId="3" xfId="0" applyAlignment="1" applyBorder="1" applyFill="1" applyFont="1" applyNumberFormat="1">
      <alignment readingOrder="0" shrinkToFit="0" vertical="bottom" wrapText="0"/>
    </xf>
    <xf borderId="2" fillId="5" fontId="112" numFmtId="0" xfId="0" applyAlignment="1" applyBorder="1" applyFill="1" applyFont="1">
      <alignment shrinkToFit="0" vertical="bottom" wrapText="1"/>
    </xf>
    <xf borderId="2" fillId="5" fontId="113" numFmtId="0" xfId="0" applyAlignment="1" applyBorder="1" applyFill="1" applyFont="1">
      <alignment shrinkToFit="0" vertical="bottom" wrapText="0"/>
    </xf>
    <xf borderId="1" fillId="5" fontId="9" numFmtId="0" xfId="0" applyAlignment="1" applyBorder="1" applyFill="1" applyFont="1">
      <alignment readingOrder="0" shrinkToFit="0" vertical="bottom" wrapText="0"/>
    </xf>
    <xf borderId="0" fillId="5" fontId="114" numFmtId="0" xfId="0" applyAlignment="1" applyFill="1" applyFont="1">
      <alignment readingOrder="0"/>
    </xf>
    <xf borderId="1" fillId="5" fontId="115" numFmtId="3" xfId="0" applyAlignment="1" applyBorder="1" applyFill="1" applyFont="1" applyNumberFormat="1">
      <alignment readingOrder="0" shrinkToFit="0" vertical="bottom" wrapText="0"/>
    </xf>
    <xf borderId="1" fillId="5" fontId="116" numFmtId="0" xfId="0" applyAlignment="1" applyBorder="1" applyFill="1" applyFont="1">
      <alignment readingOrder="0" shrinkToFit="0" vertical="bottom" wrapText="0"/>
    </xf>
    <xf borderId="1" fillId="17" fontId="9" numFmtId="0" xfId="0" applyAlignment="1" applyBorder="1" applyFill="1" applyFont="1">
      <alignment readingOrder="0" shrinkToFit="0" vertical="bottom" wrapText="0"/>
    </xf>
    <xf borderId="1" fillId="5" fontId="9" numFmtId="168" xfId="0" applyAlignment="1" applyBorder="1" applyFill="1" applyFont="1" applyNumberFormat="1">
      <alignment horizontal="right" readingOrder="0" shrinkToFit="0" vertical="bottom" wrapText="0"/>
    </xf>
    <xf borderId="1" fillId="6" fontId="117" numFmtId="3" xfId="0" applyAlignment="1" applyBorder="1" applyFill="1" applyFont="1" applyNumberFormat="1">
      <alignment shrinkToFit="0" vertical="bottom" wrapText="0"/>
    </xf>
    <xf borderId="1" fillId="5" fontId="118" numFmtId="0" xfId="0" applyAlignment="1" applyBorder="1" applyFill="1" applyFont="1">
      <alignment horizontal="left" readingOrder="0" shrinkToFit="0" vertical="bottom" wrapText="0"/>
    </xf>
    <xf borderId="18" fillId="5" fontId="119" numFmtId="0" xfId="0" applyAlignment="1" applyBorder="1" applyFill="1" applyFont="1">
      <alignment shrinkToFit="0" vertical="bottom" wrapText="0"/>
    </xf>
    <xf borderId="1" fillId="5" fontId="9" numFmtId="168" xfId="0" applyAlignment="1" applyBorder="1" applyFill="1" applyFont="1" applyNumberFormat="1">
      <alignment readingOrder="0" shrinkToFit="0" vertical="bottom" wrapText="0"/>
    </xf>
    <xf borderId="1" fillId="20" fontId="9" numFmtId="0" xfId="0" applyAlignment="1" applyBorder="1" applyFill="1" applyFont="1">
      <alignment readingOrder="0" shrinkToFit="0" vertical="bottom" wrapText="0"/>
    </xf>
    <xf borderId="0" fillId="6" fontId="2" numFmtId="0" xfId="0" applyAlignment="1" applyFill="1" applyFont="1">
      <alignment readingOrder="0" shrinkToFit="0" vertical="bottom" wrapText="0"/>
    </xf>
    <xf borderId="0" fillId="5" fontId="120" numFmtId="0" xfId="0" applyAlignment="1" applyFill="1" applyFont="1">
      <alignment readingOrder="0" shrinkToFit="0" wrapText="0"/>
    </xf>
    <xf borderId="2" fillId="2" fontId="71" numFmtId="3" xfId="0" applyAlignment="1" applyBorder="1" applyFill="1" applyFont="1" applyNumberFormat="1">
      <alignment readingOrder="0" shrinkToFit="0" vertical="bottom" wrapText="0"/>
    </xf>
    <xf borderId="1" fillId="2" fontId="4" numFmtId="165" xfId="0" applyAlignment="1" applyBorder="1" applyFill="1" applyFont="1" applyNumberFormat="1">
      <alignment shrinkToFit="0" vertical="bottom" wrapText="0"/>
    </xf>
    <xf borderId="1" fillId="2" fontId="71" numFmtId="3" xfId="0" applyAlignment="1" applyBorder="1" applyFill="1" applyFont="1" applyNumberFormat="1">
      <alignment shrinkToFit="0" vertical="bottom" wrapText="0"/>
    </xf>
    <xf borderId="1" fillId="2" fontId="4" numFmtId="3" xfId="0" applyAlignment="1" applyBorder="1" applyFill="1" applyFont="1" applyNumberFormat="1">
      <alignment shrinkToFit="0" vertical="bottom" wrapText="0"/>
    </xf>
    <xf borderId="0" fillId="9" fontId="2" numFmtId="0" xfId="0" applyAlignment="1" applyFill="1" applyFont="1">
      <alignment readingOrder="0" shrinkToFit="0" vertical="bottom" wrapText="0"/>
    </xf>
    <xf borderId="0" fillId="9" fontId="2" numFmtId="0" xfId="0" applyAlignment="1" applyFill="1" applyFont="1">
      <alignment shrinkToFit="0" vertical="bottom" wrapText="0"/>
    </xf>
    <xf borderId="0" fillId="9" fontId="2" numFmtId="0" xfId="0" applyAlignment="1" applyFill="1" applyFont="1">
      <alignment horizontal="center" readingOrder="0" shrinkToFit="0" vertical="bottom" wrapText="0"/>
    </xf>
    <xf borderId="0" fillId="9" fontId="2" numFmtId="0" xfId="0" applyAlignment="1" applyFill="1" applyFont="1">
      <alignment horizontal="left" shrinkToFit="0" vertical="center" wrapText="0"/>
    </xf>
    <xf borderId="0" fillId="9" fontId="2" numFmtId="3" xfId="0" applyAlignment="1" applyFill="1" applyFont="1" applyNumberFormat="1">
      <alignment readingOrder="0" shrinkToFit="0" vertical="bottom" wrapText="0"/>
    </xf>
    <xf borderId="0" fillId="9" fontId="2" numFmtId="0" xfId="0" applyAlignment="1" applyFill="1" applyFont="1">
      <alignment horizontal="left" readingOrder="0" shrinkToFit="0" vertical="center" wrapText="0"/>
    </xf>
    <xf borderId="1" fillId="5" fontId="121" numFmtId="0" xfId="0" applyAlignment="1" applyBorder="1" applyFill="1" applyFont="1">
      <alignment readingOrder="0" shrinkToFit="0" vertical="bottom" wrapText="0"/>
    </xf>
    <xf borderId="1" fillId="6" fontId="2" numFmtId="3" xfId="0" applyAlignment="1" applyBorder="1" applyFill="1" applyFont="1" applyNumberFormat="1">
      <alignment shrinkToFit="0" vertical="bottom" wrapText="0"/>
    </xf>
    <xf borderId="1" fillId="21" fontId="9" numFmtId="3" xfId="0" applyAlignment="1" applyBorder="1" applyFill="1" applyFont="1" applyNumberFormat="1">
      <alignment shrinkToFit="0" vertical="bottom" wrapText="0"/>
    </xf>
    <xf borderId="0" fillId="5" fontId="122" numFmtId="0" xfId="0" applyAlignment="1" applyFill="1" applyFont="1">
      <alignment readingOrder="0" shrinkToFit="0" vertical="bottom" wrapText="0"/>
    </xf>
    <xf borderId="0" fillId="5" fontId="123" numFmtId="0" xfId="0" applyAlignment="1" applyFill="1" applyFont="1">
      <alignment readingOrder="0"/>
    </xf>
    <xf borderId="0" fillId="5" fontId="46" numFmtId="0" xfId="0" applyAlignment="1" applyFill="1" applyFont="1">
      <alignment horizontal="left" readingOrder="0" vertical="bottom"/>
    </xf>
    <xf borderId="0" fillId="5" fontId="45" numFmtId="0" xfId="0" applyAlignment="1" applyFill="1" applyFont="1">
      <alignment horizontal="left" readingOrder="0" vertical="bottom"/>
    </xf>
    <xf borderId="0" fillId="5" fontId="2" numFmtId="0" xfId="0" applyAlignment="1" applyFill="1" applyFont="1">
      <alignment readingOrder="0" shrinkToFit="0" vertical="bottom" wrapText="0"/>
    </xf>
    <xf borderId="0" fillId="5" fontId="124" numFmtId="0" xfId="0" applyAlignment="1" applyFill="1" applyFont="1">
      <alignment horizontal="left" readingOrder="0" vertical="bottom"/>
    </xf>
    <xf borderId="0" fillId="5" fontId="2" numFmtId="0" xfId="0" applyAlignment="1" applyFill="1" applyFont="1">
      <alignment readingOrder="0" shrinkToFit="0" vertical="bottom" wrapText="0"/>
    </xf>
    <xf borderId="0" fillId="0" fontId="125" numFmtId="0" xfId="0" applyAlignment="1" applyFont="1">
      <alignment readingOrder="0"/>
    </xf>
    <xf borderId="0" fillId="5" fontId="126" numFmtId="0" xfId="0" applyAlignment="1" applyFill="1" applyFont="1">
      <alignment readingOrder="0"/>
    </xf>
    <xf borderId="2" fillId="5" fontId="35" numFmtId="0" xfId="0" applyAlignment="1" applyBorder="1" applyFill="1" applyFont="1">
      <alignment shrinkToFit="0" vertical="bottom" wrapText="1"/>
    </xf>
    <xf borderId="2" fillId="5" fontId="35" numFmtId="0" xfId="0" applyAlignment="1" applyBorder="1" applyFill="1" applyFont="1">
      <alignment shrinkToFit="0" vertical="bottom" wrapText="0"/>
    </xf>
    <xf borderId="0" fillId="5" fontId="35" numFmtId="0" xfId="0" applyAlignment="1" applyFill="1" applyFont="1">
      <alignment shrinkToFit="0" vertical="bottom" wrapText="1"/>
    </xf>
    <xf borderId="0" fillId="5" fontId="46" numFmtId="0" xfId="0" applyAlignment="1" applyFill="1" applyFont="1">
      <alignment readingOrder="0"/>
    </xf>
    <xf borderId="0" fillId="5" fontId="35" numFmtId="0" xfId="0" applyAlignment="1" applyFill="1" applyFont="1">
      <alignment shrinkToFit="0" vertical="bottom" wrapText="0"/>
    </xf>
    <xf borderId="1" fillId="5" fontId="9" numFmtId="3" xfId="0" applyAlignment="1" applyBorder="1" applyFill="1" applyFont="1" applyNumberFormat="1">
      <alignment readingOrder="0" shrinkToFit="0" vertical="bottom" wrapText="0"/>
    </xf>
    <xf borderId="1" fillId="5" fontId="9" numFmtId="0" xfId="0" applyAlignment="1" applyBorder="1" applyFill="1" applyFont="1">
      <alignment horizontal="center" readingOrder="0" shrinkToFit="0" vertical="bottom" wrapText="0"/>
    </xf>
    <xf borderId="18" fillId="5" fontId="127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>
        <sz val="11.0"/>
        <color rgb="FF000000"/>
        <name val="Calibri"/>
      </font>
      <fill>
        <patternFill patternType="solid">
          <fgColor rgb="FFC6EFCE"/>
          <bgColor rgb="FFC6EFCE"/>
        </patternFill>
      </fill>
      <border/>
    </dxf>
    <dxf>
      <font>
        <sz val="11.0"/>
        <color rgb="FF000000"/>
        <name val="Calibri"/>
      </font>
      <fill>
        <patternFill patternType="solid">
          <fgColor rgb="FFFFEB9C"/>
          <bgColor rgb="FFFFEB9C"/>
        </patternFill>
      </fill>
      <border/>
    </dxf>
    <dxf>
      <font>
        <sz val="11.0"/>
        <color rgb="FF000000"/>
        <name val="Calibri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channel/UCgxAg-dPcUi_igZWogsvfQg" TargetMode="External"/><Relationship Id="rId194" Type="http://schemas.openxmlformats.org/officeDocument/2006/relationships/hyperlink" Target="https://www.youtube.com/channel/UCmXtvAh0F90vGRwL-D5y-YA" TargetMode="External"/><Relationship Id="rId193" Type="http://schemas.openxmlformats.org/officeDocument/2006/relationships/hyperlink" Target="https://www.youtube.com/channel/UC51grDmVxQWlt_KmCJhpxTA" TargetMode="External"/><Relationship Id="rId192" Type="http://schemas.openxmlformats.org/officeDocument/2006/relationships/hyperlink" Target="https://t.me/+fsTZOl9mGEk3Zjgy" TargetMode="External"/><Relationship Id="rId191" Type="http://schemas.openxmlformats.org/officeDocument/2006/relationships/hyperlink" Target="https://www.youtube.com/channel/UCRHNW51sBI83aXBBaHOA9Yw" TargetMode="External"/><Relationship Id="rId187" Type="http://schemas.openxmlformats.org/officeDocument/2006/relationships/hyperlink" Target="mailto:rad4@bk.ru" TargetMode="External"/><Relationship Id="rId186" Type="http://schemas.openxmlformats.org/officeDocument/2006/relationships/hyperlink" Target="https://www.youtube.com/channel/UCOwNleWCE88PsPTyFpmiBfw" TargetMode="External"/><Relationship Id="rId185" Type="http://schemas.openxmlformats.org/officeDocument/2006/relationships/hyperlink" Target="https://vkvideo.ru/@fishbrothers" TargetMode="External"/><Relationship Id="rId184" Type="http://schemas.openxmlformats.org/officeDocument/2006/relationships/hyperlink" Target="https://www.youtube.com/channel/UCw1farENUqpQwBYNda3DB2A" TargetMode="External"/><Relationship Id="rId189" Type="http://schemas.openxmlformats.org/officeDocument/2006/relationships/hyperlink" Target="https://www.youtube.com/channel/UCudBvOgHnINnJU4mHuaTGdw" TargetMode="External"/><Relationship Id="rId188" Type="http://schemas.openxmlformats.org/officeDocument/2006/relationships/hyperlink" Target="https://rutube.ru/channel/24022214/" TargetMode="External"/><Relationship Id="rId183" Type="http://schemas.openxmlformats.org/officeDocument/2006/relationships/hyperlink" Target="https://t.me/IDEI_HOUSE" TargetMode="External"/><Relationship Id="rId182" Type="http://schemas.openxmlformats.org/officeDocument/2006/relationships/hyperlink" Target="https://t.me/+aBEgL549D4diMjEy" TargetMode="External"/><Relationship Id="rId181" Type="http://schemas.openxmlformats.org/officeDocument/2006/relationships/hyperlink" Target="https://www.youtube.com/channel/UCSqdIGDvW1RcK3flr1kQNSQ" TargetMode="External"/><Relationship Id="rId180" Type="http://schemas.openxmlformats.org/officeDocument/2006/relationships/hyperlink" Target="https://www.youtube.com/channel/UCr5QwVScPog0cEKdOHtIi9A" TargetMode="External"/><Relationship Id="rId176" Type="http://schemas.openxmlformats.org/officeDocument/2006/relationships/hyperlink" Target="https://t.me/+brKKWtI0rm03MmQ6" TargetMode="External"/><Relationship Id="rId175" Type="http://schemas.openxmlformats.org/officeDocument/2006/relationships/hyperlink" Target="https://www.youtube.com/channel/UCp9NrZyeO76EllRyOn0ZPIw" TargetMode="External"/><Relationship Id="rId174" Type="http://schemas.openxmlformats.org/officeDocument/2006/relationships/hyperlink" Target="https://www.youtube.com/channel/UCA1dgUwaXDZqdULVx_towEw" TargetMode="External"/><Relationship Id="rId173" Type="http://schemas.openxmlformats.org/officeDocument/2006/relationships/hyperlink" Target="https://www.youtube.com/channel/UC3fVhR8O6VpOgY-Ab9ZmaAg" TargetMode="External"/><Relationship Id="rId179" Type="http://schemas.openxmlformats.org/officeDocument/2006/relationships/hyperlink" Target="https://www.youtube.com/channel/UCLuxPhLLyNaWXrSZCxzLGow" TargetMode="External"/><Relationship Id="rId178" Type="http://schemas.openxmlformats.org/officeDocument/2006/relationships/hyperlink" Target="https://t.me/zizyulya_maria" TargetMode="External"/><Relationship Id="rId177" Type="http://schemas.openxmlformats.org/officeDocument/2006/relationships/hyperlink" Target="https://t.me/+NNwtMNOhEFQ3OTAy" TargetMode="External"/><Relationship Id="rId198" Type="http://schemas.openxmlformats.org/officeDocument/2006/relationships/hyperlink" Target="https://www.youtube.com/channel/UCk5bmKKWOcc4v7OW0xh9ZDA" TargetMode="External"/><Relationship Id="rId197" Type="http://schemas.openxmlformats.org/officeDocument/2006/relationships/hyperlink" Target="https://www.youtube.com/channel/UCVvhnp2sPTWzjMRy1klKJGQ" TargetMode="External"/><Relationship Id="rId196" Type="http://schemas.openxmlformats.org/officeDocument/2006/relationships/hyperlink" Target="https://t.me/+_05RxYtpgTpiZTYy" TargetMode="External"/><Relationship Id="rId195" Type="http://schemas.openxmlformats.org/officeDocument/2006/relationships/hyperlink" Target="https://t.me/+OY_VEJxXPHFlOGFi" TargetMode="External"/><Relationship Id="rId199" Type="http://schemas.openxmlformats.org/officeDocument/2006/relationships/hyperlink" Target="https://www.youtube.com/channel/UCfGhGu5Z0bYemtGKRQDQRPw" TargetMode="External"/><Relationship Id="rId150" Type="http://schemas.openxmlformats.org/officeDocument/2006/relationships/hyperlink" Target="https://t.me/+PFHl2q2wLg83OTZi" TargetMode="External"/><Relationship Id="rId392" Type="http://schemas.openxmlformats.org/officeDocument/2006/relationships/hyperlink" Target="https://www.youtube.com/channel/UCQFl76hyIodmrJZfqJFuuZA" TargetMode="External"/><Relationship Id="rId391" Type="http://schemas.openxmlformats.org/officeDocument/2006/relationships/hyperlink" Target="https://t.me/backyarddesign" TargetMode="External"/><Relationship Id="rId390" Type="http://schemas.openxmlformats.org/officeDocument/2006/relationships/hyperlink" Target="https://t.me/unusualplants" TargetMode="External"/><Relationship Id="rId1" Type="http://schemas.openxmlformats.org/officeDocument/2006/relationships/hyperlink" Target="https://www.youtube.com/channel/UCiWA1Ct_IdiUA8a-DTwBj9A" TargetMode="External"/><Relationship Id="rId2" Type="http://schemas.openxmlformats.org/officeDocument/2006/relationships/hyperlink" Target="https://www.youtube.com/channel/UCTXMeEml1hhGYagq7QZFqcA" TargetMode="External"/><Relationship Id="rId3" Type="http://schemas.openxmlformats.org/officeDocument/2006/relationships/hyperlink" Target="https://vkvideo.ru/@fishinglifetv/all" TargetMode="External"/><Relationship Id="rId149" Type="http://schemas.openxmlformats.org/officeDocument/2006/relationships/hyperlink" Target="https://t.me/+5wxCnRvq_qllZmRi" TargetMode="External"/><Relationship Id="rId4" Type="http://schemas.openxmlformats.org/officeDocument/2006/relationships/hyperlink" Target="https://vkvideo.ru/@fishinglifetv/all" TargetMode="External"/><Relationship Id="rId148" Type="http://schemas.openxmlformats.org/officeDocument/2006/relationships/hyperlink" Target="https://www.youtube.com/channel/UCu42EVQZDqEL1zUWDdTUs_g" TargetMode="External"/><Relationship Id="rId9" Type="http://schemas.openxmlformats.org/officeDocument/2006/relationships/hyperlink" Target="https://t.me/+qxekrBe5oJU5ZmIy" TargetMode="External"/><Relationship Id="rId143" Type="http://schemas.openxmlformats.org/officeDocument/2006/relationships/hyperlink" Target="https://www.youtube.com/channel/UCRMVvHew4q40nvbMLOSvIiA" TargetMode="External"/><Relationship Id="rId385" Type="http://schemas.openxmlformats.org/officeDocument/2006/relationships/hyperlink" Target="https://t.me/moscow_cvetochki" TargetMode="External"/><Relationship Id="rId142" Type="http://schemas.openxmlformats.org/officeDocument/2006/relationships/hyperlink" Target="https://www.youtube.com/channel/UC31aVbeXtzwbw2NyzPdyoLQ" TargetMode="External"/><Relationship Id="rId384" Type="http://schemas.openxmlformats.org/officeDocument/2006/relationships/hyperlink" Target="https://t.me/+7FYqcr8bkwhhZjgy" TargetMode="External"/><Relationship Id="rId141" Type="http://schemas.openxmlformats.org/officeDocument/2006/relationships/hyperlink" Target="https://www.youtube.com/channel/UC7D0Ujm41CvrIcMhBEQR8ZQ" TargetMode="External"/><Relationship Id="rId383" Type="http://schemas.openxmlformats.org/officeDocument/2006/relationships/hyperlink" Target="https://www.youtube.com/channel/UCwcKMF1JKFPXQIT6Q7R_Jrg" TargetMode="External"/><Relationship Id="rId140" Type="http://schemas.openxmlformats.org/officeDocument/2006/relationships/hyperlink" Target="https://www.youtube.com/channel/UCCF6NsddYVgkRQD8klZ4Jaw" TargetMode="External"/><Relationship Id="rId382" Type="http://schemas.openxmlformats.org/officeDocument/2006/relationships/hyperlink" Target="https://www.youtube.com/channel/UCuEEbGgFArSLUNCM84TQgVA" TargetMode="External"/><Relationship Id="rId5" Type="http://schemas.openxmlformats.org/officeDocument/2006/relationships/hyperlink" Target="https://www.youtube.com/channel/UCw4X4WsJHT7UA_XhPONv5VQ" TargetMode="External"/><Relationship Id="rId147" Type="http://schemas.openxmlformats.org/officeDocument/2006/relationships/hyperlink" Target="https://www.youtube.com/channel/UC748fKJnqVmUKSiz1U3GvlQ" TargetMode="External"/><Relationship Id="rId389" Type="http://schemas.openxmlformats.org/officeDocument/2006/relationships/hyperlink" Target="https://t.me/selxozarmarka" TargetMode="External"/><Relationship Id="rId6" Type="http://schemas.openxmlformats.org/officeDocument/2006/relationships/hyperlink" Target="mailto:fishinglifetvsibir@gmail.com" TargetMode="External"/><Relationship Id="rId146" Type="http://schemas.openxmlformats.org/officeDocument/2006/relationships/hyperlink" Target="https://www.youtube.com/channel/UCEtbqpyLhUXRkBLZjHiVDTA" TargetMode="External"/><Relationship Id="rId388" Type="http://schemas.openxmlformats.org/officeDocument/2006/relationships/hyperlink" Target="https://www.youtube.com/channel/UC13IeOl6NbtnfeQM6aK9C0w" TargetMode="External"/><Relationship Id="rId7" Type="http://schemas.openxmlformats.org/officeDocument/2006/relationships/hyperlink" Target="https://t.me/+7oFpKSAGX-s0MTcy" TargetMode="External"/><Relationship Id="rId145" Type="http://schemas.openxmlformats.org/officeDocument/2006/relationships/hyperlink" Target="https://t.me/zv_N5zjrssU5NGIy" TargetMode="External"/><Relationship Id="rId387" Type="http://schemas.openxmlformats.org/officeDocument/2006/relationships/hyperlink" Target="https://t.me/dachabudni" TargetMode="External"/><Relationship Id="rId8" Type="http://schemas.openxmlformats.org/officeDocument/2006/relationships/hyperlink" Target="https://www.youtube.com/channel/UC8n00W78oxs3zSx33-dC6PQ" TargetMode="External"/><Relationship Id="rId144" Type="http://schemas.openxmlformats.org/officeDocument/2006/relationships/hyperlink" Target="https://www.youtube.com/channel/UCWAt6i01vcI_lRDYdTSs91w" TargetMode="External"/><Relationship Id="rId386" Type="http://schemas.openxmlformats.org/officeDocument/2006/relationships/hyperlink" Target="https://www.youtube.com/channel/UCvuezIRvqMB-zIuSP0z7HNw" TargetMode="External"/><Relationship Id="rId381" Type="http://schemas.openxmlformats.org/officeDocument/2006/relationships/hyperlink" Target="https://www.youtube.com/channel/UCwTaK5o8Mxmj5oG60LkICPA" TargetMode="External"/><Relationship Id="rId380" Type="http://schemas.openxmlformats.org/officeDocument/2006/relationships/hyperlink" Target="https://t.me/dachnie_otvety" TargetMode="External"/><Relationship Id="rId139" Type="http://schemas.openxmlformats.org/officeDocument/2006/relationships/hyperlink" Target="https://www.youtube.com/channel/UChbtNbpgM0BGN1ZDEFyqHMg" TargetMode="External"/><Relationship Id="rId138" Type="http://schemas.openxmlformats.org/officeDocument/2006/relationships/hyperlink" Target="https://t.me/+cC9oE-4ou5U1ZjAy" TargetMode="External"/><Relationship Id="rId137" Type="http://schemas.openxmlformats.org/officeDocument/2006/relationships/hyperlink" Target="https://www.youtube.com/channel/UCJzIK_1f0vABZVD5Q8ArReg" TargetMode="External"/><Relationship Id="rId379" Type="http://schemas.openxmlformats.org/officeDocument/2006/relationships/hyperlink" Target="https://www.youtube.com/channel/UC6SHaBrN99PHkoRmGBZfS6g" TargetMode="External"/><Relationship Id="rId132" Type="http://schemas.openxmlformats.org/officeDocument/2006/relationships/hyperlink" Target="https://www.youtube.com/channel/UCOxlW7rrs9uMWtJ8gRHq-vA" TargetMode="External"/><Relationship Id="rId374" Type="http://schemas.openxmlformats.org/officeDocument/2006/relationships/hyperlink" Target="https://www.youtube.com/channel/UCnu8rv-mECXELdrZwdNH8gA" TargetMode="External"/><Relationship Id="rId131" Type="http://schemas.openxmlformats.org/officeDocument/2006/relationships/hyperlink" Target="https://www.youtube.com/channel/UCV9Owe_VLeJFtWen6l27DdQ" TargetMode="External"/><Relationship Id="rId373" Type="http://schemas.openxmlformats.org/officeDocument/2006/relationships/hyperlink" Target="https://t.me/podsob39" TargetMode="External"/><Relationship Id="rId130" Type="http://schemas.openxmlformats.org/officeDocument/2006/relationships/hyperlink" Target="https://www.youtube.com/channel/UCOBL6QtjOzKET542AftOtMA" TargetMode="External"/><Relationship Id="rId372" Type="http://schemas.openxmlformats.org/officeDocument/2006/relationships/hyperlink" Target="https://www.youtube.com/channel/UCqVq8NAPpTgcjPhNDWk07gA" TargetMode="External"/><Relationship Id="rId371" Type="http://schemas.openxmlformats.org/officeDocument/2006/relationships/hyperlink" Target="https://www.youtube.com/channel/UCpVLske5SvQnsfm3sTo7oMw" TargetMode="External"/><Relationship Id="rId136" Type="http://schemas.openxmlformats.org/officeDocument/2006/relationships/hyperlink" Target="https://t.me/+sUdmMMOMvxo1MDQy" TargetMode="External"/><Relationship Id="rId378" Type="http://schemas.openxmlformats.org/officeDocument/2006/relationships/hyperlink" Target="https://www.youtube.com/channel/UCmUWlK5vVqYw2NpeNMyfxlw" TargetMode="External"/><Relationship Id="rId135" Type="http://schemas.openxmlformats.org/officeDocument/2006/relationships/hyperlink" Target="https://t.me/+tt6qFMpT2gwxOWEy" TargetMode="External"/><Relationship Id="rId377" Type="http://schemas.openxmlformats.org/officeDocument/2006/relationships/hyperlink" Target="https://www.youtube.com/channel/UCKK6NjFK9B8-ZHuP_MMj2wQ" TargetMode="External"/><Relationship Id="rId134" Type="http://schemas.openxmlformats.org/officeDocument/2006/relationships/hyperlink" Target="https://www.youtube.com/channel/UCnBL2F_JYo7W-3arE5rH88A" TargetMode="External"/><Relationship Id="rId376" Type="http://schemas.openxmlformats.org/officeDocument/2006/relationships/hyperlink" Target="https://www.youtube.com/channel/UCNEXmdV74psIDxLDR-UAv6A" TargetMode="External"/><Relationship Id="rId133" Type="http://schemas.openxmlformats.org/officeDocument/2006/relationships/hyperlink" Target="https://www.youtube.com/channel/UCdkkDwZsOQ8dyn8Uc56pqVw" TargetMode="External"/><Relationship Id="rId375" Type="http://schemas.openxmlformats.org/officeDocument/2006/relationships/hyperlink" Target="https://www.youtube.com/channel/UCnOZZhPvUPjJXU1L47HpfoQ" TargetMode="External"/><Relationship Id="rId172" Type="http://schemas.openxmlformats.org/officeDocument/2006/relationships/hyperlink" Target="https://www.youtube.com/channel/UCHKzu4Id3ELAzqjb0nyZGgQ" TargetMode="External"/><Relationship Id="rId171" Type="http://schemas.openxmlformats.org/officeDocument/2006/relationships/hyperlink" Target="https://www.youtube.com/channel/UC2n7bJsOp8O4giFZ_GGeS5g" TargetMode="External"/><Relationship Id="rId170" Type="http://schemas.openxmlformats.org/officeDocument/2006/relationships/hyperlink" Target="https://www.youtube.com/channel/UCDTw5CswgfGB5JzPfFotE6w" TargetMode="External"/><Relationship Id="rId165" Type="http://schemas.openxmlformats.org/officeDocument/2006/relationships/hyperlink" Target="https://www.youtube.com/channel/UCXUalgRbAKn2X5yDTvRf04A" TargetMode="External"/><Relationship Id="rId164" Type="http://schemas.openxmlformats.org/officeDocument/2006/relationships/hyperlink" Target="https://knd.gov.ru/license?" TargetMode="External"/><Relationship Id="rId163" Type="http://schemas.openxmlformats.org/officeDocument/2006/relationships/hyperlink" Target="https://www.youtube.com/channel/UC_CGKfGgNFAlIC1csHLehcA" TargetMode="External"/><Relationship Id="rId162" Type="http://schemas.openxmlformats.org/officeDocument/2006/relationships/hyperlink" Target="https://www.youtube.com/channel/UCJjr4tSIkUJfnhLBRJTzz_w" TargetMode="External"/><Relationship Id="rId169" Type="http://schemas.openxmlformats.org/officeDocument/2006/relationships/hyperlink" Target="https://www.youtube.com/channel/UCQmFszZcdz_yxblZAQPdFsw" TargetMode="External"/><Relationship Id="rId168" Type="http://schemas.openxmlformats.org/officeDocument/2006/relationships/hyperlink" Target="https://www.youtube.com/channel/UCmLr2RUCjeUjJ3rlSOYADhQ" TargetMode="External"/><Relationship Id="rId167" Type="http://schemas.openxmlformats.org/officeDocument/2006/relationships/hyperlink" Target="http://vk.com/id22817591" TargetMode="External"/><Relationship Id="rId166" Type="http://schemas.openxmlformats.org/officeDocument/2006/relationships/hyperlink" Target="https://www.youtube.com/channel/UCtXCUiRp1ddcGTwTxXbFNbw" TargetMode="External"/><Relationship Id="rId161" Type="http://schemas.openxmlformats.org/officeDocument/2006/relationships/hyperlink" Target="https://www.youtube.com/channel/UC94P61tXz5TdnUtyzdU-XAw" TargetMode="External"/><Relationship Id="rId160" Type="http://schemas.openxmlformats.org/officeDocument/2006/relationships/hyperlink" Target="https://www.youtube.com/channel/UC_ZL-ZPJF9FnUfdNKlkfi4Q" TargetMode="External"/><Relationship Id="rId159" Type="http://schemas.openxmlformats.org/officeDocument/2006/relationships/hyperlink" Target="https://www.youtube.com/channel/UCDcGYZLiMnbIf8_wmuwU3kg" TargetMode="External"/><Relationship Id="rId154" Type="http://schemas.openxmlformats.org/officeDocument/2006/relationships/hyperlink" Target="https://www.youtube.com/channel/UC7RFeYhgMAOzjwwcX97HZOA" TargetMode="External"/><Relationship Id="rId396" Type="http://schemas.openxmlformats.org/officeDocument/2006/relationships/hyperlink" Target="https://www.youtube.com/channel/UCyTEvSZ0t1CvrPtoIX_XD6w" TargetMode="External"/><Relationship Id="rId153" Type="http://schemas.openxmlformats.org/officeDocument/2006/relationships/hyperlink" Target="https://www.youtube.com/channel/UCX1iHuMT4i2mn2jB3k1Umhg" TargetMode="External"/><Relationship Id="rId395" Type="http://schemas.openxmlformats.org/officeDocument/2006/relationships/hyperlink" Target="https://www.youtube.com/channel/UC3zb3bGlDOUfe2u0PNvdyDg" TargetMode="External"/><Relationship Id="rId152" Type="http://schemas.openxmlformats.org/officeDocument/2006/relationships/hyperlink" Target="https://t.me/+gDnB023hEKZkM2Ey" TargetMode="External"/><Relationship Id="rId394" Type="http://schemas.openxmlformats.org/officeDocument/2006/relationships/hyperlink" Target="https://www.youtube.com/channel/UC6vSaiT7UDSVt_QleY-hYCw" TargetMode="External"/><Relationship Id="rId151" Type="http://schemas.openxmlformats.org/officeDocument/2006/relationships/hyperlink" Target="https://www.youtube.com/channel/UC2H0yd-S3LWPnYNYmFSMDzA" TargetMode="External"/><Relationship Id="rId393" Type="http://schemas.openxmlformats.org/officeDocument/2006/relationships/hyperlink" Target="https://www.youtube.com/channel/UCrSdAqBn-Stnlg_nUMSTqWg" TargetMode="External"/><Relationship Id="rId158" Type="http://schemas.openxmlformats.org/officeDocument/2006/relationships/hyperlink" Target="https://www.youtube.com/channel/UC3WR0lgxbQG4HlRbaY7gtBQ" TargetMode="External"/><Relationship Id="rId157" Type="http://schemas.openxmlformats.org/officeDocument/2006/relationships/hyperlink" Target="https://www.youtube.com/channel/UCMfnMo09GisvW3xWWokqXkg" TargetMode="External"/><Relationship Id="rId399" Type="http://schemas.openxmlformats.org/officeDocument/2006/relationships/hyperlink" Target="https://www.youtube.com/channel/UCO_zj1-xsG0_z3pmMFgW1zA" TargetMode="External"/><Relationship Id="rId156" Type="http://schemas.openxmlformats.org/officeDocument/2006/relationships/hyperlink" Target="https://www.youtube.com/channel/UCPpIsB23cYN1gJPji7m795A" TargetMode="External"/><Relationship Id="rId398" Type="http://schemas.openxmlformats.org/officeDocument/2006/relationships/hyperlink" Target="https://t.me/Ipotekanadoma" TargetMode="External"/><Relationship Id="rId155" Type="http://schemas.openxmlformats.org/officeDocument/2006/relationships/hyperlink" Target="https://www.youtube.com/channel/UCzpMnmqgkhTTBhcSMPNh8wg" TargetMode="External"/><Relationship Id="rId397" Type="http://schemas.openxmlformats.org/officeDocument/2006/relationships/hyperlink" Target="https://www.youtube.com/channel/UCkQ4m2EFDVT48Ap8hAYhYwg" TargetMode="External"/><Relationship Id="rId808" Type="http://schemas.openxmlformats.org/officeDocument/2006/relationships/hyperlink" Target="https://max.ru/rf4map" TargetMode="External"/><Relationship Id="rId807" Type="http://schemas.openxmlformats.org/officeDocument/2006/relationships/hyperlink" Target="https://max.ru/rf4map" TargetMode="External"/><Relationship Id="rId806" Type="http://schemas.openxmlformats.org/officeDocument/2006/relationships/hyperlink" Target="https://t.me/kazanfisher" TargetMode="External"/><Relationship Id="rId805" Type="http://schemas.openxmlformats.org/officeDocument/2006/relationships/hyperlink" Target="https://t.me/kazanfisher" TargetMode="External"/><Relationship Id="rId809" Type="http://schemas.openxmlformats.org/officeDocument/2006/relationships/hyperlink" Target="https://max.ru/feederspb" TargetMode="External"/><Relationship Id="rId800" Type="http://schemas.openxmlformats.org/officeDocument/2006/relationships/hyperlink" Target="https://vk.ru/greenpapan_blog" TargetMode="External"/><Relationship Id="rId804" Type="http://schemas.openxmlformats.org/officeDocument/2006/relationships/hyperlink" Target="https://telegram.me/dumbfishspb" TargetMode="External"/><Relationship Id="rId803" Type="http://schemas.openxmlformats.org/officeDocument/2006/relationships/hyperlink" Target="https://telegram.me/dumbfishspb" TargetMode="External"/><Relationship Id="rId802" Type="http://schemas.openxmlformats.org/officeDocument/2006/relationships/hyperlink" Target="https://vk.ru/dadvision" TargetMode="External"/><Relationship Id="rId801" Type="http://schemas.openxmlformats.org/officeDocument/2006/relationships/hyperlink" Target="https://vk.ru/dadvision" TargetMode="External"/><Relationship Id="rId40" Type="http://schemas.openxmlformats.org/officeDocument/2006/relationships/hyperlink" Target="https://www.youtube.com/channel/UCK_1NtbyzOK3w_ARLqNiWbg" TargetMode="External"/><Relationship Id="rId42" Type="http://schemas.openxmlformats.org/officeDocument/2006/relationships/hyperlink" Target="https://t.me/+D03xUB3vKRYyNDk6" TargetMode="External"/><Relationship Id="rId41" Type="http://schemas.openxmlformats.org/officeDocument/2006/relationships/hyperlink" Target="https://www.youtube.com/channel/UCnJXX-FozHVLpLTeumHCrWQ" TargetMode="External"/><Relationship Id="rId44" Type="http://schemas.openxmlformats.org/officeDocument/2006/relationships/hyperlink" Target="https://www.youtube.com/channel/UCjD01pt7Oic6hJg-h0NVihQ" TargetMode="External"/><Relationship Id="rId43" Type="http://schemas.openxmlformats.org/officeDocument/2006/relationships/hyperlink" Target="https://www.youtube.com/channel/UC1XrVpIJKHZUD9OCm9mDh8A" TargetMode="External"/><Relationship Id="rId46" Type="http://schemas.openxmlformats.org/officeDocument/2006/relationships/hyperlink" Target="https://www.youtube.com/channel/UCV0m-qMKxE470KxHvlt0jjA" TargetMode="External"/><Relationship Id="rId45" Type="http://schemas.openxmlformats.org/officeDocument/2006/relationships/hyperlink" Target="https://www.youtube.com/channel/UCaRJiAXxS3j2dEz0FLIjEGg" TargetMode="External"/><Relationship Id="rId509" Type="http://schemas.openxmlformats.org/officeDocument/2006/relationships/hyperlink" Target="https://www.youtube.com/channel/UCZAtEcC9L8cTtop6iMUyAdw" TargetMode="External"/><Relationship Id="rId508" Type="http://schemas.openxmlformats.org/officeDocument/2006/relationships/hyperlink" Target="https://www.youtube.com/channel/UC_fBb7g_OxITNX9PFkOlkMg" TargetMode="External"/><Relationship Id="rId503" Type="http://schemas.openxmlformats.org/officeDocument/2006/relationships/hyperlink" Target="https://www.youtube.com/channel/UC1t2kl2S39uyfgGlY47x1RA" TargetMode="External"/><Relationship Id="rId745" Type="http://schemas.openxmlformats.org/officeDocument/2006/relationships/hyperlink" Target="https://vk.ru/official.semenov" TargetMode="External"/><Relationship Id="rId502" Type="http://schemas.openxmlformats.org/officeDocument/2006/relationships/hyperlink" Target="https://www.youtube.com/channel/UCZjua8szvUDiphD5tcbxV3g" TargetMode="External"/><Relationship Id="rId744" Type="http://schemas.openxmlformats.org/officeDocument/2006/relationships/hyperlink" Target="https://vk.ru/official.semenov" TargetMode="External"/><Relationship Id="rId501" Type="http://schemas.openxmlformats.org/officeDocument/2006/relationships/hyperlink" Target="https://www.youtube.com/channel/UChF-de1ZLAN2cn5hZxazBYQ" TargetMode="External"/><Relationship Id="rId743" Type="http://schemas.openxmlformats.org/officeDocument/2006/relationships/hyperlink" Target="https://youtube.com/@official.semenov" TargetMode="External"/><Relationship Id="rId500" Type="http://schemas.openxmlformats.org/officeDocument/2006/relationships/hyperlink" Target="https://www.youtube.com/channel/UCinj0Iul4wJL1u0aZhC3muA" TargetMode="External"/><Relationship Id="rId742" Type="http://schemas.openxmlformats.org/officeDocument/2006/relationships/hyperlink" Target="https://youtube.com/@official.semenov" TargetMode="External"/><Relationship Id="rId507" Type="http://schemas.openxmlformats.org/officeDocument/2006/relationships/hyperlink" Target="https://www.youtube.com/channel/UCsoW6weLuOOIjEqo3VUizRg" TargetMode="External"/><Relationship Id="rId749" Type="http://schemas.openxmlformats.org/officeDocument/2006/relationships/hyperlink" Target="https://t.me/SlavkaIvanovTv" TargetMode="External"/><Relationship Id="rId506" Type="http://schemas.openxmlformats.org/officeDocument/2006/relationships/hyperlink" Target="https://www.youtube.com/channel/UCUFTQq19ks1csA81d3ru3fQ" TargetMode="External"/><Relationship Id="rId748" Type="http://schemas.openxmlformats.org/officeDocument/2006/relationships/hyperlink" Target="https://t.me/SlavkaIvanovTv" TargetMode="External"/><Relationship Id="rId505" Type="http://schemas.openxmlformats.org/officeDocument/2006/relationships/hyperlink" Target="https://www.youtube.com/channel/UCIFMyq-4iwhKDzvtpah_vFg" TargetMode="External"/><Relationship Id="rId747" Type="http://schemas.openxmlformats.org/officeDocument/2006/relationships/hyperlink" Target="https://www.youtube.com/@slavkaivanov5497" TargetMode="External"/><Relationship Id="rId504" Type="http://schemas.openxmlformats.org/officeDocument/2006/relationships/hyperlink" Target="https://www.youtube.com/channel/UCdxpZRfLbETAIQUfqSbsTGw" TargetMode="External"/><Relationship Id="rId746" Type="http://schemas.openxmlformats.org/officeDocument/2006/relationships/hyperlink" Target="https://www.youtube.com/@slavkaivanov5497" TargetMode="External"/><Relationship Id="rId48" Type="http://schemas.openxmlformats.org/officeDocument/2006/relationships/hyperlink" Target="https://www.youtube.com/channel/UCMUja_GhH1ms0OLsjzNnwFA" TargetMode="External"/><Relationship Id="rId47" Type="http://schemas.openxmlformats.org/officeDocument/2006/relationships/hyperlink" Target="https://www.youtube.com/channel/UCZN71cXa20jqDvUJqM_4Dsw" TargetMode="External"/><Relationship Id="rId49" Type="http://schemas.openxmlformats.org/officeDocument/2006/relationships/hyperlink" Target="https://www.youtube.com/channel/UCllLNbD58QyOfXRyRxoPKFA" TargetMode="External"/><Relationship Id="rId741" Type="http://schemas.openxmlformats.org/officeDocument/2006/relationships/hyperlink" Target="https://www.tiktok.com/@semenov.alexander" TargetMode="External"/><Relationship Id="rId740" Type="http://schemas.openxmlformats.org/officeDocument/2006/relationships/hyperlink" Target="https://www.tiktok.com/@semenov.alexander" TargetMode="External"/><Relationship Id="rId31" Type="http://schemas.openxmlformats.org/officeDocument/2006/relationships/hyperlink" Target="https://www.youtube.com/channel/UC7oAhM5FWIUgOzHZ8oXDQqQ" TargetMode="External"/><Relationship Id="rId30" Type="http://schemas.openxmlformats.org/officeDocument/2006/relationships/hyperlink" Target="https://www.youtube.com/channel/UCHQQ4wAhue1Tx46_IvzNOMQ" TargetMode="External"/><Relationship Id="rId33" Type="http://schemas.openxmlformats.org/officeDocument/2006/relationships/hyperlink" Target="https://t.me/mydaca" TargetMode="External"/><Relationship Id="rId32" Type="http://schemas.openxmlformats.org/officeDocument/2006/relationships/hyperlink" Target="https://www.youtube.com/channel/UCVyq0UBgM60QB434-iaDTVg" TargetMode="External"/><Relationship Id="rId35" Type="http://schemas.openxmlformats.org/officeDocument/2006/relationships/hyperlink" Target="https://www.youtube.com/channel/UC6_SwzIMfPfWotQyRqWIKiQ" TargetMode="External"/><Relationship Id="rId34" Type="http://schemas.openxmlformats.org/officeDocument/2006/relationships/hyperlink" Target="https://www.youtube.com/channel/UCFkoPqrepBhhmfKzClA-r_w" TargetMode="External"/><Relationship Id="rId739" Type="http://schemas.openxmlformats.org/officeDocument/2006/relationships/hyperlink" Target="https://youtube.com/@budni_zubareva" TargetMode="External"/><Relationship Id="rId734" Type="http://schemas.openxmlformats.org/officeDocument/2006/relationships/hyperlink" Target="http://tiktok.com/@budni_zubareva" TargetMode="External"/><Relationship Id="rId733" Type="http://schemas.openxmlformats.org/officeDocument/2006/relationships/hyperlink" Target="https://t.me/Leonid_music" TargetMode="External"/><Relationship Id="rId732" Type="http://schemas.openxmlformats.org/officeDocument/2006/relationships/hyperlink" Target="https://t.me/Leonid_music" TargetMode="External"/><Relationship Id="rId731" Type="http://schemas.openxmlformats.org/officeDocument/2006/relationships/hyperlink" Target="https://www.tiktok.com/@pug_leonid" TargetMode="External"/><Relationship Id="rId738" Type="http://schemas.openxmlformats.org/officeDocument/2006/relationships/hyperlink" Target="https://youtube.com/@budni_zubareva" TargetMode="External"/><Relationship Id="rId737" Type="http://schemas.openxmlformats.org/officeDocument/2006/relationships/hyperlink" Target="https://vk.ru/budni_zubareva" TargetMode="External"/><Relationship Id="rId736" Type="http://schemas.openxmlformats.org/officeDocument/2006/relationships/hyperlink" Target="https://vk.ru/budni_zubareva" TargetMode="External"/><Relationship Id="rId735" Type="http://schemas.openxmlformats.org/officeDocument/2006/relationships/hyperlink" Target="http://tiktok.com/@budni_zubareva" TargetMode="External"/><Relationship Id="rId37" Type="http://schemas.openxmlformats.org/officeDocument/2006/relationships/hyperlink" Target="https://vk.ru/ohotnikinao" TargetMode="External"/><Relationship Id="rId36" Type="http://schemas.openxmlformats.org/officeDocument/2006/relationships/hyperlink" Target="https://vk.ru/ohotnikinao" TargetMode="External"/><Relationship Id="rId39" Type="http://schemas.openxmlformats.org/officeDocument/2006/relationships/hyperlink" Target="https://www.youtube.com/channel/UCbODBVkNzh3Ny23-m7X5s4w" TargetMode="External"/><Relationship Id="rId38" Type="http://schemas.openxmlformats.org/officeDocument/2006/relationships/hyperlink" Target="https://www.youtube.com/channel/UC8X_Ri3NBTXCoSNpOfgX82g" TargetMode="External"/><Relationship Id="rId730" Type="http://schemas.openxmlformats.org/officeDocument/2006/relationships/hyperlink" Target="https://www.tiktok.com/@pug_leonid" TargetMode="External"/><Relationship Id="rId20" Type="http://schemas.openxmlformats.org/officeDocument/2006/relationships/hyperlink" Target="https://www.youtube.com/channel/UCgkes8es2x4yoEmLTGpMjEA" TargetMode="External"/><Relationship Id="rId22" Type="http://schemas.openxmlformats.org/officeDocument/2006/relationships/hyperlink" Target="https://www.youtube.com/channel/UC53tGQacLCKgMoViyQJTA_g" TargetMode="External"/><Relationship Id="rId21" Type="http://schemas.openxmlformats.org/officeDocument/2006/relationships/hyperlink" Target="https://www.youtube.com/channel/UCqJUOdRU1eFDk02BYxbWRnw" TargetMode="External"/><Relationship Id="rId24" Type="http://schemas.openxmlformats.org/officeDocument/2006/relationships/hyperlink" Target="https://www.youtube.com/channel/UCfkn7KM1LBAxxAq7r034a1w" TargetMode="External"/><Relationship Id="rId23" Type="http://schemas.openxmlformats.org/officeDocument/2006/relationships/hyperlink" Target="mailto:serggioq21@gmail.com" TargetMode="External"/><Relationship Id="rId525" Type="http://schemas.openxmlformats.org/officeDocument/2006/relationships/hyperlink" Target="https://www.youtube.com/channel/UCt5I_vgigbHo8Cq4fzXj0kQ" TargetMode="External"/><Relationship Id="rId767" Type="http://schemas.openxmlformats.org/officeDocument/2006/relationships/hyperlink" Target="https://vk.ru/syilers" TargetMode="External"/><Relationship Id="rId524" Type="http://schemas.openxmlformats.org/officeDocument/2006/relationships/hyperlink" Target="https://www.youtube.com/channel/UCzBqzchqSLNqmwatqmgSmWw" TargetMode="External"/><Relationship Id="rId766" Type="http://schemas.openxmlformats.org/officeDocument/2006/relationships/hyperlink" Target="https://vk.ru/syilers" TargetMode="External"/><Relationship Id="rId523" Type="http://schemas.openxmlformats.org/officeDocument/2006/relationships/hyperlink" Target="https://www.youtube.com/channel/UCAqxxHVaA2DDcXgLPkAIq_A" TargetMode="External"/><Relationship Id="rId765" Type="http://schemas.openxmlformats.org/officeDocument/2006/relationships/hyperlink" Target="https://vk.com/namechtala" TargetMode="External"/><Relationship Id="rId522" Type="http://schemas.openxmlformats.org/officeDocument/2006/relationships/hyperlink" Target="https://www.youtube.com/channel/UCDds-a7qXxgxxTKsdh2XT3A" TargetMode="External"/><Relationship Id="rId764" Type="http://schemas.openxmlformats.org/officeDocument/2006/relationships/hyperlink" Target="https://vk.com/namechtala" TargetMode="External"/><Relationship Id="rId529" Type="http://schemas.openxmlformats.org/officeDocument/2006/relationships/hyperlink" Target="https://www.youtube.com/channel/UCoZL8EYEdjhDpzRFshAFGZw" TargetMode="External"/><Relationship Id="rId528" Type="http://schemas.openxmlformats.org/officeDocument/2006/relationships/hyperlink" Target="https://www.youtube.com/channel/UC5YPL6KWwxAJEboUrmpzRSQ" TargetMode="External"/><Relationship Id="rId527" Type="http://schemas.openxmlformats.org/officeDocument/2006/relationships/hyperlink" Target="https://www.youtube.com/channel/UCQBS8q6VzBDGOFcEmR8H0pA" TargetMode="External"/><Relationship Id="rId769" Type="http://schemas.openxmlformats.org/officeDocument/2006/relationships/hyperlink" Target="https://max.ru/join/BdpFb_OnAKVK9ZwJMX7JSGH7jZmsUHACR6T_8yOR5BI" TargetMode="External"/><Relationship Id="rId526" Type="http://schemas.openxmlformats.org/officeDocument/2006/relationships/hyperlink" Target="https://www.youtube.com/channel/UCeb6-wefQehfxwLgZIDC50g" TargetMode="External"/><Relationship Id="rId768" Type="http://schemas.openxmlformats.org/officeDocument/2006/relationships/hyperlink" Target="https://max.ru/join/BdpFb_OnAKVK9ZwJMX7JSGH7jZmsUHACR6T_8yOR5BI" TargetMode="External"/><Relationship Id="rId26" Type="http://schemas.openxmlformats.org/officeDocument/2006/relationships/hyperlink" Target="https://www.youtube.com/channel/UCpDmoTV4_8FRuiLVqlpa1ww" TargetMode="External"/><Relationship Id="rId25" Type="http://schemas.openxmlformats.org/officeDocument/2006/relationships/hyperlink" Target="https://www.youtube.com/channel/UCqL7Y7jcVarKAxI45yjdfnw" TargetMode="External"/><Relationship Id="rId28" Type="http://schemas.openxmlformats.org/officeDocument/2006/relationships/hyperlink" Target="https://www.youtube.com/channel/UCZP-t7tMmA-_hXpL90L3WBw" TargetMode="External"/><Relationship Id="rId27" Type="http://schemas.openxmlformats.org/officeDocument/2006/relationships/hyperlink" Target="https://www.youtube.com/channel/UC_zKdhty-DNqhnySR9FcVWg" TargetMode="External"/><Relationship Id="rId521" Type="http://schemas.openxmlformats.org/officeDocument/2006/relationships/hyperlink" Target="https://www.youtube.com/channel/UCl2mopTOpL-ydDnYPxquWkw" TargetMode="External"/><Relationship Id="rId763" Type="http://schemas.openxmlformats.org/officeDocument/2006/relationships/hyperlink" Target="https://vk.ru/rybakikubani" TargetMode="External"/><Relationship Id="rId29" Type="http://schemas.openxmlformats.org/officeDocument/2006/relationships/hyperlink" Target="https://www.youtube.com/channel/UCDbkx0Ci91M09HjQxzU9yuw" TargetMode="External"/><Relationship Id="rId520" Type="http://schemas.openxmlformats.org/officeDocument/2006/relationships/hyperlink" Target="https://www.youtube.com/channel/UCUWIqLw5cAiXCBG7kkz_GPg" TargetMode="External"/><Relationship Id="rId762" Type="http://schemas.openxmlformats.org/officeDocument/2006/relationships/hyperlink" Target="https://vk.ru/rybakikubani" TargetMode="External"/><Relationship Id="rId761" Type="http://schemas.openxmlformats.org/officeDocument/2006/relationships/hyperlink" Target="https://vk.ru/rybakikubani" TargetMode="External"/><Relationship Id="rId760" Type="http://schemas.openxmlformats.org/officeDocument/2006/relationships/hyperlink" Target="https://vk.ru/rybakikubani" TargetMode="External"/><Relationship Id="rId11" Type="http://schemas.openxmlformats.org/officeDocument/2006/relationships/hyperlink" Target="https://youtube.com/@batya_ilin" TargetMode="External"/><Relationship Id="rId10" Type="http://schemas.openxmlformats.org/officeDocument/2006/relationships/hyperlink" Target="https://www.youtube.com/channel/UC-wseWH5WqECF0lZhZKxJJA" TargetMode="External"/><Relationship Id="rId13" Type="http://schemas.openxmlformats.org/officeDocument/2006/relationships/hyperlink" Target="https://www.tiktok.com/@novo_fish" TargetMode="External"/><Relationship Id="rId12" Type="http://schemas.openxmlformats.org/officeDocument/2006/relationships/hyperlink" Target="https://www.tiktok.com/@novo_fish" TargetMode="External"/><Relationship Id="rId519" Type="http://schemas.openxmlformats.org/officeDocument/2006/relationships/hyperlink" Target="https://www.youtube.com/channel/UCi0VpnfNcISyS3bqnm-BFNQ" TargetMode="External"/><Relationship Id="rId514" Type="http://schemas.openxmlformats.org/officeDocument/2006/relationships/hyperlink" Target="https://www.youtube.com/channel/UCGLhWI0RQtP4x-fYcSpLFUQ" TargetMode="External"/><Relationship Id="rId756" Type="http://schemas.openxmlformats.org/officeDocument/2006/relationships/hyperlink" Target="https://www.tiktok.com/@bloger_dimon" TargetMode="External"/><Relationship Id="rId513" Type="http://schemas.openxmlformats.org/officeDocument/2006/relationships/hyperlink" Target="https://www.youtube.com/channel/UCySbZ4u-RgIbHpeAbb1eqmA" TargetMode="External"/><Relationship Id="rId755" Type="http://schemas.openxmlformats.org/officeDocument/2006/relationships/hyperlink" Target="https://vk.ru/dimon_dloger" TargetMode="External"/><Relationship Id="rId512" Type="http://schemas.openxmlformats.org/officeDocument/2006/relationships/hyperlink" Target="https://www.youtube.com/channel/UCnWuL0oUFQWKYK73xFxg7FQ" TargetMode="External"/><Relationship Id="rId754" Type="http://schemas.openxmlformats.org/officeDocument/2006/relationships/hyperlink" Target="https://vk.ru/dimon_dloger" TargetMode="External"/><Relationship Id="rId511" Type="http://schemas.openxmlformats.org/officeDocument/2006/relationships/hyperlink" Target="https://www.youtube.com/channel/UCVNqxyU89XCrim_04DtEW3A" TargetMode="External"/><Relationship Id="rId753" Type="http://schemas.openxmlformats.org/officeDocument/2006/relationships/hyperlink" Target="https://vk.com/clips/vyacheslav246" TargetMode="External"/><Relationship Id="rId518" Type="http://schemas.openxmlformats.org/officeDocument/2006/relationships/hyperlink" Target="https://www.youtube.com/channel/UCA6CYxtkDLoVvTAjCUQEnew" TargetMode="External"/><Relationship Id="rId517" Type="http://schemas.openxmlformats.org/officeDocument/2006/relationships/hyperlink" Target="https://www.youtube.com/channel/UCXyP7NqRXZm3s2kclixXt-w" TargetMode="External"/><Relationship Id="rId759" Type="http://schemas.openxmlformats.org/officeDocument/2006/relationships/hyperlink" Target="https://max.ru/channel_Dimon_Bloger" TargetMode="External"/><Relationship Id="rId516" Type="http://schemas.openxmlformats.org/officeDocument/2006/relationships/hyperlink" Target="https://www.youtube.com/channel/UCARuXeQA3yAhL53UETCynhg" TargetMode="External"/><Relationship Id="rId758" Type="http://schemas.openxmlformats.org/officeDocument/2006/relationships/hyperlink" Target="https://max.ru/channel_Dimon_Bloger" TargetMode="External"/><Relationship Id="rId515" Type="http://schemas.openxmlformats.org/officeDocument/2006/relationships/hyperlink" Target="https://www.youtube.com/channel/UC-E5zisYenT5gEti6m00hkg" TargetMode="External"/><Relationship Id="rId757" Type="http://schemas.openxmlformats.org/officeDocument/2006/relationships/hyperlink" Target="https://www.tiktok.com/@bloger_dimon" TargetMode="External"/><Relationship Id="rId15" Type="http://schemas.openxmlformats.org/officeDocument/2006/relationships/hyperlink" Target="https://www.tiktok.com/@viktorlife24" TargetMode="External"/><Relationship Id="rId14" Type="http://schemas.openxmlformats.org/officeDocument/2006/relationships/hyperlink" Target="https://www.tiktok.com/@viktorlife24" TargetMode="External"/><Relationship Id="rId17" Type="http://schemas.openxmlformats.org/officeDocument/2006/relationships/hyperlink" Target="https://www.youtube.com/@%D0%92%D0%B8%D0%BA%D1%82%D0%BE%D1%80%D0%BF%D1%80%D0%BE%D1%81%D1%82%D0%B0%D0%BD%D0%B8%D1%87%D0%BD%D1%83%D1%8E%D0%B6%D0%B8%D0%B7%D0%BD%D1%8C" TargetMode="External"/><Relationship Id="rId16" Type="http://schemas.openxmlformats.org/officeDocument/2006/relationships/hyperlink" Target="https://www.youtube.com/@%D0%92%D0%B8%D0%BA%D1%82%D0%BE%D1%80%D0%BF%D1%80%D0%BE%D1%81%D1%82%D0%B0%D0%BD%D0%B8%D1%87%D0%BD%D1%83%D1%8E%D0%B6%D0%B8%D0%B7%D0%BD%D1%8C" TargetMode="External"/><Relationship Id="rId19" Type="http://schemas.openxmlformats.org/officeDocument/2006/relationships/hyperlink" Target="https://minoga.ru/?erid=2VtzquxLtyV" TargetMode="External"/><Relationship Id="rId510" Type="http://schemas.openxmlformats.org/officeDocument/2006/relationships/hyperlink" Target="https://www.youtube.com/channel/UC0J55lyvb7UJUTv29D2EVKA" TargetMode="External"/><Relationship Id="rId752" Type="http://schemas.openxmlformats.org/officeDocument/2006/relationships/hyperlink" Target="https://vk.com/clips/vyacheslav246" TargetMode="External"/><Relationship Id="rId18" Type="http://schemas.openxmlformats.org/officeDocument/2006/relationships/hyperlink" Target="https://www.youtube.com/channel/UCppHEwOGz7QvGcXab64tIxQ" TargetMode="External"/><Relationship Id="rId751" Type="http://schemas.openxmlformats.org/officeDocument/2006/relationships/hyperlink" Target="http://www.tiktok.com/@vyacheslav19916" TargetMode="External"/><Relationship Id="rId750" Type="http://schemas.openxmlformats.org/officeDocument/2006/relationships/hyperlink" Target="http://www.tiktok.com/@vyacheslav19916" TargetMode="External"/><Relationship Id="rId84" Type="http://schemas.openxmlformats.org/officeDocument/2006/relationships/hyperlink" Target="https://www.youtube.com/channel/UC3Wc772-8PBelvW1ivL8tcw" TargetMode="External"/><Relationship Id="rId83" Type="http://schemas.openxmlformats.org/officeDocument/2006/relationships/hyperlink" Target="https://www.youtube.com/channel/UCPmC7_3zFWhckq5cmnE5uwg" TargetMode="External"/><Relationship Id="rId86" Type="http://schemas.openxmlformats.org/officeDocument/2006/relationships/hyperlink" Target="http://vk.com/idfargame" TargetMode="External"/><Relationship Id="rId85" Type="http://schemas.openxmlformats.org/officeDocument/2006/relationships/hyperlink" Target="https://www.youtube.com/channel/UCENnsGw3xk-1EvjBobTMoUQ" TargetMode="External"/><Relationship Id="rId88" Type="http://schemas.openxmlformats.org/officeDocument/2006/relationships/hyperlink" Target="http://vk.com/id357569604" TargetMode="External"/><Relationship Id="rId87" Type="http://schemas.openxmlformats.org/officeDocument/2006/relationships/hyperlink" Target="https://www.youtube.com/channel/UCNrT0fjlD-K1TZRPjpz32NA" TargetMode="External"/><Relationship Id="rId89" Type="http://schemas.openxmlformats.org/officeDocument/2006/relationships/hyperlink" Target="https://www.youtube.com/channel/UCxNRrMeOWrwvW3ZUHHluC3w" TargetMode="External"/><Relationship Id="rId709" Type="http://schemas.openxmlformats.org/officeDocument/2006/relationships/hyperlink" Target="https://max.ru/pp4farmtrof" TargetMode="External"/><Relationship Id="rId708" Type="http://schemas.openxmlformats.org/officeDocument/2006/relationships/hyperlink" Target="https://max.ru/ylov_ribaka" TargetMode="External"/><Relationship Id="rId707" Type="http://schemas.openxmlformats.org/officeDocument/2006/relationships/hyperlink" Target="https://max.ru/ylov_ribaka" TargetMode="External"/><Relationship Id="rId706" Type="http://schemas.openxmlformats.org/officeDocument/2006/relationships/hyperlink" Target="https://max.ru/ribalka_fishing24" TargetMode="External"/><Relationship Id="rId80" Type="http://schemas.openxmlformats.org/officeDocument/2006/relationships/hyperlink" Target="https://www.youtube.com/channel/UCmkkLCACwkNesX4dHMo4s9g" TargetMode="External"/><Relationship Id="rId82" Type="http://schemas.openxmlformats.org/officeDocument/2006/relationships/hyperlink" Target="https://www.youtube.com/channel/UChEXU5Uil5PBXX6qoovJ7AA" TargetMode="External"/><Relationship Id="rId81" Type="http://schemas.openxmlformats.org/officeDocument/2006/relationships/hyperlink" Target="https://www.youtube.com/channel/UCpC0_0lnarWbM2_iGR12f1w" TargetMode="External"/><Relationship Id="rId701" Type="http://schemas.openxmlformats.org/officeDocument/2006/relationships/hyperlink" Target="https://t.me/chelny_rybaki" TargetMode="External"/><Relationship Id="rId700" Type="http://schemas.openxmlformats.org/officeDocument/2006/relationships/hyperlink" Target="https://max.ru/channel_riabalka" TargetMode="External"/><Relationship Id="rId705" Type="http://schemas.openxmlformats.org/officeDocument/2006/relationships/hyperlink" Target="https://max.ru/ribalka_fishing24" TargetMode="External"/><Relationship Id="rId704" Type="http://schemas.openxmlformats.org/officeDocument/2006/relationships/hyperlink" Target="https://t.me/rybalka_vrn" TargetMode="External"/><Relationship Id="rId703" Type="http://schemas.openxmlformats.org/officeDocument/2006/relationships/hyperlink" Target="https://t.me/rybalka_vrn" TargetMode="External"/><Relationship Id="rId702" Type="http://schemas.openxmlformats.org/officeDocument/2006/relationships/hyperlink" Target="https://t.me/chelny_rybaki" TargetMode="External"/><Relationship Id="rId73" Type="http://schemas.openxmlformats.org/officeDocument/2006/relationships/hyperlink" Target="https://www.youtube.com/channel/UCuecqsAJJpRuN9f-aMYkHQA" TargetMode="External"/><Relationship Id="rId72" Type="http://schemas.openxmlformats.org/officeDocument/2006/relationships/hyperlink" Target="https://www.youtube.com/channel/UCcodNXOztPjbz0JeEi4L33g" TargetMode="External"/><Relationship Id="rId75" Type="http://schemas.openxmlformats.org/officeDocument/2006/relationships/hyperlink" Target="https://t.me/+CC9q_wKrlc9kYmNi" TargetMode="External"/><Relationship Id="rId74" Type="http://schemas.openxmlformats.org/officeDocument/2006/relationships/hyperlink" Target="https://t.me/+Jcbpgq-uhLA3NGNi" TargetMode="External"/><Relationship Id="rId77" Type="http://schemas.openxmlformats.org/officeDocument/2006/relationships/hyperlink" Target="https://www.youtube.com/channel/UCRh5y1xNocuLxXJXDi1ovbQ" TargetMode="External"/><Relationship Id="rId76" Type="http://schemas.openxmlformats.org/officeDocument/2006/relationships/hyperlink" Target="https://t.me/+rC-80Q6BOmZmOTVi" TargetMode="External"/><Relationship Id="rId79" Type="http://schemas.openxmlformats.org/officeDocument/2006/relationships/hyperlink" Target="https://www.youtube.com/channel/UCn6qEUsCGx37M_zOP9TiYGQ" TargetMode="External"/><Relationship Id="rId78" Type="http://schemas.openxmlformats.org/officeDocument/2006/relationships/hyperlink" Target="https://www.youtube.com/channel/UCehAWDtHiubIXsmqtNSjM4g" TargetMode="External"/><Relationship Id="rId71" Type="http://schemas.openxmlformats.org/officeDocument/2006/relationships/hyperlink" Target="https://www.youtube.com/channel/UCh4MKSoSFtBN2RVhhfGm6PQ" TargetMode="External"/><Relationship Id="rId70" Type="http://schemas.openxmlformats.org/officeDocument/2006/relationships/hyperlink" Target="https://www.youtube.com/channel/UCPkFY__r3ZHzRl8cmdn6gWg" TargetMode="External"/><Relationship Id="rId62" Type="http://schemas.openxmlformats.org/officeDocument/2006/relationships/hyperlink" Target="https://www.youtube.com/channel/UC10svREzub45n5TXQ_LMT5w" TargetMode="External"/><Relationship Id="rId61" Type="http://schemas.openxmlformats.org/officeDocument/2006/relationships/hyperlink" Target="mailto:alex.afoni2012@yandex.ru" TargetMode="External"/><Relationship Id="rId64" Type="http://schemas.openxmlformats.org/officeDocument/2006/relationships/hyperlink" Target="https://clck.ru/3Sx2nS" TargetMode="External"/><Relationship Id="rId63" Type="http://schemas.openxmlformats.org/officeDocument/2006/relationships/hyperlink" Target="https://www.youtube.com/channel/UCnEv7KTEI9IUGMNybDZQaCg" TargetMode="External"/><Relationship Id="rId66" Type="http://schemas.openxmlformats.org/officeDocument/2006/relationships/hyperlink" Target="https://www.youtube.com/channel/UCQheT4QWhOG56NLrJV4kzyg" TargetMode="External"/><Relationship Id="rId65" Type="http://schemas.openxmlformats.org/officeDocument/2006/relationships/hyperlink" Target="https://www.youtube.com/channel/UCzeq_faG6ZzS5YFTwrPFCSA" TargetMode="External"/><Relationship Id="rId68" Type="http://schemas.openxmlformats.org/officeDocument/2006/relationships/hyperlink" Target="https://t.me/dacha_ogorod" TargetMode="External"/><Relationship Id="rId67" Type="http://schemas.openxmlformats.org/officeDocument/2006/relationships/hyperlink" Target="https://www.youtube.com/channel/UC7ZlNkIlRRcPt3-c5pC2VYg" TargetMode="External"/><Relationship Id="rId729" Type="http://schemas.openxmlformats.org/officeDocument/2006/relationships/hyperlink" Target="https://max.ru/ch_60a62c32e184214713fa6055" TargetMode="External"/><Relationship Id="rId728" Type="http://schemas.openxmlformats.org/officeDocument/2006/relationships/hyperlink" Target="https://max.ru/ch_60a62c32e184214713fa6055" TargetMode="External"/><Relationship Id="rId60" Type="http://schemas.openxmlformats.org/officeDocument/2006/relationships/hyperlink" Target="https://www.youtube.com/channel/UCVFMI_n1if4JN71Sx0BAYPA" TargetMode="External"/><Relationship Id="rId723" Type="http://schemas.openxmlformats.org/officeDocument/2006/relationships/hyperlink" Target="https://max.ru/city_and_house" TargetMode="External"/><Relationship Id="rId722" Type="http://schemas.openxmlformats.org/officeDocument/2006/relationships/hyperlink" Target="https://max.ru/city_and_house" TargetMode="External"/><Relationship Id="rId721" Type="http://schemas.openxmlformats.org/officeDocument/2006/relationships/hyperlink" Target="https://max.ru/bibliya_sada" TargetMode="External"/><Relationship Id="rId720" Type="http://schemas.openxmlformats.org/officeDocument/2006/relationships/hyperlink" Target="https://max.ru/bibliya_sada" TargetMode="External"/><Relationship Id="rId727" Type="http://schemas.openxmlformats.org/officeDocument/2006/relationships/hyperlink" Target="https://telegram.me/superotpusknadache" TargetMode="External"/><Relationship Id="rId726" Type="http://schemas.openxmlformats.org/officeDocument/2006/relationships/hyperlink" Target="https://telegram.me/superotpusknadache" TargetMode="External"/><Relationship Id="rId725" Type="http://schemas.openxmlformats.org/officeDocument/2006/relationships/hyperlink" Target="https://max.ru/Nadacheprigoditc" TargetMode="External"/><Relationship Id="rId724" Type="http://schemas.openxmlformats.org/officeDocument/2006/relationships/hyperlink" Target="https://max.ru/Nadacheprigoditc" TargetMode="External"/><Relationship Id="rId69" Type="http://schemas.openxmlformats.org/officeDocument/2006/relationships/hyperlink" Target="https://www.youtube.com/channel/UCbJyBJL4jOKXBTfWpevKDYQ" TargetMode="External"/><Relationship Id="rId51" Type="http://schemas.openxmlformats.org/officeDocument/2006/relationships/hyperlink" Target="https://www.youtube.com/channel/UC8W3xi4E2e_HUmP8RukpUDg" TargetMode="External"/><Relationship Id="rId50" Type="http://schemas.openxmlformats.org/officeDocument/2006/relationships/hyperlink" Target="https://www.youtube.com/channel/UCqxZ1TG5xVXS2Ra9vO0voOw" TargetMode="External"/><Relationship Id="rId53" Type="http://schemas.openxmlformats.org/officeDocument/2006/relationships/hyperlink" Target="https://www.youtube.com/channel/UCDpg1XIZgBzK3mAOOOIbY7w" TargetMode="External"/><Relationship Id="rId52" Type="http://schemas.openxmlformats.org/officeDocument/2006/relationships/hyperlink" Target="https://www.youtube.com/channel/UCvZYCYUdqcHlHMxF4SvrCvQ" TargetMode="External"/><Relationship Id="rId55" Type="http://schemas.openxmlformats.org/officeDocument/2006/relationships/hyperlink" Target="https://t.me/+lq7V6APtadU0NTVi" TargetMode="External"/><Relationship Id="rId54" Type="http://schemas.openxmlformats.org/officeDocument/2006/relationships/hyperlink" Target="https://www.youtube.com/channel/UCsAuu01m7B7VL-4GgF3hL2g" TargetMode="External"/><Relationship Id="rId57" Type="http://schemas.openxmlformats.org/officeDocument/2006/relationships/hyperlink" Target="https://www.youtube.com/channel/UCyuBTqJ7N1mtWa6o_nuQWCA" TargetMode="External"/><Relationship Id="rId56" Type="http://schemas.openxmlformats.org/officeDocument/2006/relationships/hyperlink" Target="https://www.youtube.com/channel/UCRb6HzMKtsH-dKJz831_dXA" TargetMode="External"/><Relationship Id="rId719" Type="http://schemas.openxmlformats.org/officeDocument/2006/relationships/hyperlink" Target="https://max.ru/feallkin_dom" TargetMode="External"/><Relationship Id="rId718" Type="http://schemas.openxmlformats.org/officeDocument/2006/relationships/hyperlink" Target="https://max.ru/feallkin_dom" TargetMode="External"/><Relationship Id="rId717" Type="http://schemas.openxmlformats.org/officeDocument/2006/relationships/hyperlink" Target="https://vk.com/feallkin_dom" TargetMode="External"/><Relationship Id="rId712" Type="http://schemas.openxmlformats.org/officeDocument/2006/relationships/hyperlink" Target="https://max.ru/join/tv-zOLgP61IYsvZA5CGo-pJe1cAmeOwctc3pafS22ZE" TargetMode="External"/><Relationship Id="rId711" Type="http://schemas.openxmlformats.org/officeDocument/2006/relationships/hyperlink" Target="https://max.ru/join/tv-zOLgP61IYsvZA5CGo-pJe1cAmeOwctc3pafS22ZE" TargetMode="External"/><Relationship Id="rId710" Type="http://schemas.openxmlformats.org/officeDocument/2006/relationships/hyperlink" Target="https://max.ru/pp4farmtrof" TargetMode="External"/><Relationship Id="rId716" Type="http://schemas.openxmlformats.org/officeDocument/2006/relationships/hyperlink" Target="https://vk.com/feallkin_dom" TargetMode="External"/><Relationship Id="rId715" Type="http://schemas.openxmlformats.org/officeDocument/2006/relationships/hyperlink" Target="https://t.me/spinning_Kubani_Adygei" TargetMode="External"/><Relationship Id="rId714" Type="http://schemas.openxmlformats.org/officeDocument/2006/relationships/hyperlink" Target="https://t.me/spinning_Kubani_Adygei" TargetMode="External"/><Relationship Id="rId713" Type="http://schemas.openxmlformats.org/officeDocument/2006/relationships/hyperlink" Target="https://t.me/+x6Di5YGr0lQ0YmZi" TargetMode="External"/><Relationship Id="rId59" Type="http://schemas.openxmlformats.org/officeDocument/2006/relationships/hyperlink" Target="https://t.me/+U9natNWIHh1hNmNi" TargetMode="External"/><Relationship Id="rId58" Type="http://schemas.openxmlformats.org/officeDocument/2006/relationships/hyperlink" Target="https://www.youtube.com/channel/UC5lF8cWA7q0pcNcWC0ZOfSQ" TargetMode="External"/><Relationship Id="rId590" Type="http://schemas.openxmlformats.org/officeDocument/2006/relationships/hyperlink" Target="https://t.me/rubalkamoskva" TargetMode="External"/><Relationship Id="rId107" Type="http://schemas.openxmlformats.org/officeDocument/2006/relationships/hyperlink" Target="https://www.youtube.com/channel/UC8xHe5d46bUjwNSepFt0QSw" TargetMode="External"/><Relationship Id="rId349" Type="http://schemas.openxmlformats.org/officeDocument/2006/relationships/hyperlink" Target="https://www.youtube.com/channel/UCWX9hjZS4m7_fuEYWWVlVqg" TargetMode="External"/><Relationship Id="rId106" Type="http://schemas.openxmlformats.org/officeDocument/2006/relationships/hyperlink" Target="https://www.youtube.com/channel/UCG8vVMKgthuE7_tf5DH6Gng" TargetMode="External"/><Relationship Id="rId348" Type="http://schemas.openxmlformats.org/officeDocument/2006/relationships/hyperlink" Target="https://www.youtube.com/channel/UC9J-izh_ymeEfwIvO5kTsZg" TargetMode="External"/><Relationship Id="rId105" Type="http://schemas.openxmlformats.org/officeDocument/2006/relationships/hyperlink" Target="https://www.youtube.com/channel/UCK_wzLu0QxxysoVLQrGXhog" TargetMode="External"/><Relationship Id="rId347" Type="http://schemas.openxmlformats.org/officeDocument/2006/relationships/hyperlink" Target="https://www.youtube.com/channel/UCv7sdOGaSXozR7WP7KkvPYw" TargetMode="External"/><Relationship Id="rId589" Type="http://schemas.openxmlformats.org/officeDocument/2006/relationships/hyperlink" Target="https://max.ru/telefishing" TargetMode="External"/><Relationship Id="rId104" Type="http://schemas.openxmlformats.org/officeDocument/2006/relationships/hyperlink" Target="https://www.youtube.com/channel/UC9uLFbxpbfsumFS-JRqgrRg" TargetMode="External"/><Relationship Id="rId346" Type="http://schemas.openxmlformats.org/officeDocument/2006/relationships/hyperlink" Target="https://www.youtube.com/channel/UCtY00YREGbLzlMx5S1hqAsA" TargetMode="External"/><Relationship Id="rId588" Type="http://schemas.openxmlformats.org/officeDocument/2006/relationships/hyperlink" Target="https://max.ru/telefishing" TargetMode="External"/><Relationship Id="rId109" Type="http://schemas.openxmlformats.org/officeDocument/2006/relationships/hyperlink" Target="https://t.me/+2RCOBqjrzA42YTAy" TargetMode="External"/><Relationship Id="rId108" Type="http://schemas.openxmlformats.org/officeDocument/2006/relationships/hyperlink" Target="https://t.me/easy_dacha" TargetMode="External"/><Relationship Id="rId341" Type="http://schemas.openxmlformats.org/officeDocument/2006/relationships/hyperlink" Target="https://t.me/orhidey23" TargetMode="External"/><Relationship Id="rId583" Type="http://schemas.openxmlformats.org/officeDocument/2006/relationships/hyperlink" Target="https://max.ru/rybalka_severozapad" TargetMode="External"/><Relationship Id="rId340" Type="http://schemas.openxmlformats.org/officeDocument/2006/relationships/hyperlink" Target="https://www.youtube.com/channel/UCF3B-GnPyK5_pXj7gXfbcmA" TargetMode="External"/><Relationship Id="rId582" Type="http://schemas.openxmlformats.org/officeDocument/2006/relationships/hyperlink" Target="https://max.ru/rybalka_severozapad" TargetMode="External"/><Relationship Id="rId581" Type="http://schemas.openxmlformats.org/officeDocument/2006/relationships/hyperlink" Target="https://max.ru/we_and_nature" TargetMode="External"/><Relationship Id="rId580" Type="http://schemas.openxmlformats.org/officeDocument/2006/relationships/hyperlink" Target="https://max.ru/we_and_nature" TargetMode="External"/><Relationship Id="rId103" Type="http://schemas.openxmlformats.org/officeDocument/2006/relationships/hyperlink" Target="https://www.youtube.com/channel/UC3deJoTQ0ZdrMHmvy0uVc_w" TargetMode="External"/><Relationship Id="rId345" Type="http://schemas.openxmlformats.org/officeDocument/2006/relationships/hyperlink" Target="https://www.youtube.com/channel/UCj7KVhif1HC-MO0HaX8RrdA" TargetMode="External"/><Relationship Id="rId587" Type="http://schemas.openxmlformats.org/officeDocument/2006/relationships/hyperlink" Target="https://max.ru/rybanutyye" TargetMode="External"/><Relationship Id="rId102" Type="http://schemas.openxmlformats.org/officeDocument/2006/relationships/hyperlink" Target="https://www.youtube.com/channel/UCRY8-G9MxuzOpGCANtY6RlQ" TargetMode="External"/><Relationship Id="rId344" Type="http://schemas.openxmlformats.org/officeDocument/2006/relationships/hyperlink" Target="https://t.me/dachnye_istory" TargetMode="External"/><Relationship Id="rId586" Type="http://schemas.openxmlformats.org/officeDocument/2006/relationships/hyperlink" Target="https://max.ru/rybanutyye" TargetMode="External"/><Relationship Id="rId101" Type="http://schemas.openxmlformats.org/officeDocument/2006/relationships/hyperlink" Target="https://www.youtube.com/channel/UClcw3KW_zDl07o1GoDzB1aA" TargetMode="External"/><Relationship Id="rId343" Type="http://schemas.openxmlformats.org/officeDocument/2006/relationships/hyperlink" Target="https://www.youtube.com/channel/UCQ-rcdEyBgRboa97m8xfm8Q" TargetMode="External"/><Relationship Id="rId585" Type="http://schemas.openxmlformats.org/officeDocument/2006/relationships/hyperlink" Target="https://max.ru/astrafishing30" TargetMode="External"/><Relationship Id="rId100" Type="http://schemas.openxmlformats.org/officeDocument/2006/relationships/hyperlink" Target="https://www.youtube.com/channel/UCra4W5pe9fTGjE7ChFadRRw" TargetMode="External"/><Relationship Id="rId342" Type="http://schemas.openxmlformats.org/officeDocument/2006/relationships/hyperlink" Target="https://www.youtube.com/channel/UCetcVcgV-q3S9xFAT3kPPHA" TargetMode="External"/><Relationship Id="rId584" Type="http://schemas.openxmlformats.org/officeDocument/2006/relationships/hyperlink" Target="https://max.ru/astrafishing30" TargetMode="External"/><Relationship Id="rId338" Type="http://schemas.openxmlformats.org/officeDocument/2006/relationships/hyperlink" Target="https://www.youtube.com/channel/UCozR0E4L_82KmZJLfpkroLA" TargetMode="External"/><Relationship Id="rId337" Type="http://schemas.openxmlformats.org/officeDocument/2006/relationships/hyperlink" Target="https://www.youtube.com/channel/UCTJmYYQ-wwv8-Qpfo_7Kx2Q" TargetMode="External"/><Relationship Id="rId579" Type="http://schemas.openxmlformats.org/officeDocument/2006/relationships/hyperlink" Target="https://max.ru/join/uCdz6lLBZaKQQ-TBrM1kCaXNxdhno0LlLSpv1_WO-yI" TargetMode="External"/><Relationship Id="rId336" Type="http://schemas.openxmlformats.org/officeDocument/2006/relationships/hyperlink" Target="https://www.youtube.com/channel/UCyZfzJ2tXxyVqmsRCSJasBg" TargetMode="External"/><Relationship Id="rId578" Type="http://schemas.openxmlformats.org/officeDocument/2006/relationships/hyperlink" Target="https://max.ru/join/uCdz6lLBZaKQQ-TBrM1kCaXNxdhno0LlLSpv1_WO-yI" TargetMode="External"/><Relationship Id="rId335" Type="http://schemas.openxmlformats.org/officeDocument/2006/relationships/hyperlink" Target="https://www.youtube.com/channel/UCK_g-ASIP2sPR0F2zEWKLJQ" TargetMode="External"/><Relationship Id="rId577" Type="http://schemas.openxmlformats.org/officeDocument/2006/relationships/hyperlink" Target="http://www.moscanella.ru/end-category/431-1-0-kriuchki-ofsietnyie-pontoon21.aspx" TargetMode="External"/><Relationship Id="rId339" Type="http://schemas.openxmlformats.org/officeDocument/2006/relationships/hyperlink" Target="https://www.youtube.com/channel/UC-urcyBJUl0uO-CdMYJ7wqA" TargetMode="External"/><Relationship Id="rId330" Type="http://schemas.openxmlformats.org/officeDocument/2006/relationships/hyperlink" Target="https://www.youtube.com/channel/UCN-yvbCtuP06_5dv47aHREg" TargetMode="External"/><Relationship Id="rId572" Type="http://schemas.openxmlformats.org/officeDocument/2006/relationships/hyperlink" Target="https://www.youtube.com/channel/UCZDcaSgWepsn76DT_Pj8mlA" TargetMode="External"/><Relationship Id="rId571" Type="http://schemas.openxmlformats.org/officeDocument/2006/relationships/hyperlink" Target="https://www.youtube.com/channel/UCVg5YodHwmHl4ByiWFaKBXQ" TargetMode="External"/><Relationship Id="rId570" Type="http://schemas.openxmlformats.org/officeDocument/2006/relationships/hyperlink" Target="https://www.youtube.com/channel/UCNe_wQcqes9G5Wc2tADxolw" TargetMode="External"/><Relationship Id="rId334" Type="http://schemas.openxmlformats.org/officeDocument/2006/relationships/hyperlink" Target="https://t.me/dachaogorod_sad" TargetMode="External"/><Relationship Id="rId576" Type="http://schemas.openxmlformats.org/officeDocument/2006/relationships/hyperlink" Target="https://www.youtube.com/channel/UCebHe7LOwb4lhFPNdCbEtug" TargetMode="External"/><Relationship Id="rId333" Type="http://schemas.openxmlformats.org/officeDocument/2006/relationships/hyperlink" Target="https://t.me/vsevpark" TargetMode="External"/><Relationship Id="rId575" Type="http://schemas.openxmlformats.org/officeDocument/2006/relationships/hyperlink" Target="https://www.youtube.com/channel/UC0-EGwZU6OY8mw_GhnlayNg" TargetMode="External"/><Relationship Id="rId332" Type="http://schemas.openxmlformats.org/officeDocument/2006/relationships/hyperlink" Target="https://t.me/fermer_lnr" TargetMode="External"/><Relationship Id="rId574" Type="http://schemas.openxmlformats.org/officeDocument/2006/relationships/hyperlink" Target="https://www.youtube.com/channel/UCer2LzdaqNssUgjiSA-1c8A" TargetMode="External"/><Relationship Id="rId331" Type="http://schemas.openxmlformats.org/officeDocument/2006/relationships/hyperlink" Target="https://www.youtube.com/channel/UCV1HyuzLsUVthfWGVoLboow" TargetMode="External"/><Relationship Id="rId573" Type="http://schemas.openxmlformats.org/officeDocument/2006/relationships/hyperlink" Target="https://www.youtube.com/channel/UCElHJ_JqTpD5oJ8z2m2nIYQ" TargetMode="External"/><Relationship Id="rId370" Type="http://schemas.openxmlformats.org/officeDocument/2006/relationships/hyperlink" Target="https://t.me/+D_R3sAuj301hYTgy" TargetMode="External"/><Relationship Id="rId129" Type="http://schemas.openxmlformats.org/officeDocument/2006/relationships/hyperlink" Target="https://www.youtube.com/channel/UC4tbXFTHiEdmJoTLqtmMBNA" TargetMode="External"/><Relationship Id="rId128" Type="http://schemas.openxmlformats.org/officeDocument/2006/relationships/hyperlink" Target="http://vk.com/insearchofaruff" TargetMode="External"/><Relationship Id="rId127" Type="http://schemas.openxmlformats.org/officeDocument/2006/relationships/hyperlink" Target="https://www.youtube.com/channel/UCldY7nuCfzBmSdrWJKgP46w" TargetMode="External"/><Relationship Id="rId369" Type="http://schemas.openxmlformats.org/officeDocument/2006/relationships/hyperlink" Target="https://t.me/wCZrU9zwkmE5ZDgy" TargetMode="External"/><Relationship Id="rId126" Type="http://schemas.openxmlformats.org/officeDocument/2006/relationships/hyperlink" Target="https://www.youtube.com/channel/UC4oCI84blzoCL4e8QfQvt1A" TargetMode="External"/><Relationship Id="rId368" Type="http://schemas.openxmlformats.org/officeDocument/2006/relationships/hyperlink" Target="https://t.me/+sJIrt14yHuQxMTVi" TargetMode="External"/><Relationship Id="rId121" Type="http://schemas.openxmlformats.org/officeDocument/2006/relationships/hyperlink" Target="https://www.youtube.com/channel/UCR0XoReLrVnk9HA755s2_FQ" TargetMode="External"/><Relationship Id="rId363" Type="http://schemas.openxmlformats.org/officeDocument/2006/relationships/hyperlink" Target="https://t.me/+Rri5n8AqLTdKGwCv" TargetMode="External"/><Relationship Id="rId120" Type="http://schemas.openxmlformats.org/officeDocument/2006/relationships/hyperlink" Target="https://www.youtube.com/channel/UCeO94TANJt0K7nl7HSOjGJA" TargetMode="External"/><Relationship Id="rId362" Type="http://schemas.openxmlformats.org/officeDocument/2006/relationships/hyperlink" Target="https://www.youtube.com/channel/UCehXjbovmrFebLP0dVyM27A" TargetMode="External"/><Relationship Id="rId361" Type="http://schemas.openxmlformats.org/officeDocument/2006/relationships/hyperlink" Target="https://www.youtube.com/channel/UCshVQDCJZ55XcBsmE8wPQ0w" TargetMode="External"/><Relationship Id="rId360" Type="http://schemas.openxmlformats.org/officeDocument/2006/relationships/hyperlink" Target="https://www.youtube.com/channel/UCkp8AhXCE4nONE3TioCr5RQ" TargetMode="External"/><Relationship Id="rId125" Type="http://schemas.openxmlformats.org/officeDocument/2006/relationships/hyperlink" Target="https://www.youtube.com/channel/UCBC_Zo5eq2sz_PPSTfqkUXw" TargetMode="External"/><Relationship Id="rId367" Type="http://schemas.openxmlformats.org/officeDocument/2006/relationships/hyperlink" Target="https://t.me/dacha_ogorod_blog" TargetMode="External"/><Relationship Id="rId124" Type="http://schemas.openxmlformats.org/officeDocument/2006/relationships/hyperlink" Target="https://lovi.ru/catalogue/reels/inertialess/?ftext=03-00-0490" TargetMode="External"/><Relationship Id="rId366" Type="http://schemas.openxmlformats.org/officeDocument/2006/relationships/hyperlink" Target="https://www.youtube.com/channel/UCvQ3xOlohF98v4Wj-3clV1w" TargetMode="External"/><Relationship Id="rId123" Type="http://schemas.openxmlformats.org/officeDocument/2006/relationships/hyperlink" Target="https://www.youtube.com/channel/UC4IkPp-wOIf-4_nVC_TR6Nw" TargetMode="External"/><Relationship Id="rId365" Type="http://schemas.openxmlformats.org/officeDocument/2006/relationships/hyperlink" Target="https://www.youtube.com/channel/UCVOqQRyxzCw50EZyiXGsA1Q" TargetMode="External"/><Relationship Id="rId122" Type="http://schemas.openxmlformats.org/officeDocument/2006/relationships/hyperlink" Target="https://t.me/dach_ogorod" TargetMode="External"/><Relationship Id="rId364" Type="http://schemas.openxmlformats.org/officeDocument/2006/relationships/hyperlink" Target="https://www.youtube.com/channel/UCsdAU_IYxjeu7rODYQZesLw" TargetMode="External"/><Relationship Id="rId95" Type="http://schemas.openxmlformats.org/officeDocument/2006/relationships/hyperlink" Target="https://www.youtube.com/channel/UCB6N3tv-AmmK2cWVOy3KNLg" TargetMode="External"/><Relationship Id="rId94" Type="http://schemas.openxmlformats.org/officeDocument/2006/relationships/hyperlink" Target="https://www.youtube.com/channel/UCsKbMwfWxBVcbOmDfkqYZEw" TargetMode="External"/><Relationship Id="rId97" Type="http://schemas.openxmlformats.org/officeDocument/2006/relationships/hyperlink" Target="https://www.youtube.com/channel/UCekGRaIjwZU8nu0FvSObUmA" TargetMode="External"/><Relationship Id="rId96" Type="http://schemas.openxmlformats.org/officeDocument/2006/relationships/hyperlink" Target="https://www.youtube.com/channel/UCVxs5hp57vZZW6_mA74V2Qw" TargetMode="External"/><Relationship Id="rId99" Type="http://schemas.openxmlformats.org/officeDocument/2006/relationships/hyperlink" Target="https://www.youtube.com/channel/UCecYT9x7r49dkOuzR-jrKEQ" TargetMode="External"/><Relationship Id="rId98" Type="http://schemas.openxmlformats.org/officeDocument/2006/relationships/hyperlink" Target="https://www.youtube.com/channel/UCrYeV85Ln_udR_g9AE3nG9g" TargetMode="External"/><Relationship Id="rId91" Type="http://schemas.openxmlformats.org/officeDocument/2006/relationships/hyperlink" Target="https://www.youtube.com/channel/UCHBZmzMpiuvo8sSu1Xtxiew" TargetMode="External"/><Relationship Id="rId90" Type="http://schemas.openxmlformats.org/officeDocument/2006/relationships/hyperlink" Target="https://knd.gov.ru/license?id=6737dcc0b5d2ec30cf746dcc&amp;registryType=bloggersPermission" TargetMode="External"/><Relationship Id="rId93" Type="http://schemas.openxmlformats.org/officeDocument/2006/relationships/hyperlink" Target="https://www.youtube.com/channel/UCwmT1rw7ZQFllFVnNlL4oBg" TargetMode="External"/><Relationship Id="rId92" Type="http://schemas.openxmlformats.org/officeDocument/2006/relationships/hyperlink" Target="https://www.youtube.com/channel/UCqwhN5t4D3tMD2QN0SzjMQw" TargetMode="External"/><Relationship Id="rId118" Type="http://schemas.openxmlformats.org/officeDocument/2006/relationships/hyperlink" Target="https://www.youtube.com/channel/UCi5GPqcCdfXeTK-PwQSRyTQ" TargetMode="External"/><Relationship Id="rId117" Type="http://schemas.openxmlformats.org/officeDocument/2006/relationships/hyperlink" Target="https://t.me/MJN08H2Bt_Wtlp0cAqemzhH7qKyZU9rcogE4fjQlPKE" TargetMode="External"/><Relationship Id="rId359" Type="http://schemas.openxmlformats.org/officeDocument/2006/relationships/hyperlink" Target="https://www.youtube.com/channel/UCA76OTotHzTN0WtuxlUSMrQ" TargetMode="External"/><Relationship Id="rId116" Type="http://schemas.openxmlformats.org/officeDocument/2006/relationships/hyperlink" Target="https://www.youtube.com/channel/UCrMnXqSVS707Zv1tnylOlmg" TargetMode="External"/><Relationship Id="rId358" Type="http://schemas.openxmlformats.org/officeDocument/2006/relationships/hyperlink" Target="https://www.youtube.com/channel/UChu51ypMJuXXVRev9DhzjTw" TargetMode="External"/><Relationship Id="rId115" Type="http://schemas.openxmlformats.org/officeDocument/2006/relationships/hyperlink" Target="https://www.youtube.com/channel/UCUinA6dC24LX6e6Vm-1qxwA" TargetMode="External"/><Relationship Id="rId357" Type="http://schemas.openxmlformats.org/officeDocument/2006/relationships/hyperlink" Target="https://t.me/plants_opt" TargetMode="External"/><Relationship Id="rId599" Type="http://schemas.openxmlformats.org/officeDocument/2006/relationships/hyperlink" Target="https://www.tiktok.com/@batya_ilin" TargetMode="External"/><Relationship Id="rId119" Type="http://schemas.openxmlformats.org/officeDocument/2006/relationships/hyperlink" Target="https://www.youtube.com/channel/UCEHKxOp1Xaj81V9DQSOnJ4g" TargetMode="External"/><Relationship Id="rId110" Type="http://schemas.openxmlformats.org/officeDocument/2006/relationships/hyperlink" Target="https://www.youtube.com/channel/UCOM_Ir3zsiLVpcatY0T_Vhw" TargetMode="External"/><Relationship Id="rId352" Type="http://schemas.openxmlformats.org/officeDocument/2006/relationships/hyperlink" Target="https://t.me/+yKbDZiWvbLZiOTZi" TargetMode="External"/><Relationship Id="rId594" Type="http://schemas.openxmlformats.org/officeDocument/2006/relationships/hyperlink" Target="https://t.me/Solnce_na_kruchke_ultralight" TargetMode="External"/><Relationship Id="rId351" Type="http://schemas.openxmlformats.org/officeDocument/2006/relationships/hyperlink" Target="https://www.youtube.com/channel/UCutIgUh6rJLY4v36QI58HPA" TargetMode="External"/><Relationship Id="rId593" Type="http://schemas.openxmlformats.org/officeDocument/2006/relationships/hyperlink" Target="https://t.me/+vCWMo1HBFIlmMzNi" TargetMode="External"/><Relationship Id="rId350" Type="http://schemas.openxmlformats.org/officeDocument/2006/relationships/hyperlink" Target="https://www.youtube.com/channel/UClkWA2QIFZtFxUvUajlkTzw" TargetMode="External"/><Relationship Id="rId592" Type="http://schemas.openxmlformats.org/officeDocument/2006/relationships/hyperlink" Target="https://t.me/+vCWMo1HBFIlmMzNi" TargetMode="External"/><Relationship Id="rId591" Type="http://schemas.openxmlformats.org/officeDocument/2006/relationships/hyperlink" Target="https://t.me/rubalkamoskva" TargetMode="External"/><Relationship Id="rId114" Type="http://schemas.openxmlformats.org/officeDocument/2006/relationships/hyperlink" Target="https://www.youtube.com/channel/UCzwKdShVc1ZJ6OrI8WtgHUg" TargetMode="External"/><Relationship Id="rId356" Type="http://schemas.openxmlformats.org/officeDocument/2006/relationships/hyperlink" Target="https://t.me/ulyana_manager1" TargetMode="External"/><Relationship Id="rId598" Type="http://schemas.openxmlformats.org/officeDocument/2006/relationships/hyperlink" Target="https://www.tiktok.com/@batya_ilin" TargetMode="External"/><Relationship Id="rId113" Type="http://schemas.openxmlformats.org/officeDocument/2006/relationships/hyperlink" Target="https://www.youtube.com/channel/UC_7DUbOcu-buomqFenLpc9w" TargetMode="External"/><Relationship Id="rId355" Type="http://schemas.openxmlformats.org/officeDocument/2006/relationships/hyperlink" Target="https://t.me/dacha_garden_365" TargetMode="External"/><Relationship Id="rId597" Type="http://schemas.openxmlformats.org/officeDocument/2006/relationships/hyperlink" Target="https://t.me/rybalka_spb_lenoblasti" TargetMode="External"/><Relationship Id="rId112" Type="http://schemas.openxmlformats.org/officeDocument/2006/relationships/hyperlink" Target="https://www.youtube.com/channel/UCbjAHdLC6AEZYyuEF21Y9cg" TargetMode="External"/><Relationship Id="rId354" Type="http://schemas.openxmlformats.org/officeDocument/2006/relationships/hyperlink" Target="https://www.youtube.com/channel/UC8sXTuioL2NnDD_FMCO1EWw" TargetMode="External"/><Relationship Id="rId596" Type="http://schemas.openxmlformats.org/officeDocument/2006/relationships/hyperlink" Target="https://t.me/rybalka_spb_lenoblasti" TargetMode="External"/><Relationship Id="rId111" Type="http://schemas.openxmlformats.org/officeDocument/2006/relationships/hyperlink" Target="https://www.youtube.com/channel/UCxRgVqFb_QJbj7aCgVWdp_A" TargetMode="External"/><Relationship Id="rId353" Type="http://schemas.openxmlformats.org/officeDocument/2006/relationships/hyperlink" Target="https://www.youtube.com/channel/UCF8LQlN_4StUH_1gm2j2MZA" TargetMode="External"/><Relationship Id="rId595" Type="http://schemas.openxmlformats.org/officeDocument/2006/relationships/hyperlink" Target="https://t.me/Solnce_na_kruchke_ultralight" TargetMode="External"/><Relationship Id="rId305" Type="http://schemas.openxmlformats.org/officeDocument/2006/relationships/hyperlink" Target="https://www.youtube.com/channel/UC652So1ACltez1kGYfVSgUQ" TargetMode="External"/><Relationship Id="rId547" Type="http://schemas.openxmlformats.org/officeDocument/2006/relationships/hyperlink" Target="https://www.youtube.com/channel/UCS_Ifyb1uubjNcDURyAiNAA" TargetMode="External"/><Relationship Id="rId789" Type="http://schemas.openxmlformats.org/officeDocument/2006/relationships/hyperlink" Target="https://t.me/DostupnayaRybalka/7972" TargetMode="External"/><Relationship Id="rId304" Type="http://schemas.openxmlformats.org/officeDocument/2006/relationships/hyperlink" Target="https://www.youtube.com/channel/UCSNRHh4XAdcTiZIIwuMNO9A" TargetMode="External"/><Relationship Id="rId546" Type="http://schemas.openxmlformats.org/officeDocument/2006/relationships/hyperlink" Target="https://www.youtube.com/channel/UC4afxNTam65Uu30SCuX5QIw" TargetMode="External"/><Relationship Id="rId788" Type="http://schemas.openxmlformats.org/officeDocument/2006/relationships/hyperlink" Target="https://t.me/DostupnayaRybalka/7972" TargetMode="External"/><Relationship Id="rId303" Type="http://schemas.openxmlformats.org/officeDocument/2006/relationships/hyperlink" Target="https://www.youtube.com/channel/UCQdNtv7Q7AmAyp1l6pqvPzw" TargetMode="External"/><Relationship Id="rId545" Type="http://schemas.openxmlformats.org/officeDocument/2006/relationships/hyperlink" Target="https://www.youtube.com/channel/UCMSYCl9oRkIk0uz0lxvZYxw" TargetMode="External"/><Relationship Id="rId787" Type="http://schemas.openxmlformats.org/officeDocument/2006/relationships/hyperlink" Target="https://tiktok.com/@dostupnaya_rybalka" TargetMode="External"/><Relationship Id="rId302" Type="http://schemas.openxmlformats.org/officeDocument/2006/relationships/hyperlink" Target="https://www.youtube.com/channel/UCb1B0fggj3bk1lfbw0N41GQ" TargetMode="External"/><Relationship Id="rId544" Type="http://schemas.openxmlformats.org/officeDocument/2006/relationships/hyperlink" Target="https://www.youtube.com/channel/UCVX1SkqPjqXSP3D8pcCtpog" TargetMode="External"/><Relationship Id="rId786" Type="http://schemas.openxmlformats.org/officeDocument/2006/relationships/hyperlink" Target="https://tiktok.com/@dostupnaya_rybalka" TargetMode="External"/><Relationship Id="rId309" Type="http://schemas.openxmlformats.org/officeDocument/2006/relationships/hyperlink" Target="https://t.me/odadache" TargetMode="External"/><Relationship Id="rId308" Type="http://schemas.openxmlformats.org/officeDocument/2006/relationships/hyperlink" Target="https://www.youtube.com/channel/UC3Y7Tx6l-QqEOvaLmuiZ1Nw" TargetMode="External"/><Relationship Id="rId307" Type="http://schemas.openxmlformats.org/officeDocument/2006/relationships/hyperlink" Target="https://www.youtube.com/channel/UCFBojaP5-dbLHC2LGK7kOMQ" TargetMode="External"/><Relationship Id="rId549" Type="http://schemas.openxmlformats.org/officeDocument/2006/relationships/hyperlink" Target="https://www.youtube.com/channel/UC18U_MikWuRu_HM72CYyeig" TargetMode="External"/><Relationship Id="rId306" Type="http://schemas.openxmlformats.org/officeDocument/2006/relationships/hyperlink" Target="https://www.youtube.com/channel/UCyu9sQ13gpX3EQoQVU278Mg" TargetMode="External"/><Relationship Id="rId548" Type="http://schemas.openxmlformats.org/officeDocument/2006/relationships/hyperlink" Target="https://www.youtube.com/channel/UCdR5mi65lym1dm5eP17-DWQ" TargetMode="External"/><Relationship Id="rId781" Type="http://schemas.openxmlformats.org/officeDocument/2006/relationships/hyperlink" Target="https://max.ru/public223173343" TargetMode="External"/><Relationship Id="rId780" Type="http://schemas.openxmlformats.org/officeDocument/2006/relationships/hyperlink" Target="https://max.ru/public223173343" TargetMode="External"/><Relationship Id="rId301" Type="http://schemas.openxmlformats.org/officeDocument/2006/relationships/hyperlink" Target="https://www.youtube.com/channel/UCCwenXAI050EmnLtQfJROkg" TargetMode="External"/><Relationship Id="rId543" Type="http://schemas.openxmlformats.org/officeDocument/2006/relationships/hyperlink" Target="https://www.youtube.com/channel/UC8L4NACLR1UJFyhkE0uSUgA" TargetMode="External"/><Relationship Id="rId785" Type="http://schemas.openxmlformats.org/officeDocument/2006/relationships/hyperlink" Target="https://max.ru/aliexfisher/AaCazIVzfcM" TargetMode="External"/><Relationship Id="rId300" Type="http://schemas.openxmlformats.org/officeDocument/2006/relationships/hyperlink" Target="https://www.youtube.com/channel/UCTzz3l8qYpha2KdaDsMhftA" TargetMode="External"/><Relationship Id="rId542" Type="http://schemas.openxmlformats.org/officeDocument/2006/relationships/hyperlink" Target="https://www.youtube.com/channel/UCgMt1Jz816KOTIPrMmLpx9w" TargetMode="External"/><Relationship Id="rId784" Type="http://schemas.openxmlformats.org/officeDocument/2006/relationships/hyperlink" Target="https://max.ru/aliexfisher/AaCazIVzfcM" TargetMode="External"/><Relationship Id="rId541" Type="http://schemas.openxmlformats.org/officeDocument/2006/relationships/hyperlink" Target="https://www.youtube.com/channel/UCK07ddFKTQnphyD3s-o_xLw" TargetMode="External"/><Relationship Id="rId783" Type="http://schemas.openxmlformats.org/officeDocument/2006/relationships/hyperlink" Target="https://telega.in/tme/dacha_my" TargetMode="External"/><Relationship Id="rId540" Type="http://schemas.openxmlformats.org/officeDocument/2006/relationships/hyperlink" Target="https://www.youtube.com/channel/UCFzfy60XsGv0NPIGeKu6TPQ" TargetMode="External"/><Relationship Id="rId782" Type="http://schemas.openxmlformats.org/officeDocument/2006/relationships/hyperlink" Target="https://telegram.me/dacha_my" TargetMode="External"/><Relationship Id="rId536" Type="http://schemas.openxmlformats.org/officeDocument/2006/relationships/hyperlink" Target="https://www.youtube.com/channel/UClt2I2X9Us1lcYEF6_xbZYQ" TargetMode="External"/><Relationship Id="rId778" Type="http://schemas.openxmlformats.org/officeDocument/2006/relationships/hyperlink" Target="https://max.ru/dachniesoveti" TargetMode="External"/><Relationship Id="rId535" Type="http://schemas.openxmlformats.org/officeDocument/2006/relationships/hyperlink" Target="https://www.youtube.com/channel/UCyuCukW1T-0dwEGdLqTN8Cg" TargetMode="External"/><Relationship Id="rId777" Type="http://schemas.openxmlformats.org/officeDocument/2006/relationships/hyperlink" Target="https://max.ru/join/L5jEV8WiwQ0PnORs9PzpP4qBAZttshkSFmnpokCbgPs" TargetMode="External"/><Relationship Id="rId534" Type="http://schemas.openxmlformats.org/officeDocument/2006/relationships/hyperlink" Target="https://www.youtube.com/channel/UCyohU24yptt-sxzcZAg0E3w" TargetMode="External"/><Relationship Id="rId776" Type="http://schemas.openxmlformats.org/officeDocument/2006/relationships/hyperlink" Target="https://max.ru/join/L5jEV8WiwQ0PnORs9PzpP4qBAZttshkSFmnpokCbgPs" TargetMode="External"/><Relationship Id="rId533" Type="http://schemas.openxmlformats.org/officeDocument/2006/relationships/hyperlink" Target="https://www.youtube.com/channel/UCN_GnrM37zgaDnVJ1Fbjg5g" TargetMode="External"/><Relationship Id="rId775" Type="http://schemas.openxmlformats.org/officeDocument/2006/relationships/hyperlink" Target="https://max.ru/prosto_dacha" TargetMode="External"/><Relationship Id="rId539" Type="http://schemas.openxmlformats.org/officeDocument/2006/relationships/hyperlink" Target="https://www.youtube.com/channel/UC0TTO7WGiRXC4GmGz11ks9Q" TargetMode="External"/><Relationship Id="rId538" Type="http://schemas.openxmlformats.org/officeDocument/2006/relationships/hyperlink" Target="https://www.youtube.com/channel/UCAScEA8B0ghEAG3HJVuh5Gg" TargetMode="External"/><Relationship Id="rId537" Type="http://schemas.openxmlformats.org/officeDocument/2006/relationships/hyperlink" Target="https://www.youtube.com/channel/UCt9AD0F8TiR0K0w7L-xxQXg" TargetMode="External"/><Relationship Id="rId779" Type="http://schemas.openxmlformats.org/officeDocument/2006/relationships/hyperlink" Target="https://max.ru/dachniesoveti" TargetMode="External"/><Relationship Id="rId770" Type="http://schemas.openxmlformats.org/officeDocument/2006/relationships/hyperlink" Target="https://t.me/ribalka_prostaya" TargetMode="External"/><Relationship Id="rId532" Type="http://schemas.openxmlformats.org/officeDocument/2006/relationships/hyperlink" Target="https://www.youtube.com/channel/UCM0K4xNrYT6LDpNuYnyTRxA" TargetMode="External"/><Relationship Id="rId774" Type="http://schemas.openxmlformats.org/officeDocument/2006/relationships/hyperlink" Target="https://max.ru/prosto_dacha" TargetMode="External"/><Relationship Id="rId531" Type="http://schemas.openxmlformats.org/officeDocument/2006/relationships/hyperlink" Target="https://www.youtube.com/channel/UCOlRSkCWbWlY5CPL9DFI-oA" TargetMode="External"/><Relationship Id="rId773" Type="http://schemas.openxmlformats.org/officeDocument/2006/relationships/hyperlink" Target="https://max.ru/join/__OvnQb3bzZzI5byvALgfigzQA1gwIo0ZNxBfYXDAyg" TargetMode="External"/><Relationship Id="rId530" Type="http://schemas.openxmlformats.org/officeDocument/2006/relationships/hyperlink" Target="https://www.youtube.com/channel/UC8CAxgY-CWao8r5kOA4reuw" TargetMode="External"/><Relationship Id="rId772" Type="http://schemas.openxmlformats.org/officeDocument/2006/relationships/hyperlink" Target="https://max.ru/join/__OvnQb3bzZzI5byvALgfigzQA1gwIo0ZNxBfYXDAyg" TargetMode="External"/><Relationship Id="rId771" Type="http://schemas.openxmlformats.org/officeDocument/2006/relationships/hyperlink" Target="https://t.me/ribalka_prostaya" TargetMode="External"/><Relationship Id="rId327" Type="http://schemas.openxmlformats.org/officeDocument/2006/relationships/hyperlink" Target="https://www.youtube.com/channel/UC6ZrQFLm6PtD0lxi2PCmd5w" TargetMode="External"/><Relationship Id="rId569" Type="http://schemas.openxmlformats.org/officeDocument/2006/relationships/hyperlink" Target="https://www.youtube.com/channel/UCg6xC5jS7IzQFfiUUUkCJ8Q" TargetMode="External"/><Relationship Id="rId326" Type="http://schemas.openxmlformats.org/officeDocument/2006/relationships/hyperlink" Target="https://www.youtube.com/channel/UCpr-BD1Z9iF7huOBpOHlfuw" TargetMode="External"/><Relationship Id="rId568" Type="http://schemas.openxmlformats.org/officeDocument/2006/relationships/hyperlink" Target="https://www.youtube.com/channel/UClt4AZPMYvNKx6JQfX09ahQ" TargetMode="External"/><Relationship Id="rId325" Type="http://schemas.openxmlformats.org/officeDocument/2006/relationships/hyperlink" Target="https://t.me/RwusT86bCyRiYjgy" TargetMode="External"/><Relationship Id="rId567" Type="http://schemas.openxmlformats.org/officeDocument/2006/relationships/hyperlink" Target="https://www.youtube.com/channel/UC6E-LgvDySDxBSkFMNacJ0w" TargetMode="External"/><Relationship Id="rId324" Type="http://schemas.openxmlformats.org/officeDocument/2006/relationships/hyperlink" Target="https://www.youtube.com/channel/UCz9r2-3zU0FDjV17i3cD4HQ" TargetMode="External"/><Relationship Id="rId566" Type="http://schemas.openxmlformats.org/officeDocument/2006/relationships/hyperlink" Target="https://www.youtube.com/channel/UCYtGU4eyKmIZy3ebCdPg-Uw" TargetMode="External"/><Relationship Id="rId329" Type="http://schemas.openxmlformats.org/officeDocument/2006/relationships/hyperlink" Target="https://t.me/+A9anQBJ-2941MzAy" TargetMode="External"/><Relationship Id="rId328" Type="http://schemas.openxmlformats.org/officeDocument/2006/relationships/hyperlink" Target="https://t.me/TlBp4fhLaY44YmUy" TargetMode="External"/><Relationship Id="rId561" Type="http://schemas.openxmlformats.org/officeDocument/2006/relationships/hyperlink" Target="https://www.youtube.com/channel/UCekHR3GTbY2S_IvQKz6_ijg" TargetMode="External"/><Relationship Id="rId560" Type="http://schemas.openxmlformats.org/officeDocument/2006/relationships/hyperlink" Target="https://www.youtube.com/channel/UCnMH2_Sj4pKlgowa8X6kzgw" TargetMode="External"/><Relationship Id="rId323" Type="http://schemas.openxmlformats.org/officeDocument/2006/relationships/hyperlink" Target="https://www.youtube.com/channel/UCT7qe7OJm-CHMP0ohvsbrCg" TargetMode="External"/><Relationship Id="rId565" Type="http://schemas.openxmlformats.org/officeDocument/2006/relationships/hyperlink" Target="https://www.youtube.com/channel/UCGaTuaxEDJvuSJsswVKAoXQ" TargetMode="External"/><Relationship Id="rId322" Type="http://schemas.openxmlformats.org/officeDocument/2006/relationships/hyperlink" Target="https://www.youtube.com/channel/UC-7PF9rLc6viSXpv5bt8sLA" TargetMode="External"/><Relationship Id="rId564" Type="http://schemas.openxmlformats.org/officeDocument/2006/relationships/hyperlink" Target="https://www.youtube.com/channel/UCn73tDK8cIQdX4m9iXUDKLQ" TargetMode="External"/><Relationship Id="rId321" Type="http://schemas.openxmlformats.org/officeDocument/2006/relationships/hyperlink" Target="https://t.me/dacha2702" TargetMode="External"/><Relationship Id="rId563" Type="http://schemas.openxmlformats.org/officeDocument/2006/relationships/hyperlink" Target="https://www.youtube.com/channel/UC7ERP0OKDyaqO7UXbqW8-fg" TargetMode="External"/><Relationship Id="rId320" Type="http://schemas.openxmlformats.org/officeDocument/2006/relationships/hyperlink" Target="https://t.me/pomidornyy_bloger" TargetMode="External"/><Relationship Id="rId562" Type="http://schemas.openxmlformats.org/officeDocument/2006/relationships/hyperlink" Target="https://www.youtube.com/channel/UCD54OFQji3RZstqklVO0uBA" TargetMode="External"/><Relationship Id="rId316" Type="http://schemas.openxmlformats.org/officeDocument/2006/relationships/hyperlink" Target="https://www.youtube.com/channel/UCToeTGK07TFesq17RQ0TEgg" TargetMode="External"/><Relationship Id="rId558" Type="http://schemas.openxmlformats.org/officeDocument/2006/relationships/hyperlink" Target="https://www.youtube.com/channel/UCPwMUEjqqoBpeTf4zCTLpDg" TargetMode="External"/><Relationship Id="rId315" Type="http://schemas.openxmlformats.org/officeDocument/2006/relationships/hyperlink" Target="https://www.youtube.com/channel/UCCh5MKcGC_e2qrpnHK6bx9Q" TargetMode="External"/><Relationship Id="rId557" Type="http://schemas.openxmlformats.org/officeDocument/2006/relationships/hyperlink" Target="https://www.youtube.com/channel/UC8DD66tmmqaqcnNmcgeUaCg" TargetMode="External"/><Relationship Id="rId799" Type="http://schemas.openxmlformats.org/officeDocument/2006/relationships/hyperlink" Target="https://vk.ru/greenpapan_blog" TargetMode="External"/><Relationship Id="rId314" Type="http://schemas.openxmlformats.org/officeDocument/2006/relationships/hyperlink" Target="https://t.me/nadachyu" TargetMode="External"/><Relationship Id="rId556" Type="http://schemas.openxmlformats.org/officeDocument/2006/relationships/hyperlink" Target="https://www.youtube.com/channel/UCIgLc1IYSTDUdGJnkLbo05w" TargetMode="External"/><Relationship Id="rId798" Type="http://schemas.openxmlformats.org/officeDocument/2006/relationships/hyperlink" Target="https://vk.ru/relaxcomedy" TargetMode="External"/><Relationship Id="rId313" Type="http://schemas.openxmlformats.org/officeDocument/2006/relationships/hyperlink" Target="https://www.youtube.com/channel/UCCjav8SVUMsaJIzonWR0WKw" TargetMode="External"/><Relationship Id="rId555" Type="http://schemas.openxmlformats.org/officeDocument/2006/relationships/hyperlink" Target="https://www.youtube.com/channel/UCjQlOvKo1AioNgD6LBniQxw" TargetMode="External"/><Relationship Id="rId797" Type="http://schemas.openxmlformats.org/officeDocument/2006/relationships/hyperlink" Target="https://vk.ru/relaxcomedy" TargetMode="External"/><Relationship Id="rId319" Type="http://schemas.openxmlformats.org/officeDocument/2006/relationships/hyperlink" Target="https://t.me/+VbKOT6Ig2A80NmIy" TargetMode="External"/><Relationship Id="rId318" Type="http://schemas.openxmlformats.org/officeDocument/2006/relationships/hyperlink" Target="https://www.youtube.com/channel/UCu7WDCVDJfgdKzFNRtq6Ljw" TargetMode="External"/><Relationship Id="rId317" Type="http://schemas.openxmlformats.org/officeDocument/2006/relationships/hyperlink" Target="https://t.me/+WUt9-GCYsaXnGYjU" TargetMode="External"/><Relationship Id="rId559" Type="http://schemas.openxmlformats.org/officeDocument/2006/relationships/hyperlink" Target="https://www.youtube.com/channel/UCLG1QcpalByXP6xJM-klcoA" TargetMode="External"/><Relationship Id="rId550" Type="http://schemas.openxmlformats.org/officeDocument/2006/relationships/hyperlink" Target="https://www.youtube.com/channel/UCHP2xryezOeby-guYt2HUNQ" TargetMode="External"/><Relationship Id="rId792" Type="http://schemas.openxmlformats.org/officeDocument/2006/relationships/hyperlink" Target="https://rutube.ru/u/DostupnayaRybalka" TargetMode="External"/><Relationship Id="rId791" Type="http://schemas.openxmlformats.org/officeDocument/2006/relationships/hyperlink" Target="https://rutube.ru/u/DostupnayaRybalka" TargetMode="External"/><Relationship Id="rId790" Type="http://schemas.openxmlformats.org/officeDocument/2006/relationships/hyperlink" Target="https://vk.ru/aliexfisher?w=wall-136853349_64956" TargetMode="External"/><Relationship Id="rId312" Type="http://schemas.openxmlformats.org/officeDocument/2006/relationships/hyperlink" Target="https://www.youtube.com/channel/UCvkEbk8P5MmU2qMRtOprhbw" TargetMode="External"/><Relationship Id="rId554" Type="http://schemas.openxmlformats.org/officeDocument/2006/relationships/hyperlink" Target="https://www.youtube.com/channel/UCyQVb8yYGBNqDSDuCksYqew" TargetMode="External"/><Relationship Id="rId796" Type="http://schemas.openxmlformats.org/officeDocument/2006/relationships/hyperlink" Target="https://max.ru/simoniata" TargetMode="External"/><Relationship Id="rId311" Type="http://schemas.openxmlformats.org/officeDocument/2006/relationships/hyperlink" Target="https://t.me/+dEBC6CqyGyBmZDA6" TargetMode="External"/><Relationship Id="rId553" Type="http://schemas.openxmlformats.org/officeDocument/2006/relationships/hyperlink" Target="https://www.youtube.com/channel/UCr_Qu1gBdqJAdt6a7VTvhJg" TargetMode="External"/><Relationship Id="rId795" Type="http://schemas.openxmlformats.org/officeDocument/2006/relationships/hyperlink" Target="https://max.ru/simoniata" TargetMode="External"/><Relationship Id="rId310" Type="http://schemas.openxmlformats.org/officeDocument/2006/relationships/hyperlink" Target="https://www.youtube.com/channel/UCGiYK2lEQcDRFczxcdaJYKg" TargetMode="External"/><Relationship Id="rId552" Type="http://schemas.openxmlformats.org/officeDocument/2006/relationships/hyperlink" Target="https://www.youtube.com/channel/UChYajUc2ZjefHIuK84IPmiw" TargetMode="External"/><Relationship Id="rId794" Type="http://schemas.openxmlformats.org/officeDocument/2006/relationships/hyperlink" Target="https://t.me/simoniata" TargetMode="External"/><Relationship Id="rId551" Type="http://schemas.openxmlformats.org/officeDocument/2006/relationships/hyperlink" Target="https://www.youtube.com/channel/UCzULJ84ey0PhEAl7Wm0wAQQ" TargetMode="External"/><Relationship Id="rId793" Type="http://schemas.openxmlformats.org/officeDocument/2006/relationships/hyperlink" Target="https://t.me/simoniata" TargetMode="External"/><Relationship Id="rId297" Type="http://schemas.openxmlformats.org/officeDocument/2006/relationships/hyperlink" Target="https://www.youtube.com/channel/UCz_XsQ13UQjmlJu5VKY-bgg" TargetMode="External"/><Relationship Id="rId296" Type="http://schemas.openxmlformats.org/officeDocument/2006/relationships/hyperlink" Target="https://www.youtube.com/channel/UC4jgTe-QH-jrK6eCF_-ptXw" TargetMode="External"/><Relationship Id="rId295" Type="http://schemas.openxmlformats.org/officeDocument/2006/relationships/hyperlink" Target="https://www.youtube.com/channel/UCAEqaGmAsmGmxFuoBO9bYrw" TargetMode="External"/><Relationship Id="rId294" Type="http://schemas.openxmlformats.org/officeDocument/2006/relationships/hyperlink" Target="https://www.youtube.com/channel/UCRheQmw7639AzT92sWgZ-Yg" TargetMode="External"/><Relationship Id="rId299" Type="http://schemas.openxmlformats.org/officeDocument/2006/relationships/hyperlink" Target="https://www.youtube.com/channel/UC6VTk7QrS_9u25AKAUPk_vw" TargetMode="External"/><Relationship Id="rId298" Type="http://schemas.openxmlformats.org/officeDocument/2006/relationships/hyperlink" Target="https://www.youtube.com/channel/UC4dqt5xDNmesDx8ufr1FGVw" TargetMode="External"/><Relationship Id="rId271" Type="http://schemas.openxmlformats.org/officeDocument/2006/relationships/hyperlink" Target="https://t.me/dachniesoveti" TargetMode="External"/><Relationship Id="rId270" Type="http://schemas.openxmlformats.org/officeDocument/2006/relationships/hyperlink" Target="https://www.youtube.com/channel/UCnVkyAKSRgbFQmDZurdkb9Q" TargetMode="External"/><Relationship Id="rId269" Type="http://schemas.openxmlformats.org/officeDocument/2006/relationships/hyperlink" Target="https://t.me/plantexchange" TargetMode="External"/><Relationship Id="rId264" Type="http://schemas.openxmlformats.org/officeDocument/2006/relationships/hyperlink" Target="https://t.me/chat_realnyi_sadovod" TargetMode="External"/><Relationship Id="rId263" Type="http://schemas.openxmlformats.org/officeDocument/2006/relationships/hyperlink" Target="https://www.youtube.com/channel/UCMtfdS_we9nq_87L2v14krg" TargetMode="External"/><Relationship Id="rId262" Type="http://schemas.openxmlformats.org/officeDocument/2006/relationships/hyperlink" Target="https://www.youtube.com/channel/UCtqlHqVuH-J4I8jHdJts7ig" TargetMode="External"/><Relationship Id="rId261" Type="http://schemas.openxmlformats.org/officeDocument/2006/relationships/hyperlink" Target="https://www.youtube.com/channel/UCw3ocPPBiohX0_-6L2oTsqQ" TargetMode="External"/><Relationship Id="rId268" Type="http://schemas.openxmlformats.org/officeDocument/2006/relationships/hyperlink" Target="https://www.youtube.com/channel/UC-EYRkRgArSnO2eo8NbsUkw" TargetMode="External"/><Relationship Id="rId267" Type="http://schemas.openxmlformats.org/officeDocument/2006/relationships/hyperlink" Target="https://www.youtube.com/channel/UCTZKHG95q3_vgsUUe9-1OuA" TargetMode="External"/><Relationship Id="rId266" Type="http://schemas.openxmlformats.org/officeDocument/2006/relationships/hyperlink" Target="https://www.youtube.com/channel/UCSzv9H_d8EU9gejpF_crIIQ" TargetMode="External"/><Relationship Id="rId265" Type="http://schemas.openxmlformats.org/officeDocument/2006/relationships/hyperlink" Target="https://www.youtube.com/channel/UC03Grj5Eb-Z42zHFYVKwhAg" TargetMode="External"/><Relationship Id="rId260" Type="http://schemas.openxmlformats.org/officeDocument/2006/relationships/hyperlink" Target="https://www.youtube.com/channel/UCaEa6gdwcs41EfgQKkJ-KKQ" TargetMode="External"/><Relationship Id="rId259" Type="http://schemas.openxmlformats.org/officeDocument/2006/relationships/hyperlink" Target="https://www.youtube.com/channel/UCqMUEoYlZaK8r0d3Q1gWkvA" TargetMode="External"/><Relationship Id="rId258" Type="http://schemas.openxmlformats.org/officeDocument/2006/relationships/hyperlink" Target="https://www.youtube.com/channel/UC5VJX9s0pI2Ra-phAQvl6MA" TargetMode="External"/><Relationship Id="rId253" Type="http://schemas.openxmlformats.org/officeDocument/2006/relationships/hyperlink" Target="https://www.youtube.com/channel/UCQrudabs2jRxEoQ3QP1zhGw" TargetMode="External"/><Relationship Id="rId495" Type="http://schemas.openxmlformats.org/officeDocument/2006/relationships/hyperlink" Target="https://www.youtube.com/channel/UCtNfF8h63V0xo0KPSsXJTCQ" TargetMode="External"/><Relationship Id="rId252" Type="http://schemas.openxmlformats.org/officeDocument/2006/relationships/hyperlink" Target="https://www.youtube.com/channel/UCA2-elZGIdo8YGlkpUIsF3g" TargetMode="External"/><Relationship Id="rId494" Type="http://schemas.openxmlformats.org/officeDocument/2006/relationships/hyperlink" Target="https://www.youtube.com/channel/UCS9kAHsSZ-ZETG2yq_USy2w" TargetMode="External"/><Relationship Id="rId251" Type="http://schemas.openxmlformats.org/officeDocument/2006/relationships/hyperlink" Target="https://www.youtube.com/channel/UCl4kqoQwngako6KmYF4oVCw" TargetMode="External"/><Relationship Id="rId493" Type="http://schemas.openxmlformats.org/officeDocument/2006/relationships/hyperlink" Target="https://www.youtube.com/channel/UCO_E1CqNKtdzT4aI_ZYa7aQ" TargetMode="External"/><Relationship Id="rId250" Type="http://schemas.openxmlformats.org/officeDocument/2006/relationships/hyperlink" Target="https://www.youtube.com/channel/UCnt2Z1xMelunuNGWftqOlbA" TargetMode="External"/><Relationship Id="rId492" Type="http://schemas.openxmlformats.org/officeDocument/2006/relationships/hyperlink" Target="https://www.youtube.com/channel/UCOSDKN_6KAhakd7yxeWRFRQ" TargetMode="External"/><Relationship Id="rId257" Type="http://schemas.openxmlformats.org/officeDocument/2006/relationships/hyperlink" Target="https://www.youtube.com/channel/UCSroPwuBhicb-XaZuner8ig" TargetMode="External"/><Relationship Id="rId499" Type="http://schemas.openxmlformats.org/officeDocument/2006/relationships/hyperlink" Target="https://www.youtube.com/channel/UCzo5fLcI2PaxVbq2OFifkzA" TargetMode="External"/><Relationship Id="rId256" Type="http://schemas.openxmlformats.org/officeDocument/2006/relationships/hyperlink" Target="https://www.youtube.com/channel/UCGcSJTH8j4xhGGY4V2eo2mg" TargetMode="External"/><Relationship Id="rId498" Type="http://schemas.openxmlformats.org/officeDocument/2006/relationships/hyperlink" Target="https://www.youtube.com/channel/UCdPybHavSwZSNBgD5I4vwOg" TargetMode="External"/><Relationship Id="rId255" Type="http://schemas.openxmlformats.org/officeDocument/2006/relationships/hyperlink" Target="https://t.me/+DjxoDXz6zqkwYWVi" TargetMode="External"/><Relationship Id="rId497" Type="http://schemas.openxmlformats.org/officeDocument/2006/relationships/hyperlink" Target="https://www.youtube.com/channel/UCW_eUN8gjVjC4jf6g0afBkA" TargetMode="External"/><Relationship Id="rId254" Type="http://schemas.openxmlformats.org/officeDocument/2006/relationships/hyperlink" Target="https://www.youtube.com/channel/UCjV5wWtKPP0wGQUGpa2izkQ" TargetMode="External"/><Relationship Id="rId496" Type="http://schemas.openxmlformats.org/officeDocument/2006/relationships/hyperlink" Target="https://www.youtube.com/channel/UCX3fbbgChAKa7sgK9dmfW9A" TargetMode="External"/><Relationship Id="rId293" Type="http://schemas.openxmlformats.org/officeDocument/2006/relationships/hyperlink" Target="https://www.youtube.com/channel/UCsBSo_hIgetL8f8cAAahBlQ" TargetMode="External"/><Relationship Id="rId292" Type="http://schemas.openxmlformats.org/officeDocument/2006/relationships/hyperlink" Target="https://www.youtube.com/channel/UCQzdWRWGdpFHiwhgdRtTzLw" TargetMode="External"/><Relationship Id="rId291" Type="http://schemas.openxmlformats.org/officeDocument/2006/relationships/hyperlink" Target="https://t.me/+lI052Q8bhnE5MTZi" TargetMode="External"/><Relationship Id="rId290" Type="http://schemas.openxmlformats.org/officeDocument/2006/relationships/hyperlink" Target="https://www.youtube.com/channel/UC00j6N2B3toc5sG6ZGB5okQ" TargetMode="External"/><Relationship Id="rId286" Type="http://schemas.openxmlformats.org/officeDocument/2006/relationships/hyperlink" Target="https://t.me/n9LeDpunLwVkMTBi" TargetMode="External"/><Relationship Id="rId285" Type="http://schemas.openxmlformats.org/officeDocument/2006/relationships/hyperlink" Target="https://t.me/+Y4Cct8pa-RNiOWJi" TargetMode="External"/><Relationship Id="rId284" Type="http://schemas.openxmlformats.org/officeDocument/2006/relationships/hyperlink" Target="https://www.youtube.com/channel/UCVa8-buprtFVk7KyD5GPerA" TargetMode="External"/><Relationship Id="rId283" Type="http://schemas.openxmlformats.org/officeDocument/2006/relationships/hyperlink" Target="https://t.me/landshaft_blog" TargetMode="External"/><Relationship Id="rId289" Type="http://schemas.openxmlformats.org/officeDocument/2006/relationships/hyperlink" Target="https://t.me/fruittechnology" TargetMode="External"/><Relationship Id="rId288" Type="http://schemas.openxmlformats.org/officeDocument/2006/relationships/hyperlink" Target="https://www.youtube.com/channel/UCBXHEcJgyC_tWesCqqnrg-A" TargetMode="External"/><Relationship Id="rId287" Type="http://schemas.openxmlformats.org/officeDocument/2006/relationships/hyperlink" Target="https://www.youtube.com/channel/UCqQ14a3NPTkpAfmb9rzLp3Q" TargetMode="External"/><Relationship Id="rId282" Type="http://schemas.openxmlformats.org/officeDocument/2006/relationships/hyperlink" Target="https://t.me/SovBio" TargetMode="External"/><Relationship Id="rId281" Type="http://schemas.openxmlformats.org/officeDocument/2006/relationships/hyperlink" Target="https://www.youtube.com/channel/UCYSayBOaiJE6xdtL1Q9KDNw" TargetMode="External"/><Relationship Id="rId280" Type="http://schemas.openxmlformats.org/officeDocument/2006/relationships/hyperlink" Target="https://www.youtube.com/channel/UCbaPc6BlTbfDakQrWW9aj3Q" TargetMode="External"/><Relationship Id="rId275" Type="http://schemas.openxmlformats.org/officeDocument/2006/relationships/hyperlink" Target="https://www.youtube.com/channel/UCNMuYql6jE7TXXBQh_zxOww" TargetMode="External"/><Relationship Id="rId274" Type="http://schemas.openxmlformats.org/officeDocument/2006/relationships/hyperlink" Target="https://www.youtube.com/channel/UCtunIaslnBSQsZseaYHzFWQ" TargetMode="External"/><Relationship Id="rId273" Type="http://schemas.openxmlformats.org/officeDocument/2006/relationships/hyperlink" Target="https://www.youtube.com/channel/UCEwuMgDwXxcCBSGmeKerF5w" TargetMode="External"/><Relationship Id="rId272" Type="http://schemas.openxmlformats.org/officeDocument/2006/relationships/hyperlink" Target="https://www.youtube.com/channel/UCi0QH6N_TzzgMw_aodYwoug" TargetMode="External"/><Relationship Id="rId279" Type="http://schemas.openxmlformats.org/officeDocument/2006/relationships/hyperlink" Target="https://www.youtube.com/channel/UCshD-psWM53OL1VD7HOWf8g" TargetMode="External"/><Relationship Id="rId278" Type="http://schemas.openxmlformats.org/officeDocument/2006/relationships/hyperlink" Target="https://www.youtube.com/channel/UCYgytz3d3RBPWcbXbmgH24A" TargetMode="External"/><Relationship Id="rId277" Type="http://schemas.openxmlformats.org/officeDocument/2006/relationships/hyperlink" Target="https://www.youtube.com/channel/UCE-9s5_ReW4ZJd0Fkv3GiOA" TargetMode="External"/><Relationship Id="rId276" Type="http://schemas.openxmlformats.org/officeDocument/2006/relationships/hyperlink" Target="https://www.youtube.com/channel/UCjZmn1WEljhgIc7X20Gr4NA" TargetMode="External"/><Relationship Id="rId907" Type="http://schemas.openxmlformats.org/officeDocument/2006/relationships/hyperlink" Target="https://max.ru/join/Sum2uwyOiduGO_YdA4SJEYF4Vu9OQel1MSFE0wnDjrE" TargetMode="External"/><Relationship Id="rId906" Type="http://schemas.openxmlformats.org/officeDocument/2006/relationships/hyperlink" Target="https://max.ru/join/Sum2uwyOiduGO_YdA4SJEYF4Vu9OQel1MSFE0wnDjrE" TargetMode="External"/><Relationship Id="rId905" Type="http://schemas.openxmlformats.org/officeDocument/2006/relationships/hyperlink" Target="https://max.ru/join/fZZmbgSqiU07NxW5iRZLBZH_J8nMGr_W6Zo6XF6taPw" TargetMode="External"/><Relationship Id="rId904" Type="http://schemas.openxmlformats.org/officeDocument/2006/relationships/hyperlink" Target="https://max.ru/join/fZZmbgSqiU07NxW5iRZLBZH_J8nMGr_W6Zo6XF6taPw" TargetMode="External"/><Relationship Id="rId909" Type="http://schemas.openxmlformats.org/officeDocument/2006/relationships/hyperlink" Target="https://max.ru/join/P916KhDigIXCMbPKMrwnl0-caHoBE-zLMIZsEvB0ZXs" TargetMode="External"/><Relationship Id="rId908" Type="http://schemas.openxmlformats.org/officeDocument/2006/relationships/hyperlink" Target="https://max.ru/join/P916KhDigIXCMbPKMrwnl0-caHoBE-zLMIZsEvB0ZXs" TargetMode="External"/><Relationship Id="rId903" Type="http://schemas.openxmlformats.org/officeDocument/2006/relationships/hyperlink" Target="https://max.ru/join/RsYvXIhAcs28ZYjx1GDjtbwyOTN2xXZ0YnLF78jfGHY" TargetMode="External"/><Relationship Id="rId902" Type="http://schemas.openxmlformats.org/officeDocument/2006/relationships/hyperlink" Target="https://max.ru/join/RsYvXIhAcs28ZYjx1GDjtbwyOTN2xXZ0YnLF78jfGHY" TargetMode="External"/><Relationship Id="rId901" Type="http://schemas.openxmlformats.org/officeDocument/2006/relationships/hyperlink" Target="https://www.youtube.com/@Daniil.record" TargetMode="External"/><Relationship Id="rId900" Type="http://schemas.openxmlformats.org/officeDocument/2006/relationships/hyperlink" Target="https://www.youtube.com/@Daniil.record" TargetMode="External"/><Relationship Id="rId910" Type="http://schemas.openxmlformats.org/officeDocument/2006/relationships/hyperlink" Target="https://telegram.me/+e6EU7b8p-A42MTRi" TargetMode="External"/><Relationship Id="rId911" Type="http://schemas.openxmlformats.org/officeDocument/2006/relationships/drawing" Target="../drawings/drawing1.xml"/><Relationship Id="rId629" Type="http://schemas.openxmlformats.org/officeDocument/2006/relationships/hyperlink" Target="https://max.ru/channel_Rybalka_52" TargetMode="External"/><Relationship Id="rId624" Type="http://schemas.openxmlformats.org/officeDocument/2006/relationships/hyperlink" Target="https://max.ru/rubalkarussia" TargetMode="External"/><Relationship Id="rId866" Type="http://schemas.openxmlformats.org/officeDocument/2006/relationships/hyperlink" Target="https://max.ru/krdns" TargetMode="External"/><Relationship Id="rId623" Type="http://schemas.openxmlformats.org/officeDocument/2006/relationships/hyperlink" Target="https://max.ru/rubalkarussia" TargetMode="External"/><Relationship Id="rId865" Type="http://schemas.openxmlformats.org/officeDocument/2006/relationships/hyperlink" Target="https://max.ru/rostovnews61" TargetMode="External"/><Relationship Id="rId622" Type="http://schemas.openxmlformats.org/officeDocument/2006/relationships/hyperlink" Target="https://max.ru/fishingspb1" TargetMode="External"/><Relationship Id="rId864" Type="http://schemas.openxmlformats.org/officeDocument/2006/relationships/hyperlink" Target="https://max.ru/rostovnews61" TargetMode="External"/><Relationship Id="rId621" Type="http://schemas.openxmlformats.org/officeDocument/2006/relationships/hyperlink" Target="https://max.ru/fishingspb1" TargetMode="External"/><Relationship Id="rId863" Type="http://schemas.openxmlformats.org/officeDocument/2006/relationships/hyperlink" Target="https://vk.ru/official.semenov" TargetMode="External"/><Relationship Id="rId628" Type="http://schemas.openxmlformats.org/officeDocument/2006/relationships/hyperlink" Target="https://max.ru/fish_journal" TargetMode="External"/><Relationship Id="rId627" Type="http://schemas.openxmlformats.org/officeDocument/2006/relationships/hyperlink" Target="https://max.ru/fish_journal" TargetMode="External"/><Relationship Id="rId869" Type="http://schemas.openxmlformats.org/officeDocument/2006/relationships/hyperlink" Target="https://max.ru/club228966716" TargetMode="External"/><Relationship Id="rId626" Type="http://schemas.openxmlformats.org/officeDocument/2006/relationships/hyperlink" Target="https://max.ru/channel_fishfearme" TargetMode="External"/><Relationship Id="rId868" Type="http://schemas.openxmlformats.org/officeDocument/2006/relationships/hyperlink" Target="https://max.ru/club228966716" TargetMode="External"/><Relationship Id="rId625" Type="http://schemas.openxmlformats.org/officeDocument/2006/relationships/hyperlink" Target="https://max.ru/channel_fishfearme" TargetMode="External"/><Relationship Id="rId867" Type="http://schemas.openxmlformats.org/officeDocument/2006/relationships/hyperlink" Target="https://max.ru/krdns" TargetMode="External"/><Relationship Id="rId620" Type="http://schemas.openxmlformats.org/officeDocument/2006/relationships/hyperlink" Target="https://max.ru/alexeyvfishing" TargetMode="External"/><Relationship Id="rId862" Type="http://schemas.openxmlformats.org/officeDocument/2006/relationships/hyperlink" Target="https://vk.ru/official.semenov" TargetMode="External"/><Relationship Id="rId861" Type="http://schemas.openxmlformats.org/officeDocument/2006/relationships/hyperlink" Target="https://max.ru/club230588680" TargetMode="External"/><Relationship Id="rId860" Type="http://schemas.openxmlformats.org/officeDocument/2006/relationships/hyperlink" Target="https://max.ru/club230588680" TargetMode="External"/><Relationship Id="rId619" Type="http://schemas.openxmlformats.org/officeDocument/2006/relationships/hyperlink" Target="https://max.ru/alexeyvfishing" TargetMode="External"/><Relationship Id="rId618" Type="http://schemas.openxmlformats.org/officeDocument/2006/relationships/hyperlink" Target="https://t.me/fishercl" TargetMode="External"/><Relationship Id="rId613" Type="http://schemas.openxmlformats.org/officeDocument/2006/relationships/hyperlink" Target="https://max.ru/rybalkasakhalin" TargetMode="External"/><Relationship Id="rId855" Type="http://schemas.openxmlformats.org/officeDocument/2006/relationships/hyperlink" Target="https://max.ru/razumdoz" TargetMode="External"/><Relationship Id="rId612" Type="http://schemas.openxmlformats.org/officeDocument/2006/relationships/hyperlink" Target="https://max.ru/syilers2019" TargetMode="External"/><Relationship Id="rId854" Type="http://schemas.openxmlformats.org/officeDocument/2006/relationships/hyperlink" Target="https://max.ru/razumdoz" TargetMode="External"/><Relationship Id="rId611" Type="http://schemas.openxmlformats.org/officeDocument/2006/relationships/hyperlink" Target="https://max.ru/syilers2019" TargetMode="External"/><Relationship Id="rId853" Type="http://schemas.openxmlformats.org/officeDocument/2006/relationships/hyperlink" Target="https://max.ru/bestnogotochki" TargetMode="External"/><Relationship Id="rId610" Type="http://schemas.openxmlformats.org/officeDocument/2006/relationships/hyperlink" Target="https://t.me/syilers26" TargetMode="External"/><Relationship Id="rId852" Type="http://schemas.openxmlformats.org/officeDocument/2006/relationships/hyperlink" Target="https://max.ru/bestnogotochki" TargetMode="External"/><Relationship Id="rId617" Type="http://schemas.openxmlformats.org/officeDocument/2006/relationships/hyperlink" Target="https://t.me/fishercl" TargetMode="External"/><Relationship Id="rId859" Type="http://schemas.openxmlformats.org/officeDocument/2006/relationships/hyperlink" Target="https://max.ru/murom_navashino" TargetMode="External"/><Relationship Id="rId616" Type="http://schemas.openxmlformats.org/officeDocument/2006/relationships/hyperlink" Target="https://max.ru/fishes43" TargetMode="External"/><Relationship Id="rId858" Type="http://schemas.openxmlformats.org/officeDocument/2006/relationships/hyperlink" Target="https://max.ru/murom_navashino" TargetMode="External"/><Relationship Id="rId615" Type="http://schemas.openxmlformats.org/officeDocument/2006/relationships/hyperlink" Target="https://max.ru/fishes43" TargetMode="External"/><Relationship Id="rId857" Type="http://schemas.openxmlformats.org/officeDocument/2006/relationships/hyperlink" Target="https://max.ru/men_115" TargetMode="External"/><Relationship Id="rId614" Type="http://schemas.openxmlformats.org/officeDocument/2006/relationships/hyperlink" Target="https://max.ru/rybalkasakhalin" TargetMode="External"/><Relationship Id="rId856" Type="http://schemas.openxmlformats.org/officeDocument/2006/relationships/hyperlink" Target="https://max.ru/men_115" TargetMode="External"/><Relationship Id="rId851" Type="http://schemas.openxmlformats.org/officeDocument/2006/relationships/hyperlink" Target="https://max.ru/ch_600bd9ea0424210ae70922c8" TargetMode="External"/><Relationship Id="rId850" Type="http://schemas.openxmlformats.org/officeDocument/2006/relationships/hyperlink" Target="https://max.ru/ch_600bd9ea0424210ae70922c8" TargetMode="External"/><Relationship Id="rId409" Type="http://schemas.openxmlformats.org/officeDocument/2006/relationships/hyperlink" Target="https://www.youtube.com/channel/UCpBuqQ9_5POc4a81QosMYXA" TargetMode="External"/><Relationship Id="rId404" Type="http://schemas.openxmlformats.org/officeDocument/2006/relationships/hyperlink" Target="https://t.me/FlowJoy_market" TargetMode="External"/><Relationship Id="rId646" Type="http://schemas.openxmlformats.org/officeDocument/2006/relationships/hyperlink" Target="https://www.youtube.com/@pikeordie" TargetMode="External"/><Relationship Id="rId888" Type="http://schemas.openxmlformats.org/officeDocument/2006/relationships/hyperlink" Target="https://vk.ru/papa.optimist.offical" TargetMode="External"/><Relationship Id="rId403" Type="http://schemas.openxmlformats.org/officeDocument/2006/relationships/hyperlink" Target="https://www.youtube.com/channel/UCZuSwts-TxpT9vLme8T0LeA" TargetMode="External"/><Relationship Id="rId645" Type="http://schemas.openxmlformats.org/officeDocument/2006/relationships/hyperlink" Target="https://vk.ru/fishing_region72" TargetMode="External"/><Relationship Id="rId887" Type="http://schemas.openxmlformats.org/officeDocument/2006/relationships/hyperlink" Target="https://vk.com/buhlopovar" TargetMode="External"/><Relationship Id="rId402" Type="http://schemas.openxmlformats.org/officeDocument/2006/relationships/hyperlink" Target="https://www.youtube.com/channel/UCnlUcRFmyT15xfXBA6Wsi4w" TargetMode="External"/><Relationship Id="rId644" Type="http://schemas.openxmlformats.org/officeDocument/2006/relationships/hyperlink" Target="https://max.ru/life_fishing" TargetMode="External"/><Relationship Id="rId886" Type="http://schemas.openxmlformats.org/officeDocument/2006/relationships/hyperlink" Target="https://vk.com/buhlopovar" TargetMode="External"/><Relationship Id="rId401" Type="http://schemas.openxmlformats.org/officeDocument/2006/relationships/hyperlink" Target="https://www.youtube.com/channel/UC-7JFTlBFxOeXRrsXErBC1Q" TargetMode="External"/><Relationship Id="rId643" Type="http://schemas.openxmlformats.org/officeDocument/2006/relationships/hyperlink" Target="https://max.ru/life_fishing" TargetMode="External"/><Relationship Id="rId885" Type="http://schemas.openxmlformats.org/officeDocument/2006/relationships/hyperlink" Target="https://youtube.com/@buhlopovar" TargetMode="External"/><Relationship Id="rId408" Type="http://schemas.openxmlformats.org/officeDocument/2006/relationships/hyperlink" Target="https://www.youtube.com/channel/UCpWRaERORWmt9IrER_lzQxw" TargetMode="External"/><Relationship Id="rId407" Type="http://schemas.openxmlformats.org/officeDocument/2006/relationships/hyperlink" Target="https://www.youtube.com/channel/UCTC3-cfppWPZb-0f7U3xTwg" TargetMode="External"/><Relationship Id="rId649" Type="http://schemas.openxmlformats.org/officeDocument/2006/relationships/hyperlink" Target="https://rutube.ru/channel/43101422" TargetMode="External"/><Relationship Id="rId406" Type="http://schemas.openxmlformats.org/officeDocument/2006/relationships/hyperlink" Target="https://www.youtube.com/channel/UCjX5AvCwuEXJzzujkL-VsQw" TargetMode="External"/><Relationship Id="rId648" Type="http://schemas.openxmlformats.org/officeDocument/2006/relationships/hyperlink" Target="https://rutube.ru/channel/43101422" TargetMode="External"/><Relationship Id="rId405" Type="http://schemas.openxmlformats.org/officeDocument/2006/relationships/hyperlink" Target="https://www.youtube.com/channel/UC3GYq5lJ3lwUS56GHD36aDQ" TargetMode="External"/><Relationship Id="rId647" Type="http://schemas.openxmlformats.org/officeDocument/2006/relationships/hyperlink" Target="https://www.youtube.com/@pikeordie" TargetMode="External"/><Relationship Id="rId889" Type="http://schemas.openxmlformats.org/officeDocument/2006/relationships/hyperlink" Target="https://vk.ru/papa.optimist.offical" TargetMode="External"/><Relationship Id="rId880" Type="http://schemas.openxmlformats.org/officeDocument/2006/relationships/hyperlink" Target="https://youtube.com/@tema_gotovit63" TargetMode="External"/><Relationship Id="rId400" Type="http://schemas.openxmlformats.org/officeDocument/2006/relationships/hyperlink" Target="https://www.youtube.com/channel/UCHlV7KJJP2sDft7zo3eNrmA" TargetMode="External"/><Relationship Id="rId642" Type="http://schemas.openxmlformats.org/officeDocument/2006/relationships/hyperlink" Target="https://max.ru/channel_Rostov_Fishing" TargetMode="External"/><Relationship Id="rId884" Type="http://schemas.openxmlformats.org/officeDocument/2006/relationships/hyperlink" Target="https://youtube.com/@buhlopovar" TargetMode="External"/><Relationship Id="rId641" Type="http://schemas.openxmlformats.org/officeDocument/2006/relationships/hyperlink" Target="https://max.ru/channel_Rostov_Fishing" TargetMode="External"/><Relationship Id="rId883" Type="http://schemas.openxmlformats.org/officeDocument/2006/relationships/hyperlink" Target="https://www.tiktok.com/@alexander_karasik" TargetMode="External"/><Relationship Id="rId640" Type="http://schemas.openxmlformats.org/officeDocument/2006/relationships/hyperlink" Target="https://t.me/samarafish" TargetMode="External"/><Relationship Id="rId882" Type="http://schemas.openxmlformats.org/officeDocument/2006/relationships/hyperlink" Target="https://www.tiktok.com/@alexander_karasik" TargetMode="External"/><Relationship Id="rId881" Type="http://schemas.openxmlformats.org/officeDocument/2006/relationships/hyperlink" Target="https://youtube.com/@tema_gotovit63" TargetMode="External"/><Relationship Id="rId635" Type="http://schemas.openxmlformats.org/officeDocument/2006/relationships/hyperlink" Target="https://t.me/feeder_spb" TargetMode="External"/><Relationship Id="rId877" Type="http://schemas.openxmlformats.org/officeDocument/2006/relationships/hyperlink" Target="https://vk.ru/club232326034" TargetMode="External"/><Relationship Id="rId634" Type="http://schemas.openxmlformats.org/officeDocument/2006/relationships/hyperlink" Target="https://max.ru/rybalka555" TargetMode="External"/><Relationship Id="rId876" Type="http://schemas.openxmlformats.org/officeDocument/2006/relationships/hyperlink" Target="https://vk.ru/club232326034" TargetMode="External"/><Relationship Id="rId633" Type="http://schemas.openxmlformats.org/officeDocument/2006/relationships/hyperlink" Target="https://max.ru/rybalka555" TargetMode="External"/><Relationship Id="rId875" Type="http://schemas.openxmlformats.org/officeDocument/2006/relationships/hyperlink" Target="https://www.tiktok.com/@dobrikka?_r=1&amp;_t=ZS-96SUAMU0m2v" TargetMode="External"/><Relationship Id="rId632" Type="http://schemas.openxmlformats.org/officeDocument/2006/relationships/hyperlink" Target="https://max.ru/russian_fishing_pro" TargetMode="External"/><Relationship Id="rId874" Type="http://schemas.openxmlformats.org/officeDocument/2006/relationships/hyperlink" Target="https://www.tiktok.com/@dobrikka?_r=1&amp;_t=ZS-96SUAMU0m2v" TargetMode="External"/><Relationship Id="rId639" Type="http://schemas.openxmlformats.org/officeDocument/2006/relationships/hyperlink" Target="https://t.me/samarafish" TargetMode="External"/><Relationship Id="rId638" Type="http://schemas.openxmlformats.org/officeDocument/2006/relationships/hyperlink" Target="https://max.ru/Fishing_Kuban_Adygea" TargetMode="External"/><Relationship Id="rId637" Type="http://schemas.openxmlformats.org/officeDocument/2006/relationships/hyperlink" Target="https://max.ru/Fishing_Kuban_Adygea" TargetMode="External"/><Relationship Id="rId879" Type="http://schemas.openxmlformats.org/officeDocument/2006/relationships/hyperlink" Target="https://www.tiktok.com/@_traktorist163?_r=1&amp;_t=ZS-9A4p1jn9wgP" TargetMode="External"/><Relationship Id="rId636" Type="http://schemas.openxmlformats.org/officeDocument/2006/relationships/hyperlink" Target="https://t.me/feeder_spb" TargetMode="External"/><Relationship Id="rId878" Type="http://schemas.openxmlformats.org/officeDocument/2006/relationships/hyperlink" Target="https://www.tiktok.com/@_traktorist163?_r=1&amp;_t=ZS-9A4p1jn9wgP" TargetMode="External"/><Relationship Id="rId631" Type="http://schemas.openxmlformats.org/officeDocument/2006/relationships/hyperlink" Target="https://max.ru/russian_fishing_pro" TargetMode="External"/><Relationship Id="rId873" Type="http://schemas.openxmlformats.org/officeDocument/2006/relationships/hyperlink" Target="https://max.ru/club228054301" TargetMode="External"/><Relationship Id="rId630" Type="http://schemas.openxmlformats.org/officeDocument/2006/relationships/hyperlink" Target="https://max.ru/channel_Rybalka_52" TargetMode="External"/><Relationship Id="rId872" Type="http://schemas.openxmlformats.org/officeDocument/2006/relationships/hyperlink" Target="https://max.ru/club228054301" TargetMode="External"/><Relationship Id="rId871" Type="http://schemas.openxmlformats.org/officeDocument/2006/relationships/hyperlink" Target="https://max.ru/club228966716" TargetMode="External"/><Relationship Id="rId870" Type="http://schemas.openxmlformats.org/officeDocument/2006/relationships/hyperlink" Target="https://max.ru/marina_vovchik" TargetMode="External"/><Relationship Id="rId829" Type="http://schemas.openxmlformats.org/officeDocument/2006/relationships/hyperlink" Target="https://max.ru/channel_rus_fishin" TargetMode="External"/><Relationship Id="rId828" Type="http://schemas.openxmlformats.org/officeDocument/2006/relationships/hyperlink" Target="https://max.ru/channel_rus_fishin" TargetMode="External"/><Relationship Id="rId827" Type="http://schemas.openxmlformats.org/officeDocument/2006/relationships/hyperlink" Target="https://vk.ru/big_zozh" TargetMode="External"/><Relationship Id="rId822" Type="http://schemas.openxmlformats.org/officeDocument/2006/relationships/hyperlink" Target="https://t.me/stas_blogs" TargetMode="External"/><Relationship Id="rId821" Type="http://schemas.openxmlformats.org/officeDocument/2006/relationships/hyperlink" Target="https://t.me/A_lfa_live" TargetMode="External"/><Relationship Id="rId820" Type="http://schemas.openxmlformats.org/officeDocument/2006/relationships/hyperlink" Target="https://telegram.me/rf4crazyft" TargetMode="External"/><Relationship Id="rId826" Type="http://schemas.openxmlformats.org/officeDocument/2006/relationships/hyperlink" Target="https://vk.ru/big_zozh" TargetMode="External"/><Relationship Id="rId825" Type="http://schemas.openxmlformats.org/officeDocument/2006/relationships/hyperlink" Target="https://t.me/Mans_Clan" TargetMode="External"/><Relationship Id="rId824" Type="http://schemas.openxmlformats.org/officeDocument/2006/relationships/hyperlink" Target="https://t.me/Mans_Clan" TargetMode="External"/><Relationship Id="rId823" Type="http://schemas.openxmlformats.org/officeDocument/2006/relationships/hyperlink" Target="https://t.me/stas_blogs" TargetMode="External"/><Relationship Id="rId819" Type="http://schemas.openxmlformats.org/officeDocument/2006/relationships/hyperlink" Target="https://telegram.me/rf4crazyft" TargetMode="External"/><Relationship Id="rId818" Type="http://schemas.openxmlformats.org/officeDocument/2006/relationships/hyperlink" Target="https://max.ru/join/kvs60m93OU3-oc3VRfehLDVbvVymDAR0Q-Rcs0e3qDY" TargetMode="External"/><Relationship Id="rId817" Type="http://schemas.openxmlformats.org/officeDocument/2006/relationships/hyperlink" Target="https://max.ru/join/kvs60m93OU3-oc3VRfehLDVbvVymDAR0Q-Rcs0e3qDY" TargetMode="External"/><Relationship Id="rId816" Type="http://schemas.openxmlformats.org/officeDocument/2006/relationships/hyperlink" Target="https://t.me/makovozovy" TargetMode="External"/><Relationship Id="rId811" Type="http://schemas.openxmlformats.org/officeDocument/2006/relationships/hyperlink" Target="https://vk.ru/avto_dvizg" TargetMode="External"/><Relationship Id="rId810" Type="http://schemas.openxmlformats.org/officeDocument/2006/relationships/hyperlink" Target="https://max.ru/feederspb" TargetMode="External"/><Relationship Id="rId815" Type="http://schemas.openxmlformats.org/officeDocument/2006/relationships/hyperlink" Target="https://t.me/makovozovy" TargetMode="External"/><Relationship Id="rId814" Type="http://schemas.openxmlformats.org/officeDocument/2006/relationships/hyperlink" Target="https://vk.ru/club211182784" TargetMode="External"/><Relationship Id="rId813" Type="http://schemas.openxmlformats.org/officeDocument/2006/relationships/hyperlink" Target="https://vk.ru/club211182784" TargetMode="External"/><Relationship Id="rId812" Type="http://schemas.openxmlformats.org/officeDocument/2006/relationships/hyperlink" Target="https://vk.ru/avto_dvizg" TargetMode="External"/><Relationship Id="rId609" Type="http://schemas.openxmlformats.org/officeDocument/2006/relationships/hyperlink" Target="https://t.me/syilers26" TargetMode="External"/><Relationship Id="rId608" Type="http://schemas.openxmlformats.org/officeDocument/2006/relationships/hyperlink" Target="https://max.ru/rybalkasakhalin" TargetMode="External"/><Relationship Id="rId607" Type="http://schemas.openxmlformats.org/officeDocument/2006/relationships/hyperlink" Target="https://max.ru/rybalkasakhalin" TargetMode="External"/><Relationship Id="rId849" Type="http://schemas.openxmlformats.org/officeDocument/2006/relationships/hyperlink" Target="https://max.ru/vk_dalnoboy" TargetMode="External"/><Relationship Id="rId602" Type="http://schemas.openxmlformats.org/officeDocument/2006/relationships/hyperlink" Target="https://max.ru/batya_ilin" TargetMode="External"/><Relationship Id="rId844" Type="http://schemas.openxmlformats.org/officeDocument/2006/relationships/hyperlink" Target="https://max.ru/id560405164432_biz" TargetMode="External"/><Relationship Id="rId601" Type="http://schemas.openxmlformats.org/officeDocument/2006/relationships/hyperlink" Target="https://max.ru/batya_ilin" TargetMode="External"/><Relationship Id="rId843" Type="http://schemas.openxmlformats.org/officeDocument/2006/relationships/hyperlink" Target="https://t.me/papavkyrse" TargetMode="External"/><Relationship Id="rId600" Type="http://schemas.openxmlformats.org/officeDocument/2006/relationships/hyperlink" Target="https://vk.ru/batya_ilin" TargetMode="External"/><Relationship Id="rId842" Type="http://schemas.openxmlformats.org/officeDocument/2006/relationships/hyperlink" Target="https://t.me/papavkyrse" TargetMode="External"/><Relationship Id="rId841" Type="http://schemas.openxmlformats.org/officeDocument/2006/relationships/hyperlink" Target="https://max.ru/channel_Ribalka25" TargetMode="External"/><Relationship Id="rId606" Type="http://schemas.openxmlformats.org/officeDocument/2006/relationships/hyperlink" Target="https://vk.com/vsegda_klyuyet" TargetMode="External"/><Relationship Id="rId848" Type="http://schemas.openxmlformats.org/officeDocument/2006/relationships/hyperlink" Target="https://max.ru/vk_dalnoboy" TargetMode="External"/><Relationship Id="rId605" Type="http://schemas.openxmlformats.org/officeDocument/2006/relationships/hyperlink" Target="https://vk.com/vsegda_klyuyet" TargetMode="External"/><Relationship Id="rId847" Type="http://schemas.openxmlformats.org/officeDocument/2006/relationships/hyperlink" Target="https://max.ru/ch_602408dd140d5e56b2f80f26" TargetMode="External"/><Relationship Id="rId604" Type="http://schemas.openxmlformats.org/officeDocument/2006/relationships/hyperlink" Target="https://youtube.com/@lukk58" TargetMode="External"/><Relationship Id="rId846" Type="http://schemas.openxmlformats.org/officeDocument/2006/relationships/hyperlink" Target="https://max.ru/ch_602408dd140d5e56b2f80f26" TargetMode="External"/><Relationship Id="rId603" Type="http://schemas.openxmlformats.org/officeDocument/2006/relationships/hyperlink" Target="https://youtube.com/@lukk58" TargetMode="External"/><Relationship Id="rId845" Type="http://schemas.openxmlformats.org/officeDocument/2006/relationships/hyperlink" Target="https://max.ru/id560405164432_biz" TargetMode="External"/><Relationship Id="rId840" Type="http://schemas.openxmlformats.org/officeDocument/2006/relationships/hyperlink" Target="https://max.ru/channel_Ribalka25" TargetMode="External"/><Relationship Id="rId839" Type="http://schemas.openxmlformats.org/officeDocument/2006/relationships/hyperlink" Target="https://max.ru/join/TAz62IvarhreupeVWAwOLTP6R8EY_0-2O7jKs9CK0tM" TargetMode="External"/><Relationship Id="rId838" Type="http://schemas.openxmlformats.org/officeDocument/2006/relationships/hyperlink" Target="https://max.ru/join/TAz62IvarhreupeVWAwOLTP6R8EY_0-2O7jKs9CK0tM" TargetMode="External"/><Relationship Id="rId833" Type="http://schemas.openxmlformats.org/officeDocument/2006/relationships/hyperlink" Target="https://max.ru/rybalkavrostove" TargetMode="External"/><Relationship Id="rId832" Type="http://schemas.openxmlformats.org/officeDocument/2006/relationships/hyperlink" Target="https://max.ru/rybalkavrostove" TargetMode="External"/><Relationship Id="rId831" Type="http://schemas.openxmlformats.org/officeDocument/2006/relationships/hyperlink" Target="https://max.ru/join/-MJhyPPkgreSIoYuLu0lh-AJuR-cShsiv9NjhUZbTuM" TargetMode="External"/><Relationship Id="rId830" Type="http://schemas.openxmlformats.org/officeDocument/2006/relationships/hyperlink" Target="https://max.ru/join/-MJhyPPkgreSIoYuLu0lh-AJuR-cShsiv9NjhUZbTuM" TargetMode="External"/><Relationship Id="rId837" Type="http://schemas.openxmlformats.org/officeDocument/2006/relationships/hyperlink" Target="https://max.ru/aliekemp" TargetMode="External"/><Relationship Id="rId836" Type="http://schemas.openxmlformats.org/officeDocument/2006/relationships/hyperlink" Target="https://max.ru/aliekemp" TargetMode="External"/><Relationship Id="rId835" Type="http://schemas.openxmlformats.org/officeDocument/2006/relationships/hyperlink" Target="https://max.ru/rybalkaudachnaya" TargetMode="External"/><Relationship Id="rId834" Type="http://schemas.openxmlformats.org/officeDocument/2006/relationships/hyperlink" Target="https://max.ru/rybalkaudachnaya" TargetMode="External"/><Relationship Id="rId228" Type="http://schemas.openxmlformats.org/officeDocument/2006/relationships/hyperlink" Target="https://www.youtube.com/channel/UCBSgaMvB35kCkFqyQ-W1_xw" TargetMode="External"/><Relationship Id="rId227" Type="http://schemas.openxmlformats.org/officeDocument/2006/relationships/hyperlink" Target="https://www.youtube.com/channel/UCf3IsREVMI-NTMwU6IwLg1g" TargetMode="External"/><Relationship Id="rId469" Type="http://schemas.openxmlformats.org/officeDocument/2006/relationships/hyperlink" Target="https://www.youtube.com/channel/UCZfWSJZj1ShgPuSgL7UERMg" TargetMode="External"/><Relationship Id="rId226" Type="http://schemas.openxmlformats.org/officeDocument/2006/relationships/hyperlink" Target="https://www.youtube.com/channel/UCWLyhy6PAetxxbXFKXMkQVg" TargetMode="External"/><Relationship Id="rId468" Type="http://schemas.openxmlformats.org/officeDocument/2006/relationships/hyperlink" Target="https://www.youtube.com/channel/UCJ1oNO43jKaLSRU2qJa3B7A" TargetMode="External"/><Relationship Id="rId225" Type="http://schemas.openxmlformats.org/officeDocument/2006/relationships/hyperlink" Target="https://www.youtube.com/channel/UCKgBftG3-TAqKeG3mWHUkmA" TargetMode="External"/><Relationship Id="rId467" Type="http://schemas.openxmlformats.org/officeDocument/2006/relationships/hyperlink" Target="https://www.youtube.com/channel/UCis0owyKByKGtDKwtxylVkQ" TargetMode="External"/><Relationship Id="rId229" Type="http://schemas.openxmlformats.org/officeDocument/2006/relationships/hyperlink" Target="https://www.youtube.com/channel/UCiMH0Ubn9jS4CKqa4B_vhbw" TargetMode="External"/><Relationship Id="rId220" Type="http://schemas.openxmlformats.org/officeDocument/2006/relationships/hyperlink" Target="https://www.youtube.com/channel/UCDkeYeyyLU-RqUAIj0v6LQQ" TargetMode="External"/><Relationship Id="rId462" Type="http://schemas.openxmlformats.org/officeDocument/2006/relationships/hyperlink" Target="https://www.youtube.com/channel/UCl80nVyOseIF_Ru8tKHUQiw" TargetMode="External"/><Relationship Id="rId461" Type="http://schemas.openxmlformats.org/officeDocument/2006/relationships/hyperlink" Target="https://www.youtube.com/channel/UCKjL66nF_toXoVS3sjNvlNg" TargetMode="External"/><Relationship Id="rId460" Type="http://schemas.openxmlformats.org/officeDocument/2006/relationships/hyperlink" Target="https://www.youtube.com/channel/UCeFHArMZ0ATEtcOk2RHjpeA" TargetMode="External"/><Relationship Id="rId224" Type="http://schemas.openxmlformats.org/officeDocument/2006/relationships/hyperlink" Target="https://www.youtube.com/channel/UC2yTlUhI3uBee06UMPjuUQA" TargetMode="External"/><Relationship Id="rId466" Type="http://schemas.openxmlformats.org/officeDocument/2006/relationships/hyperlink" Target="https://www.youtube.com/channel/UCoMjyUcVVJ3O-VM-pVqvDdQ" TargetMode="External"/><Relationship Id="rId223" Type="http://schemas.openxmlformats.org/officeDocument/2006/relationships/hyperlink" Target="https://t.me/+ZRk_h7RXWhwyZTAy" TargetMode="External"/><Relationship Id="rId465" Type="http://schemas.openxmlformats.org/officeDocument/2006/relationships/hyperlink" Target="https://www.youtube.com/channel/UCPCn6rdaOsgYd34DUK0JmEQ" TargetMode="External"/><Relationship Id="rId222" Type="http://schemas.openxmlformats.org/officeDocument/2006/relationships/hyperlink" Target="https://t.me/+41abTb3IJ4c5NDI9" TargetMode="External"/><Relationship Id="rId464" Type="http://schemas.openxmlformats.org/officeDocument/2006/relationships/hyperlink" Target="https://t.me/seemsemena" TargetMode="External"/><Relationship Id="rId221" Type="http://schemas.openxmlformats.org/officeDocument/2006/relationships/hyperlink" Target="https://www.youtube.com/channel/UCHR8hfLChFu8fDnBdeyMazQ" TargetMode="External"/><Relationship Id="rId463" Type="http://schemas.openxmlformats.org/officeDocument/2006/relationships/hyperlink" Target="https://www.youtube.com/channel/UCGG8G7H04gAByt2NXIjr2Zg" TargetMode="External"/><Relationship Id="rId217" Type="http://schemas.openxmlformats.org/officeDocument/2006/relationships/hyperlink" Target="https://www.youtube.com/channel/UC1Ouo2pRxoKrLarq7yEpyhA" TargetMode="External"/><Relationship Id="rId459" Type="http://schemas.openxmlformats.org/officeDocument/2006/relationships/hyperlink" Target="https://www.youtube.com/channel/UCjmt8WW_Vpl0FGdaLLkYRvQ" TargetMode="External"/><Relationship Id="rId216" Type="http://schemas.openxmlformats.org/officeDocument/2006/relationships/hyperlink" Target="https://vk.com/carpyatnik" TargetMode="External"/><Relationship Id="rId458" Type="http://schemas.openxmlformats.org/officeDocument/2006/relationships/hyperlink" Target="https://t.me/DNEVNIKIsadovoda" TargetMode="External"/><Relationship Id="rId215" Type="http://schemas.openxmlformats.org/officeDocument/2006/relationships/hyperlink" Target="https://www.youtube.com/channel/UCAOAzAPvUzlVN874A-Bt5pg" TargetMode="External"/><Relationship Id="rId457" Type="http://schemas.openxmlformats.org/officeDocument/2006/relationships/hyperlink" Target="https://www.youtube.com/channel/UCRsy4wAvtVDxSAl-NyIMonw" TargetMode="External"/><Relationship Id="rId699" Type="http://schemas.openxmlformats.org/officeDocument/2006/relationships/hyperlink" Target="https://max.ru/channel_riabalka" TargetMode="External"/><Relationship Id="rId214" Type="http://schemas.openxmlformats.org/officeDocument/2006/relationships/hyperlink" Target="https://www.youtube.com/channel/UCd00iMP266WNHwUrj9pMIRg" TargetMode="External"/><Relationship Id="rId456" Type="http://schemas.openxmlformats.org/officeDocument/2006/relationships/hyperlink" Target="https://www.youtube.com/channel/UCCo_3hOwp1M8t60lrmglJbQ" TargetMode="External"/><Relationship Id="rId698" Type="http://schemas.openxmlformats.org/officeDocument/2006/relationships/hyperlink" Target="https://t.me/fishing_71" TargetMode="External"/><Relationship Id="rId219" Type="http://schemas.openxmlformats.org/officeDocument/2006/relationships/hyperlink" Target="https://www.youtube.com/channel/UCa8Le9wU2Wy_OJhM874NIVg" TargetMode="External"/><Relationship Id="rId218" Type="http://schemas.openxmlformats.org/officeDocument/2006/relationships/hyperlink" Target="https://www.youtube.com/channel/UCT0MuD3dXpPzY6UEqRSxs0g" TargetMode="External"/><Relationship Id="rId451" Type="http://schemas.openxmlformats.org/officeDocument/2006/relationships/hyperlink" Target="https://t.me/dacha_uyut" TargetMode="External"/><Relationship Id="rId693" Type="http://schemas.openxmlformats.org/officeDocument/2006/relationships/hyperlink" Target="https://max.ru/trofeysaratov" TargetMode="External"/><Relationship Id="rId450" Type="http://schemas.openxmlformats.org/officeDocument/2006/relationships/hyperlink" Target="https://t.me/flowertkk" TargetMode="External"/><Relationship Id="rId692" Type="http://schemas.openxmlformats.org/officeDocument/2006/relationships/hyperlink" Target="https://telegram.me/gribniki_i_ribalka_v_podmsk" TargetMode="External"/><Relationship Id="rId691" Type="http://schemas.openxmlformats.org/officeDocument/2006/relationships/hyperlink" Target="https://telegram.me/gribniki_i_ribalka_v_podmsk" TargetMode="External"/><Relationship Id="rId690" Type="http://schemas.openxmlformats.org/officeDocument/2006/relationships/hyperlink" Target="https://max.ru/rybalka_7" TargetMode="External"/><Relationship Id="rId213" Type="http://schemas.openxmlformats.org/officeDocument/2006/relationships/hyperlink" Target="https://www.youtube.com/channel/UCeP2azoFTwlJKcOGXtyKA_w" TargetMode="External"/><Relationship Id="rId455" Type="http://schemas.openxmlformats.org/officeDocument/2006/relationships/hyperlink" Target="https://www.youtube.com/channel/UC2U449hZd6x1OXVazgkwv3g" TargetMode="External"/><Relationship Id="rId697" Type="http://schemas.openxmlformats.org/officeDocument/2006/relationships/hyperlink" Target="https://t.me/fishing_71" TargetMode="External"/><Relationship Id="rId212" Type="http://schemas.openxmlformats.org/officeDocument/2006/relationships/hyperlink" Target="https://www.youtube.com/channel/UCupamQe3Ug8o-RWn3-a2zeA" TargetMode="External"/><Relationship Id="rId454" Type="http://schemas.openxmlformats.org/officeDocument/2006/relationships/hyperlink" Target="https://www.youtube.com/channel/UC4YeB6gdLnRDSRWqEut_hOA" TargetMode="External"/><Relationship Id="rId696" Type="http://schemas.openxmlformats.org/officeDocument/2006/relationships/hyperlink" Target="https://max.ru/join/-Ga5MmYNaN5TUj1yklwyICg_zp8zmmqzGhT9oJZq5BY" TargetMode="External"/><Relationship Id="rId211" Type="http://schemas.openxmlformats.org/officeDocument/2006/relationships/hyperlink" Target="http://vk.com/club228653246" TargetMode="External"/><Relationship Id="rId453" Type="http://schemas.openxmlformats.org/officeDocument/2006/relationships/hyperlink" Target="https://www.youtube.com/channel/UC8wBuJ9VeuIA-git-exUUbQ" TargetMode="External"/><Relationship Id="rId695" Type="http://schemas.openxmlformats.org/officeDocument/2006/relationships/hyperlink" Target="https://max.ru/join/-Ga5MmYNaN5TUj1yklwyICg_zp8zmmqzGhT9oJZq5BY" TargetMode="External"/><Relationship Id="rId210" Type="http://schemas.openxmlformats.org/officeDocument/2006/relationships/hyperlink" Target="https://www.youtube.com/channel/UC8hAzFjuKE_NDRom1gf4Zow" TargetMode="External"/><Relationship Id="rId452" Type="http://schemas.openxmlformats.org/officeDocument/2006/relationships/hyperlink" Target="https://www.youtube.com/channel/UCfF1GDP8742h5ibK5H89EoQ" TargetMode="External"/><Relationship Id="rId694" Type="http://schemas.openxmlformats.org/officeDocument/2006/relationships/hyperlink" Target="https://max.ru/trofeysaratov" TargetMode="External"/><Relationship Id="rId491" Type="http://schemas.openxmlformats.org/officeDocument/2006/relationships/hyperlink" Target="https://www.youtube.com/channel/UCNMX-yEC53oV-attisxSDmg" TargetMode="External"/><Relationship Id="rId490" Type="http://schemas.openxmlformats.org/officeDocument/2006/relationships/hyperlink" Target="https://www.youtube.com/channel/UCY1X6Ja6OzvpuPNqGQZIYew" TargetMode="External"/><Relationship Id="rId249" Type="http://schemas.openxmlformats.org/officeDocument/2006/relationships/hyperlink" Target="https://www.youtube.com/channel/UCTkDBZHx8pXgv88E3AI3zdQ" TargetMode="External"/><Relationship Id="rId248" Type="http://schemas.openxmlformats.org/officeDocument/2006/relationships/hyperlink" Target="https://www.youtube.com/channel/UCdV0J6GwaxJYJN0bhxyvi5w" TargetMode="External"/><Relationship Id="rId247" Type="http://schemas.openxmlformats.org/officeDocument/2006/relationships/hyperlink" Target="https://www.youtube.com/channel/UC48F-hy_vZEZe2kUUbFD_lQ" TargetMode="External"/><Relationship Id="rId489" Type="http://schemas.openxmlformats.org/officeDocument/2006/relationships/hyperlink" Target="https://www.youtube.com/channel/UCouLDRslagkGVl3ChaT_WQw" TargetMode="External"/><Relationship Id="rId242" Type="http://schemas.openxmlformats.org/officeDocument/2006/relationships/hyperlink" Target="https://www.youtube.com/channel/UCTjewNJmoLM0_l8rdYb-0vw" TargetMode="External"/><Relationship Id="rId484" Type="http://schemas.openxmlformats.org/officeDocument/2006/relationships/hyperlink" Target="https://www.youtube.com/channel/UCanx7PYny3ZRrpbdAu8Txlw" TargetMode="External"/><Relationship Id="rId241" Type="http://schemas.openxmlformats.org/officeDocument/2006/relationships/hyperlink" Target="https://www.youtube.com/channel/UCSgaUf38w4V-lYQsgzIle9w" TargetMode="External"/><Relationship Id="rId483" Type="http://schemas.openxmlformats.org/officeDocument/2006/relationships/hyperlink" Target="https://www.youtube.com/channel/UClmmRWexCm6c0C_ALLRM-Cw" TargetMode="External"/><Relationship Id="rId240" Type="http://schemas.openxmlformats.org/officeDocument/2006/relationships/hyperlink" Target="https://t.me/+YrddxawFBnRmMDAy" TargetMode="External"/><Relationship Id="rId482" Type="http://schemas.openxmlformats.org/officeDocument/2006/relationships/hyperlink" Target="https://www.youtube.com/channel/UCiwjiiCAK1josFuY4P3lkMg" TargetMode="External"/><Relationship Id="rId481" Type="http://schemas.openxmlformats.org/officeDocument/2006/relationships/hyperlink" Target="https://www.youtube.com/channel/UCuSGD2R3KZDZzr0MqPt1YIQ" TargetMode="External"/><Relationship Id="rId246" Type="http://schemas.openxmlformats.org/officeDocument/2006/relationships/hyperlink" Target="https://t.me/lubimaya_dacha" TargetMode="External"/><Relationship Id="rId488" Type="http://schemas.openxmlformats.org/officeDocument/2006/relationships/hyperlink" Target="https://www.youtube.com/channel/UCvMZEycWfSf6H_Zf1YNWy8A" TargetMode="External"/><Relationship Id="rId245" Type="http://schemas.openxmlformats.org/officeDocument/2006/relationships/hyperlink" Target="https://t.me/celo_i_yulya" TargetMode="External"/><Relationship Id="rId487" Type="http://schemas.openxmlformats.org/officeDocument/2006/relationships/hyperlink" Target="https://www.youtube.com/channel/UC8D2uzK5zXkh9AcytxRDbPw" TargetMode="External"/><Relationship Id="rId244" Type="http://schemas.openxmlformats.org/officeDocument/2006/relationships/hyperlink" Target="https://www.youtube.com/channel/UCD6TSSZczKgyFibUV59QVBw" TargetMode="External"/><Relationship Id="rId486" Type="http://schemas.openxmlformats.org/officeDocument/2006/relationships/hyperlink" Target="https://www.youtube.com/channel/UCBS4fgvXakaBGxr0dJHaxAA" TargetMode="External"/><Relationship Id="rId243" Type="http://schemas.openxmlformats.org/officeDocument/2006/relationships/hyperlink" Target="https://www.youtube.com/channel/UCL4nDNKbVrYflolrJgjj3eQ" TargetMode="External"/><Relationship Id="rId485" Type="http://schemas.openxmlformats.org/officeDocument/2006/relationships/hyperlink" Target="https://t.me/russkie_derevya_news" TargetMode="External"/><Relationship Id="rId480" Type="http://schemas.openxmlformats.org/officeDocument/2006/relationships/hyperlink" Target="https://www.youtube.com/channel/UCwIQSgwl0Ato3jwuNw8rPCA" TargetMode="External"/><Relationship Id="rId239" Type="http://schemas.openxmlformats.org/officeDocument/2006/relationships/hyperlink" Target="https://www.youtube.com/channel/UCEEsDYRRYIObFua6WwXyjFQ" TargetMode="External"/><Relationship Id="rId238" Type="http://schemas.openxmlformats.org/officeDocument/2006/relationships/hyperlink" Target="https://www.youtube.com/channel/UCLUSs_T8V-N1fA6mRzHBVPQ" TargetMode="External"/><Relationship Id="rId237" Type="http://schemas.openxmlformats.org/officeDocument/2006/relationships/hyperlink" Target="https://www.youtube.com/channel/UCCIVzoN6FqxYrtUU7j9mc4A" TargetMode="External"/><Relationship Id="rId479" Type="http://schemas.openxmlformats.org/officeDocument/2006/relationships/hyperlink" Target="https://www.youtube.com/channel/UCx7UtIAb2Wp8FxmVdOANLHw" TargetMode="External"/><Relationship Id="rId236" Type="http://schemas.openxmlformats.org/officeDocument/2006/relationships/hyperlink" Target="https://www.youtube.com/channel/UC3Z8GAoxx95pFJ0w4rGHMfA" TargetMode="External"/><Relationship Id="rId478" Type="http://schemas.openxmlformats.org/officeDocument/2006/relationships/hyperlink" Target="https://t.me/ogorod_sad" TargetMode="External"/><Relationship Id="rId231" Type="http://schemas.openxmlformats.org/officeDocument/2006/relationships/hyperlink" Target="https://www.youtube.com/channel/UCr1V5BvK4JC_UtIwxNHr8xw" TargetMode="External"/><Relationship Id="rId473" Type="http://schemas.openxmlformats.org/officeDocument/2006/relationships/hyperlink" Target="https://www.youtube.com/channel/UCm3kGRXxhQdSsYPJ8fa2AEQ" TargetMode="External"/><Relationship Id="rId230" Type="http://schemas.openxmlformats.org/officeDocument/2006/relationships/hyperlink" Target="https://www.youtube.com/channel/UCYGbf7xsouDL60RBVzSsLZw" TargetMode="External"/><Relationship Id="rId472" Type="http://schemas.openxmlformats.org/officeDocument/2006/relationships/hyperlink" Target="https://t.me/dachakakskartinki" TargetMode="External"/><Relationship Id="rId471" Type="http://schemas.openxmlformats.org/officeDocument/2006/relationships/hyperlink" Target="https://www.youtube.com/channel/UCGG5lpGmvE-WEtS1MKAQGjg" TargetMode="External"/><Relationship Id="rId470" Type="http://schemas.openxmlformats.org/officeDocument/2006/relationships/hyperlink" Target="https://www.youtube.com/channel/UC4htCnBHwjvGgTdughXZgNA" TargetMode="External"/><Relationship Id="rId235" Type="http://schemas.openxmlformats.org/officeDocument/2006/relationships/hyperlink" Target="https://www.youtube.com/channel/UCzrgFt4HKYTkVKW9jNmC-6g" TargetMode="External"/><Relationship Id="rId477" Type="http://schemas.openxmlformats.org/officeDocument/2006/relationships/hyperlink" Target="https://www.youtube.com/channel/UCGQuAYNVh3KNDUsDVTiWcpQ" TargetMode="External"/><Relationship Id="rId234" Type="http://schemas.openxmlformats.org/officeDocument/2006/relationships/hyperlink" Target="https://www.youtube.com/channel/UCY2qrPWH001mKrwm3wCA-vw" TargetMode="External"/><Relationship Id="rId476" Type="http://schemas.openxmlformats.org/officeDocument/2006/relationships/hyperlink" Target="https://www.youtube.com/channel/UCz3VHV7TQxCW8pZokk7t1Tw" TargetMode="External"/><Relationship Id="rId233" Type="http://schemas.openxmlformats.org/officeDocument/2006/relationships/hyperlink" Target="https://www.youtube.com/channel/UCWD_P2go6wwMiM7bktaQS1w" TargetMode="External"/><Relationship Id="rId475" Type="http://schemas.openxmlformats.org/officeDocument/2006/relationships/hyperlink" Target="https://www.youtube.com/channel/UCyfJjwHm_9MssWi2G6QonJg" TargetMode="External"/><Relationship Id="rId232" Type="http://schemas.openxmlformats.org/officeDocument/2006/relationships/hyperlink" Target="https://www.youtube.com/channel/UC6m1ZHReFHIVgUWQN9SN9Fw" TargetMode="External"/><Relationship Id="rId474" Type="http://schemas.openxmlformats.org/officeDocument/2006/relationships/hyperlink" Target="https://www.youtube.com/channel/UCHkMehCfNErntNGnR7KZlGw" TargetMode="External"/><Relationship Id="rId426" Type="http://schemas.openxmlformats.org/officeDocument/2006/relationships/hyperlink" Target="https://www.youtube.com/channel/UCmGYSvm6BaChkiTku0wwWrA" TargetMode="External"/><Relationship Id="rId668" Type="http://schemas.openxmlformats.org/officeDocument/2006/relationships/hyperlink" Target="https://max.ru/join/-B1pH9O5LwDun19v5QK_CES0a8YCZ940MUNS4gEcKOo" TargetMode="External"/><Relationship Id="rId425" Type="http://schemas.openxmlformats.org/officeDocument/2006/relationships/hyperlink" Target="https://www.youtube.com/channel/UCAu685I99-GvANEUp5rL4XA" TargetMode="External"/><Relationship Id="rId667" Type="http://schemas.openxmlformats.org/officeDocument/2006/relationships/hyperlink" Target="https://max.ru/join/-B1pH9O5LwDun19v5QK_CES0a8YCZ940MUNS4gEcKOo" TargetMode="External"/><Relationship Id="rId424" Type="http://schemas.openxmlformats.org/officeDocument/2006/relationships/hyperlink" Target="https://www.youtube.com/channel/UC6ierMywDXSHLF4Y88dktYQ" TargetMode="External"/><Relationship Id="rId666" Type="http://schemas.openxmlformats.org/officeDocument/2006/relationships/hyperlink" Target="https://telegram.me/fishingspb1" TargetMode="External"/><Relationship Id="rId423" Type="http://schemas.openxmlformats.org/officeDocument/2006/relationships/hyperlink" Target="https://t.me/Prostor_agro_chat_moscow" TargetMode="External"/><Relationship Id="rId665" Type="http://schemas.openxmlformats.org/officeDocument/2006/relationships/hyperlink" Target="https://telegram.me/fishingspb1" TargetMode="External"/><Relationship Id="rId429" Type="http://schemas.openxmlformats.org/officeDocument/2006/relationships/hyperlink" Target="https://www.youtube.com/channel/UCuRfKlIKcsf0WloLFV6YWHw" TargetMode="External"/><Relationship Id="rId428" Type="http://schemas.openxmlformats.org/officeDocument/2006/relationships/hyperlink" Target="https://www.youtube.com/channel/UCFAjyiwog6PGPaRGFuKi71g" TargetMode="External"/><Relationship Id="rId427" Type="http://schemas.openxmlformats.org/officeDocument/2006/relationships/hyperlink" Target="https://www.youtube.com/channel/UCQ9sRuU3HSaoTpK4vLCd3BA" TargetMode="External"/><Relationship Id="rId669" Type="http://schemas.openxmlformats.org/officeDocument/2006/relationships/hyperlink" Target="https://max.ru/Rybalka_Bashkortostan" TargetMode="External"/><Relationship Id="rId660" Type="http://schemas.openxmlformats.org/officeDocument/2006/relationships/hyperlink" Target="https://vk.ru/aliexfisher" TargetMode="External"/><Relationship Id="rId422" Type="http://schemas.openxmlformats.org/officeDocument/2006/relationships/hyperlink" Target="https://t.me/da4niksibiri54" TargetMode="External"/><Relationship Id="rId664" Type="http://schemas.openxmlformats.org/officeDocument/2006/relationships/hyperlink" Target="https://vk.ru/fishinglifetv" TargetMode="External"/><Relationship Id="rId421" Type="http://schemas.openxmlformats.org/officeDocument/2006/relationships/hyperlink" Target="https://www.youtube.com/channel/UCffv5oFA_2p45yK1GR74OWw" TargetMode="External"/><Relationship Id="rId663" Type="http://schemas.openxmlformats.org/officeDocument/2006/relationships/hyperlink" Target="https://vk.ru/fishinglifetv" TargetMode="External"/><Relationship Id="rId420" Type="http://schemas.openxmlformats.org/officeDocument/2006/relationships/hyperlink" Target="https://www.youtube.com/channel/UC4X7pP0ZhxXAOOsYgfL7cGw" TargetMode="External"/><Relationship Id="rId662" Type="http://schemas.openxmlformats.org/officeDocument/2006/relationships/hyperlink" Target="https://rutube.ru/video/1726869439763055380402e1c8fb4aee/?r=a" TargetMode="External"/><Relationship Id="rId661" Type="http://schemas.openxmlformats.org/officeDocument/2006/relationships/hyperlink" Target="https://rutube.ru/video/1726869439763055380402e1c8fb4aee/?r=a" TargetMode="External"/><Relationship Id="rId415" Type="http://schemas.openxmlformats.org/officeDocument/2006/relationships/hyperlink" Target="https://www.youtube.com/channel/UCWM8uARSXbEqHBqjLzT45DQ" TargetMode="External"/><Relationship Id="rId657" Type="http://schemas.openxmlformats.org/officeDocument/2006/relationships/hyperlink" Target="https://vk.ru/club211368519" TargetMode="External"/><Relationship Id="rId899" Type="http://schemas.openxmlformats.org/officeDocument/2006/relationships/hyperlink" Target="https://www.tiktok.com/@daniil.record" TargetMode="External"/><Relationship Id="rId414" Type="http://schemas.openxmlformats.org/officeDocument/2006/relationships/hyperlink" Target="https://t.me/sadovodymariel" TargetMode="External"/><Relationship Id="rId656" Type="http://schemas.openxmlformats.org/officeDocument/2006/relationships/hyperlink" Target="https://vk.ru/club211368519" TargetMode="External"/><Relationship Id="rId898" Type="http://schemas.openxmlformats.org/officeDocument/2006/relationships/hyperlink" Target="https://www.tiktok.com/@daniil.record" TargetMode="External"/><Relationship Id="rId413" Type="http://schemas.openxmlformats.org/officeDocument/2006/relationships/hyperlink" Target="https://www.youtube.com/channel/UCIvbjaWSSiO1dHyX6nANRqw" TargetMode="External"/><Relationship Id="rId655" Type="http://schemas.openxmlformats.org/officeDocument/2006/relationships/hyperlink" Target="https://vk.ru/pugleonid" TargetMode="External"/><Relationship Id="rId897" Type="http://schemas.openxmlformats.org/officeDocument/2006/relationships/hyperlink" Target="https://vk.ru/aturiofishing" TargetMode="External"/><Relationship Id="rId412" Type="http://schemas.openxmlformats.org/officeDocument/2006/relationships/hyperlink" Target="https://www.youtube.com/channel/UCm05tTk6wpsbWjKm27_k2GQ" TargetMode="External"/><Relationship Id="rId654" Type="http://schemas.openxmlformats.org/officeDocument/2006/relationships/hyperlink" Target="https://vk.ru/pugleonid" TargetMode="External"/><Relationship Id="rId896" Type="http://schemas.openxmlformats.org/officeDocument/2006/relationships/hyperlink" Target="https://vk.ru/aturiofishing" TargetMode="External"/><Relationship Id="rId419" Type="http://schemas.openxmlformats.org/officeDocument/2006/relationships/hyperlink" Target="https://t.me/sadovodi_krasnici" TargetMode="External"/><Relationship Id="rId418" Type="http://schemas.openxmlformats.org/officeDocument/2006/relationships/hyperlink" Target="https://t.me/+QU8jivN167RhY2Iy" TargetMode="External"/><Relationship Id="rId417" Type="http://schemas.openxmlformats.org/officeDocument/2006/relationships/hyperlink" Target="https://t.me/dacha_sovet" TargetMode="External"/><Relationship Id="rId659" Type="http://schemas.openxmlformats.org/officeDocument/2006/relationships/hyperlink" Target="https://vk.ru/aliexfisher" TargetMode="External"/><Relationship Id="rId416" Type="http://schemas.openxmlformats.org/officeDocument/2006/relationships/hyperlink" Target="https://www.youtube.com/channel/UCX7igkL8tCejQ9Xh6B2DIAA" TargetMode="External"/><Relationship Id="rId658" Type="http://schemas.openxmlformats.org/officeDocument/2006/relationships/hyperlink" Target="https://www.tiktok.com/@derevenski_parenek" TargetMode="External"/><Relationship Id="rId891" Type="http://schemas.openxmlformats.org/officeDocument/2006/relationships/hyperlink" Target="https://m.vk.ru/life_cts" TargetMode="External"/><Relationship Id="rId890" Type="http://schemas.openxmlformats.org/officeDocument/2006/relationships/hyperlink" Target="https://m.vk.ru/life_cts" TargetMode="External"/><Relationship Id="rId411" Type="http://schemas.openxmlformats.org/officeDocument/2006/relationships/hyperlink" Target="https://www.youtube.com/channel/UCwqXA4OYl-UuHiR6iRs50rg" TargetMode="External"/><Relationship Id="rId653" Type="http://schemas.openxmlformats.org/officeDocument/2006/relationships/hyperlink" Target="https://www.youtube.com/@Terskovski" TargetMode="External"/><Relationship Id="rId895" Type="http://schemas.openxmlformats.org/officeDocument/2006/relationships/hyperlink" Target="https://youtube.com/@artur1ofishing" TargetMode="External"/><Relationship Id="rId410" Type="http://schemas.openxmlformats.org/officeDocument/2006/relationships/hyperlink" Target="https://www.youtube.com/channel/UCZpJAM-EhCCv2la_BZeZNyQ" TargetMode="External"/><Relationship Id="rId652" Type="http://schemas.openxmlformats.org/officeDocument/2006/relationships/hyperlink" Target="https://www.youtube.com/@Terskovski" TargetMode="External"/><Relationship Id="rId894" Type="http://schemas.openxmlformats.org/officeDocument/2006/relationships/hyperlink" Target="https://youtube.com/@artur1ofishing" TargetMode="External"/><Relationship Id="rId651" Type="http://schemas.openxmlformats.org/officeDocument/2006/relationships/hyperlink" Target="https://vk.ru/spinnest" TargetMode="External"/><Relationship Id="rId893" Type="http://schemas.openxmlformats.org/officeDocument/2006/relationships/hyperlink" Target="https://www.tiktok.com/@carnivore_baits?" TargetMode="External"/><Relationship Id="rId650" Type="http://schemas.openxmlformats.org/officeDocument/2006/relationships/hyperlink" Target="https://vk.ru/spinnest" TargetMode="External"/><Relationship Id="rId892" Type="http://schemas.openxmlformats.org/officeDocument/2006/relationships/hyperlink" Target="https://www.tiktok.com/@carnivore_baits?" TargetMode="External"/><Relationship Id="rId206" Type="http://schemas.openxmlformats.org/officeDocument/2006/relationships/hyperlink" Target="https://www.youtube.com/channel/UCcile8S8a8RrTJKVUREvAsA" TargetMode="External"/><Relationship Id="rId448" Type="http://schemas.openxmlformats.org/officeDocument/2006/relationships/hyperlink" Target="https://www.youtube.com/channel/UClwLie42UZZabCDIlGSbDRQ" TargetMode="External"/><Relationship Id="rId205" Type="http://schemas.openxmlformats.org/officeDocument/2006/relationships/hyperlink" Target="https://www.youtube.com/channel/UC2e8cr6mhVKe8eP24YYagGA" TargetMode="External"/><Relationship Id="rId447" Type="http://schemas.openxmlformats.org/officeDocument/2006/relationships/hyperlink" Target="https://www.youtube.com/channel/UCqlLqhWW9F7yIJXipP5bcZQ" TargetMode="External"/><Relationship Id="rId689" Type="http://schemas.openxmlformats.org/officeDocument/2006/relationships/hyperlink" Target="https://max.ru/rybalka_7" TargetMode="External"/><Relationship Id="rId204" Type="http://schemas.openxmlformats.org/officeDocument/2006/relationships/hyperlink" Target="https://www.youtube.com/channel/UC8fIEv1YVBkmxguZQ6B1koQ" TargetMode="External"/><Relationship Id="rId446" Type="http://schemas.openxmlformats.org/officeDocument/2006/relationships/hyperlink" Target="https://www.youtube.com/channel/UC6ad2N_Zw0Gto21jHKU4iCA" TargetMode="External"/><Relationship Id="rId688" Type="http://schemas.openxmlformats.org/officeDocument/2006/relationships/hyperlink" Target="https://max.ru/fish38rus" TargetMode="External"/><Relationship Id="rId203" Type="http://schemas.openxmlformats.org/officeDocument/2006/relationships/hyperlink" Target="https://www.youtube.com/channel/UCQLP8VzWwZXsPzIfiS_W46Q" TargetMode="External"/><Relationship Id="rId445" Type="http://schemas.openxmlformats.org/officeDocument/2006/relationships/hyperlink" Target="https://www.youtube.com/channel/UCF-RzAeJv-_nWAJn-ConZ5g" TargetMode="External"/><Relationship Id="rId687" Type="http://schemas.openxmlformats.org/officeDocument/2006/relationships/hyperlink" Target="https://max.ru/fish38rus" TargetMode="External"/><Relationship Id="rId209" Type="http://schemas.openxmlformats.org/officeDocument/2006/relationships/hyperlink" Target="https://www.youtube.com/channel/UCTFpY6kpmt0UGHkM6BJuG9Q" TargetMode="External"/><Relationship Id="rId208" Type="http://schemas.openxmlformats.org/officeDocument/2006/relationships/hyperlink" Target="https://www.youtube.com/channel/UC9yUzf67e9qbhCs8GFso9hQ" TargetMode="External"/><Relationship Id="rId207" Type="http://schemas.openxmlformats.org/officeDocument/2006/relationships/hyperlink" Target="https://www.youtube.com/channel/UCsELhN0_b_S2e6wAr7j7kgQ" TargetMode="External"/><Relationship Id="rId449" Type="http://schemas.openxmlformats.org/officeDocument/2006/relationships/hyperlink" Target="https://www.youtube.com/channel/UC2zWYB0X9wMd-n9XUvVb_Xg" TargetMode="External"/><Relationship Id="rId440" Type="http://schemas.openxmlformats.org/officeDocument/2006/relationships/hyperlink" Target="https://www.youtube.com/channel/UCPkkPt2RopFfV2MwACSUbww" TargetMode="External"/><Relationship Id="rId682" Type="http://schemas.openxmlformats.org/officeDocument/2006/relationships/hyperlink" Target="https://max.ru/join/aCIbN1JRxCFy84v811-Q8Iadi1-loYRgzzUF2UQv0Ko" TargetMode="External"/><Relationship Id="rId681" Type="http://schemas.openxmlformats.org/officeDocument/2006/relationships/hyperlink" Target="https://max.ru/join/aCIbN1JRxCFy84v811-Q8Iadi1-loYRgzzUF2UQv0Ko" TargetMode="External"/><Relationship Id="rId680" Type="http://schemas.openxmlformats.org/officeDocument/2006/relationships/hyperlink" Target="https://max.ru/channel_ozon_nahodki_ru" TargetMode="External"/><Relationship Id="rId202" Type="http://schemas.openxmlformats.org/officeDocument/2006/relationships/hyperlink" Target="https://www.youtube.com/channel/UCB0MGlTVhUBemuGOMz_5S9w" TargetMode="External"/><Relationship Id="rId444" Type="http://schemas.openxmlformats.org/officeDocument/2006/relationships/hyperlink" Target="https://www.youtube.com/channel/UCTzeGPzubay716ax2GfUrgA" TargetMode="External"/><Relationship Id="rId686" Type="http://schemas.openxmlformats.org/officeDocument/2006/relationships/hyperlink" Target="https://max.ru/proonlineee" TargetMode="External"/><Relationship Id="rId201" Type="http://schemas.openxmlformats.org/officeDocument/2006/relationships/hyperlink" Target="https://www.youtube.com/channel/UCKL8dsqpkz3DsxsMrjpZSAg" TargetMode="External"/><Relationship Id="rId443" Type="http://schemas.openxmlformats.org/officeDocument/2006/relationships/hyperlink" Target="https://t.me/+3LpxDyIMD5k0Mjky" TargetMode="External"/><Relationship Id="rId685" Type="http://schemas.openxmlformats.org/officeDocument/2006/relationships/hyperlink" Target="https://max.ru/proonlineee" TargetMode="External"/><Relationship Id="rId200" Type="http://schemas.openxmlformats.org/officeDocument/2006/relationships/hyperlink" Target="https://www.youtube.com/channel/UCaiNpaNR8ap15GdW1Q0O6Cg" TargetMode="External"/><Relationship Id="rId442" Type="http://schemas.openxmlformats.org/officeDocument/2006/relationships/hyperlink" Target="https://www.youtube.com/channel/UC7LBcEaHE4lv8tDgWs6TgXw" TargetMode="External"/><Relationship Id="rId684" Type="http://schemas.openxmlformats.org/officeDocument/2006/relationships/hyperlink" Target="https://max.ru/id575201032930_biz" TargetMode="External"/><Relationship Id="rId441" Type="http://schemas.openxmlformats.org/officeDocument/2006/relationships/hyperlink" Target="https://www.youtube.com/channel/UCfFcpro4noZCv3Gc8_KdcfA" TargetMode="External"/><Relationship Id="rId683" Type="http://schemas.openxmlformats.org/officeDocument/2006/relationships/hyperlink" Target="https://max.ru/id575201032930_biz" TargetMode="External"/><Relationship Id="rId437" Type="http://schemas.openxmlformats.org/officeDocument/2006/relationships/hyperlink" Target="https://www.youtube.com/channel/UC8_awxn6m0il3rKYRY3fZSQ" TargetMode="External"/><Relationship Id="rId679" Type="http://schemas.openxmlformats.org/officeDocument/2006/relationships/hyperlink" Target="https://max.ru/channel_ozon_nahodki_ru" TargetMode="External"/><Relationship Id="rId436" Type="http://schemas.openxmlformats.org/officeDocument/2006/relationships/hyperlink" Target="https://t.me/agro_senena" TargetMode="External"/><Relationship Id="rId678" Type="http://schemas.openxmlformats.org/officeDocument/2006/relationships/hyperlink" Target="https://max.ru/vdali_ot_goroda" TargetMode="External"/><Relationship Id="rId435" Type="http://schemas.openxmlformats.org/officeDocument/2006/relationships/hyperlink" Target="https://t.me/plodorodie_86" TargetMode="External"/><Relationship Id="rId677" Type="http://schemas.openxmlformats.org/officeDocument/2006/relationships/hyperlink" Target="https://max.ru/vdali_ot_goroda" TargetMode="External"/><Relationship Id="rId434" Type="http://schemas.openxmlformats.org/officeDocument/2006/relationships/hyperlink" Target="https://t.me/Sibsemena_Chat" TargetMode="External"/><Relationship Id="rId676" Type="http://schemas.openxmlformats.org/officeDocument/2006/relationships/hyperlink" Target="https://max.ru/rus_fishin" TargetMode="External"/><Relationship Id="rId439" Type="http://schemas.openxmlformats.org/officeDocument/2006/relationships/hyperlink" Target="https://www.youtube.com/channel/UCz7CEC2IZOtkdTSvF9AV7zw" TargetMode="External"/><Relationship Id="rId438" Type="http://schemas.openxmlformats.org/officeDocument/2006/relationships/hyperlink" Target="https://www.youtube.com/channel/UCB_hgBA4SHDZNXiNLiTTrPw" TargetMode="External"/><Relationship Id="rId671" Type="http://schemas.openxmlformats.org/officeDocument/2006/relationships/hyperlink" Target="https://max.ru/channel_VSADKE" TargetMode="External"/><Relationship Id="rId670" Type="http://schemas.openxmlformats.org/officeDocument/2006/relationships/hyperlink" Target="https://max.ru/Rybalka_Bashkortostan" TargetMode="External"/><Relationship Id="rId433" Type="http://schemas.openxmlformats.org/officeDocument/2006/relationships/hyperlink" Target="https://t.me/BashFlower" TargetMode="External"/><Relationship Id="rId675" Type="http://schemas.openxmlformats.org/officeDocument/2006/relationships/hyperlink" Target="https://max.ru/rus_fishin" TargetMode="External"/><Relationship Id="rId432" Type="http://schemas.openxmlformats.org/officeDocument/2006/relationships/hyperlink" Target="https://www.youtube.com/channel/UCPUhp5M3UolhJFa5iWp8beg" TargetMode="External"/><Relationship Id="rId674" Type="http://schemas.openxmlformats.org/officeDocument/2006/relationships/hyperlink" Target="https://t.me/Russian_FishRR4" TargetMode="External"/><Relationship Id="rId431" Type="http://schemas.openxmlformats.org/officeDocument/2006/relationships/hyperlink" Target="https://www.youtube.com/channel/UCsEyVLwyKcS9ZHTcy0Jd4HQ" TargetMode="External"/><Relationship Id="rId673" Type="http://schemas.openxmlformats.org/officeDocument/2006/relationships/hyperlink" Target="https://t.me/Russian_FishRR4" TargetMode="External"/><Relationship Id="rId430" Type="http://schemas.openxmlformats.org/officeDocument/2006/relationships/hyperlink" Target="https://t.me/vokrug_sada" TargetMode="External"/><Relationship Id="rId672" Type="http://schemas.openxmlformats.org/officeDocument/2006/relationships/hyperlink" Target="https://max.ru/channel_VSADK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t.me/superotpusknadache/17431" TargetMode="External"/><Relationship Id="rId194" Type="http://schemas.openxmlformats.org/officeDocument/2006/relationships/hyperlink" Target="https://max.ru/ch_60a62c32e184214713fa6055/AaBNSNJPawo" TargetMode="External"/><Relationship Id="rId193" Type="http://schemas.openxmlformats.org/officeDocument/2006/relationships/hyperlink" Target="https://aminotriggerfish.mobz.market/4l3ji" TargetMode="External"/><Relationship Id="rId192" Type="http://schemas.openxmlformats.org/officeDocument/2006/relationships/hyperlink" Target="https://wildberries.ru/catalog/0/search.aspx?search=WW979686" TargetMode="External"/><Relationship Id="rId191" Type="http://schemas.openxmlformats.org/officeDocument/2006/relationships/hyperlink" Target="https://max.ru/city_and_house" TargetMode="External"/><Relationship Id="rId187" Type="http://schemas.openxmlformats.org/officeDocument/2006/relationships/hyperlink" Target="https://telegram.me/superotpusknadache" TargetMode="External"/><Relationship Id="rId186" Type="http://schemas.openxmlformats.org/officeDocument/2006/relationships/hyperlink" Target="https://max.ru/bibliya_sada/AaBIOSqPbnk" TargetMode="External"/><Relationship Id="rId185" Type="http://schemas.openxmlformats.org/officeDocument/2006/relationships/hyperlink" Target="https://aminotriggerfish.mobz.market/86db1v" TargetMode="External"/><Relationship Id="rId184" Type="http://schemas.openxmlformats.org/officeDocument/2006/relationships/hyperlink" Target="https://wildberries.ru/catalog/0/search.aspx?search=WW979669" TargetMode="External"/><Relationship Id="rId189" Type="http://schemas.openxmlformats.org/officeDocument/2006/relationships/hyperlink" Target="https://aminotriggerfish.mobz.market/w0rbq" TargetMode="External"/><Relationship Id="rId188" Type="http://schemas.openxmlformats.org/officeDocument/2006/relationships/hyperlink" Target="https://wildberries.ru/catalog/0/search.aspx?search=WW979700" TargetMode="External"/><Relationship Id="rId183" Type="http://schemas.openxmlformats.org/officeDocument/2006/relationships/hyperlink" Target="https://max.ru/bibliya_sada" TargetMode="External"/><Relationship Id="rId182" Type="http://schemas.openxmlformats.org/officeDocument/2006/relationships/hyperlink" Target="https://max.ru/ylov_ribaka/AaA-YGB_KDg" TargetMode="External"/><Relationship Id="rId181" Type="http://schemas.openxmlformats.org/officeDocument/2006/relationships/hyperlink" Target="https://aminotriggerfish.mobz.market/xej" TargetMode="External"/><Relationship Id="rId180" Type="http://schemas.openxmlformats.org/officeDocument/2006/relationships/hyperlink" Target="https://ozon.onelink.me/SNMZ/ukn1iac9" TargetMode="External"/><Relationship Id="rId176" Type="http://schemas.openxmlformats.org/officeDocument/2006/relationships/hyperlink" Target="https://ozon.onelink.me/SNMZ/373m7kvy" TargetMode="External"/><Relationship Id="rId175" Type="http://schemas.openxmlformats.org/officeDocument/2006/relationships/hyperlink" Target="https://max.ru/pp4farmtrof" TargetMode="External"/><Relationship Id="rId174" Type="http://schemas.openxmlformats.org/officeDocument/2006/relationships/hyperlink" Target="https://max.ru/join/tv-zOLgP61IYsvZA5CGo-pJe1cAmeOwctc3pafS22ZEhttps://max.ru/ylov_ribaka" TargetMode="External"/><Relationship Id="rId173" Type="http://schemas.openxmlformats.org/officeDocument/2006/relationships/hyperlink" Target="https://aminotriggerfish.mobz.market/6dyu" TargetMode="External"/><Relationship Id="rId179" Type="http://schemas.openxmlformats.org/officeDocument/2006/relationships/hyperlink" Target="https://max.ru/join/tv-zOLgP61IYsvZA5CGo-pJe1cAmeOwctc3pafS22ZE" TargetMode="External"/><Relationship Id="rId178" Type="http://schemas.openxmlformats.org/officeDocument/2006/relationships/hyperlink" Target="https://max.ru/pp4farmtrof/AaA8PNzgPpg" TargetMode="External"/><Relationship Id="rId177" Type="http://schemas.openxmlformats.org/officeDocument/2006/relationships/hyperlink" Target="https://aminotriggerfish.mobz.market/1kr" TargetMode="External"/><Relationship Id="rId198" Type="http://schemas.openxmlformats.org/officeDocument/2006/relationships/hyperlink" Target="https://max.ru/Nadacheprigoditca/AaBMV_FWX50" TargetMode="External"/><Relationship Id="rId197" Type="http://schemas.openxmlformats.org/officeDocument/2006/relationships/hyperlink" Target="https://aminotriggerfish.mobz.market/okk3" TargetMode="External"/><Relationship Id="rId196" Type="http://schemas.openxmlformats.org/officeDocument/2006/relationships/hyperlink" Target="https://wildberries.ru/catalog/0/search.aspx?search=WW979690" TargetMode="External"/><Relationship Id="rId195" Type="http://schemas.openxmlformats.org/officeDocument/2006/relationships/hyperlink" Target="https://max.ru/Nadacheprigoditc" TargetMode="External"/><Relationship Id="rId199" Type="http://schemas.openxmlformats.org/officeDocument/2006/relationships/hyperlink" Target="https://max.ru/ch_60a62c32e184214713fa6055" TargetMode="External"/><Relationship Id="rId150" Type="http://schemas.openxmlformats.org/officeDocument/2006/relationships/hyperlink" Target="https://rutube.ru/video/9ead77f4a5d7ce5094851ac7e3fd4a5d/?r=a/" TargetMode="External"/><Relationship Id="rId1" Type="http://schemas.openxmlformats.org/officeDocument/2006/relationships/hyperlink" Target="https://max.ru/fishes43" TargetMode="External"/><Relationship Id="rId2" Type="http://schemas.openxmlformats.org/officeDocument/2006/relationships/hyperlink" Target="https://trigger-fish.ru/?utm_source=max&amp;utm_medium=publik&amp;utm_campaign=rybalkasakhalin&amp;utm_content=t27&amp;utm_term=0" TargetMode="External"/><Relationship Id="rId3" Type="http://schemas.openxmlformats.org/officeDocument/2006/relationships/hyperlink" Target="https://max.ru/fishes43/AZ_f9UjBUjw" TargetMode="External"/><Relationship Id="rId149" Type="http://schemas.openxmlformats.org/officeDocument/2006/relationships/hyperlink" Target="https://ozon.onelink.me/SNMZ/tc61op2m" TargetMode="External"/><Relationship Id="rId4" Type="http://schemas.openxmlformats.org/officeDocument/2006/relationships/hyperlink" Target="https://max.ru/join/uCdz6lLBZaKQQ-TBrM1kCaXNxdhno0LlLSpv1_WO-yI" TargetMode="External"/><Relationship Id="rId148" Type="http://schemas.openxmlformats.org/officeDocument/2006/relationships/hyperlink" Target="https://rutube.ru/video/1726869439763055380402e1c8fb4aee/?r=a" TargetMode="External"/><Relationship Id="rId9" Type="http://schemas.openxmlformats.org/officeDocument/2006/relationships/hyperlink" Target="https://max.ru/rybalka_severozapad/AZ_anGIoWTQ" TargetMode="External"/><Relationship Id="rId143" Type="http://schemas.openxmlformats.org/officeDocument/2006/relationships/hyperlink" Target="https://ozon.onelink.me/SNMZ/5xw8wjxe" TargetMode="External"/><Relationship Id="rId142" Type="http://schemas.openxmlformats.org/officeDocument/2006/relationships/hyperlink" Target="https://t.me/syilers26" TargetMode="External"/><Relationship Id="rId141" Type="http://schemas.openxmlformats.org/officeDocument/2006/relationships/hyperlink" Target="https://vk.ru/im?z=video-110328564_456241951" TargetMode="External"/><Relationship Id="rId140" Type="http://schemas.openxmlformats.org/officeDocument/2006/relationships/hyperlink" Target="https://ozon.onelink.me/SNMZ/8l5jco46" TargetMode="External"/><Relationship Id="rId5" Type="http://schemas.openxmlformats.org/officeDocument/2006/relationships/hyperlink" Target="https://trigger-fish.ru/?utm_source=max&amp;utm_medium=publik&amp;utm_campaign=klevoemesto&amp;utm_content=t27&amp;utm_term=0" TargetMode="External"/><Relationship Id="rId147" Type="http://schemas.openxmlformats.org/officeDocument/2006/relationships/hyperlink" Target="https://max.ru/syilers2019/AaBC_lixIxo" TargetMode="External"/><Relationship Id="rId6" Type="http://schemas.openxmlformats.org/officeDocument/2006/relationships/hyperlink" Target="https://max.ru/join/uCdz6lLBZaKQQ-TBrM1kCaXNxdhno0LlLSpv1_WO-yI" TargetMode="External"/><Relationship Id="rId146" Type="http://schemas.openxmlformats.org/officeDocument/2006/relationships/hyperlink" Target="https://ozon.onelink.me/SNMZ/fzc2s8oo" TargetMode="External"/><Relationship Id="rId7" Type="http://schemas.openxmlformats.org/officeDocument/2006/relationships/hyperlink" Target="https://max.ru/rybalka_severozapad" TargetMode="External"/><Relationship Id="rId145" Type="http://schemas.openxmlformats.org/officeDocument/2006/relationships/hyperlink" Target="https://max.ru/syilers2019" TargetMode="External"/><Relationship Id="rId8" Type="http://schemas.openxmlformats.org/officeDocument/2006/relationships/hyperlink" Target="https://trigger-fish.ru/?utm_source=max&amp;utm_medium=publik&amp;utm_campaign=rybalka_severozapad&amp;utm_content=t27&amp;utm_term=0" TargetMode="External"/><Relationship Id="rId144" Type="http://schemas.openxmlformats.org/officeDocument/2006/relationships/hyperlink" Target="https://t.me/syilers26/4200" TargetMode="External"/><Relationship Id="rId139" Type="http://schemas.openxmlformats.org/officeDocument/2006/relationships/hyperlink" Target="https://vk.ru/spinnest" TargetMode="External"/><Relationship Id="rId138" Type="http://schemas.openxmlformats.org/officeDocument/2006/relationships/hyperlink" Target="https://rutube.ru/video/87ce60088ef9c6bb5e353507f1301ad7/" TargetMode="External"/><Relationship Id="rId137" Type="http://schemas.openxmlformats.org/officeDocument/2006/relationships/hyperlink" Target="https://ozon.onelink.me/SNMZ/tstkfwui" TargetMode="External"/><Relationship Id="rId132" Type="http://schemas.openxmlformats.org/officeDocument/2006/relationships/hyperlink" Target="https://max.ru/proonlineee/AaAta71JQQY" TargetMode="External"/><Relationship Id="rId131" Type="http://schemas.openxmlformats.org/officeDocument/2006/relationships/hyperlink" Target="https://trigger-fish.ru/?utm_source=max&amp;utm_medium=publik&amp;utm_campaign=proonlineee&amp;utm_content=t27" TargetMode="External"/><Relationship Id="rId130" Type="http://schemas.openxmlformats.org/officeDocument/2006/relationships/hyperlink" Target="https://max.ru/proonlineee" TargetMode="External"/><Relationship Id="rId136" Type="http://schemas.openxmlformats.org/officeDocument/2006/relationships/hyperlink" Target="https://rutube.ru/channel/43101422" TargetMode="External"/><Relationship Id="rId135" Type="http://schemas.openxmlformats.org/officeDocument/2006/relationships/hyperlink" Target="https://www.youtube.com/watch?v=954zrnc9vLA" TargetMode="External"/><Relationship Id="rId134" Type="http://schemas.openxmlformats.org/officeDocument/2006/relationships/hyperlink" Target="https://ozon.onelink.me/SNMZ/8de5za7t" TargetMode="External"/><Relationship Id="rId133" Type="http://schemas.openxmlformats.org/officeDocument/2006/relationships/hyperlink" Target="https://www.youtube.com/@pikeordie" TargetMode="External"/><Relationship Id="rId172" Type="http://schemas.openxmlformats.org/officeDocument/2006/relationships/hyperlink" Target="https://ozon.onelink.me/SNMZ/35xi838x" TargetMode="External"/><Relationship Id="rId171" Type="http://schemas.openxmlformats.org/officeDocument/2006/relationships/hyperlink" Target="https://max.ru/ylov_ribaka" TargetMode="External"/><Relationship Id="rId170" Type="http://schemas.openxmlformats.org/officeDocument/2006/relationships/hyperlink" Target="https://max.ru/ribalka_fishing24/AaA8rCnOepg" TargetMode="External"/><Relationship Id="rId165" Type="http://schemas.openxmlformats.org/officeDocument/2006/relationships/hyperlink" Target="https://aminotriggerfish.mobz.market/ciiuh" TargetMode="External"/><Relationship Id="rId164" Type="http://schemas.openxmlformats.org/officeDocument/2006/relationships/hyperlink" Target="https://ozon.onelink.me/SNMZ/a0jumhdp" TargetMode="External"/><Relationship Id="rId163" Type="http://schemas.openxmlformats.org/officeDocument/2006/relationships/hyperlink" Target="https://max.ru/rybanutyye" TargetMode="External"/><Relationship Id="rId162" Type="http://schemas.openxmlformats.org/officeDocument/2006/relationships/hyperlink" Target="https://t.me/Spinning_Kubani_Adygei/47228/312122" TargetMode="External"/><Relationship Id="rId169" Type="http://schemas.openxmlformats.org/officeDocument/2006/relationships/hyperlink" Target="https://aminotriggerfish.mobz.market/w5kp" TargetMode="External"/><Relationship Id="rId168" Type="http://schemas.openxmlformats.org/officeDocument/2006/relationships/hyperlink" Target="https://ozon.onelink.me/SNMZ/wzijwzue" TargetMode="External"/><Relationship Id="rId167" Type="http://schemas.openxmlformats.org/officeDocument/2006/relationships/hyperlink" Target="https://max.ru/ribalka_fishing24" TargetMode="External"/><Relationship Id="rId166" Type="http://schemas.openxmlformats.org/officeDocument/2006/relationships/hyperlink" Target="https://max.ru/rybanutyye/AaA8rBz7BJg" TargetMode="External"/><Relationship Id="rId161" Type="http://schemas.openxmlformats.org/officeDocument/2006/relationships/hyperlink" Target="https://aminotriggerfish.mobz.market/j3s" TargetMode="External"/><Relationship Id="rId160" Type="http://schemas.openxmlformats.org/officeDocument/2006/relationships/hyperlink" Target="https://ozon.onelink.me/SNMZ/3lrtowoe" TargetMode="External"/><Relationship Id="rId159" Type="http://schemas.openxmlformats.org/officeDocument/2006/relationships/hyperlink" Target="https://t.me/spinning_Kubani_Adygei" TargetMode="External"/><Relationship Id="rId154" Type="http://schemas.openxmlformats.org/officeDocument/2006/relationships/hyperlink" Target="https://vkvideo.ru/@fishinglifetv/all" TargetMode="External"/><Relationship Id="rId153" Type="http://schemas.openxmlformats.org/officeDocument/2006/relationships/hyperlink" Target="https://www.youtube.com/watch?v=IpPwpwE1GPc&amp;t=100s" TargetMode="External"/><Relationship Id="rId152" Type="http://schemas.openxmlformats.org/officeDocument/2006/relationships/hyperlink" Target="https://ozon.onelink.me/SNMZ/wxkr03el" TargetMode="External"/><Relationship Id="rId151" Type="http://schemas.openxmlformats.org/officeDocument/2006/relationships/hyperlink" Target="https://www.youtube.com/channel/UCw4X4WsJHT7UA_XhPONv5VQ" TargetMode="External"/><Relationship Id="rId158" Type="http://schemas.openxmlformats.org/officeDocument/2006/relationships/hyperlink" Target="https://www.youtube.com/shorts/mA8JJoOmi50" TargetMode="External"/><Relationship Id="rId157" Type="http://schemas.openxmlformats.org/officeDocument/2006/relationships/hyperlink" Target="https://youtube.com/@batya_ilin" TargetMode="External"/><Relationship Id="rId156" Type="http://schemas.openxmlformats.org/officeDocument/2006/relationships/hyperlink" Target="https://vkvideo.ru/video-226894765_456239497" TargetMode="External"/><Relationship Id="rId155" Type="http://schemas.openxmlformats.org/officeDocument/2006/relationships/hyperlink" Target="https://ozon.onelink.me/SNMZ/r298yc2n" TargetMode="External"/><Relationship Id="rId40" Type="http://schemas.openxmlformats.org/officeDocument/2006/relationships/hyperlink" Target="https://trigger-fish.ru/?utm_source=tg&amp;utm_medium=publik&amp;utm_campaign=fishingspb1&amp;utm_content=t27" TargetMode="External"/><Relationship Id="rId42" Type="http://schemas.openxmlformats.org/officeDocument/2006/relationships/hyperlink" Target="https://max.ru/rubalkarussia" TargetMode="External"/><Relationship Id="rId41" Type="http://schemas.openxmlformats.org/officeDocument/2006/relationships/hyperlink" Target="https://max.ru/fishingspb1/AaAEcE1jd0w" TargetMode="External"/><Relationship Id="rId44" Type="http://schemas.openxmlformats.org/officeDocument/2006/relationships/hyperlink" Target="https://max.ru/rubalkarussia/AaAGSbIzf8g" TargetMode="External"/><Relationship Id="rId43" Type="http://schemas.openxmlformats.org/officeDocument/2006/relationships/hyperlink" Target="https://trigger-fish.ru/?utm_source=max&amp;utm_medium=publik&amp;utm_campaign=max.ru%2Frubalkarussia&amp;utm_content=t27" TargetMode="External"/><Relationship Id="rId46" Type="http://schemas.openxmlformats.org/officeDocument/2006/relationships/hyperlink" Target="https://trigger-fish.ru/?utm_source=max&amp;utm_medium=publik&amp;utm_campaign=fish_journal&amp;utm_content=t27" TargetMode="External"/><Relationship Id="rId45" Type="http://schemas.openxmlformats.org/officeDocument/2006/relationships/hyperlink" Target="https://max.ru/fish_journal" TargetMode="External"/><Relationship Id="rId48" Type="http://schemas.openxmlformats.org/officeDocument/2006/relationships/hyperlink" Target="https://max.ru/channel_Rybalka_52" TargetMode="External"/><Relationship Id="rId47" Type="http://schemas.openxmlformats.org/officeDocument/2006/relationships/hyperlink" Target="https://max.ru/fish_journal/AaAEqvUQEUw" TargetMode="External"/><Relationship Id="rId49" Type="http://schemas.openxmlformats.org/officeDocument/2006/relationships/hyperlink" Target="https://trigger-fish.ru/?utm_source=max&amp;utm_medium=publik&amp;utm_campaign=channel_rybalka_52&amp;utm_content=t27" TargetMode="External"/><Relationship Id="rId31" Type="http://schemas.openxmlformats.org/officeDocument/2006/relationships/hyperlink" Target="https://aminotriggerfish.mobz.market/hs9mwe" TargetMode="External"/><Relationship Id="rId30" Type="http://schemas.openxmlformats.org/officeDocument/2006/relationships/hyperlink" Target="https://wildberries.ru/catalog/0/search.aspx?search=WW888378" TargetMode="External"/><Relationship Id="rId33" Type="http://schemas.openxmlformats.org/officeDocument/2006/relationships/hyperlink" Target="https://t.me/fishercl" TargetMode="External"/><Relationship Id="rId32" Type="http://schemas.openxmlformats.org/officeDocument/2006/relationships/hyperlink" Target="https://youtube.com/shorts/rKxxYD_SDCc?si=B1QcWbyyjv0rHg-u" TargetMode="External"/><Relationship Id="rId35" Type="http://schemas.openxmlformats.org/officeDocument/2006/relationships/hyperlink" Target="https://telegram.me/fishercl/5219" TargetMode="External"/><Relationship Id="rId34" Type="http://schemas.openxmlformats.org/officeDocument/2006/relationships/hyperlink" Target="https://trigger-fish.ru/?utm_source=tg&amp;utm_medium=publik&amp;utm_campaign=fishercl&amp;utm_content=t27" TargetMode="External"/><Relationship Id="rId37" Type="http://schemas.openxmlformats.org/officeDocument/2006/relationships/hyperlink" Target="https://trigger-fish.ru/?utm_source=tg&amp;utm_medium=publik&amp;utm_campaign=alexeyvfishing&amp;utm_content=t27" TargetMode="External"/><Relationship Id="rId36" Type="http://schemas.openxmlformats.org/officeDocument/2006/relationships/hyperlink" Target="https://max.ru/alexeyvfishing" TargetMode="External"/><Relationship Id="rId39" Type="http://schemas.openxmlformats.org/officeDocument/2006/relationships/hyperlink" Target="https://max.ru/fishingspb1" TargetMode="External"/><Relationship Id="rId38" Type="http://schemas.openxmlformats.org/officeDocument/2006/relationships/hyperlink" Target="https://max.ru/alexeyvfishing/AaAEOW_-O0w" TargetMode="External"/><Relationship Id="rId20" Type="http://schemas.openxmlformats.org/officeDocument/2006/relationships/hyperlink" Target="https://trigger-fish.ru/?utm_source=max&amp;utm_medium=publik&amp;utm_campaign=rybalovnayasvodkaspb&amp;utm_content=t28&amp;utm_term=0" TargetMode="External"/><Relationship Id="rId22" Type="http://schemas.openxmlformats.org/officeDocument/2006/relationships/hyperlink" Target="https://max.ru/rybalkasakhalin" TargetMode="External"/><Relationship Id="rId21" Type="http://schemas.openxmlformats.org/officeDocument/2006/relationships/hyperlink" Target="https://max.ru/rybalka_severozapad/AZ_dYejXTGo" TargetMode="External"/><Relationship Id="rId24" Type="http://schemas.openxmlformats.org/officeDocument/2006/relationships/hyperlink" Target="https://max.ru/rybalkasakhalin/AZ_mXo2jbBY" TargetMode="External"/><Relationship Id="rId23" Type="http://schemas.openxmlformats.org/officeDocument/2006/relationships/hyperlink" Target="https://trigger-fish.ru/?utm_source=max&amp;utm_medium=publik&amp;utm_campaign=rybalkasakhalin&amp;utm_content=28" TargetMode="External"/><Relationship Id="rId26" Type="http://schemas.openxmlformats.org/officeDocument/2006/relationships/hyperlink" Target="https://wildberries.ru/catalog/0/search.aspx?search=WW888364" TargetMode="External"/><Relationship Id="rId25" Type="http://schemas.openxmlformats.org/officeDocument/2006/relationships/hyperlink" Target="https://www.tiktok.com/@viktorlife24" TargetMode="External"/><Relationship Id="rId28" Type="http://schemas.openxmlformats.org/officeDocument/2006/relationships/hyperlink" Target="https://vt.tiktok.com/ZSVewxP5s/" TargetMode="External"/><Relationship Id="rId27" Type="http://schemas.openxmlformats.org/officeDocument/2006/relationships/hyperlink" Target="https://aminotriggerfish.mobz.market/7icq" TargetMode="External"/><Relationship Id="rId29" Type="http://schemas.openxmlformats.org/officeDocument/2006/relationships/hyperlink" Target="https://www.youtube.com/@%D0%92%D0%B8%D0%BA%D1%82%D0%BE%D1%80%D0%BF%D1%80%D0%BE%D1%81%D1%82%D0%B0%D0%BD%D0%B8%D1%87%D0%BD%D1%83%D1%8E%D0%B6%D0%B8%D0%B7%D0%BD%D1%8C" TargetMode="External"/><Relationship Id="rId11" Type="http://schemas.openxmlformats.org/officeDocument/2006/relationships/hyperlink" Target="https://clck.ru/3V7XHx" TargetMode="External"/><Relationship Id="rId10" Type="http://schemas.openxmlformats.org/officeDocument/2006/relationships/hyperlink" Target="https://t.me/rubalkamoskva" TargetMode="External"/><Relationship Id="rId13" Type="http://schemas.openxmlformats.org/officeDocument/2006/relationships/hyperlink" Target="https://max.ru/we_and_nature" TargetMode="External"/><Relationship Id="rId12" Type="http://schemas.openxmlformats.org/officeDocument/2006/relationships/hyperlink" Target="https://telegram.me/rubalkamoskva/42761" TargetMode="External"/><Relationship Id="rId15" Type="http://schemas.openxmlformats.org/officeDocument/2006/relationships/hyperlink" Target="https://max.ru/we_and_nature/AZ_nQLlvTwc" TargetMode="External"/><Relationship Id="rId14" Type="http://schemas.openxmlformats.org/officeDocument/2006/relationships/hyperlink" Target="https://trigger-fish.ru/?utm_source=max&amp;utm_medium=publik&amp;utm_campaign=we_and_nature&amp;utm_content=t28&amp;utm_term=0" TargetMode="External"/><Relationship Id="rId17" Type="http://schemas.openxmlformats.org/officeDocument/2006/relationships/hyperlink" Target="https://trigger-fish.ru/?utm_source=max&amp;utm_medium=publik&amp;utm_campaign=rybalka&amp;utm_content=t28&amp;utm_term=0" TargetMode="External"/><Relationship Id="rId16" Type="http://schemas.openxmlformats.org/officeDocument/2006/relationships/hyperlink" Target="https://max.ru/telefishing" TargetMode="External"/><Relationship Id="rId19" Type="http://schemas.openxmlformats.org/officeDocument/2006/relationships/hyperlink" Target="https://t.me/rybalka_spb_lenoblasti" TargetMode="External"/><Relationship Id="rId18" Type="http://schemas.openxmlformats.org/officeDocument/2006/relationships/hyperlink" Target="https://max.ru/telefishing/AZ_gLNBzC3g" TargetMode="External"/><Relationship Id="rId84" Type="http://schemas.openxmlformats.org/officeDocument/2006/relationships/hyperlink" Target="https://vk.ru/wall-136853349_64568" TargetMode="External"/><Relationship Id="rId83" Type="http://schemas.openxmlformats.org/officeDocument/2006/relationships/hyperlink" Target="https://vk.ru/aliexfisher" TargetMode="External"/><Relationship Id="rId86" Type="http://schemas.openxmlformats.org/officeDocument/2006/relationships/hyperlink" Target="https://trigger-fish.ru/?utm_source=max&amp;utm_medium=publik&amp;utm_campaign=vkaifl_riabalka&amp;utm_content=t27" TargetMode="External"/><Relationship Id="rId85" Type="http://schemas.openxmlformats.org/officeDocument/2006/relationships/hyperlink" Target="https://max.ru/channel_riabalka" TargetMode="External"/><Relationship Id="rId88" Type="http://schemas.openxmlformats.org/officeDocument/2006/relationships/hyperlink" Target="https://max.ru/rybalka_7" TargetMode="External"/><Relationship Id="rId87" Type="http://schemas.openxmlformats.org/officeDocument/2006/relationships/hyperlink" Target="https://max.ru/channel_riabalka/AaAiQ4ZBKcY" TargetMode="External"/><Relationship Id="rId89" Type="http://schemas.openxmlformats.org/officeDocument/2006/relationships/hyperlink" Target="https://trigger-fish.ru/?utm_source=max&amp;utm_medium=publik&amp;utm_campaign=rybalka_7&amp;utm_content=t27" TargetMode="External"/><Relationship Id="rId80" Type="http://schemas.openxmlformats.org/officeDocument/2006/relationships/hyperlink" Target="https://www.tiktok.com/@novo_fish" TargetMode="External"/><Relationship Id="rId82" Type="http://schemas.openxmlformats.org/officeDocument/2006/relationships/hyperlink" Target="https://www.tiktok.com/@novo_fish/video/7677190984953908513" TargetMode="External"/><Relationship Id="rId81" Type="http://schemas.openxmlformats.org/officeDocument/2006/relationships/hyperlink" Target="https://wildberries.ru/catalog/0/search.aspx?search=WW947786" TargetMode="External"/><Relationship Id="rId73" Type="http://schemas.openxmlformats.org/officeDocument/2006/relationships/hyperlink" Target="https://ozon.onelink.me/SNMZ?af_dp=https://ozon.ru/product/aminotrigger-fish-aromatizator-dlya-rybalki-250-ml-5340361400/&amp;af_web_dp=https://ozon.ru/product/aminotrigger-fish-aromatizator-dlya-rybalki-250-ml-5340361400/&amp;is_retargeting=true&amp;c=vendor_org_4202727_t28&amp;pid=vk%7Cvideo&amp;af_keywords=fishinglifetv&amp;hs=1&amp;utm_source=vk&amp;utm_medium=video&amp;utm_campaign=vendor_org_4202727_t28&amp;utm_term=fishinglifetv" TargetMode="External"/><Relationship Id="rId72" Type="http://schemas.openxmlformats.org/officeDocument/2006/relationships/hyperlink" Target="https://vk.ru/fishinglifetv" TargetMode="External"/><Relationship Id="rId75" Type="http://schemas.openxmlformats.org/officeDocument/2006/relationships/hyperlink" Target="https://vk.ru/wall-226894765_643" TargetMode="External"/><Relationship Id="rId74" Type="http://schemas.openxmlformats.org/officeDocument/2006/relationships/hyperlink" Target="https://aminotriggerfish.mobz.market/b0g" TargetMode="External"/><Relationship Id="rId77" Type="http://schemas.openxmlformats.org/officeDocument/2006/relationships/hyperlink" Target="https://ozon.ru/product/aminotrigger-fish-aromatizator-dlya-rybalki-250-ml-5340361400/?hs=1&amp;utm_campaign=vendor_org_4202727_pugleonid&amp;utm_medium=video&amp;utm_source=vk" TargetMode="External"/><Relationship Id="rId76" Type="http://schemas.openxmlformats.org/officeDocument/2006/relationships/hyperlink" Target="https://vk.ru/pugleonid" TargetMode="External"/><Relationship Id="rId79" Type="http://schemas.openxmlformats.org/officeDocument/2006/relationships/hyperlink" Target="https://vk.ru/clip-221128641_456239567?c=1" TargetMode="External"/><Relationship Id="rId78" Type="http://schemas.openxmlformats.org/officeDocument/2006/relationships/hyperlink" Target="https://aminotriggerfish.mobz.market/s6i" TargetMode="External"/><Relationship Id="rId71" Type="http://schemas.openxmlformats.org/officeDocument/2006/relationships/hyperlink" Target="https://max.ru/life_fishing/AaAJXv4LLk0" TargetMode="External"/><Relationship Id="rId70" Type="http://schemas.openxmlformats.org/officeDocument/2006/relationships/hyperlink" Target="https://trigger-fish.ru/?utm_source=max&amp;utm_medium=publik&amp;utm_campaign=life_fishing&amp;utm_content=t27" TargetMode="External"/><Relationship Id="rId62" Type="http://schemas.openxmlformats.org/officeDocument/2006/relationships/hyperlink" Target="https://max.ru/Fishing_Kuban_Adygea/AaAFS5vOGOw" TargetMode="External"/><Relationship Id="rId61" Type="http://schemas.openxmlformats.org/officeDocument/2006/relationships/hyperlink" Target="https://trigger-fish.ru/?utm_source=max&amp;utm_medium=publik&amp;utm_campaign=fishing_kuban_adygea&amp;utm_content=t27" TargetMode="External"/><Relationship Id="rId64" Type="http://schemas.openxmlformats.org/officeDocument/2006/relationships/hyperlink" Target="https://trigger-fish.ru/?utm_source=telegram&amp;utm_medium=publik&amp;utm_campaign=samarafish&amp;utm_content=t27" TargetMode="External"/><Relationship Id="rId63" Type="http://schemas.openxmlformats.org/officeDocument/2006/relationships/hyperlink" Target="https://t.me/samarafish" TargetMode="External"/><Relationship Id="rId66" Type="http://schemas.openxmlformats.org/officeDocument/2006/relationships/hyperlink" Target="https://max.ru/channel_Rostov_Fishing" TargetMode="External"/><Relationship Id="rId65" Type="http://schemas.openxmlformats.org/officeDocument/2006/relationships/hyperlink" Target="https://telegram.me/samarafish/19820" TargetMode="External"/><Relationship Id="rId68" Type="http://schemas.openxmlformats.org/officeDocument/2006/relationships/hyperlink" Target="https://max.ru/channel_Rostov_Fishing/AaAEOXtMP0w" TargetMode="External"/><Relationship Id="rId67" Type="http://schemas.openxmlformats.org/officeDocument/2006/relationships/hyperlink" Target="https://trigger-fish.ru/?utm_source=max&amp;utm_medium=publik&amp;utm_campaign=channel_rostov_fishing&amp;utm_content=t27" TargetMode="External"/><Relationship Id="rId60" Type="http://schemas.openxmlformats.org/officeDocument/2006/relationships/hyperlink" Target="https://max.ru/Fishing_Kuban_Adygea" TargetMode="External"/><Relationship Id="rId69" Type="http://schemas.openxmlformats.org/officeDocument/2006/relationships/hyperlink" Target="https://max.ru/life_fishing" TargetMode="External"/><Relationship Id="rId51" Type="http://schemas.openxmlformats.org/officeDocument/2006/relationships/hyperlink" Target="https://max.ru/russian_fishing_pro" TargetMode="External"/><Relationship Id="rId50" Type="http://schemas.openxmlformats.org/officeDocument/2006/relationships/hyperlink" Target="https://max.ru/channel_Rybalka_52/AaAGlQguSww" TargetMode="External"/><Relationship Id="rId53" Type="http://schemas.openxmlformats.org/officeDocument/2006/relationships/hyperlink" Target="https://max.ru/russian_fishing_pro/AaAG5yAKQQw" TargetMode="External"/><Relationship Id="rId52" Type="http://schemas.openxmlformats.org/officeDocument/2006/relationships/hyperlink" Target="https://trigger-fish.ru/?utm_source=max&amp;utm_medium=publik&amp;utm_campaign=russian_fishing_pro&amp;utm_content=t27" TargetMode="External"/><Relationship Id="rId55" Type="http://schemas.openxmlformats.org/officeDocument/2006/relationships/hyperlink" Target="https://trigger-fish.ru/?utm_source=max&amp;utm_medium=publik&amp;utm_campaign=rybalka555&amp;utm_content=t27" TargetMode="External"/><Relationship Id="rId54" Type="http://schemas.openxmlformats.org/officeDocument/2006/relationships/hyperlink" Target="https://max.ru/rybalka555" TargetMode="External"/><Relationship Id="rId57" Type="http://schemas.openxmlformats.org/officeDocument/2006/relationships/hyperlink" Target="https://t.me/feeder_spb" TargetMode="External"/><Relationship Id="rId56" Type="http://schemas.openxmlformats.org/officeDocument/2006/relationships/hyperlink" Target="https://max.ru/rybalka555/AaADy5FHb0w" TargetMode="External"/><Relationship Id="rId59" Type="http://schemas.openxmlformats.org/officeDocument/2006/relationships/hyperlink" Target="https://telegram.me/feeder_spb/10105" TargetMode="External"/><Relationship Id="rId58" Type="http://schemas.openxmlformats.org/officeDocument/2006/relationships/hyperlink" Target="https://trigger-fish.ru/?utm_source=max&amp;utm_medium=publik&amp;utm_campaign=feeder_spb&amp;utm_content=t27" TargetMode="External"/><Relationship Id="rId107" Type="http://schemas.openxmlformats.org/officeDocument/2006/relationships/hyperlink" Target="https://trigger-fish.ru/?utm_source=max&amp;utm_medium=publik&amp;utm_campaign=baikfish38rus&amp;utm_content=t27" TargetMode="External"/><Relationship Id="rId106" Type="http://schemas.openxmlformats.org/officeDocument/2006/relationships/hyperlink" Target="https://max.ru/fish38rus" TargetMode="External"/><Relationship Id="rId105" Type="http://schemas.openxmlformats.org/officeDocument/2006/relationships/hyperlink" Target="https://max.ru/join/-Ga5MmYNaN5TUj1yklwyICg_zp8zmmqzGhT9oJZq5BY" TargetMode="External"/><Relationship Id="rId104" Type="http://schemas.openxmlformats.org/officeDocument/2006/relationships/hyperlink" Target="https://trigger-fish.ru/?utm_source=max&amp;utm_medium=publik&amp;utm_campaign=domashniehitrosti&amp;utm_content=t27" TargetMode="External"/><Relationship Id="rId109" Type="http://schemas.openxmlformats.org/officeDocument/2006/relationships/hyperlink" Target="https://t.me/Russian_FishRR4" TargetMode="External"/><Relationship Id="rId108" Type="http://schemas.openxmlformats.org/officeDocument/2006/relationships/hyperlink" Target="https://max.ru/fish38rus/AaAirVw6ecY" TargetMode="External"/><Relationship Id="rId103" Type="http://schemas.openxmlformats.org/officeDocument/2006/relationships/hyperlink" Target="https://max.ru/join/-Ga5MmYNaN5TUj1yklwyICg_zp8zmmqzGhT9oJZq5BY" TargetMode="External"/><Relationship Id="rId102" Type="http://schemas.openxmlformats.org/officeDocument/2006/relationships/hyperlink" Target="https://max.ru/join/aCIbN1JRxCFy84v811-Q8Iadi1-loYRgzzUF2UQv0Ko" TargetMode="External"/><Relationship Id="rId101" Type="http://schemas.openxmlformats.org/officeDocument/2006/relationships/hyperlink" Target="https://trigger-fish.ru/?utm_source=max&amp;utm_medium=publik&amp;utm_campaign=chilapka&amp;utm_content=t27" TargetMode="External"/><Relationship Id="rId100" Type="http://schemas.openxmlformats.org/officeDocument/2006/relationships/hyperlink" Target="https://max.ru/join/aCIbN1JRxCFy84v811-Q8Iadi1-loYRgzzUF2UQv0Ko" TargetMode="External"/><Relationship Id="rId129" Type="http://schemas.openxmlformats.org/officeDocument/2006/relationships/hyperlink" Target="https://max.ru/id575201032930_biz/AaApjzBmb0Y" TargetMode="External"/><Relationship Id="rId128" Type="http://schemas.openxmlformats.org/officeDocument/2006/relationships/hyperlink" Target="https://trigger-fish.ru/?utm_source=max&amp;utm_medium=publik&amp;utm_campaign=rasprodachaozon&amp;utm_content=t27" TargetMode="External"/><Relationship Id="rId127" Type="http://schemas.openxmlformats.org/officeDocument/2006/relationships/hyperlink" Target="https://max.ru/id575201032930_biz" TargetMode="External"/><Relationship Id="rId126" Type="http://schemas.openxmlformats.org/officeDocument/2006/relationships/hyperlink" Target="https://max.ru/Rybalka_Bashkortostan/AaAlNjdWCYY" TargetMode="External"/><Relationship Id="rId121" Type="http://schemas.openxmlformats.org/officeDocument/2006/relationships/hyperlink" Target="https://t.me/rybalka_vrn" TargetMode="External"/><Relationship Id="rId120" Type="http://schemas.openxmlformats.org/officeDocument/2006/relationships/hyperlink" Target="https://telegram.me/fishing_71/4145" TargetMode="External"/><Relationship Id="rId125" Type="http://schemas.openxmlformats.org/officeDocument/2006/relationships/hyperlink" Target="https://trigger-fish.ru/?utm_source=max&amp;utm_medium=publik&amp;utm_campaign=rybalka_bashkortostan&amp;utm_content=t27" TargetMode="External"/><Relationship Id="rId124" Type="http://schemas.openxmlformats.org/officeDocument/2006/relationships/hyperlink" Target="https://max.ru/Rybalka_Bashkortostan" TargetMode="External"/><Relationship Id="rId123" Type="http://schemas.openxmlformats.org/officeDocument/2006/relationships/hyperlink" Target="https://t.me/rybalka_vrn/156582" TargetMode="External"/><Relationship Id="rId122" Type="http://schemas.openxmlformats.org/officeDocument/2006/relationships/hyperlink" Target="https://trigger-fish.ru/?utm_source=tg&amp;utm_medium=publik&amp;utm_campaign=rybalka_vrn&amp;utm_content=t27" TargetMode="External"/><Relationship Id="rId95" Type="http://schemas.openxmlformats.org/officeDocument/2006/relationships/hyperlink" Target="https://trigger-fish.ru/?utm_source=max&amp;utm_medium=publik&amp;utm_campaign=channel_vsadke&amp;utm_content=t27" TargetMode="External"/><Relationship Id="rId94" Type="http://schemas.openxmlformats.org/officeDocument/2006/relationships/hyperlink" Target="https://max.ru/channel_VSADKE" TargetMode="External"/><Relationship Id="rId97" Type="http://schemas.openxmlformats.org/officeDocument/2006/relationships/hyperlink" Target="https://max.ru/trofeysaratov" TargetMode="External"/><Relationship Id="rId96" Type="http://schemas.openxmlformats.org/officeDocument/2006/relationships/hyperlink" Target="https://max.ru/channel_VSADKE/AaAjWQZCNeY" TargetMode="External"/><Relationship Id="rId99" Type="http://schemas.openxmlformats.org/officeDocument/2006/relationships/hyperlink" Target="https://max.ru/trofeysaratov/AaAjklWKX-Y" TargetMode="External"/><Relationship Id="rId98" Type="http://schemas.openxmlformats.org/officeDocument/2006/relationships/hyperlink" Target="https://trigger-fish.ru/?utm_source=max&amp;utm_medium=publik&amp;utm_campaign=max.ru%2Ftrofeysaratov&amp;utm_content=t27" TargetMode="External"/><Relationship Id="rId91" Type="http://schemas.openxmlformats.org/officeDocument/2006/relationships/hyperlink" Target="https://max.ru/join/-B1pH9O5LwDun19v5QK_CES0a8YCZ940MUNS4gEcKOo" TargetMode="External"/><Relationship Id="rId90" Type="http://schemas.openxmlformats.org/officeDocument/2006/relationships/hyperlink" Target="https://max.ru/rybalka_7/AaAiQ3aoC8Y" TargetMode="External"/><Relationship Id="rId93" Type="http://schemas.openxmlformats.org/officeDocument/2006/relationships/hyperlink" Target="https://max.ru/join/-B1pH9O5LwDun19v5QK_CES0a8YCZ940MUNS4gEcKOo" TargetMode="External"/><Relationship Id="rId92" Type="http://schemas.openxmlformats.org/officeDocument/2006/relationships/hyperlink" Target="https://trigger-fish.ru/?utm_source=max&amp;utm_medium=publik&amp;utm_campaign=blogrybaka&amp;utm_content=t27" TargetMode="External"/><Relationship Id="rId118" Type="http://schemas.openxmlformats.org/officeDocument/2006/relationships/hyperlink" Target="https://t.me/fishing_71" TargetMode="External"/><Relationship Id="rId117" Type="http://schemas.openxmlformats.org/officeDocument/2006/relationships/hyperlink" Target="https://telegram.me/chelny_rybaki/242830" TargetMode="External"/><Relationship Id="rId116" Type="http://schemas.openxmlformats.org/officeDocument/2006/relationships/hyperlink" Target="https://trigger-fish.ru/?utm_source=tg&amp;utm_medium=publik&amp;utm_campaign=chelny_rybaki&amp;utm_content=t27" TargetMode="External"/><Relationship Id="rId115" Type="http://schemas.openxmlformats.org/officeDocument/2006/relationships/hyperlink" Target="https://t.me/chelny_rybaki" TargetMode="External"/><Relationship Id="rId119" Type="http://schemas.openxmlformats.org/officeDocument/2006/relationships/hyperlink" Target="https://trigger-fish.ru/?utm_source=tg&amp;utm_medium=publik&amp;utm_campaign=tulfishing_71&amp;utm_content=t27" TargetMode="External"/><Relationship Id="rId110" Type="http://schemas.openxmlformats.org/officeDocument/2006/relationships/hyperlink" Target="https://trigger-fish.ru/?utm_source=tg&amp;utm_medium=publik&amp;utm_campaign=tochkaklevarussian_fishrr4&amp;utm_content=t27" TargetMode="External"/><Relationship Id="rId114" Type="http://schemas.openxmlformats.org/officeDocument/2006/relationships/hyperlink" Target="https://telegram.me/gribniki_podmos/27434" TargetMode="External"/><Relationship Id="rId113" Type="http://schemas.openxmlformats.org/officeDocument/2006/relationships/hyperlink" Target="https://trigger-fish.ru/?utm_source=tg&amp;utm_medium=publik&amp;utm_campaign=gribniki_i_ribalka_v_podmsk&amp;utm_content=t27" TargetMode="External"/><Relationship Id="rId112" Type="http://schemas.openxmlformats.org/officeDocument/2006/relationships/hyperlink" Target="https://telegram.me/gribniki_i_ribalka_v_podmsk" TargetMode="External"/><Relationship Id="rId111" Type="http://schemas.openxmlformats.org/officeDocument/2006/relationships/hyperlink" Target="https://telegram.me/Russian_FishRR4/48389" TargetMode="External"/><Relationship Id="rId214" Type="http://schemas.openxmlformats.org/officeDocument/2006/relationships/drawing" Target="../drawings/drawing3.xml"/><Relationship Id="rId213" Type="http://schemas.openxmlformats.org/officeDocument/2006/relationships/hyperlink" Target="https://vt.tiktok.com/ZSV3VRjhs/" TargetMode="External"/><Relationship Id="rId212" Type="http://schemas.openxmlformats.org/officeDocument/2006/relationships/hyperlink" Target="https://t.me/Leonid_music" TargetMode="External"/><Relationship Id="rId211" Type="http://schemas.openxmlformats.org/officeDocument/2006/relationships/hyperlink" Target="https://t.me/Leonid_music/2828" TargetMode="External"/><Relationship Id="rId210" Type="http://schemas.openxmlformats.org/officeDocument/2006/relationships/hyperlink" Target="https://ozon.onelink.me/SNMZ/7kc6t0p4" TargetMode="External"/><Relationship Id="rId206" Type="http://schemas.openxmlformats.org/officeDocument/2006/relationships/hyperlink" Target="https://max.ru/feallkin_dom" TargetMode="External"/><Relationship Id="rId205" Type="http://schemas.openxmlformats.org/officeDocument/2006/relationships/hyperlink" Target="https://vk.ru/story-211208898_456241852" TargetMode="External"/><Relationship Id="rId204" Type="http://schemas.openxmlformats.org/officeDocument/2006/relationships/hyperlink" Target="https://wildberries.ru/catalog/0/search.aspx?search=WW996788" TargetMode="External"/><Relationship Id="rId203" Type="http://schemas.openxmlformats.org/officeDocument/2006/relationships/hyperlink" Target="https://vk.com/feallkin_dom" TargetMode="External"/><Relationship Id="rId209" Type="http://schemas.openxmlformats.org/officeDocument/2006/relationships/hyperlink" Target="https://www.tiktok.com/@pug_leonid" TargetMode="External"/><Relationship Id="rId208" Type="http://schemas.openxmlformats.org/officeDocument/2006/relationships/hyperlink" Target="https://max.ru/feallkin_dom/AaBTOlA3JnI" TargetMode="External"/><Relationship Id="rId207" Type="http://schemas.openxmlformats.org/officeDocument/2006/relationships/hyperlink" Target="https://wildberries.ru/catalog/0/search.aspx?search=WW996801" TargetMode="External"/><Relationship Id="rId202" Type="http://schemas.openxmlformats.org/officeDocument/2006/relationships/hyperlink" Target="https://max.ru/ch_60a62c32e184214713fa6055/AaBNSNJPawo" TargetMode="External"/><Relationship Id="rId201" Type="http://schemas.openxmlformats.org/officeDocument/2006/relationships/hyperlink" Target="https://aminotriggerfish.mobz.market/7q1" TargetMode="External"/><Relationship Id="rId200" Type="http://schemas.openxmlformats.org/officeDocument/2006/relationships/hyperlink" Target="https://wildberries.ru/catalog/0/search.aspx?search=WW979704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vk.ru/wall-184497761_301" TargetMode="External"/><Relationship Id="rId194" Type="http://schemas.openxmlformats.org/officeDocument/2006/relationships/hyperlink" Target="https://t.me/papavkyrse/2507" TargetMode="External"/><Relationship Id="rId193" Type="http://schemas.openxmlformats.org/officeDocument/2006/relationships/hyperlink" Target="https://aminotriggerfish.mobz.market/5x5" TargetMode="External"/><Relationship Id="rId192" Type="http://schemas.openxmlformats.org/officeDocument/2006/relationships/hyperlink" Target="https://ozon.ru/product/aktivator-kleva-attraktant-prikormka-rybolovnaya-karp-leshch-250-ml-5340361400/?hs=1&amp;utm_campaign=vendor_org_4202727_papavkyrse&amp;utm_content=t31&amp;utm_medium=blog&amp;utm_source=vk" TargetMode="External"/><Relationship Id="rId191" Type="http://schemas.openxmlformats.org/officeDocument/2006/relationships/hyperlink" Target="https://t.me/papavkyrse" TargetMode="External"/><Relationship Id="rId187" Type="http://schemas.openxmlformats.org/officeDocument/2006/relationships/hyperlink" Target="https://vk.ru/big_zozh" TargetMode="External"/><Relationship Id="rId186" Type="http://schemas.openxmlformats.org/officeDocument/2006/relationships/hyperlink" Target="https://t.me/A_lfa_live/2609" TargetMode="External"/><Relationship Id="rId185" Type="http://schemas.openxmlformats.org/officeDocument/2006/relationships/hyperlink" Target="https://aminotriggerfish.mobz.market/lscy" TargetMode="External"/><Relationship Id="rId184" Type="http://schemas.openxmlformats.org/officeDocument/2006/relationships/hyperlink" Target="https://ozon.ru/product/aktivator-kleva-attraktant-prikormka-rybolovnaya-karp-leshch-250-ml-5340361400/?hs=1&amp;utm_campaign=vendor_org_4202727_A_lfa_live&amp;utm_content=t31&amp;utm_medium=blog&amp;utm_source=telegram" TargetMode="External"/><Relationship Id="rId189" Type="http://schemas.openxmlformats.org/officeDocument/2006/relationships/hyperlink" Target="https://aminotriggerfish.mobz.market/zu4pvf" TargetMode="External"/><Relationship Id="rId188" Type="http://schemas.openxmlformats.org/officeDocument/2006/relationships/hyperlink" Target="https://ozon.ru/product/aktivator-kleva-attraktant-prikormka-rybolovnaya-karp-leshch-250-ml-5340361400/?hs=1&amp;utm_campaign=vendor_org_4202727_vk.rubig_zozh&amp;utm_content=t31&amp;utm_medium=blog&amp;utm_source=vk" TargetMode="External"/><Relationship Id="rId183" Type="http://schemas.openxmlformats.org/officeDocument/2006/relationships/hyperlink" Target="https://t.me/A_lfa_live" TargetMode="External"/><Relationship Id="rId182" Type="http://schemas.openxmlformats.org/officeDocument/2006/relationships/hyperlink" Target="https://t.me/stas_blogs/175" TargetMode="External"/><Relationship Id="rId181" Type="http://schemas.openxmlformats.org/officeDocument/2006/relationships/hyperlink" Target="https://ozon.onelink.me/SNMZ/z2e2wcmr" TargetMode="External"/><Relationship Id="rId180" Type="http://schemas.openxmlformats.org/officeDocument/2006/relationships/hyperlink" Target="https://t.me/stas_blogs" TargetMode="External"/><Relationship Id="rId176" Type="http://schemas.openxmlformats.org/officeDocument/2006/relationships/hyperlink" Target="https://t.me/makovozovy/68707" TargetMode="External"/><Relationship Id="rId175" Type="http://schemas.openxmlformats.org/officeDocument/2006/relationships/hyperlink" Target="https://ozon.ru/product/aktivator-kleva-attraktant-prikormka-rybolovnaya-karp-leshch-250-ml-5340361400?hs=1&amp;utm_campaign=vendor_org_4202727_makovozovy&amp;utm_content=t31&amp;utm_medium=blog&amp;utm_source=telegram" TargetMode="External"/><Relationship Id="rId174" Type="http://schemas.openxmlformats.org/officeDocument/2006/relationships/hyperlink" Target="https://t.me/makovozovy" TargetMode="External"/><Relationship Id="rId173" Type="http://schemas.openxmlformats.org/officeDocument/2006/relationships/hyperlink" Target="https://vk.ru/club211182784?w=story-211182784_456240270%2Fowner_feed-211182784" TargetMode="External"/><Relationship Id="rId179" Type="http://schemas.openxmlformats.org/officeDocument/2006/relationships/hyperlink" Target="https://youtu.be/rkx_oIUERaM?t=291" TargetMode="External"/><Relationship Id="rId178" Type="http://schemas.openxmlformats.org/officeDocument/2006/relationships/hyperlink" Target="https://ozon.onelink.me/SNMZ/cifnxffc" TargetMode="External"/><Relationship Id="rId177" Type="http://schemas.openxmlformats.org/officeDocument/2006/relationships/hyperlink" Target="https://www.youtube.com/channel/UC-wseWH5WqECF0lZhZKxJJA" TargetMode="External"/><Relationship Id="rId198" Type="http://schemas.openxmlformats.org/officeDocument/2006/relationships/hyperlink" Target="https://t.me/Mans_Clan/2441" TargetMode="External"/><Relationship Id="rId197" Type="http://schemas.openxmlformats.org/officeDocument/2006/relationships/hyperlink" Target="https://aminotriggerfish.mobz.market/j5kc" TargetMode="External"/><Relationship Id="rId196" Type="http://schemas.openxmlformats.org/officeDocument/2006/relationships/hyperlink" Target="https://ozon.ru/product/aktivator-kleva-attraktant-prikormka-rybolovnaya-karp-leshch-250-ml-5340361400/?hs=1&amp;utm_campaign=vendor_org_4202727_mushckaygildiy&amp;utm_content=t31&amp;utm_medium=blog&amp;utm_source=telegram" TargetMode="External"/><Relationship Id="rId195" Type="http://schemas.openxmlformats.org/officeDocument/2006/relationships/hyperlink" Target="https://t.me/Mans_Clan" TargetMode="External"/><Relationship Id="rId199" Type="http://schemas.openxmlformats.org/officeDocument/2006/relationships/hyperlink" Target="https://max.ru/channel_rus_fishin" TargetMode="External"/><Relationship Id="rId150" Type="http://schemas.openxmlformats.org/officeDocument/2006/relationships/hyperlink" Target="https://max.ru/ylov_ribaka" TargetMode="External"/><Relationship Id="rId1" Type="http://schemas.openxmlformats.org/officeDocument/2006/relationships/hyperlink" Target="https://www.tiktok.com/@batya_ilin" TargetMode="External"/><Relationship Id="rId2" Type="http://schemas.openxmlformats.org/officeDocument/2006/relationships/hyperlink" Target="https://vt.tiktok.com/ZSVKS2TKF/" TargetMode="External"/><Relationship Id="rId3" Type="http://schemas.openxmlformats.org/officeDocument/2006/relationships/hyperlink" Target="https://vk.ru/batya_ilin" TargetMode="External"/><Relationship Id="rId149" Type="http://schemas.openxmlformats.org/officeDocument/2006/relationships/hyperlink" Target="https://max.ru/fishingspb1/AaCziRtzWqI" TargetMode="External"/><Relationship Id="rId4" Type="http://schemas.openxmlformats.org/officeDocument/2006/relationships/hyperlink" Target="https://ozon.onelink.me/SNMZ/ik1u4ho0" TargetMode="External"/><Relationship Id="rId148" Type="http://schemas.openxmlformats.org/officeDocument/2006/relationships/hyperlink" Target="https://max.ru/fishingspb1" TargetMode="External"/><Relationship Id="rId9" Type="http://schemas.openxmlformats.org/officeDocument/2006/relationships/hyperlink" Target="https://vk.ru/fishinglifetv" TargetMode="External"/><Relationship Id="rId143" Type="http://schemas.openxmlformats.org/officeDocument/2006/relationships/hyperlink" Target="https://ozon.onelink.me/SNMZ/cq9b529c" TargetMode="External"/><Relationship Id="rId142" Type="http://schemas.openxmlformats.org/officeDocument/2006/relationships/hyperlink" Target="https://t.me/kazanfisher" TargetMode="External"/><Relationship Id="rId141" Type="http://schemas.openxmlformats.org/officeDocument/2006/relationships/hyperlink" Target="https://t.me/dumbfishspb/501064" TargetMode="External"/><Relationship Id="rId140" Type="http://schemas.openxmlformats.org/officeDocument/2006/relationships/hyperlink" Target="https://aminotriggerfish.mobz.market/ckpw" TargetMode="External"/><Relationship Id="rId5" Type="http://schemas.openxmlformats.org/officeDocument/2006/relationships/hyperlink" Target="https://vk.ru/clip-235277864_456239553?c=1" TargetMode="External"/><Relationship Id="rId147" Type="http://schemas.openxmlformats.org/officeDocument/2006/relationships/hyperlink" Target="https://max.ru/rf4map/AaC1rfbIIKI" TargetMode="External"/><Relationship Id="rId6" Type="http://schemas.openxmlformats.org/officeDocument/2006/relationships/hyperlink" Target="https://max.ru/batya_ilin" TargetMode="External"/><Relationship Id="rId146" Type="http://schemas.openxmlformats.org/officeDocument/2006/relationships/hyperlink" Target="https://max.ru/rf4map" TargetMode="External"/><Relationship Id="rId7" Type="http://schemas.openxmlformats.org/officeDocument/2006/relationships/hyperlink" Target="https://ozon.onelink.me/SNMZ/5enzywu9" TargetMode="External"/><Relationship Id="rId145" Type="http://schemas.openxmlformats.org/officeDocument/2006/relationships/hyperlink" Target="https://telegram.me/kazanfisher/116977" TargetMode="External"/><Relationship Id="rId8" Type="http://schemas.openxmlformats.org/officeDocument/2006/relationships/hyperlink" Target="https://max.ru/batya_ilin/AaBdXlvIQR8" TargetMode="External"/><Relationship Id="rId144" Type="http://schemas.openxmlformats.org/officeDocument/2006/relationships/hyperlink" Target="https://aminotriggerfish.mobz.market/ego" TargetMode="External"/><Relationship Id="rId139" Type="http://schemas.openxmlformats.org/officeDocument/2006/relationships/hyperlink" Target="https://ozon.onelink.me/SNMZ/nrwpzvr9" TargetMode="External"/><Relationship Id="rId138" Type="http://schemas.openxmlformats.org/officeDocument/2006/relationships/hyperlink" Target="https://telegram.me/dumbfishspb" TargetMode="External"/><Relationship Id="rId137" Type="http://schemas.openxmlformats.org/officeDocument/2006/relationships/hyperlink" Target="https://t.me/rybalka_spb_lenoblasti/26621" TargetMode="External"/><Relationship Id="rId132" Type="http://schemas.openxmlformats.org/officeDocument/2006/relationships/hyperlink" Target="https://aminotriggerfish.mobz.market/30s" TargetMode="External"/><Relationship Id="rId131" Type="http://schemas.openxmlformats.org/officeDocument/2006/relationships/hyperlink" Target="https://ozon.onelink.me/SNMZ/an60ulki" TargetMode="External"/><Relationship Id="rId130" Type="http://schemas.openxmlformats.org/officeDocument/2006/relationships/hyperlink" Target="https://max.ru/rubalkarussia" TargetMode="External"/><Relationship Id="rId136" Type="http://schemas.openxmlformats.org/officeDocument/2006/relationships/hyperlink" Target="https://aminotriggerfish.mobz.market/z8n8q" TargetMode="External"/><Relationship Id="rId135" Type="http://schemas.openxmlformats.org/officeDocument/2006/relationships/hyperlink" Target="https://ozon.onelink.me/SNMZ/1ctcef22" TargetMode="External"/><Relationship Id="rId134" Type="http://schemas.openxmlformats.org/officeDocument/2006/relationships/hyperlink" Target="https://t.me/rybalka_spb_lenoblasti" TargetMode="External"/><Relationship Id="rId133" Type="http://schemas.openxmlformats.org/officeDocument/2006/relationships/hyperlink" Target="https://max.ru/rubalkarussia/AaCunOlNUfQ" TargetMode="External"/><Relationship Id="rId172" Type="http://schemas.openxmlformats.org/officeDocument/2006/relationships/hyperlink" Target="https://ozon.ru/product/aktivator-kleva-attraktant-prikormka-rybolovnaya-karp-leshch-250-ml-5340361400?hs=1&amp;utm_campaign=vendor_org_4202727_club211182784&amp;utm_content=t31" TargetMode="External"/><Relationship Id="rId171" Type="http://schemas.openxmlformats.org/officeDocument/2006/relationships/hyperlink" Target="https://vk.ru/club211182784" TargetMode="External"/><Relationship Id="rId170" Type="http://schemas.openxmlformats.org/officeDocument/2006/relationships/hyperlink" Target="https://telegram.me/rf4crazyft/80192" TargetMode="External"/><Relationship Id="rId165" Type="http://schemas.openxmlformats.org/officeDocument/2006/relationships/hyperlink" Target="https://max.ru/join/kvs60m93OU3-oc3VRfehLDVbvVymDAR0Q-Rcs0e3qDY" TargetMode="External"/><Relationship Id="rId164" Type="http://schemas.openxmlformats.org/officeDocument/2006/relationships/hyperlink" Target="https://max.ru/batya_ilin/AaC30kbQID0" TargetMode="External"/><Relationship Id="rId163" Type="http://schemas.openxmlformats.org/officeDocument/2006/relationships/hyperlink" Target="https://ozon.onelink.me/SNMZ/z93ytn17" TargetMode="External"/><Relationship Id="rId162" Type="http://schemas.openxmlformats.org/officeDocument/2006/relationships/hyperlink" Target="https://max.ru/batya_ilin" TargetMode="External"/><Relationship Id="rId169" Type="http://schemas.openxmlformats.org/officeDocument/2006/relationships/hyperlink" Target="https://ozon.ru/product/aminotrigger-fish-aromatizator-dlya-rybalki-250-ml-5340361400?hs=1&amp;utm_campaign=vendor_org_4202727_ruskayacrazy&amp;utm_content=t32&amp;utm_medium=blog&amp;utm_source=max" TargetMode="External"/><Relationship Id="rId168" Type="http://schemas.openxmlformats.org/officeDocument/2006/relationships/hyperlink" Target="https://telegram.me/rf4crazyft" TargetMode="External"/><Relationship Id="rId167" Type="http://schemas.openxmlformats.org/officeDocument/2006/relationships/hyperlink" Target="https://max.ru/join/kvs60m93OU3-oc3VRfehLDVbvVymDAR0Q-Rcs0e3qDY" TargetMode="External"/><Relationship Id="rId166" Type="http://schemas.openxmlformats.org/officeDocument/2006/relationships/hyperlink" Target="https://ozon.ru/product/aminotrigger-fish-aromatizator-dlya-rybalki-250-ml-5340361400/?hs=1&amp;utm_campaign=vendor_org_4202727_ivanich&amp;utm_content=t31&amp;utm_medium=blog&amp;utm_source=max" TargetMode="External"/><Relationship Id="rId161" Type="http://schemas.openxmlformats.org/officeDocument/2006/relationships/hyperlink" Target="https://vk.ru/wall-235277864_27244" TargetMode="External"/><Relationship Id="rId160" Type="http://schemas.openxmlformats.org/officeDocument/2006/relationships/hyperlink" Target="https://ozon.onelink.me/SNMZ/kvl1wzir" TargetMode="External"/><Relationship Id="rId159" Type="http://schemas.openxmlformats.org/officeDocument/2006/relationships/hyperlink" Target="https://vk.ru/batya_ilin" TargetMode="External"/><Relationship Id="rId154" Type="http://schemas.openxmlformats.org/officeDocument/2006/relationships/hyperlink" Target="https://t.me/rubalkamoskva" TargetMode="External"/><Relationship Id="rId153" Type="http://schemas.openxmlformats.org/officeDocument/2006/relationships/hyperlink" Target="https://max.ru/feederspb/AaCy41ZNJiA" TargetMode="External"/><Relationship Id="rId152" Type="http://schemas.openxmlformats.org/officeDocument/2006/relationships/hyperlink" Target="https://max.ru/feederspb" TargetMode="External"/><Relationship Id="rId151" Type="http://schemas.openxmlformats.org/officeDocument/2006/relationships/hyperlink" Target="https://max.ru/ylov_ribaka/AaC0LX28KqI" TargetMode="External"/><Relationship Id="rId158" Type="http://schemas.openxmlformats.org/officeDocument/2006/relationships/hyperlink" Target="https://vk.ru/wall-165180619_132415" TargetMode="External"/><Relationship Id="rId157" Type="http://schemas.openxmlformats.org/officeDocument/2006/relationships/hyperlink" Target="https://ozon.onelink.me/SNMZ/0klzbi87" TargetMode="External"/><Relationship Id="rId156" Type="http://schemas.openxmlformats.org/officeDocument/2006/relationships/hyperlink" Target="https://vk.ru/avto_dvizg" TargetMode="External"/><Relationship Id="rId155" Type="http://schemas.openxmlformats.org/officeDocument/2006/relationships/hyperlink" Target="https://t.me/rubalkamoskva/43973" TargetMode="External"/><Relationship Id="rId40" Type="http://schemas.openxmlformats.org/officeDocument/2006/relationships/hyperlink" Target="https://max.ru/rybanutyye" TargetMode="External"/><Relationship Id="rId42" Type="http://schemas.openxmlformats.org/officeDocument/2006/relationships/hyperlink" Target="https://aminotriggerfish.mobz.market/0jyfax" TargetMode="External"/><Relationship Id="rId41" Type="http://schemas.openxmlformats.org/officeDocument/2006/relationships/hyperlink" Target="https://ozon.onelink.me/SNMZ/dii0wx5b" TargetMode="External"/><Relationship Id="rId44" Type="http://schemas.openxmlformats.org/officeDocument/2006/relationships/hyperlink" Target="https://t.me/rybalka_vrn" TargetMode="External"/><Relationship Id="rId43" Type="http://schemas.openxmlformats.org/officeDocument/2006/relationships/hyperlink" Target="https://max.ru/rybanutyye/AaCQVylgLM4" TargetMode="External"/><Relationship Id="rId46" Type="http://schemas.openxmlformats.org/officeDocument/2006/relationships/hyperlink" Target="https://aminotriggerfish.mobz.market/voyt" TargetMode="External"/><Relationship Id="rId45" Type="http://schemas.openxmlformats.org/officeDocument/2006/relationships/hyperlink" Target="https://ozon.onelink.me/SNMZ/rcu58t0c" TargetMode="External"/><Relationship Id="rId48" Type="http://schemas.openxmlformats.org/officeDocument/2006/relationships/hyperlink" Target="https://max.ru/life_fishing" TargetMode="External"/><Relationship Id="rId47" Type="http://schemas.openxmlformats.org/officeDocument/2006/relationships/hyperlink" Target="https://t.me/rybalka_vrn/156708" TargetMode="External"/><Relationship Id="rId49" Type="http://schemas.openxmlformats.org/officeDocument/2006/relationships/hyperlink" Target="https://ozon.onelink.me/SNMZ/qn6e0e54" TargetMode="External"/><Relationship Id="rId31" Type="http://schemas.openxmlformats.org/officeDocument/2006/relationships/hyperlink" Target="https://max.ru/channel_Dimon_Bloger" TargetMode="External"/><Relationship Id="rId30" Type="http://schemas.openxmlformats.org/officeDocument/2006/relationships/hyperlink" Target="https://ozon.onelink.me/SNMZ/ly3le08a" TargetMode="External"/><Relationship Id="rId33" Type="http://schemas.openxmlformats.org/officeDocument/2006/relationships/hyperlink" Target="https://ozon.onelink.me/SNMZ/qwnnkdli" TargetMode="External"/><Relationship Id="rId32" Type="http://schemas.openxmlformats.org/officeDocument/2006/relationships/hyperlink" Target="https://t.me/ribalka_prostaya" TargetMode="External"/><Relationship Id="rId35" Type="http://schemas.openxmlformats.org/officeDocument/2006/relationships/hyperlink" Target="https://t.me/ribalka_prostaya/31130" TargetMode="External"/><Relationship Id="rId34" Type="http://schemas.openxmlformats.org/officeDocument/2006/relationships/hyperlink" Target="https://aminotriggerfish.mobz.market/t4mjo1" TargetMode="External"/><Relationship Id="rId37" Type="http://schemas.openxmlformats.org/officeDocument/2006/relationships/hyperlink" Target="https://ozon.onelink.me/SNMZ/1qd8qzmz" TargetMode="External"/><Relationship Id="rId36" Type="http://schemas.openxmlformats.org/officeDocument/2006/relationships/hyperlink" Target="https://max.ru/rybalka_severozapad" TargetMode="External"/><Relationship Id="rId39" Type="http://schemas.openxmlformats.org/officeDocument/2006/relationships/hyperlink" Target="https://max.ru/rybalka_severozapad/AaCMlZAhLfQ" TargetMode="External"/><Relationship Id="rId38" Type="http://schemas.openxmlformats.org/officeDocument/2006/relationships/hyperlink" Target="https://aminotriggerfish.mobz.market/mekc5" TargetMode="External"/><Relationship Id="rId20" Type="http://schemas.openxmlformats.org/officeDocument/2006/relationships/hyperlink" Target="https://vk.ru/syilers" TargetMode="External"/><Relationship Id="rId22" Type="http://schemas.openxmlformats.org/officeDocument/2006/relationships/hyperlink" Target="https://aminotriggerfish.mobz.market/470li" TargetMode="External"/><Relationship Id="rId21" Type="http://schemas.openxmlformats.org/officeDocument/2006/relationships/hyperlink" Target="https://ozon.ru/product/aminotrigger-fish-aromatizator-dlya-rybalki-250-ml-5340361400/?hs=1&amp;utm_campaign=vendor_org_4202727_vkrusyilers&amp;utm_content=stories&amp;utm_medium=video&amp;utm_source=vk&amp;utm_term=syilers" TargetMode="External"/><Relationship Id="rId24" Type="http://schemas.openxmlformats.org/officeDocument/2006/relationships/hyperlink" Target="https://vk.ru/dimon_dloger" TargetMode="External"/><Relationship Id="rId23" Type="http://schemas.openxmlformats.org/officeDocument/2006/relationships/hyperlink" Target="https://vk.ru/story-212140642_456241030" TargetMode="External"/><Relationship Id="rId26" Type="http://schemas.openxmlformats.org/officeDocument/2006/relationships/hyperlink" Target="https://vk.ru/clip-232644511_456239777?c=1" TargetMode="External"/><Relationship Id="rId25" Type="http://schemas.openxmlformats.org/officeDocument/2006/relationships/hyperlink" Target="https://ozon.onelink.me/SNMZ/24nhzhe9" TargetMode="External"/><Relationship Id="rId28" Type="http://schemas.openxmlformats.org/officeDocument/2006/relationships/hyperlink" Target="https://vt.tiktok.com/ZSqfQ5b88" TargetMode="External"/><Relationship Id="rId27" Type="http://schemas.openxmlformats.org/officeDocument/2006/relationships/hyperlink" Target="https://www.tiktok.com/@bloger_dimon" TargetMode="External"/><Relationship Id="rId29" Type="http://schemas.openxmlformats.org/officeDocument/2006/relationships/hyperlink" Target="https://max.ru/channel_Dimon_Bloger" TargetMode="External"/><Relationship Id="rId11" Type="http://schemas.openxmlformats.org/officeDocument/2006/relationships/hyperlink" Target="https://vk.ru/wall-226894765_699" TargetMode="External"/><Relationship Id="rId10" Type="http://schemas.openxmlformats.org/officeDocument/2006/relationships/hyperlink" Target="https://ozon.onelink.me/SNMZ/fmla4pxl" TargetMode="External"/><Relationship Id="rId13" Type="http://schemas.openxmlformats.org/officeDocument/2006/relationships/hyperlink" Target="https://ozon.ru/product/aminotrigger-fish-aromatizator-dlya-rybalki-250-ml-5340361400?hs=1&amp;utm_campaign=vendor_org_4202727_youohotnikinao&amp;utm_content=video&amp;utm_medium=blog&amp;utm_source=youtube&amp;utm_term=youohotnikinao" TargetMode="External"/><Relationship Id="rId12" Type="http://schemas.openxmlformats.org/officeDocument/2006/relationships/hyperlink" Target="https://www.youtube.com/channel/UC6_SwzIMfPfWotQyRqWIKiQ" TargetMode="External"/><Relationship Id="rId15" Type="http://schemas.openxmlformats.org/officeDocument/2006/relationships/hyperlink" Target="https://www.youtube.com/watch?v=nSfzw0ZV1RM" TargetMode="External"/><Relationship Id="rId14" Type="http://schemas.openxmlformats.org/officeDocument/2006/relationships/hyperlink" Target="https://aminotriggerfish.mobz.market/nsd" TargetMode="External"/><Relationship Id="rId17" Type="http://schemas.openxmlformats.org/officeDocument/2006/relationships/hyperlink" Target="https://ozon.ru/product/aminotrigger-fish-aromatizator-dlya-rybalki-250-ml-5340361400?hs=1&amp;utm_campaign=vendor_org_4202727_ohotnikinao&amp;utm_content=video&amp;utm_medium=blog&amp;utm_source=vk&amp;utm_term=ohotnikinao" TargetMode="External"/><Relationship Id="rId16" Type="http://schemas.openxmlformats.org/officeDocument/2006/relationships/hyperlink" Target="https://vk.ru/ohotnikinao" TargetMode="External"/><Relationship Id="rId19" Type="http://schemas.openxmlformats.org/officeDocument/2006/relationships/hyperlink" Target="https://vk.ru/ohotnikinao?z=video-7653648_456239864" TargetMode="External"/><Relationship Id="rId18" Type="http://schemas.openxmlformats.org/officeDocument/2006/relationships/hyperlink" Target="https://aminotriggerfish.mobz.market/89g?detail_erid=5340361400" TargetMode="External"/><Relationship Id="rId84" Type="http://schemas.openxmlformats.org/officeDocument/2006/relationships/hyperlink" Target="https://max.ru/public223173343" TargetMode="External"/><Relationship Id="rId83" Type="http://schemas.openxmlformats.org/officeDocument/2006/relationships/hyperlink" Target="https://max.ru/dachniesoveti/AaCZkfVVLoY" TargetMode="External"/><Relationship Id="rId86" Type="http://schemas.openxmlformats.org/officeDocument/2006/relationships/hyperlink" Target="https://aminotriggerfish.mobz.market/wy33q9" TargetMode="External"/><Relationship Id="rId85" Type="http://schemas.openxmlformats.org/officeDocument/2006/relationships/hyperlink" Target="https://wildberries.ru/catalog/0/search.aspx?search=WW1072400" TargetMode="External"/><Relationship Id="rId88" Type="http://schemas.openxmlformats.org/officeDocument/2006/relationships/hyperlink" Target="https://telegram.me/dacha_my" TargetMode="External"/><Relationship Id="rId87" Type="http://schemas.openxmlformats.org/officeDocument/2006/relationships/hyperlink" Target="https://max.ru/public223173343" TargetMode="External"/><Relationship Id="rId89" Type="http://schemas.openxmlformats.org/officeDocument/2006/relationships/hyperlink" Target="https://wildberries.ru/catalog/0/search.aspx?search=WW1072412" TargetMode="External"/><Relationship Id="rId80" Type="http://schemas.openxmlformats.org/officeDocument/2006/relationships/hyperlink" Target="https://max.ru/dachniesoveti" TargetMode="External"/><Relationship Id="rId82" Type="http://schemas.openxmlformats.org/officeDocument/2006/relationships/hyperlink" Target="https://aminotriggerfish.mobz.market/kykkxs" TargetMode="External"/><Relationship Id="rId81" Type="http://schemas.openxmlformats.org/officeDocument/2006/relationships/hyperlink" Target="https://wildberries.ru/catalog/0/search.aspx?search=WW1072388" TargetMode="External"/><Relationship Id="rId73" Type="http://schemas.openxmlformats.org/officeDocument/2006/relationships/hyperlink" Target="https://wildberries.ru/catalog/0/search.aspx?search=WW1072350" TargetMode="External"/><Relationship Id="rId72" Type="http://schemas.openxmlformats.org/officeDocument/2006/relationships/hyperlink" Target="https://max.ru/prosto_dacha" TargetMode="External"/><Relationship Id="rId75" Type="http://schemas.openxmlformats.org/officeDocument/2006/relationships/hyperlink" Target="https://max.ru/prosto_dacha/AaCVgcZ8GDY" TargetMode="External"/><Relationship Id="rId74" Type="http://schemas.openxmlformats.org/officeDocument/2006/relationships/hyperlink" Target="https://aminotriggerfish.mobz.market/d57v" TargetMode="External"/><Relationship Id="rId77" Type="http://schemas.openxmlformats.org/officeDocument/2006/relationships/hyperlink" Target="https://wildberries.ru/catalog/0/search.aspx?search=WW1072383" TargetMode="External"/><Relationship Id="rId76" Type="http://schemas.openxmlformats.org/officeDocument/2006/relationships/hyperlink" Target="https://max.ru/join/L5jEV8WiwQ0PnORs9PzpP4qBAZttshkSFmnpokCbgPs" TargetMode="External"/><Relationship Id="rId79" Type="http://schemas.openxmlformats.org/officeDocument/2006/relationships/hyperlink" Target="https://max.ru/join/L5jEV8WiwQ0PnORs9PzpP4qBAZttshkSFmnpokCbgPs" TargetMode="External"/><Relationship Id="rId78" Type="http://schemas.openxmlformats.org/officeDocument/2006/relationships/hyperlink" Target="https://aminotriggerfish.mobz.market/t125dp" TargetMode="External"/><Relationship Id="rId71" Type="http://schemas.openxmlformats.org/officeDocument/2006/relationships/hyperlink" Target="https://max.ru/join/__OvnQb3bzZzI5byvALgfigzQA1gwIo0ZNxBfYXDAyg" TargetMode="External"/><Relationship Id="rId70" Type="http://schemas.openxmlformats.org/officeDocument/2006/relationships/hyperlink" Target="https://aminotriggerfish.mobz.market/730vqb" TargetMode="External"/><Relationship Id="rId62" Type="http://schemas.openxmlformats.org/officeDocument/2006/relationships/hyperlink" Target="https://max.ru/join/BdpFb_OnAKVK9ZwJMX7JSGH7jZmsUHACR6T_8yOR5BI" TargetMode="External"/><Relationship Id="rId61" Type="http://schemas.openxmlformats.org/officeDocument/2006/relationships/hyperlink" Target="https://vt.tiktok.com/ZSqHX9VUe/" TargetMode="External"/><Relationship Id="rId64" Type="http://schemas.openxmlformats.org/officeDocument/2006/relationships/hyperlink" Target="https://max.ru/join/BdpFb_OnAKVK9ZwJMX7JSGH7jZmsUHACR6T_8yOR5BI" TargetMode="External"/><Relationship Id="rId63" Type="http://schemas.openxmlformats.org/officeDocument/2006/relationships/hyperlink" Target="https://ozon.onelink.me/SNMZ/nm4y995d" TargetMode="External"/><Relationship Id="rId66" Type="http://schemas.openxmlformats.org/officeDocument/2006/relationships/hyperlink" Target="https://ozon.onelink.me/SNMZ/ucvmp6cd" TargetMode="External"/><Relationship Id="rId65" Type="http://schemas.openxmlformats.org/officeDocument/2006/relationships/hyperlink" Target="https://vk.com/clips/vyacheslav246" TargetMode="External"/><Relationship Id="rId68" Type="http://schemas.openxmlformats.org/officeDocument/2006/relationships/hyperlink" Target="https://max.ru/join/__OvnQb3bzZzI5byvALgfigzQA1gwIo0ZNxBfYXDAyg" TargetMode="External"/><Relationship Id="rId67" Type="http://schemas.openxmlformats.org/officeDocument/2006/relationships/hyperlink" Target="http://vk.com/clip-228281080_456239149?c=1" TargetMode="External"/><Relationship Id="rId60" Type="http://schemas.openxmlformats.org/officeDocument/2006/relationships/hyperlink" Target="http://www.tiktok.com/@vyacheslav19916" TargetMode="External"/><Relationship Id="rId69" Type="http://schemas.openxmlformats.org/officeDocument/2006/relationships/hyperlink" Target="https://wildberries.ru/catalog/0/search.aspx?search=WW1072329" TargetMode="External"/><Relationship Id="rId51" Type="http://schemas.openxmlformats.org/officeDocument/2006/relationships/hyperlink" Target="https://max.ru/life_fishing/AaCZkNqHdb0" TargetMode="External"/><Relationship Id="rId50" Type="http://schemas.openxmlformats.org/officeDocument/2006/relationships/hyperlink" Target="https://aminotriggerfish.mobz.market/zkczqy" TargetMode="External"/><Relationship Id="rId53" Type="http://schemas.openxmlformats.org/officeDocument/2006/relationships/hyperlink" Target="https://ozon.onelink.me/SNMZ/fmla4pxl" TargetMode="External"/><Relationship Id="rId52" Type="http://schemas.openxmlformats.org/officeDocument/2006/relationships/hyperlink" Target="https://vk.ru/fishinglifetv" TargetMode="External"/><Relationship Id="rId55" Type="http://schemas.openxmlformats.org/officeDocument/2006/relationships/hyperlink" Target="https://www.youtube.com/@slavkaivanov5497" TargetMode="External"/><Relationship Id="rId54" Type="http://schemas.openxmlformats.org/officeDocument/2006/relationships/hyperlink" Target="https://vk.ru/wall-226894765_699?w=story-226894765_456239037%2Fowner_feed-226894765" TargetMode="External"/><Relationship Id="rId57" Type="http://schemas.openxmlformats.org/officeDocument/2006/relationships/hyperlink" Target="https://t.me/SlavkaIvanovTv" TargetMode="External"/><Relationship Id="rId56" Type="http://schemas.openxmlformats.org/officeDocument/2006/relationships/hyperlink" Target="https://youtube.com/shorts/yRe3U-VjnO0?si=9P_G8F7NPaKb2Zo7" TargetMode="External"/><Relationship Id="rId59" Type="http://schemas.openxmlformats.org/officeDocument/2006/relationships/hyperlink" Target="https://t.me/SlavkaIvanovTv/1127" TargetMode="External"/><Relationship Id="rId58" Type="http://schemas.openxmlformats.org/officeDocument/2006/relationships/hyperlink" Target="https://ozon.onelink.me/SNMZ/bjw197k8" TargetMode="External"/><Relationship Id="rId107" Type="http://schemas.openxmlformats.org/officeDocument/2006/relationships/hyperlink" Target="https://t.me/simoniata/15098" TargetMode="External"/><Relationship Id="rId106" Type="http://schemas.openxmlformats.org/officeDocument/2006/relationships/hyperlink" Target="https://ozon.onelink.me/SNMZ/kkfg4xvb" TargetMode="External"/><Relationship Id="rId105" Type="http://schemas.openxmlformats.org/officeDocument/2006/relationships/hyperlink" Target="https://t.me/simoniata" TargetMode="External"/><Relationship Id="rId104" Type="http://schemas.openxmlformats.org/officeDocument/2006/relationships/hyperlink" Target="https://vk.ru/story-211242042_456248667" TargetMode="External"/><Relationship Id="rId109" Type="http://schemas.openxmlformats.org/officeDocument/2006/relationships/hyperlink" Target="https://ozon.onelink.me/SNMZ/vu1a681t" TargetMode="External"/><Relationship Id="rId108" Type="http://schemas.openxmlformats.org/officeDocument/2006/relationships/hyperlink" Target="https://max.ru/simoniata" TargetMode="External"/><Relationship Id="rId103" Type="http://schemas.openxmlformats.org/officeDocument/2006/relationships/hyperlink" Target="https://wildberries.ru/catalog/0/search.aspx?search=WW1111630" TargetMode="External"/><Relationship Id="rId102" Type="http://schemas.openxmlformats.org/officeDocument/2006/relationships/hyperlink" Target="https://vk.com/namechtala" TargetMode="External"/><Relationship Id="rId101" Type="http://schemas.openxmlformats.org/officeDocument/2006/relationships/hyperlink" Target="https://www.youtube.com/shorts/LK9adofQvpw" TargetMode="External"/><Relationship Id="rId100" Type="http://schemas.openxmlformats.org/officeDocument/2006/relationships/hyperlink" Target="https://youtube.com/@official.semenov" TargetMode="External"/><Relationship Id="rId129" Type="http://schemas.openxmlformats.org/officeDocument/2006/relationships/hyperlink" Target="https://max.ru/join/uCdz6lLBZaKQQ-TBrM1kCaXNxdhno0LlLSpv1_WO-yI" TargetMode="External"/><Relationship Id="rId128" Type="http://schemas.openxmlformats.org/officeDocument/2006/relationships/hyperlink" Target="https://aminotriggerfish.mobz.market/4sr" TargetMode="External"/><Relationship Id="rId127" Type="http://schemas.openxmlformats.org/officeDocument/2006/relationships/hyperlink" Target="https://ozon.onelink.me/SNMZ/gigc33eh" TargetMode="External"/><Relationship Id="rId126" Type="http://schemas.openxmlformats.org/officeDocument/2006/relationships/hyperlink" Target="https://max.ru/join/uCdz6lLBZaKQQ-TBrM1kCaXNxdhno0LlLSpv1_WO-yI" TargetMode="External"/><Relationship Id="rId121" Type="http://schemas.openxmlformats.org/officeDocument/2006/relationships/hyperlink" Target="https://ozon.ru/product/aktivator-kleva-attraktant-prikormka-rybolovnaya-karp-leshch-250-ml-5340361400?hs=1&amp;utm_campaign=vendor_org_4202727_DostupnayaRybalka&amp;utm_content=t31&amp;utm_medium=blog&amp;utm_source=telegram" TargetMode="External"/><Relationship Id="rId120" Type="http://schemas.openxmlformats.org/officeDocument/2006/relationships/hyperlink" Target="https://t.me/DostupnayaRybalka/7972" TargetMode="External"/><Relationship Id="rId125" Type="http://schemas.openxmlformats.org/officeDocument/2006/relationships/hyperlink" Target="https://t.me/DostupnayaRybalka/7990" TargetMode="External"/><Relationship Id="rId124" Type="http://schemas.openxmlformats.org/officeDocument/2006/relationships/hyperlink" Target="https://ozon.ru/product/aktivator-kleva-attraktant-prikormka-rybolovnaya-karp-leshch-250-ml-5340361400?hs=1&amp;utm_campaign=vendor_org_4202727_vkaliexfisher&amp;utm_content=t31&amp;utm_medium=blog&amp;utm_source=vk" TargetMode="External"/><Relationship Id="rId123" Type="http://schemas.openxmlformats.org/officeDocument/2006/relationships/hyperlink" Target="https://vk.ru/aliexfisher?w=wall-136853349_64956" TargetMode="External"/><Relationship Id="rId122" Type="http://schemas.openxmlformats.org/officeDocument/2006/relationships/hyperlink" Target="https://vk.ru/aliexfisher?z=photo-136853349_457276135%2Falbum-136853349_0%2Frev" TargetMode="External"/><Relationship Id="rId95" Type="http://schemas.openxmlformats.org/officeDocument/2006/relationships/hyperlink" Target="https://vk.ru/clip-236832541_456239267?c=1" TargetMode="External"/><Relationship Id="rId94" Type="http://schemas.openxmlformats.org/officeDocument/2006/relationships/hyperlink" Target="https://vk.ru/budni_zubareva" TargetMode="External"/><Relationship Id="rId97" Type="http://schemas.openxmlformats.org/officeDocument/2006/relationships/hyperlink" Target="https://youtube.com/shorts/kUBgu_gtu9M?si=s8s8zRp5driIQUHc" TargetMode="External"/><Relationship Id="rId96" Type="http://schemas.openxmlformats.org/officeDocument/2006/relationships/hyperlink" Target="https://youtube.com/@budni_zubareva" TargetMode="External"/><Relationship Id="rId99" Type="http://schemas.openxmlformats.org/officeDocument/2006/relationships/hyperlink" Target="https://www.tiktok.com/@semenov.alexander/video/7685735317101415688" TargetMode="External"/><Relationship Id="rId98" Type="http://schemas.openxmlformats.org/officeDocument/2006/relationships/hyperlink" Target="https://www.tiktok.com/@semenov.alexander" TargetMode="External"/><Relationship Id="rId91" Type="http://schemas.openxmlformats.org/officeDocument/2006/relationships/hyperlink" Target="https://telegram.me/dacha_my" TargetMode="External"/><Relationship Id="rId90" Type="http://schemas.openxmlformats.org/officeDocument/2006/relationships/hyperlink" Target="https://aminotriggerfish.mobz.market/38lllx" TargetMode="External"/><Relationship Id="rId93" Type="http://schemas.openxmlformats.org/officeDocument/2006/relationships/hyperlink" Target="https://vt.tiktok.com/ZSqpcwWMU/" TargetMode="External"/><Relationship Id="rId92" Type="http://schemas.openxmlformats.org/officeDocument/2006/relationships/hyperlink" Target="http://tiktok.com/@budni_zubareva" TargetMode="External"/><Relationship Id="rId118" Type="http://schemas.openxmlformats.org/officeDocument/2006/relationships/hyperlink" Target="https://ozon.onelink.me/SNMZ/0cvk5ooe" TargetMode="External"/><Relationship Id="rId117" Type="http://schemas.openxmlformats.org/officeDocument/2006/relationships/hyperlink" Target="https://vk.ru/greenpapan_blog" TargetMode="External"/><Relationship Id="rId116" Type="http://schemas.openxmlformats.org/officeDocument/2006/relationships/hyperlink" Target="https://vk.ru/wall-236887004_658" TargetMode="External"/><Relationship Id="rId115" Type="http://schemas.openxmlformats.org/officeDocument/2006/relationships/hyperlink" Target="https://ozon.onelink.me/SNMZ/pgo7yb0t" TargetMode="External"/><Relationship Id="rId119" Type="http://schemas.openxmlformats.org/officeDocument/2006/relationships/hyperlink" Target="https://vk.ru/wall-51070170_9362" TargetMode="External"/><Relationship Id="rId110" Type="http://schemas.openxmlformats.org/officeDocument/2006/relationships/hyperlink" Target="https://max.ru/simoniata/AaC4n18id-w" TargetMode="External"/><Relationship Id="rId114" Type="http://schemas.openxmlformats.org/officeDocument/2006/relationships/hyperlink" Target="https://vk.ru/dadvision" TargetMode="External"/><Relationship Id="rId113" Type="http://schemas.openxmlformats.org/officeDocument/2006/relationships/hyperlink" Target="https://vk.ru/wall-211691270_11342" TargetMode="External"/><Relationship Id="rId112" Type="http://schemas.openxmlformats.org/officeDocument/2006/relationships/hyperlink" Target="https://ozon.onelink.me/SNMZ/imk1epi4" TargetMode="External"/><Relationship Id="rId111" Type="http://schemas.openxmlformats.org/officeDocument/2006/relationships/hyperlink" Target="https://vk.ru/relaxcomedy" TargetMode="External"/><Relationship Id="rId305" Type="http://schemas.openxmlformats.org/officeDocument/2006/relationships/hyperlink" Target="https://max.ru/syilers2019" TargetMode="External"/><Relationship Id="rId304" Type="http://schemas.openxmlformats.org/officeDocument/2006/relationships/hyperlink" Target="https://vt.tiktok.com/ZSbAYA7vJ/" TargetMode="External"/><Relationship Id="rId303" Type="http://schemas.openxmlformats.org/officeDocument/2006/relationships/hyperlink" Target="https://aminotriggerfish.mobz.market/tr6rs" TargetMode="External"/><Relationship Id="rId302" Type="http://schemas.openxmlformats.org/officeDocument/2006/relationships/hyperlink" Target="https://ozon.onelink.me/SNMZ/jt8ksdyc" TargetMode="External"/><Relationship Id="rId309" Type="http://schemas.openxmlformats.org/officeDocument/2006/relationships/hyperlink" Target="https://ozon.onelink.me/SNMZ/ohbov7st" TargetMode="External"/><Relationship Id="rId308" Type="http://schemas.openxmlformats.org/officeDocument/2006/relationships/hyperlink" Target="https://m.vk.ru/life_cts" TargetMode="External"/><Relationship Id="rId307" Type="http://schemas.openxmlformats.org/officeDocument/2006/relationships/hyperlink" Target="https://max.ru/syilers2019/AaDsKHTAHUQ" TargetMode="External"/><Relationship Id="rId306" Type="http://schemas.openxmlformats.org/officeDocument/2006/relationships/hyperlink" Target="https://ozon.onelink.me/SNMZ/8hncrivk" TargetMode="External"/><Relationship Id="rId301" Type="http://schemas.openxmlformats.org/officeDocument/2006/relationships/hyperlink" Target="https://www.tiktok.com/@viktorlife24" TargetMode="External"/><Relationship Id="rId300" Type="http://schemas.openxmlformats.org/officeDocument/2006/relationships/hyperlink" Target="https://vk.ru/papa.optimist.offical?z=137273932_457239331%2Falbum-137273932_0%2Frev" TargetMode="External"/><Relationship Id="rId314" Type="http://schemas.openxmlformats.org/officeDocument/2006/relationships/drawing" Target="../drawings/drawing4.xml"/><Relationship Id="rId313" Type="http://schemas.openxmlformats.org/officeDocument/2006/relationships/hyperlink" Target="https://vk.ru/clip-231449213_456239416?c=1" TargetMode="External"/><Relationship Id="rId312" Type="http://schemas.openxmlformats.org/officeDocument/2006/relationships/hyperlink" Target="https://ozon.onelink.me/SNMZ/ohbov7st" TargetMode="External"/><Relationship Id="rId311" Type="http://schemas.openxmlformats.org/officeDocument/2006/relationships/hyperlink" Target="https://vk.ru/official.semenov" TargetMode="External"/><Relationship Id="rId310" Type="http://schemas.openxmlformats.org/officeDocument/2006/relationships/hyperlink" Target="https://vk.ru/wall-235741278_947" TargetMode="External"/><Relationship Id="rId297" Type="http://schemas.openxmlformats.org/officeDocument/2006/relationships/hyperlink" Target="https://max.ru/marina_vovchik/AaDlhqisREU" TargetMode="External"/><Relationship Id="rId296" Type="http://schemas.openxmlformats.org/officeDocument/2006/relationships/hyperlink" Target="https://aminotriggerfish.mobz.market/g7op5b" TargetMode="External"/><Relationship Id="rId295" Type="http://schemas.openxmlformats.org/officeDocument/2006/relationships/hyperlink" Target="https://ozon.ru/product/aktivator-kleva-attraktant-prikormka-rybolovnaya-karp-leshch-250-ml-5340361400/?hs=1&amp;utm_campaign=vendor_org_4202727_marina_vovchik&amp;utm_content=t32&amp;utm_medium=blog&amp;utm_source=max" TargetMode="External"/><Relationship Id="rId294" Type="http://schemas.openxmlformats.org/officeDocument/2006/relationships/hyperlink" Target="https://max.ru/marina_vovchik" TargetMode="External"/><Relationship Id="rId299" Type="http://schemas.openxmlformats.org/officeDocument/2006/relationships/hyperlink" Target="https://ozon.ru/product/aminotrigger-fish-aromatizator-dlya-rybalki-250-ml-5340361400/?hs=1&amp;utm_campaign=vendor_org_4202727_papa.optimist.offical&amp;utm_content=t31&amp;utm_medium=blog&amp;utm_source=vk" TargetMode="External"/><Relationship Id="rId298" Type="http://schemas.openxmlformats.org/officeDocument/2006/relationships/hyperlink" Target="https://vk.ru/papa.optimist.offical" TargetMode="External"/><Relationship Id="rId271" Type="http://schemas.openxmlformats.org/officeDocument/2006/relationships/hyperlink" Target="https://max.ru/murom_navashino" TargetMode="External"/><Relationship Id="rId270" Type="http://schemas.openxmlformats.org/officeDocument/2006/relationships/hyperlink" Target="https://max.ru/men_115/AaDSAsDkYkU" TargetMode="External"/><Relationship Id="rId269" Type="http://schemas.openxmlformats.org/officeDocument/2006/relationships/hyperlink" Target="https://aminotriggerfish.mobz.market/k16rxq" TargetMode="External"/><Relationship Id="rId264" Type="http://schemas.openxmlformats.org/officeDocument/2006/relationships/hyperlink" Target="https://ozon.ru/product/aktivator-kleva-attraktant-prikormka-rybolovnaya-karp-leshch-250-ml-5340361400/?hs=1&amp;utm_campaign=vendor_org_4202727_svodkisvo&amp;utm_content=t32&amp;utm_medium=blog&amp;utm_source=max" TargetMode="External"/><Relationship Id="rId263" Type="http://schemas.openxmlformats.org/officeDocument/2006/relationships/hyperlink" Target="https://max.ru/razumdoz" TargetMode="External"/><Relationship Id="rId262" Type="http://schemas.openxmlformats.org/officeDocument/2006/relationships/hyperlink" Target="https://max.ru/rubalkarussia/AaDScAuhBEU" TargetMode="External"/><Relationship Id="rId261" Type="http://schemas.openxmlformats.org/officeDocument/2006/relationships/hyperlink" Target="https://aminotriggerfish.mobz.market/491" TargetMode="External"/><Relationship Id="rId268" Type="http://schemas.openxmlformats.org/officeDocument/2006/relationships/hyperlink" Target="https://ozon.ru/product/aktivator-kleva-attraktant-prikormka-rybolovnaya-karp-leshch-250-ml-5340361400/?hs=1&amp;utm_campaign=vendor_org_4202727_mychskaygildiy&amp;utm_content=t32&amp;utm_medium=blog&amp;utm_source=max" TargetMode="External"/><Relationship Id="rId267" Type="http://schemas.openxmlformats.org/officeDocument/2006/relationships/hyperlink" Target="https://max.ru/men_115" TargetMode="External"/><Relationship Id="rId266" Type="http://schemas.openxmlformats.org/officeDocument/2006/relationships/hyperlink" Target="https://max.ru/bestnogotochki" TargetMode="External"/><Relationship Id="rId265" Type="http://schemas.openxmlformats.org/officeDocument/2006/relationships/hyperlink" Target="https://aminotriggerfish.mobz.market/jc8ot" TargetMode="External"/><Relationship Id="rId260" Type="http://schemas.openxmlformats.org/officeDocument/2006/relationships/hyperlink" Target="https://ozon.ru/product/aktivator-kleva-attraktant-prikormka-rybolovnaya-karp-leshch-250-ml-5340361400/?hs=1&amp;utm_campaign=vendor_org_4202727_rybalkarussii&amp;utm_content=t32&amp;utm_medium=blog&amp;utm_source=max" TargetMode="External"/><Relationship Id="rId259" Type="http://schemas.openxmlformats.org/officeDocument/2006/relationships/hyperlink" Target="https://max.ru/rubalkarussia" TargetMode="External"/><Relationship Id="rId258" Type="http://schemas.openxmlformats.org/officeDocument/2006/relationships/hyperlink" Target="https://max.ru/ribalka_fishing24/AaDSAsPnUkU" TargetMode="External"/><Relationship Id="rId253" Type="http://schemas.openxmlformats.org/officeDocument/2006/relationships/hyperlink" Target="https://aminotriggerfish.mobz.market/nuip" TargetMode="External"/><Relationship Id="rId252" Type="http://schemas.openxmlformats.org/officeDocument/2006/relationships/hyperlink" Target="https://ozon.ru/product/aktivator-kleva-attraktant-prikormka-rybolovnaya-karp-leshch-250-ml-5340361400/?hs=1&amp;utm_campaign=vendor_org_4202727_klevoemesto&amp;utm_content=t32&amp;utm_medium=blog&amp;utm_source=max" TargetMode="External"/><Relationship Id="rId251" Type="http://schemas.openxmlformats.org/officeDocument/2006/relationships/hyperlink" Target="https://max.ru/join/uCdz6lLBZaKQQ-TBrM1kCaXNxdhno0LlLSpv1_WO-yI" TargetMode="External"/><Relationship Id="rId250" Type="http://schemas.openxmlformats.org/officeDocument/2006/relationships/hyperlink" Target="https://max.ru/bestnogotochki/AaDS3xkUGEU" TargetMode="External"/><Relationship Id="rId257" Type="http://schemas.openxmlformats.org/officeDocument/2006/relationships/hyperlink" Target="https://aminotriggerfish.mobz.market/edkpeg" TargetMode="External"/><Relationship Id="rId256" Type="http://schemas.openxmlformats.org/officeDocument/2006/relationships/hyperlink" Target="https://ozon.ru/product/aktivator-kleva-attraktant-prikormka-rybolovnaya-karp-leshch-250-ml-5340361400/?hs=1&amp;utm_campaign=vendor_org_4202727_rybatskiykanal&amp;utm_content=t32&amp;utm_medium=blog&amp;utm_source=max" TargetMode="External"/><Relationship Id="rId255" Type="http://schemas.openxmlformats.org/officeDocument/2006/relationships/hyperlink" Target="https://max.ru/ribalka_fishing24" TargetMode="External"/><Relationship Id="rId254" Type="http://schemas.openxmlformats.org/officeDocument/2006/relationships/hyperlink" Target="https://max.ru/join/uCdz6lLBZaKQQ-TBrM1kCaXNxdhno0LlLSpv1_WO-yI" TargetMode="External"/><Relationship Id="rId293" Type="http://schemas.openxmlformats.org/officeDocument/2006/relationships/hyperlink" Target="https://vk.ru/wall-51070170_9362" TargetMode="External"/><Relationship Id="rId292" Type="http://schemas.openxmlformats.org/officeDocument/2006/relationships/hyperlink" Target="https://ozon.ru/product/aktivator-kleva-attraktant-prikormka-rybolovnaya-karp-leshch-250-ml-5340361400/?hs=1&amp;utm_campaign=vendor_org_4202727_greenpapan_blog&amp;utm_content=t32&amp;utm_medium=blog&amp;utm_source=vk" TargetMode="External"/><Relationship Id="rId291" Type="http://schemas.openxmlformats.org/officeDocument/2006/relationships/hyperlink" Target="https://vk.ru/greenpapan_blog" TargetMode="External"/><Relationship Id="rId290" Type="http://schemas.openxmlformats.org/officeDocument/2006/relationships/hyperlink" Target="https://max.ru/club228966716/AaDeUbcYGkU" TargetMode="External"/><Relationship Id="rId286" Type="http://schemas.openxmlformats.org/officeDocument/2006/relationships/hyperlink" Target="https://max.ru/krdns/AaDjKwOsNkU" TargetMode="External"/><Relationship Id="rId285" Type="http://schemas.openxmlformats.org/officeDocument/2006/relationships/hyperlink" Target="https://aminotriggerfish.mobz.market/lmqe" TargetMode="External"/><Relationship Id="rId284" Type="http://schemas.openxmlformats.org/officeDocument/2006/relationships/hyperlink" Target="https://ozon.ru/product/aminotrigger-fish-aromatizator-dlya-rybalki-250-ml-5340361400?hs=1&amp;utm_campaign=vendor_org_4202727_krdns&amp;utm_content=t32&amp;utm_medium=blog&amp;utm_source=max" TargetMode="External"/><Relationship Id="rId283" Type="http://schemas.openxmlformats.org/officeDocument/2006/relationships/hyperlink" Target="https://max.ru/krdns" TargetMode="External"/><Relationship Id="rId289" Type="http://schemas.openxmlformats.org/officeDocument/2006/relationships/hyperlink" Target="https://aminotriggerfish.mobz.market/s2bsgb" TargetMode="External"/><Relationship Id="rId288" Type="http://schemas.openxmlformats.org/officeDocument/2006/relationships/hyperlink" Target="https://ozon.ru/product/aktivator-kleva-attraktant-prikormka-rybolovnaya-karp-leshch-250-ml-5340361400/?hs=1&amp;utm_campaign=vendor_org_4202727_club228966716&amp;utm_content=t32&amp;utm_medium=blog&amp;utm_source=max" TargetMode="External"/><Relationship Id="rId287" Type="http://schemas.openxmlformats.org/officeDocument/2006/relationships/hyperlink" Target="https://max.ru/club228966716" TargetMode="External"/><Relationship Id="rId282" Type="http://schemas.openxmlformats.org/officeDocument/2006/relationships/hyperlink" Target="https://max.ru/rostovnews61/AaDe3-h4JkU" TargetMode="External"/><Relationship Id="rId281" Type="http://schemas.openxmlformats.org/officeDocument/2006/relationships/hyperlink" Target="https://aminotriggerfish.mobz.market/45kj" TargetMode="External"/><Relationship Id="rId280" Type="http://schemas.openxmlformats.org/officeDocument/2006/relationships/hyperlink" Target="https://ozon.ru/product/aminotrigger-fish-aromatizator-dlya-rybalki-250-ml-5340361400?hs=1&amp;utm_campaign=vendor_org_4202727_https://max.ru/rostovnews61&amp;utm_content=t32&amp;utm_medium=blog&amp;utm_source=max" TargetMode="External"/><Relationship Id="rId275" Type="http://schemas.openxmlformats.org/officeDocument/2006/relationships/hyperlink" Target="https://max.ru/club230588680" TargetMode="External"/><Relationship Id="rId274" Type="http://schemas.openxmlformats.org/officeDocument/2006/relationships/hyperlink" Target="https://max.ru/murom_navashino/AaDRzJfrNEU" TargetMode="External"/><Relationship Id="rId273" Type="http://schemas.openxmlformats.org/officeDocument/2006/relationships/hyperlink" Target="https://aminotriggerfish.mobz.market/t21" TargetMode="External"/><Relationship Id="rId272" Type="http://schemas.openxmlformats.org/officeDocument/2006/relationships/hyperlink" Target="https://ozon.ru/product/aktivator-kleva-attraktant-prikormka-rybolovnaya-karp-leshch-250-ml-5340361400/?hs=1&amp;utm_campaign=vendor_org_4202727_avtomobiln+avto&amp;utm_content=t32&amp;utm_medium=blog&amp;utm_source=max" TargetMode="External"/><Relationship Id="rId279" Type="http://schemas.openxmlformats.org/officeDocument/2006/relationships/hyperlink" Target="https://max.ru/rostovnews61" TargetMode="External"/><Relationship Id="rId278" Type="http://schemas.openxmlformats.org/officeDocument/2006/relationships/hyperlink" Target="https://max.ru/club230588680/AaDPiRquOkU" TargetMode="External"/><Relationship Id="rId277" Type="http://schemas.openxmlformats.org/officeDocument/2006/relationships/hyperlink" Target="https://aminotriggerfish.mobz.market/xaq" TargetMode="External"/><Relationship Id="rId276" Type="http://schemas.openxmlformats.org/officeDocument/2006/relationships/hyperlink" Target="https://ozon.ru/product/aktivator-kleva-attraktant-prikormka-rybolovnaya-karp-leshch-250-ml-5340361400/?hs=1&amp;utm_campaign=vendor_org_4202727_leshkazabavniy&amp;utm_content=t32&amp;utm_medium=blog&amp;utm_source=max" TargetMode="External"/><Relationship Id="rId228" Type="http://schemas.openxmlformats.org/officeDocument/2006/relationships/hyperlink" Target="https://ozon.ru/product/aktivator-kleva-attraktant-prikormka-rybolovnaya-karp-leshch-250-ml-5340361400/?hs=1&amp;utm_campaign=vendor_org_4202727_voditelrf&amp;utm_content=t32&amp;utm_medium=blog&amp;utm_source=max" TargetMode="External"/><Relationship Id="rId227" Type="http://schemas.openxmlformats.org/officeDocument/2006/relationships/hyperlink" Target="https://max.ru/id560405164432_biz" TargetMode="External"/><Relationship Id="rId226" Type="http://schemas.openxmlformats.org/officeDocument/2006/relationships/hyperlink" Target="https://max.ru/channel_Ribalka25/AaDLWRbjdXg" TargetMode="External"/><Relationship Id="rId225" Type="http://schemas.openxmlformats.org/officeDocument/2006/relationships/hyperlink" Target="https://aminotriggerfish.mobz.market/asy7sl" TargetMode="External"/><Relationship Id="rId229" Type="http://schemas.openxmlformats.org/officeDocument/2006/relationships/hyperlink" Target="https://aminotriggerfish.mobz.market/lyn2u" TargetMode="External"/><Relationship Id="rId220" Type="http://schemas.openxmlformats.org/officeDocument/2006/relationships/hyperlink" Target="https://ozon.ru/product/aminotrigger-fish-aromatizator-dlya-rybalki-250-ml-5340361400/?hs=1&amp;utm_campaign=vendor_org_4202727_spolem&amp;utm_content=t31&amp;utm_medium=blog&amp;utm_source=max" TargetMode="External"/><Relationship Id="rId224" Type="http://schemas.openxmlformats.org/officeDocument/2006/relationships/hyperlink" Target="https://ozon.ru/product/aminotrigger-fish-aromatizator-dlya-rybalki-250-ml-5340361400/?hs=1&amp;utm_campaign=vendor_org_4202727_channel_Ribalka25&amp;utm_content=t31&amp;utm_medium=blog&amp;utm_source=max" TargetMode="External"/><Relationship Id="rId223" Type="http://schemas.openxmlformats.org/officeDocument/2006/relationships/hyperlink" Target="https://max.ru/channel_Ribalka25" TargetMode="External"/><Relationship Id="rId222" Type="http://schemas.openxmlformats.org/officeDocument/2006/relationships/hyperlink" Target="https://max.ru/join/TAz62IvarhreupeVWAwOLTP6R8EY_0-2O7jKs9CK0tM" TargetMode="External"/><Relationship Id="rId221" Type="http://schemas.openxmlformats.org/officeDocument/2006/relationships/hyperlink" Target="https://aminotriggerfish.mobz.market/j3iq9n" TargetMode="External"/><Relationship Id="rId217" Type="http://schemas.openxmlformats.org/officeDocument/2006/relationships/hyperlink" Target="https://aminotriggerfish.mobz.market/f0lo7" TargetMode="External"/><Relationship Id="rId216" Type="http://schemas.openxmlformats.org/officeDocument/2006/relationships/hyperlink" Target="https://ozon.ru/product/aminotrigger-fish-aromatizator-dlya-rybalki-250-ml-5340361400/?hs=1&amp;utm_campaign=vendor_org_4202727_aliekemp&amp;utm_content=t31&amp;utm_medium=blog&amp;utm_source=max" TargetMode="External"/><Relationship Id="rId215" Type="http://schemas.openxmlformats.org/officeDocument/2006/relationships/hyperlink" Target="https://max.ru/aliekemp" TargetMode="External"/><Relationship Id="rId214" Type="http://schemas.openxmlformats.org/officeDocument/2006/relationships/hyperlink" Target="https://max.ru/rybalkaudachnaya/AaDIhVdSUJs" TargetMode="External"/><Relationship Id="rId219" Type="http://schemas.openxmlformats.org/officeDocument/2006/relationships/hyperlink" Target="https://max.ru/join/TAz62IvarhreupeVWAwOLTP6R8EY_0-2O7jKs9CK0tM" TargetMode="External"/><Relationship Id="rId218" Type="http://schemas.openxmlformats.org/officeDocument/2006/relationships/hyperlink" Target="https://max.ru/aliekemp/AaDIf94PF3g" TargetMode="External"/><Relationship Id="rId213" Type="http://schemas.openxmlformats.org/officeDocument/2006/relationships/hyperlink" Target="https://aminotriggerfish.mobz.market/3rcc" TargetMode="External"/><Relationship Id="rId212" Type="http://schemas.openxmlformats.org/officeDocument/2006/relationships/hyperlink" Target="https://ozon.ru/product/aminotrigger-fish-aromatizator-dlya-rybalki-250-ml-5340361400/?hs=1&amp;utm_campaign=vendor_org_4202727_rybalkaudachnaya&amp;utm_content=t31&amp;utm_medium=blog&amp;utm_source=max" TargetMode="External"/><Relationship Id="rId211" Type="http://schemas.openxmlformats.org/officeDocument/2006/relationships/hyperlink" Target="https://max.ru/rybalkaudachnaya" TargetMode="External"/><Relationship Id="rId210" Type="http://schemas.openxmlformats.org/officeDocument/2006/relationships/hyperlink" Target="https://max.ru/rybalkavrostove/AaDIueixF3g" TargetMode="External"/><Relationship Id="rId249" Type="http://schemas.openxmlformats.org/officeDocument/2006/relationships/hyperlink" Target="https://aminotriggerfish.mobz.market/ufxk3u" TargetMode="External"/><Relationship Id="rId248" Type="http://schemas.openxmlformats.org/officeDocument/2006/relationships/hyperlink" Target="https://ozon.ru/product/aktivator-kleva-attraktant-prikormka-rybolovnaya-karp-leshch-250-ml-5340361400/?hs=1&amp;utm_campaign=vendor_org_4202727_svodkisvo&amp;utm_content=t32&amp;utm_medium=blog&amp;utm_source=max" TargetMode="External"/><Relationship Id="rId247" Type="http://schemas.openxmlformats.org/officeDocument/2006/relationships/hyperlink" Target="https://max.ru/bestnogotochki" TargetMode="External"/><Relationship Id="rId242" Type="http://schemas.openxmlformats.org/officeDocument/2006/relationships/hyperlink" Target="https://max.ru/vk_dalnoboy/AaDQJaOWOkU" TargetMode="External"/><Relationship Id="rId241" Type="http://schemas.openxmlformats.org/officeDocument/2006/relationships/hyperlink" Target="https://aminotriggerfish.mobz.market/0i3e" TargetMode="External"/><Relationship Id="rId240" Type="http://schemas.openxmlformats.org/officeDocument/2006/relationships/hyperlink" Target="https://ozon.ru/product/aktivator-kleva-attraktant-prikormka-rybolovnaya-karp-leshch-250-ml-5340361400/?hs=1&amp;utm_campaign=vendor_org_4202727_dolnoboishiki&amp;utm_content=t32&amp;utm_medium=blog&amp;utm_source=max" TargetMode="External"/><Relationship Id="rId246" Type="http://schemas.openxmlformats.org/officeDocument/2006/relationships/hyperlink" Target="https://max.ru/ch_600bd9ea0424210ae70922c8/AaDPbRtuePg" TargetMode="External"/><Relationship Id="rId245" Type="http://schemas.openxmlformats.org/officeDocument/2006/relationships/hyperlink" Target="https://aminotriggerfish.mobz.market/hxbim" TargetMode="External"/><Relationship Id="rId244" Type="http://schemas.openxmlformats.org/officeDocument/2006/relationships/hyperlink" Target="https://ozon.ru/product/aktivator-kleva-attraktant-prikormka-rybolovnaya-karp-leshch-250-ml-5340361400/?hs=1&amp;utm_campaign=vendor_org_4202727_vkurskoyderevne&amp;utm_content=t32&amp;utm_medium=blog&amp;utm_source=max" TargetMode="External"/><Relationship Id="rId243" Type="http://schemas.openxmlformats.org/officeDocument/2006/relationships/hyperlink" Target="https://max.ru/ch_600bd9ea0424210ae70922c8" TargetMode="External"/><Relationship Id="rId239" Type="http://schemas.openxmlformats.org/officeDocument/2006/relationships/hyperlink" Target="https://max.ru/vk_dalnoboy" TargetMode="External"/><Relationship Id="rId238" Type="http://schemas.openxmlformats.org/officeDocument/2006/relationships/hyperlink" Target="https://max.ru/ch_602408dd140d5e56b2f80f26/AaDY9JY8QkU" TargetMode="External"/><Relationship Id="rId237" Type="http://schemas.openxmlformats.org/officeDocument/2006/relationships/hyperlink" Target="https://aminotriggerfish.mobz.market/htj" TargetMode="External"/><Relationship Id="rId236" Type="http://schemas.openxmlformats.org/officeDocument/2006/relationships/hyperlink" Target="https://ozon.ru/product/aktivator-kleva-attraktant-prikormka-rybolovnaya-karp-leshch-250-ml-5340361400/?hs=1&amp;utm_campaign=vendor_org_4202727_myrodilisvsibiri&amp;utm_content=t32&amp;utm_medium=blog&amp;utm_source=max" TargetMode="External"/><Relationship Id="rId231" Type="http://schemas.openxmlformats.org/officeDocument/2006/relationships/hyperlink" Target="https://max.ru/rybanutyye" TargetMode="External"/><Relationship Id="rId230" Type="http://schemas.openxmlformats.org/officeDocument/2006/relationships/hyperlink" Target="https://max.ru/id560405164432_biz/AaDSqjWlakU" TargetMode="External"/><Relationship Id="rId235" Type="http://schemas.openxmlformats.org/officeDocument/2006/relationships/hyperlink" Target="https://max.ru/ch_602408dd140d5e56b2f80f26" TargetMode="External"/><Relationship Id="rId234" Type="http://schemas.openxmlformats.org/officeDocument/2006/relationships/hyperlink" Target="https://max.ru/rybanutyye/AaDSAr2CekU" TargetMode="External"/><Relationship Id="rId233" Type="http://schemas.openxmlformats.org/officeDocument/2006/relationships/hyperlink" Target="https://aminotriggerfish.mobz.market/rezl" TargetMode="External"/><Relationship Id="rId232" Type="http://schemas.openxmlformats.org/officeDocument/2006/relationships/hyperlink" Target="https://ozon.ru/product/aktivator-kleva-attraktant-prikormka-rybolovnaya-karp-leshch-250-ml-5340361400/?hs=1&amp;utm_campaign=vendor_org_4202727_rybanutyye&amp;utm_content=t32&amp;utm_medium=blog&amp;utm_source=max" TargetMode="External"/><Relationship Id="rId206" Type="http://schemas.openxmlformats.org/officeDocument/2006/relationships/hyperlink" Target="https://max.ru/join/-MJhyPPkgreSIoYuLu0lh-AJuR-cShsiv9NjhUZbTuM" TargetMode="External"/><Relationship Id="rId205" Type="http://schemas.openxmlformats.org/officeDocument/2006/relationships/hyperlink" Target="https://aminotriggerfish.mobz.market/9bd" TargetMode="External"/><Relationship Id="rId204" Type="http://schemas.openxmlformats.org/officeDocument/2006/relationships/hyperlink" Target="https://ozon.ru/product/aminotrigger-fish-aromatizator-dlya-rybalki-250-ml-5340361400/?hs=1&amp;utm_campaign=vendor_org_4202727_ohotarybalka&amp;utm_content=t31&amp;utm_medium=blog&amp;utm_source=max" TargetMode="External"/><Relationship Id="rId203" Type="http://schemas.openxmlformats.org/officeDocument/2006/relationships/hyperlink" Target="https://max.ru/join/-MJhyPPkgreSIoYuLu0lh-AJuR-cShsiv9NjhUZbTuM" TargetMode="External"/><Relationship Id="rId209" Type="http://schemas.openxmlformats.org/officeDocument/2006/relationships/hyperlink" Target="https://aminotriggerfish.mobz.market/d83kuh" TargetMode="External"/><Relationship Id="rId208" Type="http://schemas.openxmlformats.org/officeDocument/2006/relationships/hyperlink" Target="https://ozon.ru/product/aminotrigger-fish-aromatizator-dlya-rybalki-250-ml-5340361400/?hs=1&amp;utm_campaign=vendor_org_4202727_rybalkavrostove&amp;utm_content=t31&amp;utm_medium=blog&amp;utm_source=max" TargetMode="External"/><Relationship Id="rId207" Type="http://schemas.openxmlformats.org/officeDocument/2006/relationships/hyperlink" Target="https://max.ru/rybalkavrostove" TargetMode="External"/><Relationship Id="rId202" Type="http://schemas.openxmlformats.org/officeDocument/2006/relationships/hyperlink" Target="https://max.ru/channel_rus_fishin/AaDMhyZVaXg" TargetMode="External"/><Relationship Id="rId201" Type="http://schemas.openxmlformats.org/officeDocument/2006/relationships/hyperlink" Target="https://aminotriggerfish.mobz.market/ytee" TargetMode="External"/><Relationship Id="rId200" Type="http://schemas.openxmlformats.org/officeDocument/2006/relationships/hyperlink" Target="https://ozon.ru/product/aminotrigger-fish-aromatizator-dlya-rybalki-250-ml-5340361400/?hs=1&amp;utm_campaign=vendor_org_4202727_max.ruchannel_rus_fishin&amp;utm_content=t31&amp;utm_medium=blog&amp;utm_source=max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vkvideo.ru/@fishbrothers" TargetMode="External"/><Relationship Id="rId2" Type="http://schemas.openxmlformats.org/officeDocument/2006/relationships/hyperlink" Target="https://www.youtube.com/channel/UCOwNleWCE88PsPTyFpmiBfw" TargetMode="External"/><Relationship Id="rId3" Type="http://schemas.openxmlformats.org/officeDocument/2006/relationships/hyperlink" Target="https://rutube.ru/channel/24022214/" TargetMode="External"/><Relationship Id="rId4" Type="http://schemas.openxmlformats.org/officeDocument/2006/relationships/hyperlink" Target="https://max.ru/join/tv-zOLgP61IYsvZA5CGo-pJe1cAmeOwctc3pafS22ZE" TargetMode="External"/><Relationship Id="rId9" Type="http://schemas.openxmlformats.org/officeDocument/2006/relationships/hyperlink" Target="https://aminotriggerfish.mobz.market/q69" TargetMode="External"/><Relationship Id="rId5" Type="http://schemas.openxmlformats.org/officeDocument/2006/relationships/hyperlink" Target="https://ozon.ru/product/aktivator-kleva-attraktant-prikormka-rybolovnaya-karp-leshch-250-ml-5340361400/?hs=1&amp;utm_campaign=vendor_org_4202727_RYBALKA&amp;utm_content=t32+2&amp;utm_medium=blog&amp;utm_source=max&amp;utm_term=01.01" TargetMode="External"/><Relationship Id="rId6" Type="http://schemas.openxmlformats.org/officeDocument/2006/relationships/hyperlink" Target="https://aminotriggerfish.mobz.market/ixq" TargetMode="External"/><Relationship Id="rId7" Type="http://schemas.openxmlformats.org/officeDocument/2006/relationships/hyperlink" Target="https://max.ru/join/RsYvXIhAcs28ZYjx1GDjtbwyOTN2xXZ0YnLF78jfGHY" TargetMode="External"/><Relationship Id="rId8" Type="http://schemas.openxmlformats.org/officeDocument/2006/relationships/hyperlink" Target="https://ozon.ru/product/aktivator-kleva-attraktant-prikormka-rybolovnaya-karp-leshch-250-ml-5340361400/?hs=1&amp;utm_campaign=vendor_org_4202727_batyanadache&amp;utm_content=t32+2&amp;utm_medium=blog&amp;utm_source=max&amp;utm_term=01.10" TargetMode="External"/><Relationship Id="rId31" Type="http://schemas.openxmlformats.org/officeDocument/2006/relationships/hyperlink" Target="https://youtube.com/@artur1ofishing" TargetMode="External"/><Relationship Id="rId30" Type="http://schemas.openxmlformats.org/officeDocument/2006/relationships/hyperlink" Target="https://www.tiktok.com/@carnivore_baits?" TargetMode="External"/><Relationship Id="rId33" Type="http://schemas.openxmlformats.org/officeDocument/2006/relationships/drawing" Target="../drawings/drawing5.xml"/><Relationship Id="rId32" Type="http://schemas.openxmlformats.org/officeDocument/2006/relationships/hyperlink" Target="https://vk.ru/aturiofishing" TargetMode="External"/><Relationship Id="rId20" Type="http://schemas.openxmlformats.org/officeDocument/2006/relationships/hyperlink" Target="https://telegram.me/+e6EU7b8p-A42MTRi" TargetMode="External"/><Relationship Id="rId22" Type="http://schemas.openxmlformats.org/officeDocument/2006/relationships/hyperlink" Target="https://aminotriggerfish.mobz.market/w0nb7" TargetMode="External"/><Relationship Id="rId21" Type="http://schemas.openxmlformats.org/officeDocument/2006/relationships/hyperlink" Target="https://ozon.ru/product/aktivator-kleva-attraktant-prikormka-rybolovnaya-karp-leshch-250-ml-5340361400/?hs=1&amp;utm_campaign=vendor_org_4202727_balakovo&amp;utm_content=t+32+2&amp;utm_medium=blog&amp;utm_source=telegram&amp;utm_term=1.10" TargetMode="External"/><Relationship Id="rId24" Type="http://schemas.openxmlformats.org/officeDocument/2006/relationships/hyperlink" Target="https://vk.ru/club232326034" TargetMode="External"/><Relationship Id="rId23" Type="http://schemas.openxmlformats.org/officeDocument/2006/relationships/hyperlink" Target="https://www.tiktok.com/@dobrikka?_r=1&amp;_t=ZS-96SUAMU0m2v" TargetMode="External"/><Relationship Id="rId26" Type="http://schemas.openxmlformats.org/officeDocument/2006/relationships/hyperlink" Target="https://youtube.com/@tema_gotovit63" TargetMode="External"/><Relationship Id="rId25" Type="http://schemas.openxmlformats.org/officeDocument/2006/relationships/hyperlink" Target="https://www.tiktok.com/@_traktorist163?_r=1&amp;_t=ZS-9A4p1jn9wgP" TargetMode="External"/><Relationship Id="rId28" Type="http://schemas.openxmlformats.org/officeDocument/2006/relationships/hyperlink" Target="https://youtube.com/@buhlopovar" TargetMode="External"/><Relationship Id="rId27" Type="http://schemas.openxmlformats.org/officeDocument/2006/relationships/hyperlink" Target="https://www.tiktok.com/@alexander_karasik" TargetMode="External"/><Relationship Id="rId29" Type="http://schemas.openxmlformats.org/officeDocument/2006/relationships/hyperlink" Target="https://vk.com/buhlopovar" TargetMode="External"/><Relationship Id="rId11" Type="http://schemas.openxmlformats.org/officeDocument/2006/relationships/hyperlink" Target="https://ozon.ru/product/aktivator-kleva-attraktant-prikormka-rybolovnaya-karp-leshch-250-ml-5340361400/?hs=1&amp;utm_campaign=vendor_org_4202727_atoban&amp;utm_content=t32+2+&amp;utm_medium=blog&amp;utm_source=max&amp;utm_term=1.10" TargetMode="External"/><Relationship Id="rId10" Type="http://schemas.openxmlformats.org/officeDocument/2006/relationships/hyperlink" Target="https://max.ru/join/fZZmbgSqiU07NxW5iRZLBZH_J8nMGr_W6Zo6XF6taPw" TargetMode="External"/><Relationship Id="rId13" Type="http://schemas.openxmlformats.org/officeDocument/2006/relationships/hyperlink" Target="https://max.ru/join/fZZmbgSqiU07NxW5iRZLBZH_J8nMGr_W6Zo6XF6taPw" TargetMode="External"/><Relationship Id="rId12" Type="http://schemas.openxmlformats.org/officeDocument/2006/relationships/hyperlink" Target="https://aminotriggerfish.mobz.market/t7b" TargetMode="External"/><Relationship Id="rId15" Type="http://schemas.openxmlformats.org/officeDocument/2006/relationships/hyperlink" Target="https://ozon.ru/product/aktivator-kleva-attraktant-prikormka-rybolovnaya-karp-leshch-250-ml-5340361400/?hs=1&amp;utm_campaign=vendor_org_4202727_atoban&amp;utm_content=t32+2+&amp;utm_medium=blog&amp;utm_source=max&amp;utm_term=1.10" TargetMode="External"/><Relationship Id="rId14" Type="http://schemas.openxmlformats.org/officeDocument/2006/relationships/hyperlink" Target="https://max.ru/join/Sum2uwyOiduGO_YdA4SJEYF4Vu9OQel1MSFE0wnDjrE" TargetMode="External"/><Relationship Id="rId17" Type="http://schemas.openxmlformats.org/officeDocument/2006/relationships/hyperlink" Target="https://max.ru/join/P916KhDigIXCMbPKMrwnl0-caHoBE-zLMIZsEvB0ZXs" TargetMode="External"/><Relationship Id="rId16" Type="http://schemas.openxmlformats.org/officeDocument/2006/relationships/hyperlink" Target="https://aminotriggerfish.mobz.market/1vi" TargetMode="External"/><Relationship Id="rId19" Type="http://schemas.openxmlformats.org/officeDocument/2006/relationships/hyperlink" Target="https://aminotriggerfish.mobz.market/yf3f" TargetMode="External"/><Relationship Id="rId18" Type="http://schemas.openxmlformats.org/officeDocument/2006/relationships/hyperlink" Target="https://ozon.ru/product/aktivator-kleva-attraktant-prikormka-rybolovnaya-karp-leshch-250-ml-5340361400/?hs=1&amp;utm_campaign=vendor_org_4202727_batystroit&amp;utm_content=t+32+2&amp;utm_medium=blog&amp;utm_source=max&amp;utm_term=1.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75"/>
  <cols>
    <col customWidth="1" min="1" max="1" width="34.0"/>
    <col customWidth="1" min="2" max="2" width="11.0"/>
    <col customWidth="1" min="3" max="3" width="22.0"/>
    <col customWidth="1" min="4" max="4" width="12.0"/>
    <col customWidth="1" min="5" max="5" width="11.0"/>
    <col customWidth="1" min="6" max="6" width="13.0"/>
    <col customWidth="1" min="7" max="7" width="8.0"/>
    <col customWidth="1" min="8" max="8" width="13.0"/>
    <col customWidth="1" min="9" max="9" width="26.0"/>
    <col customWidth="1" min="10" max="10" width="13.0"/>
    <col customWidth="1" min="11" max="11" width="14.0"/>
    <col customWidth="1" min="12" max="12" width="26.0"/>
    <col customWidth="1" min="13" max="13" width="22.0"/>
    <col customWidth="1" min="14" max="14" width="30.0"/>
    <col customWidth="1" min="15" max="15" width="13.71"/>
    <col customWidth="1" min="16" max="16" width="15.43"/>
    <col customWidth="1" min="17" max="26" width="8.86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30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5" t="s">
        <v>17</v>
      </c>
    </row>
    <row r="5" hidden="1">
      <c r="A5" s="6" t="s">
        <v>18</v>
      </c>
      <c r="B5" s="7" t="s">
        <v>19</v>
      </c>
      <c r="C5" s="7" t="s">
        <v>20</v>
      </c>
      <c r="D5" s="7" t="s">
        <v>21</v>
      </c>
      <c r="E5" s="8">
        <v>2110000.0</v>
      </c>
      <c r="F5" s="8">
        <v>284882.0</v>
      </c>
      <c r="G5" s="9">
        <v>0.0446</v>
      </c>
      <c r="H5" s="10"/>
      <c r="I5" s="11" t="s">
        <v>22</v>
      </c>
      <c r="J5" s="7" t="s">
        <v>23</v>
      </c>
      <c r="K5" s="11" t="s">
        <v>24</v>
      </c>
      <c r="L5" s="7"/>
      <c r="M5" s="11"/>
      <c r="N5" s="12" t="s">
        <v>25</v>
      </c>
      <c r="O5" s="2"/>
      <c r="P5" s="2"/>
    </row>
    <row r="6" hidden="1">
      <c r="A6" s="6" t="s">
        <v>26</v>
      </c>
      <c r="B6" s="7" t="s">
        <v>19</v>
      </c>
      <c r="C6" s="7" t="s">
        <v>20</v>
      </c>
      <c r="D6" s="7" t="s">
        <v>21</v>
      </c>
      <c r="E6" s="8">
        <v>1840000.0</v>
      </c>
      <c r="F6" s="8">
        <v>288127.0</v>
      </c>
      <c r="G6" s="9">
        <v>0.0331</v>
      </c>
      <c r="H6" s="10"/>
      <c r="I6" s="11" t="s">
        <v>27</v>
      </c>
      <c r="J6" s="7" t="s">
        <v>28</v>
      </c>
      <c r="K6" s="11" t="s">
        <v>24</v>
      </c>
      <c r="L6" s="7"/>
      <c r="M6" s="11"/>
      <c r="N6" s="12" t="s">
        <v>29</v>
      </c>
      <c r="O6" s="2"/>
      <c r="P6" s="2"/>
    </row>
    <row r="7">
      <c r="A7" s="6" t="s">
        <v>30</v>
      </c>
      <c r="B7" s="13" t="s">
        <v>31</v>
      </c>
      <c r="C7" s="7" t="s">
        <v>20</v>
      </c>
      <c r="D7" s="7" t="s">
        <v>32</v>
      </c>
      <c r="E7" s="8">
        <v>7700.0</v>
      </c>
      <c r="F7" s="14">
        <v>30000.0</v>
      </c>
      <c r="G7" s="9"/>
      <c r="H7" s="15">
        <v>27500.0</v>
      </c>
      <c r="I7" s="11"/>
      <c r="J7" s="7"/>
      <c r="K7" s="11" t="s">
        <v>24</v>
      </c>
      <c r="L7" s="13" t="s">
        <v>33</v>
      </c>
      <c r="M7" s="11"/>
      <c r="N7" s="16" t="s">
        <v>34</v>
      </c>
      <c r="O7" s="17">
        <f t="shared" ref="O7:O8" si="1">H7/F7</f>
        <v>0.9166666667</v>
      </c>
      <c r="P7" s="18">
        <f t="shared" ref="P7:P8" si="2">(H7/F7)*1000</f>
        <v>916.6666667</v>
      </c>
    </row>
    <row r="8">
      <c r="A8" s="6" t="s">
        <v>35</v>
      </c>
      <c r="B8" s="7" t="s">
        <v>19</v>
      </c>
      <c r="C8" s="7" t="s">
        <v>20</v>
      </c>
      <c r="D8" s="7" t="s">
        <v>32</v>
      </c>
      <c r="E8" s="8">
        <v>182000.0</v>
      </c>
      <c r="F8" s="14">
        <v>50000.0</v>
      </c>
      <c r="G8" s="9">
        <v>0.0256</v>
      </c>
      <c r="H8" s="15">
        <v>27500.0</v>
      </c>
      <c r="I8" s="19" t="s">
        <v>36</v>
      </c>
      <c r="J8" s="7" t="s">
        <v>37</v>
      </c>
      <c r="K8" s="11" t="s">
        <v>24</v>
      </c>
      <c r="L8" s="13" t="s">
        <v>33</v>
      </c>
      <c r="M8" s="11"/>
      <c r="N8" s="12" t="s">
        <v>38</v>
      </c>
      <c r="O8" s="17">
        <f t="shared" si="1"/>
        <v>0.55</v>
      </c>
      <c r="P8" s="18">
        <f t="shared" si="2"/>
        <v>550</v>
      </c>
    </row>
    <row r="9" hidden="1">
      <c r="A9" s="6" t="s">
        <v>39</v>
      </c>
      <c r="B9" s="7" t="s">
        <v>40</v>
      </c>
      <c r="C9" s="7" t="s">
        <v>41</v>
      </c>
      <c r="D9" s="7" t="s">
        <v>21</v>
      </c>
      <c r="E9" s="8">
        <v>176000.0</v>
      </c>
      <c r="F9" s="8"/>
      <c r="G9" s="9">
        <v>3.0E-4</v>
      </c>
      <c r="H9" s="10">
        <v>14266.0</v>
      </c>
      <c r="I9" s="11" t="s">
        <v>42</v>
      </c>
      <c r="J9" s="7" t="s">
        <v>43</v>
      </c>
      <c r="K9" s="11" t="s">
        <v>24</v>
      </c>
      <c r="L9" s="7"/>
      <c r="M9" s="11"/>
      <c r="N9" s="12" t="s">
        <v>44</v>
      </c>
      <c r="O9" s="2"/>
      <c r="P9" s="2"/>
    </row>
    <row r="10" hidden="1">
      <c r="A10" s="6" t="s">
        <v>45</v>
      </c>
      <c r="B10" s="7" t="s">
        <v>19</v>
      </c>
      <c r="C10" s="7" t="s">
        <v>20</v>
      </c>
      <c r="D10" s="7" t="s">
        <v>21</v>
      </c>
      <c r="E10" s="8">
        <v>176000.0</v>
      </c>
      <c r="F10" s="8">
        <v>84181.0</v>
      </c>
      <c r="G10" s="9">
        <v>0.0598</v>
      </c>
      <c r="H10" s="10"/>
      <c r="I10" s="11" t="s">
        <v>46</v>
      </c>
      <c r="J10" s="7" t="s">
        <v>47</v>
      </c>
      <c r="K10" s="11" t="s">
        <v>24</v>
      </c>
      <c r="L10" s="7"/>
      <c r="M10" s="11"/>
      <c r="N10" s="12" t="s">
        <v>48</v>
      </c>
      <c r="O10" s="2"/>
      <c r="P10" s="2"/>
    </row>
    <row r="11" hidden="1">
      <c r="A11" s="6" t="s">
        <v>49</v>
      </c>
      <c r="B11" s="7" t="s">
        <v>40</v>
      </c>
      <c r="C11" s="7" t="s">
        <v>41</v>
      </c>
      <c r="D11" s="7" t="s">
        <v>21</v>
      </c>
      <c r="E11" s="8">
        <v>173000.0</v>
      </c>
      <c r="F11" s="8"/>
      <c r="G11" s="9">
        <v>2.9E-4</v>
      </c>
      <c r="H11" s="10">
        <v>22587.0</v>
      </c>
      <c r="I11" s="11" t="s">
        <v>50</v>
      </c>
      <c r="J11" s="7" t="s">
        <v>51</v>
      </c>
      <c r="K11" s="11" t="s">
        <v>24</v>
      </c>
      <c r="L11" s="7"/>
      <c r="M11" s="11"/>
      <c r="N11" s="12" t="s">
        <v>52</v>
      </c>
      <c r="O11" s="2"/>
      <c r="P11" s="2"/>
    </row>
    <row r="12">
      <c r="A12" s="6" t="s">
        <v>53</v>
      </c>
      <c r="B12" s="7" t="s">
        <v>19</v>
      </c>
      <c r="C12" s="7" t="s">
        <v>20</v>
      </c>
      <c r="D12" s="7" t="s">
        <v>32</v>
      </c>
      <c r="E12" s="8">
        <v>119000.0</v>
      </c>
      <c r="F12" s="14">
        <v>100000.0</v>
      </c>
      <c r="G12" s="9">
        <v>0.064</v>
      </c>
      <c r="H12" s="15">
        <v>78335.0</v>
      </c>
      <c r="I12" s="11" t="s">
        <v>54</v>
      </c>
      <c r="J12" s="7" t="s">
        <v>55</v>
      </c>
      <c r="K12" s="11" t="s">
        <v>24</v>
      </c>
      <c r="L12" s="7" t="s">
        <v>56</v>
      </c>
      <c r="M12" s="11"/>
      <c r="N12" s="12" t="s">
        <v>57</v>
      </c>
      <c r="O12" s="17">
        <f t="shared" ref="O12:O18" si="3">H12/F12</f>
        <v>0.78335</v>
      </c>
      <c r="P12" s="18">
        <f t="shared" ref="P12:P18" si="4">(H12/F12)*1000</f>
        <v>783.35</v>
      </c>
    </row>
    <row r="13">
      <c r="A13" s="20" t="s">
        <v>58</v>
      </c>
      <c r="B13" s="13" t="s">
        <v>19</v>
      </c>
      <c r="C13" s="7" t="s">
        <v>20</v>
      </c>
      <c r="D13" s="7" t="s">
        <v>32</v>
      </c>
      <c r="E13" s="21">
        <v>29600.0</v>
      </c>
      <c r="F13" s="21">
        <v>100000.0</v>
      </c>
      <c r="G13" s="2"/>
      <c r="H13" s="22">
        <v>38000.0</v>
      </c>
      <c r="I13" s="23"/>
      <c r="J13" s="2"/>
      <c r="K13" s="11" t="s">
        <v>24</v>
      </c>
      <c r="L13" s="2" t="s">
        <v>56</v>
      </c>
      <c r="M13" s="2"/>
      <c r="N13" s="2" t="s">
        <v>59</v>
      </c>
      <c r="O13" s="17">
        <f t="shared" si="3"/>
        <v>0.38</v>
      </c>
      <c r="P13" s="18">
        <f t="shared" si="4"/>
        <v>380</v>
      </c>
    </row>
    <row r="14">
      <c r="A14" s="24" t="s">
        <v>60</v>
      </c>
      <c r="B14" s="13" t="s">
        <v>61</v>
      </c>
      <c r="C14" s="25" t="s">
        <v>62</v>
      </c>
      <c r="D14" s="7" t="s">
        <v>32</v>
      </c>
      <c r="E14" s="26">
        <v>7930.0</v>
      </c>
      <c r="F14" s="27">
        <v>20000.0</v>
      </c>
      <c r="G14" s="2"/>
      <c r="H14" s="28">
        <v>5000.0</v>
      </c>
      <c r="I14" s="23"/>
      <c r="J14" s="2"/>
      <c r="K14" s="11" t="s">
        <v>24</v>
      </c>
      <c r="L14" s="13" t="s">
        <v>33</v>
      </c>
      <c r="M14" s="2"/>
      <c r="N14" s="24" t="s">
        <v>63</v>
      </c>
      <c r="O14" s="17">
        <f t="shared" si="3"/>
        <v>0.25</v>
      </c>
      <c r="P14" s="18">
        <f t="shared" si="4"/>
        <v>250</v>
      </c>
    </row>
    <row r="15">
      <c r="A15" s="24" t="s">
        <v>64</v>
      </c>
      <c r="B15" s="13" t="s">
        <v>61</v>
      </c>
      <c r="C15" s="25" t="s">
        <v>62</v>
      </c>
      <c r="D15" s="7" t="s">
        <v>32</v>
      </c>
      <c r="E15" s="29">
        <v>33000.0</v>
      </c>
      <c r="F15" s="27">
        <v>100000.0</v>
      </c>
      <c r="G15" s="2"/>
      <c r="H15" s="22">
        <v>50000.0</v>
      </c>
      <c r="I15" s="23"/>
      <c r="J15" s="2"/>
      <c r="K15" s="11" t="s">
        <v>24</v>
      </c>
      <c r="L15" s="13" t="s">
        <v>33</v>
      </c>
      <c r="M15" s="2"/>
      <c r="N15" s="24" t="s">
        <v>65</v>
      </c>
      <c r="O15" s="17">
        <f t="shared" si="3"/>
        <v>0.5</v>
      </c>
      <c r="P15" s="18">
        <f t="shared" si="4"/>
        <v>500</v>
      </c>
    </row>
    <row r="16">
      <c r="A16" s="30" t="s">
        <v>66</v>
      </c>
      <c r="B16" s="13" t="s">
        <v>19</v>
      </c>
      <c r="C16" s="7" t="s">
        <v>20</v>
      </c>
      <c r="D16" s="13" t="s">
        <v>32</v>
      </c>
      <c r="E16" s="31">
        <v>6000.0</v>
      </c>
      <c r="F16" s="32">
        <v>40000.0</v>
      </c>
      <c r="G16" s="33"/>
      <c r="H16" s="34">
        <v>15000.0</v>
      </c>
      <c r="I16" s="23"/>
      <c r="J16" s="25"/>
      <c r="K16" s="11" t="s">
        <v>24</v>
      </c>
      <c r="L16" s="13" t="s">
        <v>33</v>
      </c>
      <c r="M16" s="23"/>
      <c r="N16" s="35" t="s">
        <v>67</v>
      </c>
      <c r="O16" s="17">
        <f t="shared" si="3"/>
        <v>0.375</v>
      </c>
      <c r="P16" s="18">
        <f t="shared" si="4"/>
        <v>375</v>
      </c>
      <c r="Q16" s="36"/>
      <c r="R16" s="37"/>
    </row>
    <row r="17">
      <c r="A17" s="6" t="s">
        <v>68</v>
      </c>
      <c r="B17" s="7" t="s">
        <v>19</v>
      </c>
      <c r="C17" s="7" t="s">
        <v>20</v>
      </c>
      <c r="D17" s="7" t="s">
        <v>32</v>
      </c>
      <c r="E17" s="8">
        <v>62700.0</v>
      </c>
      <c r="F17" s="14">
        <v>10000.0</v>
      </c>
      <c r="G17" s="9">
        <v>0.0244</v>
      </c>
      <c r="H17" s="15">
        <v>7000.0</v>
      </c>
      <c r="I17" s="38" t="s">
        <v>69</v>
      </c>
      <c r="J17" s="7" t="s">
        <v>70</v>
      </c>
      <c r="K17" s="11" t="s">
        <v>24</v>
      </c>
      <c r="L17" s="7" t="s">
        <v>56</v>
      </c>
      <c r="M17" s="11"/>
      <c r="N17" s="12" t="s">
        <v>71</v>
      </c>
      <c r="O17" s="17">
        <f t="shared" si="3"/>
        <v>0.7</v>
      </c>
      <c r="P17" s="18">
        <f t="shared" si="4"/>
        <v>700</v>
      </c>
    </row>
    <row r="18">
      <c r="A18" s="6" t="s">
        <v>72</v>
      </c>
      <c r="B18" s="7" t="s">
        <v>19</v>
      </c>
      <c r="C18" s="7" t="s">
        <v>20</v>
      </c>
      <c r="D18" s="7" t="s">
        <v>32</v>
      </c>
      <c r="E18" s="8">
        <v>1320000.0</v>
      </c>
      <c r="F18" s="8">
        <v>749311.0</v>
      </c>
      <c r="G18" s="9">
        <v>0.0488</v>
      </c>
      <c r="H18" s="10"/>
      <c r="I18" s="11" t="s">
        <v>73</v>
      </c>
      <c r="J18" s="7" t="s">
        <v>74</v>
      </c>
      <c r="K18" s="11" t="s">
        <v>24</v>
      </c>
      <c r="L18" s="7" t="s">
        <v>75</v>
      </c>
      <c r="M18" s="11"/>
      <c r="N18" s="12" t="s">
        <v>76</v>
      </c>
      <c r="O18" s="17">
        <f t="shared" si="3"/>
        <v>0</v>
      </c>
      <c r="P18" s="18">
        <f t="shared" si="4"/>
        <v>0</v>
      </c>
      <c r="Q18" s="39"/>
      <c r="R18" s="40"/>
    </row>
    <row r="19" ht="20.25" hidden="1" customHeight="1">
      <c r="A19" s="6" t="s">
        <v>77</v>
      </c>
      <c r="B19" s="7" t="s">
        <v>19</v>
      </c>
      <c r="C19" s="7" t="s">
        <v>20</v>
      </c>
      <c r="D19" s="7" t="s">
        <v>21</v>
      </c>
      <c r="E19" s="8">
        <v>1220000.0</v>
      </c>
      <c r="F19" s="8">
        <v>1184993.0</v>
      </c>
      <c r="G19" s="9">
        <v>0.0325</v>
      </c>
      <c r="H19" s="10"/>
      <c r="I19" s="11" t="s">
        <v>78</v>
      </c>
      <c r="J19" s="7" t="s">
        <v>79</v>
      </c>
      <c r="K19" s="11" t="s">
        <v>24</v>
      </c>
      <c r="L19" s="7"/>
      <c r="M19" s="11"/>
      <c r="N19" s="12" t="s">
        <v>80</v>
      </c>
      <c r="O19" s="2"/>
      <c r="P19" s="2"/>
    </row>
    <row r="20" hidden="1">
      <c r="A20" s="6" t="s">
        <v>81</v>
      </c>
      <c r="B20" s="7" t="s">
        <v>19</v>
      </c>
      <c r="C20" s="7" t="s">
        <v>20</v>
      </c>
      <c r="D20" s="7" t="s">
        <v>32</v>
      </c>
      <c r="E20" s="8">
        <v>1060000.0</v>
      </c>
      <c r="F20" s="8">
        <v>151971.0</v>
      </c>
      <c r="G20" s="9">
        <v>0.0311</v>
      </c>
      <c r="H20" s="10"/>
      <c r="I20" s="41" t="s">
        <v>82</v>
      </c>
      <c r="J20" s="7" t="s">
        <v>83</v>
      </c>
      <c r="K20" s="11" t="s">
        <v>24</v>
      </c>
      <c r="L20" s="42" t="s">
        <v>84</v>
      </c>
      <c r="M20" s="11"/>
      <c r="N20" s="12" t="s">
        <v>85</v>
      </c>
      <c r="O20" s="17">
        <f t="shared" ref="O20:O21" si="5">H20/F20</f>
        <v>0</v>
      </c>
      <c r="P20" s="18">
        <f t="shared" ref="P20:P21" si="6">(H20/F20)*1000</f>
        <v>0</v>
      </c>
    </row>
    <row r="21">
      <c r="A21" s="6" t="s">
        <v>86</v>
      </c>
      <c r="B21" s="7" t="s">
        <v>19</v>
      </c>
      <c r="C21" s="7" t="s">
        <v>20</v>
      </c>
      <c r="D21" s="7" t="s">
        <v>32</v>
      </c>
      <c r="E21" s="8">
        <v>945000.0</v>
      </c>
      <c r="F21" s="8">
        <v>408588.0</v>
      </c>
      <c r="G21" s="43">
        <v>0.0342</v>
      </c>
      <c r="H21" s="10"/>
      <c r="I21" s="44" t="s">
        <v>87</v>
      </c>
      <c r="J21" s="7" t="s">
        <v>88</v>
      </c>
      <c r="K21" s="11" t="s">
        <v>24</v>
      </c>
      <c r="L21" s="7" t="s">
        <v>56</v>
      </c>
      <c r="M21" s="11"/>
      <c r="N21" s="12" t="s">
        <v>89</v>
      </c>
      <c r="O21" s="17">
        <f t="shared" si="5"/>
        <v>0</v>
      </c>
      <c r="P21" s="18">
        <f t="shared" si="6"/>
        <v>0</v>
      </c>
    </row>
    <row r="22" ht="0.75" hidden="1" customHeight="1">
      <c r="A22" s="6" t="s">
        <v>90</v>
      </c>
      <c r="B22" s="7" t="s">
        <v>19</v>
      </c>
      <c r="C22" s="7" t="s">
        <v>20</v>
      </c>
      <c r="D22" s="7" t="s">
        <v>21</v>
      </c>
      <c r="E22" s="8">
        <v>938000.0</v>
      </c>
      <c r="F22" s="8">
        <v>188314.0</v>
      </c>
      <c r="G22" s="9">
        <v>0.0606</v>
      </c>
      <c r="H22" s="10"/>
      <c r="I22" s="11" t="s">
        <v>91</v>
      </c>
      <c r="J22" s="7" t="s">
        <v>92</v>
      </c>
      <c r="K22" s="11" t="s">
        <v>24</v>
      </c>
      <c r="L22" s="7"/>
      <c r="M22" s="11"/>
      <c r="N22" s="12" t="s">
        <v>93</v>
      </c>
      <c r="O22" s="2"/>
      <c r="P22" s="2"/>
    </row>
    <row r="23" hidden="1">
      <c r="A23" s="6" t="s">
        <v>94</v>
      </c>
      <c r="B23" s="7" t="s">
        <v>19</v>
      </c>
      <c r="C23" s="7" t="s">
        <v>20</v>
      </c>
      <c r="D23" s="7" t="s">
        <v>21</v>
      </c>
      <c r="E23" s="8">
        <v>884000.0</v>
      </c>
      <c r="F23" s="8">
        <v>66164.0</v>
      </c>
      <c r="G23" s="9">
        <v>0.0175</v>
      </c>
      <c r="H23" s="10"/>
      <c r="I23" s="11" t="s">
        <v>95</v>
      </c>
      <c r="J23" s="7" t="s">
        <v>96</v>
      </c>
      <c r="K23" s="11" t="s">
        <v>24</v>
      </c>
      <c r="L23" s="7"/>
      <c r="M23" s="11"/>
      <c r="N23" s="12" t="s">
        <v>97</v>
      </c>
      <c r="O23" s="2"/>
      <c r="P23" s="2"/>
    </row>
    <row r="24" hidden="1">
      <c r="A24" s="6" t="s">
        <v>98</v>
      </c>
      <c r="B24" s="7" t="s">
        <v>19</v>
      </c>
      <c r="C24" s="7" t="s">
        <v>20</v>
      </c>
      <c r="D24" s="7" t="s">
        <v>21</v>
      </c>
      <c r="E24" s="8">
        <v>814000.0</v>
      </c>
      <c r="F24" s="8">
        <v>65479.0</v>
      </c>
      <c r="G24" s="9">
        <v>0.0453</v>
      </c>
      <c r="H24" s="10"/>
      <c r="I24" s="11" t="s">
        <v>99</v>
      </c>
      <c r="J24" s="7" t="s">
        <v>100</v>
      </c>
      <c r="K24" s="11" t="s">
        <v>24</v>
      </c>
      <c r="L24" s="7"/>
      <c r="M24" s="11"/>
      <c r="N24" s="12" t="s">
        <v>101</v>
      </c>
      <c r="O24" s="2"/>
      <c r="P24" s="2"/>
    </row>
    <row r="25" hidden="1">
      <c r="A25" s="6" t="s">
        <v>102</v>
      </c>
      <c r="B25" s="7" t="s">
        <v>19</v>
      </c>
      <c r="C25" s="7" t="s">
        <v>20</v>
      </c>
      <c r="D25" s="7" t="s">
        <v>21</v>
      </c>
      <c r="E25" s="8">
        <v>770000.0</v>
      </c>
      <c r="F25" s="8">
        <v>73265.0</v>
      </c>
      <c r="G25" s="9">
        <v>0.0282</v>
      </c>
      <c r="H25" s="10"/>
      <c r="I25" s="11" t="s">
        <v>103</v>
      </c>
      <c r="J25" s="7" t="s">
        <v>104</v>
      </c>
      <c r="K25" s="11" t="s">
        <v>24</v>
      </c>
      <c r="L25" s="7"/>
      <c r="M25" s="11"/>
      <c r="N25" s="12" t="s">
        <v>105</v>
      </c>
      <c r="O25" s="2"/>
      <c r="P25" s="2"/>
    </row>
    <row r="26" hidden="1">
      <c r="A26" s="6" t="s">
        <v>106</v>
      </c>
      <c r="B26" s="7" t="s">
        <v>19</v>
      </c>
      <c r="C26" s="7" t="s">
        <v>20</v>
      </c>
      <c r="D26" s="7" t="s">
        <v>21</v>
      </c>
      <c r="E26" s="8">
        <v>714000.0</v>
      </c>
      <c r="F26" s="8">
        <v>129402.0</v>
      </c>
      <c r="G26" s="9">
        <v>0.056</v>
      </c>
      <c r="H26" s="10">
        <v>300.0</v>
      </c>
      <c r="I26" s="11" t="s">
        <v>107</v>
      </c>
      <c r="J26" s="7" t="s">
        <v>108</v>
      </c>
      <c r="K26" s="11" t="s">
        <v>24</v>
      </c>
      <c r="L26" s="7"/>
      <c r="M26" s="11"/>
      <c r="N26" s="12" t="s">
        <v>109</v>
      </c>
      <c r="O26" s="2"/>
      <c r="P26" s="2"/>
    </row>
    <row r="27" hidden="1">
      <c r="A27" s="6" t="s">
        <v>110</v>
      </c>
      <c r="B27" s="7" t="s">
        <v>19</v>
      </c>
      <c r="C27" s="7" t="s">
        <v>20</v>
      </c>
      <c r="D27" s="7" t="s">
        <v>21</v>
      </c>
      <c r="E27" s="8">
        <v>675000.0</v>
      </c>
      <c r="F27" s="8">
        <v>214572.0</v>
      </c>
      <c r="G27" s="9">
        <v>0.0108</v>
      </c>
      <c r="H27" s="10"/>
      <c r="I27" s="11" t="s">
        <v>111</v>
      </c>
      <c r="J27" s="7" t="s">
        <v>112</v>
      </c>
      <c r="K27" s="11" t="s">
        <v>24</v>
      </c>
      <c r="L27" s="7"/>
      <c r="M27" s="11"/>
      <c r="N27" s="12" t="s">
        <v>113</v>
      </c>
      <c r="O27" s="2"/>
      <c r="P27" s="2"/>
    </row>
    <row r="28" hidden="1">
      <c r="A28" s="6" t="s">
        <v>114</v>
      </c>
      <c r="B28" s="7" t="s">
        <v>19</v>
      </c>
      <c r="C28" s="7" t="s">
        <v>20</v>
      </c>
      <c r="D28" s="7" t="s">
        <v>21</v>
      </c>
      <c r="E28" s="8">
        <v>581000.0</v>
      </c>
      <c r="F28" s="8">
        <v>81343.0</v>
      </c>
      <c r="G28" s="9">
        <v>0.0706</v>
      </c>
      <c r="H28" s="10"/>
      <c r="I28" s="11" t="s">
        <v>115</v>
      </c>
      <c r="J28" s="7" t="s">
        <v>116</v>
      </c>
      <c r="K28" s="11" t="s">
        <v>24</v>
      </c>
      <c r="L28" s="7"/>
      <c r="M28" s="11"/>
      <c r="N28" s="12" t="s">
        <v>117</v>
      </c>
      <c r="O28" s="2"/>
      <c r="P28" s="2"/>
    </row>
    <row r="29" hidden="1">
      <c r="A29" s="6" t="s">
        <v>118</v>
      </c>
      <c r="B29" s="7" t="s">
        <v>19</v>
      </c>
      <c r="C29" s="7" t="s">
        <v>20</v>
      </c>
      <c r="D29" s="7" t="s">
        <v>21</v>
      </c>
      <c r="E29" s="8">
        <v>513000.0</v>
      </c>
      <c r="F29" s="8">
        <v>171767.0</v>
      </c>
      <c r="G29" s="9">
        <v>0.0372</v>
      </c>
      <c r="H29" s="10"/>
      <c r="I29" s="11" t="s">
        <v>119</v>
      </c>
      <c r="J29" s="7" t="s">
        <v>120</v>
      </c>
      <c r="K29" s="11" t="s">
        <v>24</v>
      </c>
      <c r="L29" s="7"/>
      <c r="M29" s="11"/>
      <c r="N29" s="12" t="s">
        <v>121</v>
      </c>
      <c r="O29" s="2"/>
      <c r="P29" s="2"/>
    </row>
    <row r="30" hidden="1">
      <c r="A30" s="6" t="s">
        <v>122</v>
      </c>
      <c r="B30" s="7" t="s">
        <v>40</v>
      </c>
      <c r="C30" s="7" t="s">
        <v>41</v>
      </c>
      <c r="D30" s="7" t="s">
        <v>21</v>
      </c>
      <c r="E30" s="8">
        <v>471000.0</v>
      </c>
      <c r="F30" s="8"/>
      <c r="G30" s="9">
        <v>2.7E-4</v>
      </c>
      <c r="H30" s="10">
        <v>34965.0</v>
      </c>
      <c r="I30" s="11" t="s">
        <v>123</v>
      </c>
      <c r="J30" s="7" t="s">
        <v>124</v>
      </c>
      <c r="K30" s="11" t="s">
        <v>24</v>
      </c>
      <c r="L30" s="7"/>
      <c r="M30" s="11"/>
      <c r="N30" s="12" t="s">
        <v>125</v>
      </c>
      <c r="O30" s="2"/>
      <c r="P30" s="2"/>
    </row>
    <row r="31" hidden="1">
      <c r="A31" s="6" t="s">
        <v>126</v>
      </c>
      <c r="B31" s="7" t="s">
        <v>19</v>
      </c>
      <c r="C31" s="7" t="s">
        <v>20</v>
      </c>
      <c r="D31" s="7" t="s">
        <v>21</v>
      </c>
      <c r="E31" s="8">
        <v>431000.0</v>
      </c>
      <c r="F31" s="8">
        <v>83052.0</v>
      </c>
      <c r="G31" s="9">
        <v>0.0471</v>
      </c>
      <c r="H31" s="10"/>
      <c r="I31" s="11" t="s">
        <v>127</v>
      </c>
      <c r="J31" s="7" t="s">
        <v>128</v>
      </c>
      <c r="K31" s="11" t="s">
        <v>24</v>
      </c>
      <c r="L31" s="7"/>
      <c r="M31" s="11"/>
      <c r="N31" s="12" t="s">
        <v>129</v>
      </c>
      <c r="O31" s="2"/>
      <c r="P31" s="2"/>
    </row>
    <row r="32">
      <c r="A32" s="45" t="s">
        <v>130</v>
      </c>
      <c r="B32" s="7" t="s">
        <v>19</v>
      </c>
      <c r="C32" s="7" t="s">
        <v>20</v>
      </c>
      <c r="D32" s="7" t="s">
        <v>32</v>
      </c>
      <c r="E32" s="8">
        <v>171000.0</v>
      </c>
      <c r="F32" s="14">
        <v>25000.0</v>
      </c>
      <c r="G32" s="9">
        <v>0.0504</v>
      </c>
      <c r="H32" s="15">
        <v>35000.0</v>
      </c>
      <c r="I32" s="11" t="s">
        <v>131</v>
      </c>
      <c r="J32" s="7" t="s">
        <v>132</v>
      </c>
      <c r="K32" s="11" t="s">
        <v>24</v>
      </c>
      <c r="L32" s="7" t="s">
        <v>56</v>
      </c>
      <c r="M32" s="11"/>
      <c r="N32" s="12" t="s">
        <v>133</v>
      </c>
      <c r="O32" s="17">
        <f t="shared" ref="O32:O34" si="7">H32/F32</f>
        <v>1.4</v>
      </c>
      <c r="P32" s="18">
        <f t="shared" ref="P32:P34" si="8">(H32/F32)*1000</f>
        <v>1400</v>
      </c>
    </row>
    <row r="33">
      <c r="A33" s="46" t="s">
        <v>134</v>
      </c>
      <c r="B33" s="13" t="s">
        <v>31</v>
      </c>
      <c r="C33" s="13" t="s">
        <v>135</v>
      </c>
      <c r="D33" s="13" t="s">
        <v>32</v>
      </c>
      <c r="E33" s="14">
        <v>7500.0</v>
      </c>
      <c r="F33" s="14">
        <v>7000.0</v>
      </c>
      <c r="G33" s="9"/>
      <c r="H33" s="15">
        <v>0.0</v>
      </c>
      <c r="I33" s="47"/>
      <c r="J33" s="7"/>
      <c r="K33" s="11" t="s">
        <v>24</v>
      </c>
      <c r="L33" s="7"/>
      <c r="M33" s="11"/>
      <c r="N33" s="48" t="s">
        <v>134</v>
      </c>
      <c r="O33" s="17">
        <f t="shared" si="7"/>
        <v>0</v>
      </c>
      <c r="P33" s="18">
        <f t="shared" si="8"/>
        <v>0</v>
      </c>
    </row>
    <row r="34">
      <c r="A34" s="6" t="s">
        <v>136</v>
      </c>
      <c r="B34" s="7" t="s">
        <v>19</v>
      </c>
      <c r="C34" s="7" t="s">
        <v>20</v>
      </c>
      <c r="D34" s="7" t="s">
        <v>32</v>
      </c>
      <c r="E34" s="8">
        <v>408000.0</v>
      </c>
      <c r="F34" s="8">
        <v>360256.0</v>
      </c>
      <c r="G34" s="9">
        <v>0.049</v>
      </c>
      <c r="H34" s="10">
        <v>10000.0</v>
      </c>
      <c r="I34" s="47" t="s">
        <v>137</v>
      </c>
      <c r="J34" s="7" t="s">
        <v>138</v>
      </c>
      <c r="K34" s="11" t="s">
        <v>24</v>
      </c>
      <c r="L34" s="7" t="s">
        <v>56</v>
      </c>
      <c r="M34" s="11"/>
      <c r="N34" s="12" t="s">
        <v>139</v>
      </c>
      <c r="O34" s="17">
        <f t="shared" si="7"/>
        <v>0.02775803873</v>
      </c>
      <c r="P34" s="18">
        <f t="shared" si="8"/>
        <v>27.75803873</v>
      </c>
    </row>
    <row r="35" hidden="1">
      <c r="A35" s="6" t="s">
        <v>140</v>
      </c>
      <c r="B35" s="7" t="s">
        <v>19</v>
      </c>
      <c r="C35" s="7" t="s">
        <v>20</v>
      </c>
      <c r="D35" s="7" t="s">
        <v>21</v>
      </c>
      <c r="E35" s="8">
        <v>379000.0</v>
      </c>
      <c r="F35" s="8">
        <v>62039.0</v>
      </c>
      <c r="G35" s="9">
        <v>0.0333</v>
      </c>
      <c r="H35" s="10"/>
      <c r="I35" s="11" t="s">
        <v>141</v>
      </c>
      <c r="J35" s="7" t="s">
        <v>142</v>
      </c>
      <c r="K35" s="11" t="s">
        <v>24</v>
      </c>
      <c r="L35" s="7"/>
      <c r="M35" s="11"/>
      <c r="N35" s="12" t="s">
        <v>143</v>
      </c>
      <c r="O35" s="2"/>
      <c r="P35" s="2"/>
    </row>
    <row r="36" hidden="1">
      <c r="A36" s="6" t="s">
        <v>144</v>
      </c>
      <c r="B36" s="7" t="s">
        <v>19</v>
      </c>
      <c r="C36" s="7" t="s">
        <v>20</v>
      </c>
      <c r="D36" s="7" t="s">
        <v>21</v>
      </c>
      <c r="E36" s="8">
        <v>363000.0</v>
      </c>
      <c r="F36" s="8">
        <v>41670.0</v>
      </c>
      <c r="G36" s="9">
        <v>0.0696</v>
      </c>
      <c r="H36" s="10"/>
      <c r="I36" s="11" t="s">
        <v>145</v>
      </c>
      <c r="J36" s="7" t="s">
        <v>146</v>
      </c>
      <c r="K36" s="11" t="s">
        <v>24</v>
      </c>
      <c r="L36" s="7"/>
      <c r="M36" s="11"/>
      <c r="N36" s="12" t="s">
        <v>147</v>
      </c>
      <c r="O36" s="2"/>
      <c r="P36" s="2"/>
    </row>
    <row r="37" hidden="1">
      <c r="A37" s="6" t="s">
        <v>148</v>
      </c>
      <c r="B37" s="7" t="s">
        <v>19</v>
      </c>
      <c r="C37" s="7" t="s">
        <v>20</v>
      </c>
      <c r="D37" s="7" t="s">
        <v>21</v>
      </c>
      <c r="E37" s="8">
        <v>335000.0</v>
      </c>
      <c r="F37" s="8">
        <v>41378.0</v>
      </c>
      <c r="G37" s="9">
        <v>0.0601</v>
      </c>
      <c r="H37" s="10"/>
      <c r="I37" s="11" t="s">
        <v>149</v>
      </c>
      <c r="J37" s="7" t="s">
        <v>150</v>
      </c>
      <c r="K37" s="11" t="s">
        <v>24</v>
      </c>
      <c r="L37" s="7"/>
      <c r="M37" s="11"/>
      <c r="N37" s="12" t="s">
        <v>151</v>
      </c>
      <c r="O37" s="2"/>
      <c r="P37" s="2"/>
    </row>
    <row r="38" hidden="1">
      <c r="A38" s="6" t="s">
        <v>152</v>
      </c>
      <c r="B38" s="7" t="s">
        <v>40</v>
      </c>
      <c r="C38" s="7" t="s">
        <v>41</v>
      </c>
      <c r="D38" s="7" t="s">
        <v>21</v>
      </c>
      <c r="E38" s="8">
        <v>333000.0</v>
      </c>
      <c r="F38" s="8"/>
      <c r="G38" s="9">
        <v>2.6E-4</v>
      </c>
      <c r="H38" s="10">
        <v>30769.0</v>
      </c>
      <c r="I38" s="11" t="s">
        <v>153</v>
      </c>
      <c r="J38" s="7" t="s">
        <v>154</v>
      </c>
      <c r="K38" s="11" t="s">
        <v>24</v>
      </c>
      <c r="L38" s="7"/>
      <c r="M38" s="11"/>
      <c r="N38" s="12" t="s">
        <v>155</v>
      </c>
      <c r="O38" s="2"/>
      <c r="P38" s="2"/>
    </row>
    <row r="39">
      <c r="A39" s="6" t="s">
        <v>156</v>
      </c>
      <c r="B39" s="7" t="s">
        <v>19</v>
      </c>
      <c r="C39" s="7" t="s">
        <v>20</v>
      </c>
      <c r="D39" s="7" t="s">
        <v>32</v>
      </c>
      <c r="E39" s="8">
        <v>246000.0</v>
      </c>
      <c r="F39" s="8">
        <v>347154.0</v>
      </c>
      <c r="G39" s="9">
        <v>0.0532</v>
      </c>
      <c r="H39" s="10"/>
      <c r="I39" s="11"/>
      <c r="J39" s="7" t="s">
        <v>157</v>
      </c>
      <c r="K39" s="11" t="s">
        <v>24</v>
      </c>
      <c r="L39" s="7" t="s">
        <v>158</v>
      </c>
      <c r="M39" s="11"/>
      <c r="N39" s="12" t="s">
        <v>159</v>
      </c>
      <c r="O39" s="17">
        <f t="shared" ref="O39:O43" si="9">H39/F39</f>
        <v>0</v>
      </c>
      <c r="P39" s="18">
        <f t="shared" ref="P39:P43" si="10">(H39/F39)*1000</f>
        <v>0</v>
      </c>
    </row>
    <row r="40">
      <c r="A40" s="49" t="s">
        <v>160</v>
      </c>
      <c r="B40" s="7" t="s">
        <v>19</v>
      </c>
      <c r="C40" s="7" t="s">
        <v>20</v>
      </c>
      <c r="D40" s="7" t="s">
        <v>32</v>
      </c>
      <c r="E40" s="8">
        <v>319000.0</v>
      </c>
      <c r="F40" s="8">
        <v>219926.0</v>
      </c>
      <c r="G40" s="9">
        <v>0.061</v>
      </c>
      <c r="H40" s="10"/>
      <c r="I40" s="11" t="s">
        <v>161</v>
      </c>
      <c r="J40" s="7" t="s">
        <v>162</v>
      </c>
      <c r="K40" s="11" t="s">
        <v>24</v>
      </c>
      <c r="L40" s="7" t="s">
        <v>163</v>
      </c>
      <c r="M40" s="11"/>
      <c r="N40" s="12" t="s">
        <v>164</v>
      </c>
      <c r="O40" s="17">
        <f t="shared" si="9"/>
        <v>0</v>
      </c>
      <c r="P40" s="18">
        <f t="shared" si="10"/>
        <v>0</v>
      </c>
    </row>
    <row r="41">
      <c r="A41" s="49" t="s">
        <v>165</v>
      </c>
      <c r="B41" s="7" t="s">
        <v>19</v>
      </c>
      <c r="C41" s="7" t="s">
        <v>20</v>
      </c>
      <c r="D41" s="7" t="s">
        <v>32</v>
      </c>
      <c r="E41" s="8">
        <v>613000.0</v>
      </c>
      <c r="F41" s="8">
        <v>242206.0</v>
      </c>
      <c r="G41" s="9">
        <v>0.0507</v>
      </c>
      <c r="H41" s="10"/>
      <c r="I41" s="11" t="s">
        <v>166</v>
      </c>
      <c r="J41" s="7" t="s">
        <v>167</v>
      </c>
      <c r="K41" s="11" t="s">
        <v>24</v>
      </c>
      <c r="L41" s="7" t="s">
        <v>163</v>
      </c>
      <c r="M41" s="11"/>
      <c r="N41" s="12" t="s">
        <v>168</v>
      </c>
      <c r="O41" s="17">
        <f t="shared" si="9"/>
        <v>0</v>
      </c>
      <c r="P41" s="18">
        <f t="shared" si="10"/>
        <v>0</v>
      </c>
    </row>
    <row r="42">
      <c r="A42" s="49" t="s">
        <v>169</v>
      </c>
      <c r="B42" s="7" t="s">
        <v>19</v>
      </c>
      <c r="C42" s="7" t="s">
        <v>20</v>
      </c>
      <c r="D42" s="7" t="s">
        <v>32</v>
      </c>
      <c r="E42" s="8">
        <v>137000.0</v>
      </c>
      <c r="F42" s="8">
        <v>10000.0</v>
      </c>
      <c r="G42" s="9">
        <v>0.0429</v>
      </c>
      <c r="H42" s="10">
        <v>12000.0</v>
      </c>
      <c r="I42" s="11" t="s">
        <v>170</v>
      </c>
      <c r="J42" s="7" t="s">
        <v>171</v>
      </c>
      <c r="K42" s="11" t="s">
        <v>24</v>
      </c>
      <c r="L42" s="50" t="s">
        <v>172</v>
      </c>
      <c r="M42" s="11"/>
      <c r="N42" s="12" t="s">
        <v>173</v>
      </c>
      <c r="O42" s="17">
        <f t="shared" si="9"/>
        <v>1.2</v>
      </c>
      <c r="P42" s="18">
        <f t="shared" si="10"/>
        <v>1200</v>
      </c>
    </row>
    <row r="43">
      <c r="A43" s="49" t="s">
        <v>174</v>
      </c>
      <c r="B43" s="7" t="s">
        <v>19</v>
      </c>
      <c r="C43" s="7" t="s">
        <v>20</v>
      </c>
      <c r="D43" s="7" t="s">
        <v>32</v>
      </c>
      <c r="E43" s="8">
        <v>538000.0</v>
      </c>
      <c r="F43" s="8">
        <v>2285529.0</v>
      </c>
      <c r="G43" s="9">
        <v>0.0046</v>
      </c>
      <c r="H43" s="10"/>
      <c r="I43" s="11" t="s">
        <v>175</v>
      </c>
      <c r="J43" s="7" t="s">
        <v>176</v>
      </c>
      <c r="K43" s="11" t="s">
        <v>24</v>
      </c>
      <c r="L43" s="50" t="s">
        <v>172</v>
      </c>
      <c r="M43" s="11"/>
      <c r="N43" s="12" t="s">
        <v>177</v>
      </c>
      <c r="O43" s="17">
        <f t="shared" si="9"/>
        <v>0</v>
      </c>
      <c r="P43" s="18">
        <f t="shared" si="10"/>
        <v>0</v>
      </c>
    </row>
    <row r="44" hidden="1">
      <c r="A44" s="6" t="s">
        <v>178</v>
      </c>
      <c r="B44" s="7" t="s">
        <v>19</v>
      </c>
      <c r="C44" s="7" t="s">
        <v>20</v>
      </c>
      <c r="D44" s="7" t="s">
        <v>21</v>
      </c>
      <c r="E44" s="8">
        <v>317000.0</v>
      </c>
      <c r="F44" s="8">
        <v>39208.0</v>
      </c>
      <c r="G44" s="9">
        <v>0.0202</v>
      </c>
      <c r="H44" s="10"/>
      <c r="I44" s="11" t="s">
        <v>179</v>
      </c>
      <c r="J44" s="7" t="s">
        <v>180</v>
      </c>
      <c r="K44" s="11" t="s">
        <v>24</v>
      </c>
      <c r="L44" s="7"/>
      <c r="M44" s="11"/>
      <c r="N44" s="12" t="s">
        <v>181</v>
      </c>
      <c r="O44" s="2"/>
      <c r="P44" s="2"/>
    </row>
    <row r="45" hidden="1">
      <c r="A45" s="6" t="s">
        <v>182</v>
      </c>
      <c r="B45" s="7" t="s">
        <v>19</v>
      </c>
      <c r="C45" s="7" t="s">
        <v>20</v>
      </c>
      <c r="D45" s="7" t="s">
        <v>21</v>
      </c>
      <c r="E45" s="8">
        <v>314000.0</v>
      </c>
      <c r="F45" s="8">
        <v>99701.0</v>
      </c>
      <c r="G45" s="9">
        <v>0.0078</v>
      </c>
      <c r="H45" s="10"/>
      <c r="I45" s="11" t="s">
        <v>183</v>
      </c>
      <c r="J45" s="7" t="s">
        <v>184</v>
      </c>
      <c r="K45" s="11" t="s">
        <v>24</v>
      </c>
      <c r="L45" s="7"/>
      <c r="M45" s="11"/>
      <c r="N45" s="12" t="s">
        <v>185</v>
      </c>
      <c r="O45" s="2"/>
      <c r="P45" s="2"/>
    </row>
    <row r="46">
      <c r="A46" s="49" t="s">
        <v>186</v>
      </c>
      <c r="B46" s="7" t="s">
        <v>19</v>
      </c>
      <c r="C46" s="7" t="s">
        <v>20</v>
      </c>
      <c r="D46" s="7" t="s">
        <v>32</v>
      </c>
      <c r="E46" s="8">
        <v>312000.0</v>
      </c>
      <c r="F46" s="8">
        <v>293907.0</v>
      </c>
      <c r="G46" s="9">
        <v>0.0319</v>
      </c>
      <c r="H46" s="10"/>
      <c r="I46" s="11" t="s">
        <v>187</v>
      </c>
      <c r="J46" s="7" t="s">
        <v>188</v>
      </c>
      <c r="K46" s="11" t="s">
        <v>24</v>
      </c>
      <c r="L46" s="7" t="s">
        <v>189</v>
      </c>
      <c r="M46" s="11"/>
      <c r="N46" s="12" t="s">
        <v>190</v>
      </c>
      <c r="O46" s="17">
        <f>H46/F46</f>
        <v>0</v>
      </c>
      <c r="P46" s="18">
        <f>(H46/F46)*1000</f>
        <v>0</v>
      </c>
    </row>
    <row r="47" hidden="1">
      <c r="A47" s="6" t="s">
        <v>191</v>
      </c>
      <c r="B47" s="7" t="s">
        <v>19</v>
      </c>
      <c r="C47" s="7" t="s">
        <v>20</v>
      </c>
      <c r="D47" s="7" t="s">
        <v>21</v>
      </c>
      <c r="E47" s="8">
        <v>302000.0</v>
      </c>
      <c r="F47" s="8">
        <v>4192.0</v>
      </c>
      <c r="G47" s="9">
        <v>0.0335</v>
      </c>
      <c r="H47" s="10"/>
      <c r="I47" s="11"/>
      <c r="J47" s="7" t="s">
        <v>192</v>
      </c>
      <c r="K47" s="11" t="s">
        <v>24</v>
      </c>
      <c r="L47" s="7"/>
      <c r="M47" s="11"/>
      <c r="N47" s="12" t="s">
        <v>193</v>
      </c>
      <c r="O47" s="2"/>
      <c r="P47" s="2"/>
    </row>
    <row r="48" hidden="1">
      <c r="A48" s="6" t="s">
        <v>194</v>
      </c>
      <c r="B48" s="7" t="s">
        <v>19</v>
      </c>
      <c r="C48" s="7" t="s">
        <v>20</v>
      </c>
      <c r="D48" s="7" t="s">
        <v>21</v>
      </c>
      <c r="E48" s="8">
        <v>289000.0</v>
      </c>
      <c r="F48" s="8">
        <v>59875.0</v>
      </c>
      <c r="G48" s="9">
        <v>0.0705</v>
      </c>
      <c r="H48" s="10"/>
      <c r="I48" s="11"/>
      <c r="J48" s="7" t="s">
        <v>195</v>
      </c>
      <c r="K48" s="11" t="s">
        <v>24</v>
      </c>
      <c r="L48" s="7"/>
      <c r="M48" s="11"/>
      <c r="N48" s="12" t="s">
        <v>196</v>
      </c>
      <c r="O48" s="2"/>
      <c r="P48" s="2"/>
    </row>
    <row r="49">
      <c r="A49" s="49" t="s">
        <v>197</v>
      </c>
      <c r="B49" s="7" t="s">
        <v>19</v>
      </c>
      <c r="C49" s="7" t="s">
        <v>20</v>
      </c>
      <c r="D49" s="7" t="s">
        <v>32</v>
      </c>
      <c r="E49" s="8">
        <v>147000.0</v>
      </c>
      <c r="F49" s="8">
        <v>46004.0</v>
      </c>
      <c r="G49" s="9">
        <v>0.029</v>
      </c>
      <c r="H49" s="10"/>
      <c r="I49" s="11" t="s">
        <v>198</v>
      </c>
      <c r="J49" s="7" t="s">
        <v>199</v>
      </c>
      <c r="K49" s="11" t="s">
        <v>24</v>
      </c>
      <c r="L49" s="42" t="s">
        <v>172</v>
      </c>
      <c r="M49" s="11"/>
      <c r="N49" s="12" t="s">
        <v>200</v>
      </c>
      <c r="O49" s="17">
        <f>H49/F49</f>
        <v>0</v>
      </c>
      <c r="P49" s="18">
        <f>(H49/F49)*1000</f>
        <v>0</v>
      </c>
    </row>
    <row r="50" hidden="1">
      <c r="A50" s="6" t="s">
        <v>201</v>
      </c>
      <c r="B50" s="7" t="s">
        <v>19</v>
      </c>
      <c r="C50" s="7" t="s">
        <v>20</v>
      </c>
      <c r="D50" s="7" t="s">
        <v>21</v>
      </c>
      <c r="E50" s="8">
        <v>147000.0</v>
      </c>
      <c r="F50" s="8">
        <v>175885.0</v>
      </c>
      <c r="G50" s="9">
        <v>0.0198</v>
      </c>
      <c r="H50" s="10"/>
      <c r="I50" s="11" t="s">
        <v>202</v>
      </c>
      <c r="J50" s="7" t="s">
        <v>203</v>
      </c>
      <c r="K50" s="11" t="s">
        <v>24</v>
      </c>
      <c r="L50" s="7"/>
      <c r="M50" s="11"/>
      <c r="N50" s="12" t="s">
        <v>204</v>
      </c>
      <c r="O50" s="2"/>
      <c r="P50" s="2"/>
    </row>
    <row r="51" hidden="1">
      <c r="A51" s="6" t="s">
        <v>205</v>
      </c>
      <c r="B51" s="7" t="s">
        <v>40</v>
      </c>
      <c r="C51" s="7" t="s">
        <v>41</v>
      </c>
      <c r="D51" s="7" t="s">
        <v>21</v>
      </c>
      <c r="E51" s="8">
        <v>135000.0</v>
      </c>
      <c r="F51" s="8"/>
      <c r="G51" s="9">
        <v>3.6E-4</v>
      </c>
      <c r="H51" s="10">
        <v>20979.0</v>
      </c>
      <c r="I51" s="11" t="s">
        <v>206</v>
      </c>
      <c r="J51" s="7" t="s">
        <v>207</v>
      </c>
      <c r="K51" s="11" t="s">
        <v>24</v>
      </c>
      <c r="L51" s="7"/>
      <c r="M51" s="11"/>
      <c r="N51" s="12" t="s">
        <v>208</v>
      </c>
      <c r="O51" s="2"/>
      <c r="P51" s="2"/>
    </row>
    <row r="52">
      <c r="A52" s="49" t="s">
        <v>209</v>
      </c>
      <c r="B52" s="7" t="s">
        <v>19</v>
      </c>
      <c r="C52" s="7" t="s">
        <v>20</v>
      </c>
      <c r="D52" s="7" t="s">
        <v>32</v>
      </c>
      <c r="E52" s="8">
        <v>133000.0</v>
      </c>
      <c r="F52" s="8">
        <v>90479.0</v>
      </c>
      <c r="G52" s="9">
        <v>0.032</v>
      </c>
      <c r="H52" s="10"/>
      <c r="I52" s="11" t="s">
        <v>210</v>
      </c>
      <c r="J52" s="7" t="s">
        <v>211</v>
      </c>
      <c r="K52" s="11" t="s">
        <v>24</v>
      </c>
      <c r="L52" s="42" t="s">
        <v>172</v>
      </c>
      <c r="M52" s="11"/>
      <c r="N52" s="12" t="s">
        <v>212</v>
      </c>
      <c r="O52" s="17">
        <f t="shared" ref="O52:O53" si="11">H52/F52</f>
        <v>0</v>
      </c>
      <c r="P52" s="18">
        <f t="shared" ref="P52:P53" si="12">(H52/F52)*1000</f>
        <v>0</v>
      </c>
    </row>
    <row r="53">
      <c r="A53" s="49" t="s">
        <v>213</v>
      </c>
      <c r="B53" s="7" t="s">
        <v>19</v>
      </c>
      <c r="C53" s="7" t="s">
        <v>20</v>
      </c>
      <c r="D53" s="7" t="s">
        <v>32</v>
      </c>
      <c r="E53" s="8">
        <v>235000.0</v>
      </c>
      <c r="F53" s="8">
        <v>111659.0</v>
      </c>
      <c r="G53" s="9">
        <v>0.0303</v>
      </c>
      <c r="H53" s="10"/>
      <c r="I53" s="11" t="s">
        <v>214</v>
      </c>
      <c r="J53" s="7" t="s">
        <v>215</v>
      </c>
      <c r="K53" s="11" t="s">
        <v>24</v>
      </c>
      <c r="L53" s="42" t="s">
        <v>172</v>
      </c>
      <c r="M53" s="11"/>
      <c r="N53" s="12" t="s">
        <v>216</v>
      </c>
      <c r="O53" s="17">
        <f t="shared" si="11"/>
        <v>0</v>
      </c>
      <c r="P53" s="18">
        <f t="shared" si="12"/>
        <v>0</v>
      </c>
    </row>
    <row r="54" hidden="1">
      <c r="A54" s="6" t="s">
        <v>217</v>
      </c>
      <c r="B54" s="7" t="s">
        <v>19</v>
      </c>
      <c r="C54" s="7" t="s">
        <v>20</v>
      </c>
      <c r="D54" s="7" t="s">
        <v>21</v>
      </c>
      <c r="E54" s="8">
        <v>225000.0</v>
      </c>
      <c r="F54" s="8">
        <v>35137.0</v>
      </c>
      <c r="G54" s="9">
        <v>0.0207</v>
      </c>
      <c r="H54" s="10"/>
      <c r="I54" s="11" t="s">
        <v>218</v>
      </c>
      <c r="J54" s="7" t="s">
        <v>219</v>
      </c>
      <c r="K54" s="11" t="s">
        <v>24</v>
      </c>
      <c r="L54" s="7"/>
      <c r="M54" s="11"/>
      <c r="N54" s="12" t="s">
        <v>220</v>
      </c>
      <c r="O54" s="2"/>
      <c r="P54" s="2"/>
    </row>
    <row r="55" hidden="1">
      <c r="A55" s="6" t="s">
        <v>221</v>
      </c>
      <c r="B55" s="7" t="s">
        <v>40</v>
      </c>
      <c r="C55" s="7" t="s">
        <v>41</v>
      </c>
      <c r="D55" s="7" t="s">
        <v>21</v>
      </c>
      <c r="E55" s="8">
        <v>222000.0</v>
      </c>
      <c r="F55" s="8"/>
      <c r="G55" s="9">
        <v>2.2E-4</v>
      </c>
      <c r="H55" s="10">
        <v>10490.0</v>
      </c>
      <c r="I55" s="11" t="s">
        <v>222</v>
      </c>
      <c r="J55" s="7" t="s">
        <v>223</v>
      </c>
      <c r="K55" s="11" t="s">
        <v>24</v>
      </c>
      <c r="L55" s="7"/>
      <c r="M55" s="11"/>
      <c r="N55" s="12" t="s">
        <v>224</v>
      </c>
      <c r="O55" s="2"/>
      <c r="P55" s="2"/>
    </row>
    <row r="56">
      <c r="A56" s="49" t="s">
        <v>225</v>
      </c>
      <c r="B56" s="7" t="s">
        <v>19</v>
      </c>
      <c r="C56" s="7" t="s">
        <v>20</v>
      </c>
      <c r="D56" s="7" t="s">
        <v>32</v>
      </c>
      <c r="E56" s="8">
        <v>222000.0</v>
      </c>
      <c r="F56" s="8">
        <v>49920.0</v>
      </c>
      <c r="G56" s="9">
        <v>0.0514</v>
      </c>
      <c r="H56" s="10"/>
      <c r="I56" s="41" t="s">
        <v>226</v>
      </c>
      <c r="J56" s="7" t="s">
        <v>227</v>
      </c>
      <c r="K56" s="11" t="s">
        <v>24</v>
      </c>
      <c r="L56" s="42" t="s">
        <v>172</v>
      </c>
      <c r="M56" s="11"/>
      <c r="N56" s="12" t="s">
        <v>228</v>
      </c>
      <c r="O56" s="17">
        <f t="shared" ref="O56:O58" si="13">H56/F56</f>
        <v>0</v>
      </c>
      <c r="P56" s="18">
        <f t="shared" ref="P56:P58" si="14">(H56/F56)*1000</f>
        <v>0</v>
      </c>
    </row>
    <row r="57">
      <c r="A57" s="49" t="s">
        <v>229</v>
      </c>
      <c r="B57" s="7" t="s">
        <v>19</v>
      </c>
      <c r="C57" s="7" t="s">
        <v>20</v>
      </c>
      <c r="D57" s="7" t="s">
        <v>32</v>
      </c>
      <c r="E57" s="8">
        <v>34800.0</v>
      </c>
      <c r="F57" s="8">
        <v>34646.0</v>
      </c>
      <c r="G57" s="9">
        <v>0.0363</v>
      </c>
      <c r="H57" s="10"/>
      <c r="I57" s="11" t="s">
        <v>230</v>
      </c>
      <c r="J57" s="7" t="s">
        <v>231</v>
      </c>
      <c r="K57" s="11" t="s">
        <v>24</v>
      </c>
      <c r="L57" s="7"/>
      <c r="M57" s="11"/>
      <c r="N57" s="12" t="s">
        <v>232</v>
      </c>
      <c r="O57" s="17">
        <f t="shared" si="13"/>
        <v>0</v>
      </c>
      <c r="P57" s="18">
        <f t="shared" si="14"/>
        <v>0</v>
      </c>
    </row>
    <row r="58">
      <c r="A58" s="49" t="s">
        <v>233</v>
      </c>
      <c r="B58" s="7" t="s">
        <v>19</v>
      </c>
      <c r="C58" s="7" t="s">
        <v>20</v>
      </c>
      <c r="D58" s="7" t="s">
        <v>32</v>
      </c>
      <c r="E58" s="8">
        <v>286000.0</v>
      </c>
      <c r="F58" s="8">
        <v>77594.0</v>
      </c>
      <c r="G58" s="9">
        <v>0.0524</v>
      </c>
      <c r="H58" s="10"/>
      <c r="I58" s="41" t="s">
        <v>234</v>
      </c>
      <c r="J58" s="7" t="s">
        <v>235</v>
      </c>
      <c r="K58" s="11" t="s">
        <v>24</v>
      </c>
      <c r="L58" s="50" t="s">
        <v>189</v>
      </c>
      <c r="M58" s="11"/>
      <c r="N58" s="12" t="s">
        <v>236</v>
      </c>
      <c r="O58" s="17">
        <f t="shared" si="13"/>
        <v>0</v>
      </c>
      <c r="P58" s="18">
        <f t="shared" si="14"/>
        <v>0</v>
      </c>
    </row>
    <row r="59" hidden="1">
      <c r="A59" s="6" t="s">
        <v>237</v>
      </c>
      <c r="B59" s="7" t="s">
        <v>19</v>
      </c>
      <c r="C59" s="7" t="s">
        <v>20</v>
      </c>
      <c r="D59" s="7" t="s">
        <v>21</v>
      </c>
      <c r="E59" s="8">
        <v>282000.0</v>
      </c>
      <c r="F59" s="8">
        <v>210495.0</v>
      </c>
      <c r="G59" s="9">
        <v>0.0434</v>
      </c>
      <c r="H59" s="10"/>
      <c r="I59" s="11"/>
      <c r="J59" s="7" t="s">
        <v>238</v>
      </c>
      <c r="K59" s="11" t="s">
        <v>24</v>
      </c>
      <c r="L59" s="7"/>
      <c r="M59" s="11"/>
      <c r="N59" s="12" t="s">
        <v>239</v>
      </c>
      <c r="O59" s="2"/>
      <c r="P59" s="2"/>
    </row>
    <row r="60" hidden="1">
      <c r="A60" s="6" t="s">
        <v>240</v>
      </c>
      <c r="B60" s="7" t="s">
        <v>19</v>
      </c>
      <c r="C60" s="7" t="s">
        <v>20</v>
      </c>
      <c r="D60" s="7" t="s">
        <v>21</v>
      </c>
      <c r="E60" s="8">
        <v>254000.0</v>
      </c>
      <c r="F60" s="8">
        <v>23023.0</v>
      </c>
      <c r="G60" s="9">
        <v>0.0784</v>
      </c>
      <c r="H60" s="10"/>
      <c r="I60" s="11" t="s">
        <v>241</v>
      </c>
      <c r="J60" s="7" t="s">
        <v>242</v>
      </c>
      <c r="K60" s="11" t="s">
        <v>24</v>
      </c>
      <c r="L60" s="7"/>
      <c r="M60" s="11"/>
      <c r="N60" s="12" t="s">
        <v>243</v>
      </c>
      <c r="O60" s="2"/>
      <c r="P60" s="2"/>
    </row>
    <row r="61" hidden="1">
      <c r="A61" s="6" t="s">
        <v>244</v>
      </c>
      <c r="B61" s="7" t="s">
        <v>19</v>
      </c>
      <c r="C61" s="7" t="s">
        <v>20</v>
      </c>
      <c r="D61" s="7" t="s">
        <v>21</v>
      </c>
      <c r="E61" s="8">
        <v>243000.0</v>
      </c>
      <c r="F61" s="8">
        <v>10918.0</v>
      </c>
      <c r="G61" s="9">
        <v>0.051</v>
      </c>
      <c r="H61" s="10"/>
      <c r="I61" s="11" t="s">
        <v>245</v>
      </c>
      <c r="J61" s="7" t="s">
        <v>246</v>
      </c>
      <c r="K61" s="11" t="s">
        <v>24</v>
      </c>
      <c r="L61" s="7"/>
      <c r="M61" s="11"/>
      <c r="N61" s="12" t="s">
        <v>247</v>
      </c>
      <c r="O61" s="2"/>
      <c r="P61" s="2"/>
    </row>
    <row r="62" hidden="1">
      <c r="A62" s="6" t="s">
        <v>248</v>
      </c>
      <c r="B62" s="7" t="s">
        <v>40</v>
      </c>
      <c r="C62" s="7" t="s">
        <v>41</v>
      </c>
      <c r="D62" s="7" t="s">
        <v>21</v>
      </c>
      <c r="E62" s="8">
        <v>214000.0</v>
      </c>
      <c r="F62" s="8"/>
      <c r="G62" s="9">
        <v>2.6E-4</v>
      </c>
      <c r="H62" s="10">
        <v>9790.0</v>
      </c>
      <c r="I62" s="11" t="s">
        <v>249</v>
      </c>
      <c r="J62" s="7" t="s">
        <v>250</v>
      </c>
      <c r="K62" s="11" t="s">
        <v>24</v>
      </c>
      <c r="L62" s="7"/>
      <c r="M62" s="11"/>
      <c r="N62" s="12" t="s">
        <v>251</v>
      </c>
      <c r="O62" s="2"/>
      <c r="P62" s="2"/>
    </row>
    <row r="63" hidden="1">
      <c r="A63" s="6" t="s">
        <v>252</v>
      </c>
      <c r="B63" s="7" t="s">
        <v>19</v>
      </c>
      <c r="C63" s="7" t="s">
        <v>20</v>
      </c>
      <c r="D63" s="7" t="s">
        <v>21</v>
      </c>
      <c r="E63" s="8">
        <v>205000.0</v>
      </c>
      <c r="F63" s="8">
        <v>20198.0</v>
      </c>
      <c r="G63" s="9">
        <v>0.009</v>
      </c>
      <c r="H63" s="10"/>
      <c r="I63" s="11" t="s">
        <v>253</v>
      </c>
      <c r="J63" s="7" t="s">
        <v>254</v>
      </c>
      <c r="K63" s="11" t="s">
        <v>24</v>
      </c>
      <c r="L63" s="7"/>
      <c r="M63" s="11"/>
      <c r="N63" s="12" t="s">
        <v>255</v>
      </c>
      <c r="O63" s="2"/>
      <c r="P63" s="2"/>
    </row>
    <row r="64" hidden="1">
      <c r="A64" s="6" t="s">
        <v>256</v>
      </c>
      <c r="B64" s="7" t="s">
        <v>19</v>
      </c>
      <c r="C64" s="7" t="s">
        <v>20</v>
      </c>
      <c r="D64" s="7" t="s">
        <v>21</v>
      </c>
      <c r="E64" s="8">
        <v>192000.0</v>
      </c>
      <c r="F64" s="8">
        <v>16950.0</v>
      </c>
      <c r="G64" s="9">
        <v>0.011</v>
      </c>
      <c r="H64" s="10"/>
      <c r="I64" s="11" t="s">
        <v>257</v>
      </c>
      <c r="J64" s="7" t="s">
        <v>258</v>
      </c>
      <c r="K64" s="11" t="s">
        <v>24</v>
      </c>
      <c r="L64" s="7"/>
      <c r="M64" s="11"/>
      <c r="N64" s="12" t="s">
        <v>259</v>
      </c>
      <c r="O64" s="2"/>
      <c r="P64" s="2"/>
    </row>
    <row r="65" hidden="1">
      <c r="A65" s="6" t="s">
        <v>260</v>
      </c>
      <c r="B65" s="7" t="s">
        <v>19</v>
      </c>
      <c r="C65" s="7" t="s">
        <v>20</v>
      </c>
      <c r="D65" s="7" t="s">
        <v>21</v>
      </c>
      <c r="E65" s="8">
        <v>185000.0</v>
      </c>
      <c r="F65" s="8">
        <v>44360.0</v>
      </c>
      <c r="G65" s="9">
        <v>0.035</v>
      </c>
      <c r="H65" s="10"/>
      <c r="I65" s="11" t="s">
        <v>261</v>
      </c>
      <c r="J65" s="7" t="s">
        <v>262</v>
      </c>
      <c r="K65" s="11" t="s">
        <v>24</v>
      </c>
      <c r="L65" s="7"/>
      <c r="M65" s="11"/>
      <c r="N65" s="12" t="s">
        <v>263</v>
      </c>
      <c r="O65" s="2"/>
      <c r="P65" s="2"/>
    </row>
    <row r="66" hidden="1">
      <c r="A66" s="6" t="s">
        <v>264</v>
      </c>
      <c r="B66" s="7" t="s">
        <v>19</v>
      </c>
      <c r="C66" s="7" t="s">
        <v>20</v>
      </c>
      <c r="D66" s="7" t="s">
        <v>21</v>
      </c>
      <c r="E66" s="8">
        <v>170000.0</v>
      </c>
      <c r="F66" s="8">
        <v>186730.0</v>
      </c>
      <c r="G66" s="9">
        <v>0.01</v>
      </c>
      <c r="H66" s="10"/>
      <c r="I66" s="11" t="s">
        <v>265</v>
      </c>
      <c r="J66" s="7" t="s">
        <v>266</v>
      </c>
      <c r="K66" s="11" t="s">
        <v>24</v>
      </c>
      <c r="L66" s="7"/>
      <c r="M66" s="11"/>
      <c r="N66" s="12" t="s">
        <v>267</v>
      </c>
      <c r="O66" s="2"/>
      <c r="P66" s="2"/>
    </row>
    <row r="67">
      <c r="A67" s="49" t="s">
        <v>268</v>
      </c>
      <c r="B67" s="7" t="s">
        <v>19</v>
      </c>
      <c r="C67" s="7" t="s">
        <v>20</v>
      </c>
      <c r="D67" s="7" t="s">
        <v>32</v>
      </c>
      <c r="E67" s="8">
        <v>160000.0</v>
      </c>
      <c r="F67" s="8">
        <v>60996.0</v>
      </c>
      <c r="G67" s="9">
        <v>0.0307</v>
      </c>
      <c r="H67" s="10"/>
      <c r="I67" s="11" t="s">
        <v>269</v>
      </c>
      <c r="J67" s="7" t="s">
        <v>270</v>
      </c>
      <c r="K67" s="11" t="s">
        <v>24</v>
      </c>
      <c r="L67" s="7" t="s">
        <v>158</v>
      </c>
      <c r="M67" s="11"/>
      <c r="N67" s="12" t="s">
        <v>271</v>
      </c>
      <c r="O67" s="17">
        <f>H67/F67</f>
        <v>0</v>
      </c>
      <c r="P67" s="18">
        <f>(H67/F67)*1000</f>
        <v>0</v>
      </c>
    </row>
    <row r="68" hidden="1">
      <c r="A68" s="6" t="s">
        <v>272</v>
      </c>
      <c r="B68" s="7" t="s">
        <v>40</v>
      </c>
      <c r="C68" s="7" t="s">
        <v>41</v>
      </c>
      <c r="D68" s="7" t="s">
        <v>21</v>
      </c>
      <c r="E68" s="8">
        <v>157000.0</v>
      </c>
      <c r="F68" s="8"/>
      <c r="G68" s="9">
        <v>3.3E-4</v>
      </c>
      <c r="H68" s="10">
        <v>13986.0</v>
      </c>
      <c r="I68" s="11" t="s">
        <v>273</v>
      </c>
      <c r="J68" s="7" t="s">
        <v>274</v>
      </c>
      <c r="K68" s="11" t="s">
        <v>24</v>
      </c>
      <c r="L68" s="7"/>
      <c r="M68" s="11"/>
      <c r="N68" s="12" t="s">
        <v>275</v>
      </c>
      <c r="O68" s="2"/>
      <c r="P68" s="2"/>
    </row>
    <row r="69" hidden="1">
      <c r="A69" s="6" t="s">
        <v>276</v>
      </c>
      <c r="B69" s="7" t="s">
        <v>40</v>
      </c>
      <c r="C69" s="7" t="s">
        <v>41</v>
      </c>
      <c r="D69" s="7" t="s">
        <v>21</v>
      </c>
      <c r="E69" s="8">
        <v>155000.0</v>
      </c>
      <c r="F69" s="8"/>
      <c r="G69" s="9">
        <v>2.5E-4</v>
      </c>
      <c r="H69" s="10">
        <v>13986.0</v>
      </c>
      <c r="I69" s="11" t="s">
        <v>277</v>
      </c>
      <c r="J69" s="7" t="s">
        <v>278</v>
      </c>
      <c r="K69" s="11" t="s">
        <v>24</v>
      </c>
      <c r="L69" s="7"/>
      <c r="M69" s="11"/>
      <c r="N69" s="12" t="s">
        <v>279</v>
      </c>
      <c r="O69" s="2"/>
      <c r="P69" s="2"/>
    </row>
    <row r="70" hidden="1">
      <c r="A70" s="6" t="s">
        <v>280</v>
      </c>
      <c r="B70" s="7" t="s">
        <v>40</v>
      </c>
      <c r="C70" s="7" t="s">
        <v>41</v>
      </c>
      <c r="D70" s="7" t="s">
        <v>21</v>
      </c>
      <c r="E70" s="8">
        <v>153000.0</v>
      </c>
      <c r="F70" s="8"/>
      <c r="G70" s="9">
        <v>3.4E-4</v>
      </c>
      <c r="H70" s="10">
        <v>20979.0</v>
      </c>
      <c r="I70" s="11" t="s">
        <v>281</v>
      </c>
      <c r="J70" s="7" t="s">
        <v>282</v>
      </c>
      <c r="K70" s="11" t="s">
        <v>24</v>
      </c>
      <c r="L70" s="7"/>
      <c r="M70" s="11"/>
      <c r="N70" s="12" t="s">
        <v>283</v>
      </c>
      <c r="O70" s="2"/>
      <c r="P70" s="2"/>
    </row>
    <row r="71">
      <c r="A71" s="49" t="s">
        <v>284</v>
      </c>
      <c r="B71" s="7" t="s">
        <v>19</v>
      </c>
      <c r="C71" s="7" t="s">
        <v>20</v>
      </c>
      <c r="D71" s="7" t="s">
        <v>32</v>
      </c>
      <c r="E71" s="8">
        <v>151000.0</v>
      </c>
      <c r="F71" s="8">
        <v>250189.0</v>
      </c>
      <c r="G71" s="9">
        <v>0.0486</v>
      </c>
      <c r="H71" s="10"/>
      <c r="I71" s="11" t="s">
        <v>285</v>
      </c>
      <c r="J71" s="7" t="s">
        <v>286</v>
      </c>
      <c r="K71" s="11" t="s">
        <v>24</v>
      </c>
      <c r="L71" s="7" t="s">
        <v>56</v>
      </c>
      <c r="M71" s="11"/>
      <c r="N71" s="12" t="s">
        <v>287</v>
      </c>
      <c r="O71" s="17">
        <f t="shared" ref="O71:O98" si="15">H71/F71</f>
        <v>0</v>
      </c>
      <c r="P71" s="18">
        <f t="shared" ref="P71:P98" si="16">(H71/F71)*1000</f>
        <v>0</v>
      </c>
    </row>
    <row r="72">
      <c r="A72" s="49" t="s">
        <v>288</v>
      </c>
      <c r="B72" s="7" t="s">
        <v>19</v>
      </c>
      <c r="C72" s="7" t="s">
        <v>20</v>
      </c>
      <c r="D72" s="7" t="s">
        <v>32</v>
      </c>
      <c r="E72" s="8">
        <v>112000.0</v>
      </c>
      <c r="F72" s="8">
        <v>38603.0</v>
      </c>
      <c r="G72" s="9">
        <v>0.0184</v>
      </c>
      <c r="H72" s="10"/>
      <c r="I72" s="11"/>
      <c r="J72" s="7" t="s">
        <v>289</v>
      </c>
      <c r="K72" s="11" t="s">
        <v>24</v>
      </c>
      <c r="L72" s="13" t="s">
        <v>290</v>
      </c>
      <c r="M72" s="11"/>
      <c r="N72" s="12" t="s">
        <v>291</v>
      </c>
      <c r="O72" s="17">
        <f t="shared" si="15"/>
        <v>0</v>
      </c>
      <c r="P72" s="18">
        <f t="shared" si="16"/>
        <v>0</v>
      </c>
    </row>
    <row r="73">
      <c r="A73" s="49" t="s">
        <v>292</v>
      </c>
      <c r="B73" s="7" t="s">
        <v>19</v>
      </c>
      <c r="C73" s="7" t="s">
        <v>20</v>
      </c>
      <c r="D73" s="7" t="s">
        <v>32</v>
      </c>
      <c r="E73" s="8">
        <v>106000.0</v>
      </c>
      <c r="F73" s="8">
        <v>265481.0</v>
      </c>
      <c r="G73" s="9">
        <v>0.0175</v>
      </c>
      <c r="H73" s="10"/>
      <c r="I73" s="11" t="s">
        <v>293</v>
      </c>
      <c r="J73" s="7" t="s">
        <v>294</v>
      </c>
      <c r="K73" s="11" t="s">
        <v>24</v>
      </c>
      <c r="L73" s="13" t="s">
        <v>295</v>
      </c>
      <c r="M73" s="11"/>
      <c r="N73" s="12" t="s">
        <v>296</v>
      </c>
      <c r="O73" s="17">
        <f t="shared" si="15"/>
        <v>0</v>
      </c>
      <c r="P73" s="18">
        <f t="shared" si="16"/>
        <v>0</v>
      </c>
    </row>
    <row r="74">
      <c r="A74" s="49" t="s">
        <v>297</v>
      </c>
      <c r="B74" s="7" t="s">
        <v>19</v>
      </c>
      <c r="C74" s="7" t="s">
        <v>20</v>
      </c>
      <c r="D74" s="7" t="s">
        <v>32</v>
      </c>
      <c r="E74" s="8">
        <v>102000.0</v>
      </c>
      <c r="F74" s="8">
        <v>37003.0</v>
      </c>
      <c r="G74" s="9">
        <v>0.0345</v>
      </c>
      <c r="H74" s="10"/>
      <c r="I74" s="11" t="s">
        <v>298</v>
      </c>
      <c r="J74" s="7" t="s">
        <v>299</v>
      </c>
      <c r="K74" s="11" t="s">
        <v>24</v>
      </c>
      <c r="L74" s="13" t="s">
        <v>290</v>
      </c>
      <c r="M74" s="11"/>
      <c r="N74" s="12" t="s">
        <v>300</v>
      </c>
      <c r="O74" s="17">
        <f t="shared" si="15"/>
        <v>0</v>
      </c>
      <c r="P74" s="18">
        <f t="shared" si="16"/>
        <v>0</v>
      </c>
    </row>
    <row r="75">
      <c r="A75" s="49" t="s">
        <v>301</v>
      </c>
      <c r="B75" s="7" t="s">
        <v>19</v>
      </c>
      <c r="C75" s="7" t="s">
        <v>20</v>
      </c>
      <c r="D75" s="7" t="s">
        <v>32</v>
      </c>
      <c r="E75" s="8">
        <v>95900.0</v>
      </c>
      <c r="F75" s="8">
        <v>30301.0</v>
      </c>
      <c r="G75" s="9">
        <v>0.039</v>
      </c>
      <c r="H75" s="10"/>
      <c r="I75" s="11" t="s">
        <v>302</v>
      </c>
      <c r="J75" s="7" t="s">
        <v>303</v>
      </c>
      <c r="K75" s="11" t="s">
        <v>24</v>
      </c>
      <c r="L75" s="13" t="s">
        <v>172</v>
      </c>
      <c r="M75" s="11"/>
      <c r="N75" s="12" t="s">
        <v>304</v>
      </c>
      <c r="O75" s="17">
        <f t="shared" si="15"/>
        <v>0</v>
      </c>
      <c r="P75" s="18">
        <f t="shared" si="16"/>
        <v>0</v>
      </c>
    </row>
    <row r="76">
      <c r="A76" s="49" t="s">
        <v>305</v>
      </c>
      <c r="B76" s="7" t="s">
        <v>19</v>
      </c>
      <c r="C76" s="7" t="s">
        <v>20</v>
      </c>
      <c r="D76" s="7" t="s">
        <v>32</v>
      </c>
      <c r="E76" s="8">
        <v>93000.0</v>
      </c>
      <c r="F76" s="8">
        <v>199356.0</v>
      </c>
      <c r="G76" s="9">
        <v>0.003</v>
      </c>
      <c r="H76" s="10"/>
      <c r="I76" s="11" t="s">
        <v>306</v>
      </c>
      <c r="J76" s="7" t="s">
        <v>307</v>
      </c>
      <c r="K76" s="11" t="s">
        <v>24</v>
      </c>
      <c r="L76" s="13" t="s">
        <v>308</v>
      </c>
      <c r="M76" s="11"/>
      <c r="N76" s="12" t="s">
        <v>309</v>
      </c>
      <c r="O76" s="17">
        <f t="shared" si="15"/>
        <v>0</v>
      </c>
      <c r="P76" s="18">
        <f t="shared" si="16"/>
        <v>0</v>
      </c>
    </row>
    <row r="77">
      <c r="A77" s="49" t="s">
        <v>310</v>
      </c>
      <c r="B77" s="7" t="s">
        <v>19</v>
      </c>
      <c r="C77" s="7" t="s">
        <v>20</v>
      </c>
      <c r="D77" s="7" t="s">
        <v>32</v>
      </c>
      <c r="E77" s="8">
        <v>70300.0</v>
      </c>
      <c r="F77" s="8">
        <v>50465.0</v>
      </c>
      <c r="G77" s="9">
        <v>0.0325</v>
      </c>
      <c r="H77" s="10"/>
      <c r="I77" s="11" t="s">
        <v>311</v>
      </c>
      <c r="J77" s="7" t="s">
        <v>312</v>
      </c>
      <c r="K77" s="11" t="s">
        <v>24</v>
      </c>
      <c r="L77" s="13" t="s">
        <v>290</v>
      </c>
      <c r="M77" s="11"/>
      <c r="N77" s="12" t="s">
        <v>313</v>
      </c>
      <c r="O77" s="17">
        <f t="shared" si="15"/>
        <v>0</v>
      </c>
      <c r="P77" s="18">
        <f t="shared" si="16"/>
        <v>0</v>
      </c>
    </row>
    <row r="78">
      <c r="A78" s="49" t="s">
        <v>314</v>
      </c>
      <c r="B78" s="7" t="s">
        <v>19</v>
      </c>
      <c r="C78" s="7" t="s">
        <v>20</v>
      </c>
      <c r="D78" s="7" t="s">
        <v>32</v>
      </c>
      <c r="E78" s="8">
        <v>78300.0</v>
      </c>
      <c r="F78" s="8">
        <v>54137.0</v>
      </c>
      <c r="G78" s="9">
        <v>0.0391</v>
      </c>
      <c r="H78" s="10"/>
      <c r="I78" s="11"/>
      <c r="J78" s="7" t="s">
        <v>215</v>
      </c>
      <c r="K78" s="11" t="s">
        <v>24</v>
      </c>
      <c r="L78" s="13" t="s">
        <v>290</v>
      </c>
      <c r="M78" s="11"/>
      <c r="N78" s="12" t="s">
        <v>315</v>
      </c>
      <c r="O78" s="17">
        <f t="shared" si="15"/>
        <v>0</v>
      </c>
      <c r="P78" s="18">
        <f t="shared" si="16"/>
        <v>0</v>
      </c>
    </row>
    <row r="79">
      <c r="A79" s="49" t="s">
        <v>316</v>
      </c>
      <c r="B79" s="7" t="s">
        <v>19</v>
      </c>
      <c r="C79" s="7" t="s">
        <v>20</v>
      </c>
      <c r="D79" s="7" t="s">
        <v>32</v>
      </c>
      <c r="E79" s="8">
        <v>67400.0</v>
      </c>
      <c r="F79" s="8">
        <v>91245.0</v>
      </c>
      <c r="G79" s="9">
        <v>0.0353</v>
      </c>
      <c r="H79" s="10"/>
      <c r="I79" s="38" t="s">
        <v>317</v>
      </c>
      <c r="J79" s="7" t="s">
        <v>318</v>
      </c>
      <c r="K79" s="11" t="s">
        <v>24</v>
      </c>
      <c r="L79" s="13" t="s">
        <v>295</v>
      </c>
      <c r="M79" s="11"/>
      <c r="N79" s="12" t="s">
        <v>319</v>
      </c>
      <c r="O79" s="17">
        <f t="shared" si="15"/>
        <v>0</v>
      </c>
      <c r="P79" s="18">
        <f t="shared" si="16"/>
        <v>0</v>
      </c>
    </row>
    <row r="80">
      <c r="A80" s="49" t="s">
        <v>320</v>
      </c>
      <c r="B80" s="7" t="s">
        <v>19</v>
      </c>
      <c r="C80" s="7" t="s">
        <v>20</v>
      </c>
      <c r="D80" s="7" t="s">
        <v>32</v>
      </c>
      <c r="E80" s="8">
        <v>89800.0</v>
      </c>
      <c r="F80" s="8">
        <v>50680.0</v>
      </c>
      <c r="G80" s="9">
        <v>0.0288</v>
      </c>
      <c r="H80" s="10"/>
      <c r="I80" s="51" t="s">
        <v>321</v>
      </c>
      <c r="J80" s="7" t="s">
        <v>294</v>
      </c>
      <c r="K80" s="11" t="s">
        <v>24</v>
      </c>
      <c r="L80" s="13" t="s">
        <v>322</v>
      </c>
      <c r="M80" s="11"/>
      <c r="N80" s="12" t="s">
        <v>323</v>
      </c>
      <c r="O80" s="17">
        <f t="shared" si="15"/>
        <v>0</v>
      </c>
      <c r="P80" s="18">
        <f t="shared" si="16"/>
        <v>0</v>
      </c>
    </row>
    <row r="81">
      <c r="A81" s="49" t="s">
        <v>324</v>
      </c>
      <c r="B81" s="7" t="s">
        <v>19</v>
      </c>
      <c r="C81" s="7" t="s">
        <v>20</v>
      </c>
      <c r="D81" s="7" t="s">
        <v>32</v>
      </c>
      <c r="E81" s="8">
        <v>66300.0</v>
      </c>
      <c r="F81" s="8">
        <v>58796.0</v>
      </c>
      <c r="G81" s="9">
        <v>0.057</v>
      </c>
      <c r="H81" s="10"/>
      <c r="I81" s="19" t="s">
        <v>325</v>
      </c>
      <c r="J81" s="7" t="s">
        <v>326</v>
      </c>
      <c r="K81" s="11" t="s">
        <v>24</v>
      </c>
      <c r="L81" s="13" t="s">
        <v>327</v>
      </c>
      <c r="M81" s="11"/>
      <c r="N81" s="12" t="s">
        <v>328</v>
      </c>
      <c r="O81" s="17">
        <f t="shared" si="15"/>
        <v>0</v>
      </c>
      <c r="P81" s="18">
        <f t="shared" si="16"/>
        <v>0</v>
      </c>
    </row>
    <row r="82">
      <c r="A82" s="49" t="s">
        <v>329</v>
      </c>
      <c r="B82" s="7" t="s">
        <v>19</v>
      </c>
      <c r="C82" s="7" t="s">
        <v>20</v>
      </c>
      <c r="D82" s="7" t="s">
        <v>32</v>
      </c>
      <c r="E82" s="8">
        <v>62400.0</v>
      </c>
      <c r="F82" s="8">
        <v>40983.0</v>
      </c>
      <c r="G82" s="9">
        <v>0.0528</v>
      </c>
      <c r="H82" s="10"/>
      <c r="I82" s="11" t="s">
        <v>330</v>
      </c>
      <c r="J82" s="7" t="s">
        <v>331</v>
      </c>
      <c r="K82" s="11" t="s">
        <v>24</v>
      </c>
      <c r="L82" s="7"/>
      <c r="M82" s="11"/>
      <c r="N82" s="12" t="s">
        <v>332</v>
      </c>
      <c r="O82" s="17">
        <f t="shared" si="15"/>
        <v>0</v>
      </c>
      <c r="P82" s="18">
        <f t="shared" si="16"/>
        <v>0</v>
      </c>
    </row>
    <row r="83">
      <c r="A83" s="49" t="s">
        <v>333</v>
      </c>
      <c r="B83" s="7" t="s">
        <v>19</v>
      </c>
      <c r="C83" s="7" t="s">
        <v>20</v>
      </c>
      <c r="D83" s="7" t="s">
        <v>32</v>
      </c>
      <c r="E83" s="8">
        <v>32800.0</v>
      </c>
      <c r="F83" s="8">
        <v>31177.0</v>
      </c>
      <c r="G83" s="9">
        <v>0.0586</v>
      </c>
      <c r="H83" s="10"/>
      <c r="I83" s="11" t="s">
        <v>334</v>
      </c>
      <c r="J83" s="7" t="s">
        <v>335</v>
      </c>
      <c r="K83" s="11" t="s">
        <v>24</v>
      </c>
      <c r="L83" s="7"/>
      <c r="M83" s="11"/>
      <c r="N83" s="12" t="s">
        <v>336</v>
      </c>
      <c r="O83" s="17">
        <f t="shared" si="15"/>
        <v>0</v>
      </c>
      <c r="P83" s="18">
        <f t="shared" si="16"/>
        <v>0</v>
      </c>
    </row>
    <row r="84">
      <c r="A84" s="49" t="s">
        <v>337</v>
      </c>
      <c r="B84" s="7" t="s">
        <v>19</v>
      </c>
      <c r="C84" s="7" t="s">
        <v>20</v>
      </c>
      <c r="D84" s="7" t="s">
        <v>32</v>
      </c>
      <c r="E84" s="8">
        <v>60400.0</v>
      </c>
      <c r="F84" s="8">
        <v>67574.0</v>
      </c>
      <c r="G84" s="9">
        <v>0.0221</v>
      </c>
      <c r="H84" s="10"/>
      <c r="I84" s="11"/>
      <c r="J84" s="7" t="s">
        <v>338</v>
      </c>
      <c r="K84" s="11" t="s">
        <v>24</v>
      </c>
      <c r="L84" s="13" t="s">
        <v>290</v>
      </c>
      <c r="M84" s="11"/>
      <c r="N84" s="12" t="s">
        <v>339</v>
      </c>
      <c r="O84" s="17">
        <f t="shared" si="15"/>
        <v>0</v>
      </c>
      <c r="P84" s="18">
        <f t="shared" si="16"/>
        <v>0</v>
      </c>
    </row>
    <row r="85">
      <c r="A85" s="52" t="s">
        <v>340</v>
      </c>
      <c r="B85" s="7" t="s">
        <v>19</v>
      </c>
      <c r="C85" s="7" t="s">
        <v>20</v>
      </c>
      <c r="D85" s="7" t="s">
        <v>32</v>
      </c>
      <c r="E85" s="8">
        <v>58600.0</v>
      </c>
      <c r="F85" s="8">
        <v>101281.0</v>
      </c>
      <c r="G85" s="9">
        <v>0.0069</v>
      </c>
      <c r="H85" s="10"/>
      <c r="I85" s="11" t="s">
        <v>341</v>
      </c>
      <c r="J85" s="7" t="s">
        <v>342</v>
      </c>
      <c r="K85" s="11" t="s">
        <v>24</v>
      </c>
      <c r="L85" s="13" t="s">
        <v>290</v>
      </c>
      <c r="M85" s="11"/>
      <c r="N85" s="12" t="s">
        <v>343</v>
      </c>
      <c r="O85" s="17">
        <f t="shared" si="15"/>
        <v>0</v>
      </c>
      <c r="P85" s="18">
        <f t="shared" si="16"/>
        <v>0</v>
      </c>
    </row>
    <row r="86">
      <c r="A86" s="49" t="s">
        <v>344</v>
      </c>
      <c r="B86" s="7" t="s">
        <v>19</v>
      </c>
      <c r="C86" s="7" t="s">
        <v>20</v>
      </c>
      <c r="D86" s="7" t="s">
        <v>32</v>
      </c>
      <c r="E86" s="8">
        <v>43100.0</v>
      </c>
      <c r="F86" s="8">
        <v>39109.0</v>
      </c>
      <c r="G86" s="9">
        <v>0.0668</v>
      </c>
      <c r="H86" s="10"/>
      <c r="I86" s="11" t="s">
        <v>345</v>
      </c>
      <c r="J86" s="7" t="s">
        <v>346</v>
      </c>
      <c r="K86" s="11" t="s">
        <v>24</v>
      </c>
      <c r="L86" s="13" t="s">
        <v>290</v>
      </c>
      <c r="M86" s="11"/>
      <c r="N86" s="12" t="s">
        <v>347</v>
      </c>
      <c r="O86" s="17">
        <f t="shared" si="15"/>
        <v>0</v>
      </c>
      <c r="P86" s="18">
        <f t="shared" si="16"/>
        <v>0</v>
      </c>
    </row>
    <row r="87">
      <c r="A87" s="49" t="s">
        <v>348</v>
      </c>
      <c r="B87" s="7" t="s">
        <v>19</v>
      </c>
      <c r="C87" s="7" t="s">
        <v>20</v>
      </c>
      <c r="D87" s="7" t="s">
        <v>32</v>
      </c>
      <c r="E87" s="8">
        <v>40800.0</v>
      </c>
      <c r="F87" s="8">
        <v>87356.0</v>
      </c>
      <c r="G87" s="9">
        <v>0.0168</v>
      </c>
      <c r="H87" s="10"/>
      <c r="I87" s="11"/>
      <c r="J87" s="7" t="s">
        <v>349</v>
      </c>
      <c r="K87" s="11" t="s">
        <v>24</v>
      </c>
      <c r="L87" s="7"/>
      <c r="M87" s="11"/>
      <c r="N87" s="12" t="s">
        <v>350</v>
      </c>
      <c r="O87" s="17">
        <f t="shared" si="15"/>
        <v>0</v>
      </c>
      <c r="P87" s="18">
        <f t="shared" si="16"/>
        <v>0</v>
      </c>
    </row>
    <row r="88">
      <c r="A88" s="49" t="s">
        <v>351</v>
      </c>
      <c r="B88" s="7" t="s">
        <v>19</v>
      </c>
      <c r="C88" s="7" t="s">
        <v>20</v>
      </c>
      <c r="D88" s="7" t="s">
        <v>32</v>
      </c>
      <c r="E88" s="8">
        <v>63800.0</v>
      </c>
      <c r="F88" s="8">
        <v>62964.0</v>
      </c>
      <c r="G88" s="9">
        <v>0.0326</v>
      </c>
      <c r="H88" s="10"/>
      <c r="I88" s="11" t="s">
        <v>352</v>
      </c>
      <c r="J88" s="7" t="s">
        <v>353</v>
      </c>
      <c r="K88" s="11" t="s">
        <v>24</v>
      </c>
      <c r="L88" s="7" t="s">
        <v>56</v>
      </c>
      <c r="M88" s="11"/>
      <c r="N88" s="12" t="s">
        <v>354</v>
      </c>
      <c r="O88" s="17">
        <f t="shared" si="15"/>
        <v>0</v>
      </c>
      <c r="P88" s="18">
        <f t="shared" si="16"/>
        <v>0</v>
      </c>
    </row>
    <row r="89">
      <c r="A89" s="49" t="s">
        <v>355</v>
      </c>
      <c r="B89" s="7" t="s">
        <v>19</v>
      </c>
      <c r="C89" s="7" t="s">
        <v>20</v>
      </c>
      <c r="D89" s="7" t="s">
        <v>32</v>
      </c>
      <c r="E89" s="8">
        <v>29100.0</v>
      </c>
      <c r="F89" s="8">
        <v>23547.0</v>
      </c>
      <c r="G89" s="9">
        <v>0.021</v>
      </c>
      <c r="H89" s="10"/>
      <c r="I89" s="11" t="s">
        <v>356</v>
      </c>
      <c r="J89" s="7" t="s">
        <v>357</v>
      </c>
      <c r="K89" s="11" t="s">
        <v>24</v>
      </c>
      <c r="L89" s="7"/>
      <c r="M89" s="11"/>
      <c r="N89" s="12" t="s">
        <v>358</v>
      </c>
      <c r="O89" s="17">
        <f t="shared" si="15"/>
        <v>0</v>
      </c>
      <c r="P89" s="18">
        <f t="shared" si="16"/>
        <v>0</v>
      </c>
    </row>
    <row r="90">
      <c r="A90" s="49" t="s">
        <v>359</v>
      </c>
      <c r="B90" s="7" t="s">
        <v>19</v>
      </c>
      <c r="C90" s="7" t="s">
        <v>20</v>
      </c>
      <c r="D90" s="7" t="s">
        <v>32</v>
      </c>
      <c r="E90" s="8">
        <v>29400.0</v>
      </c>
      <c r="F90" s="8">
        <v>47864.0</v>
      </c>
      <c r="G90" s="9">
        <v>0.0088</v>
      </c>
      <c r="H90" s="10"/>
      <c r="I90" s="11"/>
      <c r="J90" s="7" t="s">
        <v>360</v>
      </c>
      <c r="K90" s="11" t="s">
        <v>24</v>
      </c>
      <c r="L90" s="7"/>
      <c r="M90" s="11"/>
      <c r="N90" s="12" t="s">
        <v>361</v>
      </c>
      <c r="O90" s="17">
        <f t="shared" si="15"/>
        <v>0</v>
      </c>
      <c r="P90" s="18">
        <f t="shared" si="16"/>
        <v>0</v>
      </c>
    </row>
    <row r="91">
      <c r="A91" s="49" t="s">
        <v>362</v>
      </c>
      <c r="B91" s="7" t="s">
        <v>19</v>
      </c>
      <c r="C91" s="7" t="s">
        <v>20</v>
      </c>
      <c r="D91" s="7" t="s">
        <v>32</v>
      </c>
      <c r="E91" s="8">
        <v>30000.0</v>
      </c>
      <c r="F91" s="8">
        <v>78691.0</v>
      </c>
      <c r="G91" s="9">
        <v>0.0242</v>
      </c>
      <c r="H91" s="10"/>
      <c r="I91" s="11"/>
      <c r="J91" s="7" t="s">
        <v>363</v>
      </c>
      <c r="K91" s="11" t="s">
        <v>24</v>
      </c>
      <c r="L91" s="13"/>
      <c r="M91" s="11"/>
      <c r="N91" s="12" t="s">
        <v>364</v>
      </c>
      <c r="O91" s="17">
        <f t="shared" si="15"/>
        <v>0</v>
      </c>
      <c r="P91" s="18">
        <f t="shared" si="16"/>
        <v>0</v>
      </c>
    </row>
    <row r="92">
      <c r="A92" s="53" t="s">
        <v>365</v>
      </c>
      <c r="B92" s="7" t="s">
        <v>19</v>
      </c>
      <c r="C92" s="7" t="s">
        <v>20</v>
      </c>
      <c r="D92" s="7" t="s">
        <v>32</v>
      </c>
      <c r="E92" s="8">
        <v>39200.0</v>
      </c>
      <c r="F92" s="8">
        <v>16493.0</v>
      </c>
      <c r="G92" s="9">
        <v>0.0364</v>
      </c>
      <c r="H92" s="10"/>
      <c r="I92" s="11" t="s">
        <v>366</v>
      </c>
      <c r="J92" s="7" t="s">
        <v>367</v>
      </c>
      <c r="K92" s="11" t="s">
        <v>24</v>
      </c>
      <c r="L92" s="7"/>
      <c r="M92" s="11"/>
      <c r="N92" s="12" t="s">
        <v>368</v>
      </c>
      <c r="O92" s="17">
        <f t="shared" si="15"/>
        <v>0</v>
      </c>
      <c r="P92" s="18">
        <f t="shared" si="16"/>
        <v>0</v>
      </c>
    </row>
    <row r="93">
      <c r="A93" s="49" t="s">
        <v>369</v>
      </c>
      <c r="B93" s="7" t="s">
        <v>19</v>
      </c>
      <c r="C93" s="7" t="s">
        <v>20</v>
      </c>
      <c r="D93" s="7" t="s">
        <v>32</v>
      </c>
      <c r="E93" s="8">
        <v>32500.0</v>
      </c>
      <c r="F93" s="8">
        <v>41611.0</v>
      </c>
      <c r="G93" s="9">
        <v>0.0317</v>
      </c>
      <c r="H93" s="10"/>
      <c r="I93" s="11" t="s">
        <v>370</v>
      </c>
      <c r="J93" s="7" t="s">
        <v>357</v>
      </c>
      <c r="K93" s="11" t="s">
        <v>24</v>
      </c>
      <c r="L93" s="7"/>
      <c r="M93" s="11"/>
      <c r="N93" s="12" t="s">
        <v>371</v>
      </c>
      <c r="O93" s="17">
        <f t="shared" si="15"/>
        <v>0</v>
      </c>
      <c r="P93" s="18">
        <f t="shared" si="16"/>
        <v>0</v>
      </c>
    </row>
    <row r="94" ht="21.75" customHeight="1">
      <c r="A94" s="49" t="s">
        <v>372</v>
      </c>
      <c r="B94" s="7" t="s">
        <v>19</v>
      </c>
      <c r="C94" s="7" t="s">
        <v>20</v>
      </c>
      <c r="D94" s="7" t="s">
        <v>32</v>
      </c>
      <c r="E94" s="8">
        <v>26900.0</v>
      </c>
      <c r="F94" s="8">
        <v>86517.0</v>
      </c>
      <c r="G94" s="9">
        <v>0.0126</v>
      </c>
      <c r="H94" s="10"/>
      <c r="I94" s="11"/>
      <c r="J94" s="7" t="s">
        <v>215</v>
      </c>
      <c r="K94" s="11" t="s">
        <v>24</v>
      </c>
      <c r="L94" s="7"/>
      <c r="M94" s="11"/>
      <c r="N94" s="12" t="s">
        <v>373</v>
      </c>
      <c r="O94" s="17">
        <f t="shared" si="15"/>
        <v>0</v>
      </c>
      <c r="P94" s="18">
        <f t="shared" si="16"/>
        <v>0</v>
      </c>
    </row>
    <row r="95" ht="21.75" customHeight="1">
      <c r="A95" s="49" t="s">
        <v>374</v>
      </c>
      <c r="B95" s="7" t="s">
        <v>19</v>
      </c>
      <c r="C95" s="7" t="s">
        <v>20</v>
      </c>
      <c r="D95" s="7" t="s">
        <v>32</v>
      </c>
      <c r="E95" s="8">
        <v>18600.0</v>
      </c>
      <c r="F95" s="8">
        <v>233855.0</v>
      </c>
      <c r="G95" s="9">
        <v>0.0226</v>
      </c>
      <c r="H95" s="10"/>
      <c r="I95" s="11"/>
      <c r="J95" s="7" t="s">
        <v>375</v>
      </c>
      <c r="K95" s="11" t="s">
        <v>24</v>
      </c>
      <c r="L95" s="7"/>
      <c r="M95" s="11"/>
      <c r="N95" s="12" t="s">
        <v>376</v>
      </c>
      <c r="O95" s="17">
        <f t="shared" si="15"/>
        <v>0</v>
      </c>
      <c r="P95" s="18">
        <f t="shared" si="16"/>
        <v>0</v>
      </c>
    </row>
    <row r="96" ht="21.75" customHeight="1">
      <c r="A96" s="49" t="s">
        <v>377</v>
      </c>
      <c r="B96" s="7" t="s">
        <v>19</v>
      </c>
      <c r="C96" s="7" t="s">
        <v>20</v>
      </c>
      <c r="D96" s="7" t="s">
        <v>32</v>
      </c>
      <c r="E96" s="8">
        <v>17900.0</v>
      </c>
      <c r="F96" s="8">
        <v>17403.0</v>
      </c>
      <c r="G96" s="9">
        <v>0.0736</v>
      </c>
      <c r="H96" s="10"/>
      <c r="I96" s="11" t="s">
        <v>378</v>
      </c>
      <c r="J96" s="7" t="s">
        <v>379</v>
      </c>
      <c r="K96" s="11" t="s">
        <v>24</v>
      </c>
      <c r="L96" s="7"/>
      <c r="M96" s="11"/>
      <c r="N96" s="12" t="s">
        <v>380</v>
      </c>
      <c r="O96" s="17">
        <f t="shared" si="15"/>
        <v>0</v>
      </c>
      <c r="P96" s="18">
        <f t="shared" si="16"/>
        <v>0</v>
      </c>
    </row>
    <row r="97" ht="21.75" customHeight="1">
      <c r="A97" s="49" t="s">
        <v>381</v>
      </c>
      <c r="B97" s="7" t="s">
        <v>19</v>
      </c>
      <c r="C97" s="7" t="s">
        <v>20</v>
      </c>
      <c r="D97" s="7" t="s">
        <v>32</v>
      </c>
      <c r="E97" s="8">
        <v>16800.0</v>
      </c>
      <c r="F97" s="8">
        <v>22612.0</v>
      </c>
      <c r="G97" s="9">
        <v>0.0342</v>
      </c>
      <c r="H97" s="10"/>
      <c r="I97" s="11" t="s">
        <v>382</v>
      </c>
      <c r="J97" s="7" t="s">
        <v>231</v>
      </c>
      <c r="K97" s="11" t="s">
        <v>24</v>
      </c>
      <c r="L97" s="7"/>
      <c r="M97" s="11"/>
      <c r="N97" s="12" t="s">
        <v>383</v>
      </c>
      <c r="O97" s="17">
        <f t="shared" si="15"/>
        <v>0</v>
      </c>
      <c r="P97" s="18">
        <f t="shared" si="16"/>
        <v>0</v>
      </c>
    </row>
    <row r="98" ht="21.75" customHeight="1">
      <c r="A98" s="49" t="s">
        <v>384</v>
      </c>
      <c r="B98" s="7" t="s">
        <v>19</v>
      </c>
      <c r="C98" s="7" t="s">
        <v>20</v>
      </c>
      <c r="D98" s="7" t="s">
        <v>32</v>
      </c>
      <c r="E98" s="8">
        <v>16600.0</v>
      </c>
      <c r="F98" s="8">
        <v>23809.0</v>
      </c>
      <c r="G98" s="9">
        <v>0.0351</v>
      </c>
      <c r="H98" s="10"/>
      <c r="I98" s="11" t="s">
        <v>385</v>
      </c>
      <c r="J98" s="7" t="s">
        <v>294</v>
      </c>
      <c r="K98" s="11" t="s">
        <v>24</v>
      </c>
      <c r="L98" s="7"/>
      <c r="M98" s="11"/>
      <c r="N98" s="12" t="s">
        <v>386</v>
      </c>
      <c r="O98" s="17">
        <f t="shared" si="15"/>
        <v>0</v>
      </c>
      <c r="P98" s="18">
        <f t="shared" si="16"/>
        <v>0</v>
      </c>
    </row>
    <row r="99" ht="21.75" hidden="1" customHeight="1">
      <c r="A99" s="6" t="s">
        <v>387</v>
      </c>
      <c r="B99" s="7" t="s">
        <v>40</v>
      </c>
      <c r="C99" s="7" t="s">
        <v>41</v>
      </c>
      <c r="D99" s="7" t="s">
        <v>21</v>
      </c>
      <c r="E99" s="8">
        <v>14800.0</v>
      </c>
      <c r="F99" s="8"/>
      <c r="G99" s="9">
        <v>2.8E-4</v>
      </c>
      <c r="H99" s="10">
        <v>1126.0</v>
      </c>
      <c r="I99" s="11" t="s">
        <v>388</v>
      </c>
      <c r="J99" s="7" t="s">
        <v>180</v>
      </c>
      <c r="K99" s="11" t="s">
        <v>24</v>
      </c>
      <c r="L99" s="7"/>
      <c r="M99" s="11"/>
      <c r="N99" s="12" t="s">
        <v>389</v>
      </c>
      <c r="O99" s="2"/>
      <c r="P99" s="2"/>
    </row>
    <row r="100" ht="21.75" hidden="1" customHeight="1">
      <c r="A100" s="6" t="s">
        <v>390</v>
      </c>
      <c r="B100" s="7" t="s">
        <v>40</v>
      </c>
      <c r="C100" s="7" t="s">
        <v>41</v>
      </c>
      <c r="D100" s="7" t="s">
        <v>21</v>
      </c>
      <c r="E100" s="8">
        <v>14500.0</v>
      </c>
      <c r="F100" s="8"/>
      <c r="G100" s="9">
        <v>2.4E-4</v>
      </c>
      <c r="H100" s="10">
        <v>699.0</v>
      </c>
      <c r="I100" s="11" t="s">
        <v>391</v>
      </c>
      <c r="J100" s="7" t="s">
        <v>392</v>
      </c>
      <c r="K100" s="11" t="s">
        <v>24</v>
      </c>
      <c r="L100" s="7"/>
      <c r="M100" s="11"/>
      <c r="N100" s="12" t="s">
        <v>393</v>
      </c>
      <c r="O100" s="2"/>
      <c r="P100" s="2"/>
    </row>
    <row r="101" ht="21.75" customHeight="1">
      <c r="A101" s="53" t="s">
        <v>394</v>
      </c>
      <c r="B101" s="7" t="s">
        <v>19</v>
      </c>
      <c r="C101" s="7" t="s">
        <v>20</v>
      </c>
      <c r="D101" s="7" t="s">
        <v>32</v>
      </c>
      <c r="E101" s="8">
        <v>14500.0</v>
      </c>
      <c r="F101" s="8">
        <v>5497.0</v>
      </c>
      <c r="G101" s="9">
        <v>0.0224</v>
      </c>
      <c r="H101" s="10"/>
      <c r="I101" s="11" t="s">
        <v>395</v>
      </c>
      <c r="J101" s="7" t="s">
        <v>396</v>
      </c>
      <c r="K101" s="11" t="s">
        <v>24</v>
      </c>
      <c r="L101" s="7"/>
      <c r="M101" s="11"/>
      <c r="N101" s="12" t="s">
        <v>397</v>
      </c>
      <c r="O101" s="17">
        <f>H101/F101</f>
        <v>0</v>
      </c>
      <c r="P101" s="18">
        <f>(H101/F101)*1000</f>
        <v>0</v>
      </c>
    </row>
    <row r="102" ht="21.75" hidden="1" customHeight="1">
      <c r="A102" s="6" t="s">
        <v>398</v>
      </c>
      <c r="B102" s="7" t="s">
        <v>19</v>
      </c>
      <c r="C102" s="7" t="s">
        <v>20</v>
      </c>
      <c r="D102" s="7" t="s">
        <v>21</v>
      </c>
      <c r="E102" s="8">
        <v>14400.0</v>
      </c>
      <c r="F102" s="8">
        <v>6762.0</v>
      </c>
      <c r="G102" s="9">
        <v>0.0654</v>
      </c>
      <c r="H102" s="10"/>
      <c r="I102" s="11"/>
      <c r="J102" s="7" t="s">
        <v>399</v>
      </c>
      <c r="K102" s="11" t="s">
        <v>24</v>
      </c>
      <c r="L102" s="7"/>
      <c r="M102" s="11"/>
      <c r="N102" s="12" t="s">
        <v>400</v>
      </c>
      <c r="O102" s="2"/>
      <c r="P102" s="2"/>
    </row>
    <row r="103" ht="21.75" hidden="1" customHeight="1">
      <c r="A103" s="6" t="s">
        <v>401</v>
      </c>
      <c r="B103" s="7" t="s">
        <v>19</v>
      </c>
      <c r="C103" s="7" t="s">
        <v>20</v>
      </c>
      <c r="D103" s="7" t="s">
        <v>21</v>
      </c>
      <c r="E103" s="8">
        <v>14400.0</v>
      </c>
      <c r="F103" s="8">
        <v>4181.0</v>
      </c>
      <c r="G103" s="9">
        <v>0.0128</v>
      </c>
      <c r="H103" s="10"/>
      <c r="I103" s="11" t="s">
        <v>402</v>
      </c>
      <c r="J103" s="7" t="s">
        <v>282</v>
      </c>
      <c r="K103" s="11" t="s">
        <v>24</v>
      </c>
      <c r="L103" s="7"/>
      <c r="M103" s="11"/>
      <c r="N103" s="12" t="s">
        <v>403</v>
      </c>
      <c r="O103" s="2"/>
      <c r="P103" s="2"/>
    </row>
    <row r="104" ht="21.75" customHeight="1">
      <c r="A104" s="49" t="s">
        <v>404</v>
      </c>
      <c r="B104" s="7" t="s">
        <v>19</v>
      </c>
      <c r="C104" s="7" t="s">
        <v>20</v>
      </c>
      <c r="D104" s="7" t="s">
        <v>32</v>
      </c>
      <c r="E104" s="8">
        <v>15500.0</v>
      </c>
      <c r="F104" s="8">
        <v>22974.0</v>
      </c>
      <c r="G104" s="9">
        <v>0.0148</v>
      </c>
      <c r="H104" s="10"/>
      <c r="I104" s="11" t="s">
        <v>405</v>
      </c>
      <c r="J104" s="7" t="s">
        <v>406</v>
      </c>
      <c r="K104" s="11" t="s">
        <v>24</v>
      </c>
      <c r="L104" s="7"/>
      <c r="M104" s="11"/>
      <c r="N104" s="12" t="s">
        <v>407</v>
      </c>
      <c r="O104" s="17">
        <f t="shared" ref="O104:O105" si="17">H104/F104</f>
        <v>0</v>
      </c>
      <c r="P104" s="18">
        <f t="shared" ref="P104:P105" si="18">(H104/F104)*1000</f>
        <v>0</v>
      </c>
    </row>
    <row r="105" ht="21.75" customHeight="1">
      <c r="A105" s="49" t="s">
        <v>408</v>
      </c>
      <c r="B105" s="7" t="s">
        <v>19</v>
      </c>
      <c r="C105" s="7" t="s">
        <v>20</v>
      </c>
      <c r="D105" s="7" t="s">
        <v>32</v>
      </c>
      <c r="E105" s="8">
        <v>14000.0</v>
      </c>
      <c r="F105" s="8">
        <v>8469.0</v>
      </c>
      <c r="G105" s="9">
        <v>0.0407</v>
      </c>
      <c r="H105" s="10"/>
      <c r="I105" s="11" t="s">
        <v>409</v>
      </c>
      <c r="J105" s="7" t="s">
        <v>410</v>
      </c>
      <c r="K105" s="11" t="s">
        <v>24</v>
      </c>
      <c r="L105" s="13"/>
      <c r="M105" s="11"/>
      <c r="N105" s="12" t="s">
        <v>411</v>
      </c>
      <c r="O105" s="17">
        <f t="shared" si="17"/>
        <v>0</v>
      </c>
      <c r="P105" s="18">
        <f t="shared" si="18"/>
        <v>0</v>
      </c>
    </row>
    <row r="106" ht="21.75" hidden="1" customHeight="1">
      <c r="A106" s="6" t="s">
        <v>412</v>
      </c>
      <c r="B106" s="7" t="s">
        <v>19</v>
      </c>
      <c r="C106" s="7" t="s">
        <v>20</v>
      </c>
      <c r="D106" s="7" t="s">
        <v>21</v>
      </c>
      <c r="E106" s="8">
        <v>13900.0</v>
      </c>
      <c r="F106" s="8">
        <v>37055.0</v>
      </c>
      <c r="G106" s="9">
        <v>0.0037</v>
      </c>
      <c r="H106" s="10"/>
      <c r="I106" s="11"/>
      <c r="J106" s="7" t="s">
        <v>413</v>
      </c>
      <c r="K106" s="11" t="s">
        <v>24</v>
      </c>
      <c r="L106" s="7"/>
      <c r="M106" s="11"/>
      <c r="N106" s="12" t="s">
        <v>414</v>
      </c>
      <c r="O106" s="2"/>
      <c r="P106" s="2"/>
    </row>
    <row r="107" ht="21.75" hidden="1" customHeight="1">
      <c r="A107" s="6" t="s">
        <v>415</v>
      </c>
      <c r="B107" s="7" t="s">
        <v>19</v>
      </c>
      <c r="C107" s="7" t="s">
        <v>20</v>
      </c>
      <c r="D107" s="7" t="s">
        <v>21</v>
      </c>
      <c r="E107" s="8">
        <v>13700.0</v>
      </c>
      <c r="F107" s="8">
        <v>11113.0</v>
      </c>
      <c r="G107" s="9">
        <v>0.0834</v>
      </c>
      <c r="H107" s="10"/>
      <c r="I107" s="11" t="s">
        <v>416</v>
      </c>
      <c r="J107" s="7" t="s">
        <v>417</v>
      </c>
      <c r="K107" s="11" t="s">
        <v>24</v>
      </c>
      <c r="L107" s="7"/>
      <c r="M107" s="11"/>
      <c r="N107" s="12" t="s">
        <v>418</v>
      </c>
      <c r="O107" s="2"/>
      <c r="P107" s="2"/>
    </row>
    <row r="108" ht="21.75" hidden="1" customHeight="1">
      <c r="A108" s="6" t="s">
        <v>419</v>
      </c>
      <c r="B108" s="7" t="s">
        <v>40</v>
      </c>
      <c r="C108" s="7" t="s">
        <v>41</v>
      </c>
      <c r="D108" s="7" t="s">
        <v>21</v>
      </c>
      <c r="E108" s="8">
        <v>13200.0</v>
      </c>
      <c r="F108" s="8"/>
      <c r="G108" s="9">
        <v>0.003</v>
      </c>
      <c r="H108" s="10">
        <v>4895.0</v>
      </c>
      <c r="I108" s="11" t="s">
        <v>420</v>
      </c>
      <c r="J108" s="7" t="s">
        <v>421</v>
      </c>
      <c r="K108" s="11" t="s">
        <v>24</v>
      </c>
      <c r="L108" s="7"/>
      <c r="M108" s="11"/>
      <c r="N108" s="12" t="s">
        <v>422</v>
      </c>
      <c r="O108" s="2"/>
      <c r="P108" s="2"/>
    </row>
    <row r="109" ht="21.75" customHeight="1">
      <c r="A109" s="49" t="s">
        <v>423</v>
      </c>
      <c r="B109" s="7" t="s">
        <v>19</v>
      </c>
      <c r="C109" s="7" t="s">
        <v>20</v>
      </c>
      <c r="D109" s="7" t="s">
        <v>32</v>
      </c>
      <c r="E109" s="8">
        <v>13000.0</v>
      </c>
      <c r="F109" s="8">
        <v>27816.0</v>
      </c>
      <c r="G109" s="9">
        <v>0.0109</v>
      </c>
      <c r="H109" s="10"/>
      <c r="I109" s="11" t="s">
        <v>424</v>
      </c>
      <c r="J109" s="7" t="s">
        <v>425</v>
      </c>
      <c r="K109" s="11" t="s">
        <v>24</v>
      </c>
      <c r="L109" s="7"/>
      <c r="M109" s="11"/>
      <c r="N109" s="12" t="s">
        <v>426</v>
      </c>
      <c r="O109" s="17">
        <f t="shared" ref="O109:O112" si="19">H109/F109</f>
        <v>0</v>
      </c>
      <c r="P109" s="18">
        <f t="shared" ref="P109:P112" si="20">(H109/F109)*1000</f>
        <v>0</v>
      </c>
    </row>
    <row r="110" ht="21.75" customHeight="1">
      <c r="A110" s="49" t="s">
        <v>427</v>
      </c>
      <c r="B110" s="7" t="s">
        <v>19</v>
      </c>
      <c r="C110" s="7" t="s">
        <v>20</v>
      </c>
      <c r="D110" s="7" t="s">
        <v>32</v>
      </c>
      <c r="E110" s="8">
        <v>8560.0</v>
      </c>
      <c r="F110" s="8">
        <v>9826.0</v>
      </c>
      <c r="G110" s="9">
        <v>0.0417</v>
      </c>
      <c r="H110" s="10"/>
      <c r="I110" s="11"/>
      <c r="J110" s="7" t="s">
        <v>215</v>
      </c>
      <c r="K110" s="11" t="s">
        <v>24</v>
      </c>
      <c r="L110" s="7"/>
      <c r="M110" s="11"/>
      <c r="N110" s="12" t="s">
        <v>428</v>
      </c>
      <c r="O110" s="17">
        <f t="shared" si="19"/>
        <v>0</v>
      </c>
      <c r="P110" s="18">
        <f t="shared" si="20"/>
        <v>0</v>
      </c>
    </row>
    <row r="111" ht="21.75" customHeight="1">
      <c r="A111" s="49" t="s">
        <v>429</v>
      </c>
      <c r="B111" s="7" t="s">
        <v>19</v>
      </c>
      <c r="C111" s="7" t="s">
        <v>20</v>
      </c>
      <c r="D111" s="7" t="s">
        <v>32</v>
      </c>
      <c r="E111" s="8">
        <v>6080.0</v>
      </c>
      <c r="F111" s="8">
        <v>53550.0</v>
      </c>
      <c r="G111" s="9">
        <v>0.0072</v>
      </c>
      <c r="H111" s="10"/>
      <c r="I111" s="11" t="s">
        <v>430</v>
      </c>
      <c r="J111" s="7" t="s">
        <v>431</v>
      </c>
      <c r="K111" s="11" t="s">
        <v>24</v>
      </c>
      <c r="L111" s="50" t="s">
        <v>432</v>
      </c>
      <c r="M111" s="11"/>
      <c r="N111" s="12" t="s">
        <v>433</v>
      </c>
      <c r="O111" s="17">
        <f t="shared" si="19"/>
        <v>0</v>
      </c>
      <c r="P111" s="18">
        <f t="shared" si="20"/>
        <v>0</v>
      </c>
    </row>
    <row r="112">
      <c r="A112" s="49" t="s">
        <v>434</v>
      </c>
      <c r="B112" s="7" t="s">
        <v>19</v>
      </c>
      <c r="C112" s="7" t="s">
        <v>20</v>
      </c>
      <c r="D112" s="7" t="s">
        <v>32</v>
      </c>
      <c r="E112" s="8">
        <v>28700.0</v>
      </c>
      <c r="F112" s="8">
        <v>14338.0</v>
      </c>
      <c r="G112" s="9">
        <v>0.0611</v>
      </c>
      <c r="H112" s="10"/>
      <c r="I112" s="11" t="s">
        <v>435</v>
      </c>
      <c r="J112" s="7" t="s">
        <v>436</v>
      </c>
      <c r="K112" s="11" t="s">
        <v>24</v>
      </c>
      <c r="L112" s="7"/>
      <c r="M112" s="47" t="s">
        <v>437</v>
      </c>
      <c r="N112" s="12" t="s">
        <v>438</v>
      </c>
      <c r="O112" s="17">
        <f t="shared" si="19"/>
        <v>0</v>
      </c>
      <c r="P112" s="18">
        <f t="shared" si="20"/>
        <v>0</v>
      </c>
    </row>
    <row r="113" hidden="1">
      <c r="A113" s="6" t="s">
        <v>439</v>
      </c>
      <c r="B113" s="7" t="s">
        <v>40</v>
      </c>
      <c r="C113" s="7" t="s">
        <v>41</v>
      </c>
      <c r="D113" s="7" t="s">
        <v>21</v>
      </c>
      <c r="E113" s="8">
        <v>28300.0</v>
      </c>
      <c r="F113" s="8"/>
      <c r="G113" s="9">
        <v>1.8E-4</v>
      </c>
      <c r="H113" s="10">
        <v>2364.0</v>
      </c>
      <c r="I113" s="11" t="s">
        <v>440</v>
      </c>
      <c r="J113" s="7" t="s">
        <v>441</v>
      </c>
      <c r="K113" s="11" t="s">
        <v>24</v>
      </c>
      <c r="L113" s="7"/>
      <c r="M113" s="11"/>
      <c r="N113" s="12" t="s">
        <v>442</v>
      </c>
      <c r="O113" s="2"/>
      <c r="P113" s="2"/>
    </row>
    <row r="114">
      <c r="A114" s="53" t="s">
        <v>443</v>
      </c>
      <c r="B114" s="7" t="s">
        <v>19</v>
      </c>
      <c r="C114" s="7" t="s">
        <v>20</v>
      </c>
      <c r="D114" s="7" t="s">
        <v>32</v>
      </c>
      <c r="E114" s="8">
        <v>19400.0</v>
      </c>
      <c r="F114" s="8">
        <v>13344.0</v>
      </c>
      <c r="G114" s="9">
        <v>0.072</v>
      </c>
      <c r="H114" s="10"/>
      <c r="I114" s="38" t="s">
        <v>444</v>
      </c>
      <c r="J114" s="7" t="s">
        <v>445</v>
      </c>
      <c r="K114" s="11" t="s">
        <v>24</v>
      </c>
      <c r="L114" s="7"/>
      <c r="M114" s="47" t="s">
        <v>437</v>
      </c>
      <c r="N114" s="12" t="s">
        <v>446</v>
      </c>
      <c r="O114" s="17">
        <f t="shared" ref="O114:O118" si="21">H114/F114</f>
        <v>0</v>
      </c>
      <c r="P114" s="18">
        <f t="shared" ref="P114:P118" si="22">(H114/F114)*1000</f>
        <v>0</v>
      </c>
    </row>
    <row r="115">
      <c r="A115" s="49" t="s">
        <v>447</v>
      </c>
      <c r="B115" s="7" t="s">
        <v>19</v>
      </c>
      <c r="C115" s="7" t="s">
        <v>20</v>
      </c>
      <c r="D115" s="7" t="s">
        <v>32</v>
      </c>
      <c r="E115" s="8">
        <v>21500.0</v>
      </c>
      <c r="F115" s="8">
        <v>29012.0</v>
      </c>
      <c r="G115" s="9">
        <v>0.0193</v>
      </c>
      <c r="H115" s="10"/>
      <c r="I115" s="11" t="s">
        <v>448</v>
      </c>
      <c r="J115" s="7" t="s">
        <v>449</v>
      </c>
      <c r="K115" s="11" t="s">
        <v>24</v>
      </c>
      <c r="L115" s="7"/>
      <c r="M115" s="47" t="s">
        <v>437</v>
      </c>
      <c r="N115" s="12" t="s">
        <v>450</v>
      </c>
      <c r="O115" s="17">
        <f t="shared" si="21"/>
        <v>0</v>
      </c>
      <c r="P115" s="18">
        <f t="shared" si="22"/>
        <v>0</v>
      </c>
    </row>
    <row r="116">
      <c r="A116" s="53" t="s">
        <v>451</v>
      </c>
      <c r="B116" s="7" t="s">
        <v>19</v>
      </c>
      <c r="C116" s="7" t="s">
        <v>20</v>
      </c>
      <c r="D116" s="7" t="s">
        <v>32</v>
      </c>
      <c r="E116" s="8">
        <v>19200.0</v>
      </c>
      <c r="F116" s="8">
        <v>32771.0</v>
      </c>
      <c r="G116" s="9">
        <v>0.0355</v>
      </c>
      <c r="H116" s="10"/>
      <c r="I116" s="11"/>
      <c r="J116" s="7" t="s">
        <v>215</v>
      </c>
      <c r="K116" s="11" t="s">
        <v>24</v>
      </c>
      <c r="L116" s="7"/>
      <c r="M116" s="11"/>
      <c r="N116" s="12" t="s">
        <v>452</v>
      </c>
      <c r="O116" s="17">
        <f t="shared" si="21"/>
        <v>0</v>
      </c>
      <c r="P116" s="18">
        <f t="shared" si="22"/>
        <v>0</v>
      </c>
    </row>
    <row r="117">
      <c r="A117" s="6" t="s">
        <v>453</v>
      </c>
      <c r="B117" s="7" t="s">
        <v>19</v>
      </c>
      <c r="C117" s="7" t="s">
        <v>20</v>
      </c>
      <c r="D117" s="7" t="s">
        <v>32</v>
      </c>
      <c r="E117" s="8">
        <v>124000.0</v>
      </c>
      <c r="F117" s="8">
        <v>174902.0</v>
      </c>
      <c r="G117" s="9">
        <v>0.0307</v>
      </c>
      <c r="H117" s="15">
        <v>150000.0</v>
      </c>
      <c r="I117" s="38" t="s">
        <v>454</v>
      </c>
      <c r="J117" s="7" t="s">
        <v>455</v>
      </c>
      <c r="K117" s="11" t="s">
        <v>24</v>
      </c>
      <c r="L117" s="7" t="s">
        <v>56</v>
      </c>
      <c r="M117" s="11"/>
      <c r="N117" s="12" t="s">
        <v>456</v>
      </c>
      <c r="O117" s="17">
        <f t="shared" si="21"/>
        <v>0.8576231261</v>
      </c>
      <c r="P117" s="18">
        <f t="shared" si="22"/>
        <v>857.6231261</v>
      </c>
    </row>
    <row r="118">
      <c r="A118" s="6" t="s">
        <v>457</v>
      </c>
      <c r="B118" s="7" t="s">
        <v>19</v>
      </c>
      <c r="C118" s="7" t="s">
        <v>20</v>
      </c>
      <c r="D118" s="7" t="s">
        <v>32</v>
      </c>
      <c r="E118" s="8">
        <v>135000.0</v>
      </c>
      <c r="F118" s="8">
        <v>68804.0</v>
      </c>
      <c r="G118" s="9">
        <v>0.0114</v>
      </c>
      <c r="H118" s="10"/>
      <c r="I118" s="11" t="s">
        <v>458</v>
      </c>
      <c r="J118" s="7" t="s">
        <v>459</v>
      </c>
      <c r="K118" s="11" t="s">
        <v>24</v>
      </c>
      <c r="L118" s="7" t="s">
        <v>56</v>
      </c>
      <c r="M118" s="11"/>
      <c r="N118" s="12" t="s">
        <v>460</v>
      </c>
      <c r="O118" s="17">
        <f t="shared" si="21"/>
        <v>0</v>
      </c>
      <c r="P118" s="18">
        <f t="shared" si="22"/>
        <v>0</v>
      </c>
    </row>
    <row r="119" hidden="1">
      <c r="A119" s="6" t="s">
        <v>461</v>
      </c>
      <c r="B119" s="7" t="s">
        <v>19</v>
      </c>
      <c r="C119" s="7" t="s">
        <v>20</v>
      </c>
      <c r="D119" s="7" t="s">
        <v>21</v>
      </c>
      <c r="E119" s="8">
        <v>135000.0</v>
      </c>
      <c r="F119" s="8">
        <v>18827.0</v>
      </c>
      <c r="G119" s="9">
        <v>0.0149</v>
      </c>
      <c r="H119" s="10"/>
      <c r="I119" s="11" t="s">
        <v>462</v>
      </c>
      <c r="J119" s="7" t="s">
        <v>242</v>
      </c>
      <c r="K119" s="11" t="s">
        <v>24</v>
      </c>
      <c r="L119" s="7"/>
      <c r="M119" s="11"/>
      <c r="N119" s="12" t="s">
        <v>463</v>
      </c>
      <c r="O119" s="2"/>
      <c r="P119" s="2"/>
    </row>
    <row r="120" hidden="1">
      <c r="A120" s="6" t="s">
        <v>464</v>
      </c>
      <c r="B120" s="7" t="s">
        <v>19</v>
      </c>
      <c r="C120" s="7" t="s">
        <v>20</v>
      </c>
      <c r="D120" s="7" t="s">
        <v>21</v>
      </c>
      <c r="E120" s="8">
        <v>129000.0</v>
      </c>
      <c r="F120" s="8">
        <v>56728.0</v>
      </c>
      <c r="G120" s="9">
        <v>0.0222</v>
      </c>
      <c r="H120" s="10"/>
      <c r="I120" s="11" t="s">
        <v>465</v>
      </c>
      <c r="J120" s="7" t="s">
        <v>466</v>
      </c>
      <c r="K120" s="11" t="s">
        <v>24</v>
      </c>
      <c r="L120" s="7"/>
      <c r="M120" s="11"/>
      <c r="N120" s="12" t="s">
        <v>467</v>
      </c>
      <c r="O120" s="2"/>
      <c r="P120" s="2"/>
    </row>
    <row r="121" hidden="1">
      <c r="A121" s="6" t="s">
        <v>468</v>
      </c>
      <c r="B121" s="7" t="s">
        <v>19</v>
      </c>
      <c r="C121" s="7" t="s">
        <v>20</v>
      </c>
      <c r="D121" s="7" t="s">
        <v>21</v>
      </c>
      <c r="E121" s="8">
        <v>126000.0</v>
      </c>
      <c r="F121" s="8">
        <v>71324.0</v>
      </c>
      <c r="G121" s="9">
        <v>0.0477</v>
      </c>
      <c r="H121" s="10"/>
      <c r="I121" s="11"/>
      <c r="J121" s="7" t="s">
        <v>469</v>
      </c>
      <c r="K121" s="11" t="s">
        <v>24</v>
      </c>
      <c r="L121" s="7"/>
      <c r="M121" s="11"/>
      <c r="N121" s="12" t="s">
        <v>470</v>
      </c>
      <c r="O121" s="2"/>
      <c r="P121" s="2"/>
    </row>
    <row r="122" hidden="1">
      <c r="A122" s="6" t="s">
        <v>471</v>
      </c>
      <c r="B122" s="7" t="s">
        <v>19</v>
      </c>
      <c r="C122" s="7" t="s">
        <v>20</v>
      </c>
      <c r="D122" s="7" t="s">
        <v>21</v>
      </c>
      <c r="E122" s="8">
        <v>120000.0</v>
      </c>
      <c r="F122" s="8">
        <v>25568.0</v>
      </c>
      <c r="G122" s="9">
        <v>0.0461</v>
      </c>
      <c r="H122" s="10"/>
      <c r="I122" s="11" t="s">
        <v>214</v>
      </c>
      <c r="J122" s="7" t="s">
        <v>472</v>
      </c>
      <c r="K122" s="11" t="s">
        <v>24</v>
      </c>
      <c r="L122" s="7"/>
      <c r="M122" s="11"/>
      <c r="N122" s="12" t="s">
        <v>473</v>
      </c>
      <c r="O122" s="2"/>
      <c r="P122" s="2"/>
    </row>
    <row r="123" hidden="1">
      <c r="A123" s="6" t="s">
        <v>474</v>
      </c>
      <c r="B123" s="7" t="s">
        <v>19</v>
      </c>
      <c r="C123" s="7" t="s">
        <v>20</v>
      </c>
      <c r="D123" s="7" t="s">
        <v>21</v>
      </c>
      <c r="E123" s="8">
        <v>116000.0</v>
      </c>
      <c r="F123" s="8">
        <v>19634.0</v>
      </c>
      <c r="G123" s="9">
        <v>0.042</v>
      </c>
      <c r="H123" s="10"/>
      <c r="I123" s="11" t="s">
        <v>475</v>
      </c>
      <c r="J123" s="7" t="s">
        <v>96</v>
      </c>
      <c r="K123" s="11" t="s">
        <v>24</v>
      </c>
      <c r="L123" s="7"/>
      <c r="M123" s="11"/>
      <c r="N123" s="12" t="s">
        <v>476</v>
      </c>
      <c r="O123" s="2"/>
      <c r="P123" s="2"/>
    </row>
    <row r="124" hidden="1">
      <c r="A124" s="6" t="s">
        <v>477</v>
      </c>
      <c r="B124" s="7" t="s">
        <v>40</v>
      </c>
      <c r="C124" s="7" t="s">
        <v>41</v>
      </c>
      <c r="D124" s="7" t="s">
        <v>21</v>
      </c>
      <c r="E124" s="8">
        <v>115000.0</v>
      </c>
      <c r="F124" s="8"/>
      <c r="G124" s="9">
        <v>2.8E-4</v>
      </c>
      <c r="H124" s="10">
        <v>7692.0</v>
      </c>
      <c r="I124" s="11" t="s">
        <v>478</v>
      </c>
      <c r="J124" s="7" t="s">
        <v>479</v>
      </c>
      <c r="K124" s="11" t="s">
        <v>24</v>
      </c>
      <c r="L124" s="7"/>
      <c r="M124" s="11"/>
      <c r="N124" s="12" t="s">
        <v>480</v>
      </c>
      <c r="O124" s="2"/>
      <c r="P124" s="2"/>
    </row>
    <row r="125" hidden="1">
      <c r="A125" s="6" t="s">
        <v>481</v>
      </c>
      <c r="B125" s="7" t="s">
        <v>40</v>
      </c>
      <c r="C125" s="7" t="s">
        <v>41</v>
      </c>
      <c r="D125" s="7" t="s">
        <v>21</v>
      </c>
      <c r="E125" s="8">
        <v>113000.0</v>
      </c>
      <c r="F125" s="8"/>
      <c r="G125" s="9">
        <v>2.5E-4</v>
      </c>
      <c r="H125" s="10">
        <v>27972.0</v>
      </c>
      <c r="I125" s="11" t="s">
        <v>482</v>
      </c>
      <c r="J125" s="7" t="s">
        <v>483</v>
      </c>
      <c r="K125" s="11" t="s">
        <v>24</v>
      </c>
      <c r="L125" s="7"/>
      <c r="M125" s="11"/>
      <c r="N125" s="12" t="s">
        <v>484</v>
      </c>
      <c r="O125" s="2"/>
      <c r="P125" s="2"/>
    </row>
    <row r="126" hidden="1">
      <c r="A126" s="6" t="s">
        <v>485</v>
      </c>
      <c r="B126" s="7" t="s">
        <v>19</v>
      </c>
      <c r="C126" s="7" t="s">
        <v>20</v>
      </c>
      <c r="D126" s="7" t="s">
        <v>21</v>
      </c>
      <c r="E126" s="8">
        <v>112000.0</v>
      </c>
      <c r="F126" s="8">
        <v>25367.0</v>
      </c>
      <c r="G126" s="9">
        <v>0.042</v>
      </c>
      <c r="H126" s="10"/>
      <c r="I126" s="11" t="s">
        <v>486</v>
      </c>
      <c r="J126" s="7" t="s">
        <v>487</v>
      </c>
      <c r="K126" s="11" t="s">
        <v>24</v>
      </c>
      <c r="L126" s="7"/>
      <c r="M126" s="11"/>
      <c r="N126" s="12" t="s">
        <v>488</v>
      </c>
      <c r="O126" s="2"/>
      <c r="P126" s="2"/>
    </row>
    <row r="127" hidden="1">
      <c r="A127" s="6" t="s">
        <v>489</v>
      </c>
      <c r="B127" s="7" t="s">
        <v>40</v>
      </c>
      <c r="C127" s="7" t="s">
        <v>41</v>
      </c>
      <c r="D127" s="7" t="s">
        <v>21</v>
      </c>
      <c r="E127" s="8">
        <v>110000.0</v>
      </c>
      <c r="F127" s="8"/>
      <c r="G127" s="9">
        <v>2.1E-4</v>
      </c>
      <c r="H127" s="10">
        <v>5594.0</v>
      </c>
      <c r="I127" s="11" t="s">
        <v>490</v>
      </c>
      <c r="J127" s="7" t="s">
        <v>491</v>
      </c>
      <c r="K127" s="11" t="s">
        <v>24</v>
      </c>
      <c r="L127" s="7"/>
      <c r="M127" s="11"/>
      <c r="N127" s="12" t="s">
        <v>492</v>
      </c>
      <c r="O127" s="2"/>
      <c r="P127" s="2"/>
    </row>
    <row r="128" hidden="1">
      <c r="A128" s="6" t="s">
        <v>493</v>
      </c>
      <c r="B128" s="7" t="s">
        <v>19</v>
      </c>
      <c r="C128" s="7" t="s">
        <v>20</v>
      </c>
      <c r="D128" s="7" t="s">
        <v>21</v>
      </c>
      <c r="E128" s="8">
        <v>108000.0</v>
      </c>
      <c r="F128" s="8">
        <v>27734.0</v>
      </c>
      <c r="G128" s="9">
        <v>0.0251</v>
      </c>
      <c r="H128" s="10"/>
      <c r="I128" s="11" t="s">
        <v>494</v>
      </c>
      <c r="J128" s="7" t="s">
        <v>495</v>
      </c>
      <c r="K128" s="11" t="s">
        <v>24</v>
      </c>
      <c r="L128" s="7"/>
      <c r="M128" s="11"/>
      <c r="N128" s="12" t="s">
        <v>496</v>
      </c>
      <c r="O128" s="2"/>
      <c r="P128" s="2"/>
    </row>
    <row r="129" hidden="1">
      <c r="A129" s="6" t="s">
        <v>497</v>
      </c>
      <c r="B129" s="7" t="s">
        <v>19</v>
      </c>
      <c r="C129" s="7" t="s">
        <v>20</v>
      </c>
      <c r="D129" s="7" t="s">
        <v>21</v>
      </c>
      <c r="E129" s="8">
        <v>107000.0</v>
      </c>
      <c r="F129" s="8">
        <v>75026.0</v>
      </c>
      <c r="G129" s="9">
        <v>0.0455</v>
      </c>
      <c r="H129" s="10"/>
      <c r="I129" s="11" t="s">
        <v>498</v>
      </c>
      <c r="J129" s="7" t="s">
        <v>499</v>
      </c>
      <c r="K129" s="11" t="s">
        <v>24</v>
      </c>
      <c r="L129" s="7"/>
      <c r="M129" s="11"/>
      <c r="N129" s="12" t="s">
        <v>500</v>
      </c>
      <c r="O129" s="2"/>
      <c r="P129" s="2"/>
    </row>
    <row r="130" hidden="1">
      <c r="A130" s="6" t="s">
        <v>501</v>
      </c>
      <c r="B130" s="7" t="s">
        <v>19</v>
      </c>
      <c r="C130" s="7" t="s">
        <v>20</v>
      </c>
      <c r="D130" s="7" t="s">
        <v>21</v>
      </c>
      <c r="E130" s="8">
        <v>105000.0</v>
      </c>
      <c r="F130" s="8">
        <v>11171.0</v>
      </c>
      <c r="G130" s="9">
        <v>0.0773</v>
      </c>
      <c r="H130" s="10"/>
      <c r="I130" s="11" t="s">
        <v>502</v>
      </c>
      <c r="J130" s="7" t="s">
        <v>503</v>
      </c>
      <c r="K130" s="11" t="s">
        <v>24</v>
      </c>
      <c r="L130" s="7"/>
      <c r="M130" s="11"/>
      <c r="N130" s="12" t="s">
        <v>504</v>
      </c>
      <c r="O130" s="2"/>
      <c r="P130" s="2"/>
    </row>
    <row r="131" hidden="1">
      <c r="A131" s="6" t="s">
        <v>505</v>
      </c>
      <c r="B131" s="7" t="s">
        <v>19</v>
      </c>
      <c r="C131" s="7" t="s">
        <v>20</v>
      </c>
      <c r="D131" s="7" t="s">
        <v>21</v>
      </c>
      <c r="E131" s="8">
        <v>105000.0</v>
      </c>
      <c r="F131" s="8">
        <v>65931.0</v>
      </c>
      <c r="G131" s="9">
        <v>0.0331</v>
      </c>
      <c r="H131" s="10"/>
      <c r="I131" s="11" t="s">
        <v>506</v>
      </c>
      <c r="J131" s="7" t="s">
        <v>507</v>
      </c>
      <c r="K131" s="11" t="s">
        <v>24</v>
      </c>
      <c r="L131" s="7"/>
      <c r="M131" s="11"/>
      <c r="N131" s="12" t="s">
        <v>508</v>
      </c>
      <c r="O131" s="2"/>
      <c r="P131" s="2"/>
    </row>
    <row r="132" hidden="1">
      <c r="A132" s="6" t="s">
        <v>509</v>
      </c>
      <c r="B132" s="7" t="s">
        <v>19</v>
      </c>
      <c r="C132" s="7" t="s">
        <v>20</v>
      </c>
      <c r="D132" s="7" t="s">
        <v>21</v>
      </c>
      <c r="E132" s="8">
        <v>99600.0</v>
      </c>
      <c r="F132" s="8">
        <v>68231.0</v>
      </c>
      <c r="G132" s="9">
        <v>0.0298</v>
      </c>
      <c r="H132" s="10"/>
      <c r="I132" s="11" t="s">
        <v>510</v>
      </c>
      <c r="J132" s="7" t="s">
        <v>511</v>
      </c>
      <c r="K132" s="11" t="s">
        <v>24</v>
      </c>
      <c r="L132" s="7"/>
      <c r="M132" s="11"/>
      <c r="N132" s="12" t="s">
        <v>512</v>
      </c>
      <c r="O132" s="2"/>
      <c r="P132" s="2"/>
    </row>
    <row r="133" hidden="1">
      <c r="A133" s="6" t="s">
        <v>513</v>
      </c>
      <c r="B133" s="7" t="s">
        <v>19</v>
      </c>
      <c r="C133" s="7" t="s">
        <v>20</v>
      </c>
      <c r="D133" s="7" t="s">
        <v>21</v>
      </c>
      <c r="E133" s="8">
        <v>96900.0</v>
      </c>
      <c r="F133" s="8">
        <v>36635.0</v>
      </c>
      <c r="G133" s="9">
        <v>0.0546</v>
      </c>
      <c r="H133" s="10"/>
      <c r="I133" s="11" t="s">
        <v>514</v>
      </c>
      <c r="J133" s="7" t="s">
        <v>282</v>
      </c>
      <c r="K133" s="11" t="s">
        <v>24</v>
      </c>
      <c r="L133" s="7"/>
      <c r="M133" s="11"/>
      <c r="N133" s="12" t="s">
        <v>515</v>
      </c>
      <c r="O133" s="2"/>
      <c r="P133" s="2"/>
    </row>
    <row r="134" hidden="1">
      <c r="A134" s="6" t="s">
        <v>516</v>
      </c>
      <c r="B134" s="7" t="s">
        <v>40</v>
      </c>
      <c r="C134" s="7" t="s">
        <v>41</v>
      </c>
      <c r="D134" s="7" t="s">
        <v>21</v>
      </c>
      <c r="E134" s="8">
        <v>90500.0</v>
      </c>
      <c r="F134" s="8"/>
      <c r="G134" s="9">
        <v>3.1E-4</v>
      </c>
      <c r="H134" s="10">
        <v>10070.0</v>
      </c>
      <c r="I134" s="11" t="s">
        <v>517</v>
      </c>
      <c r="J134" s="7" t="s">
        <v>518</v>
      </c>
      <c r="K134" s="11" t="s">
        <v>24</v>
      </c>
      <c r="L134" s="7"/>
      <c r="M134" s="11"/>
      <c r="N134" s="12" t="s">
        <v>519</v>
      </c>
      <c r="O134" s="2"/>
      <c r="P134" s="2"/>
    </row>
    <row r="135" hidden="1">
      <c r="A135" s="6" t="s">
        <v>520</v>
      </c>
      <c r="B135" s="7" t="s">
        <v>19</v>
      </c>
      <c r="C135" s="7" t="s">
        <v>20</v>
      </c>
      <c r="D135" s="7" t="s">
        <v>21</v>
      </c>
      <c r="E135" s="8">
        <v>89400.0</v>
      </c>
      <c r="F135" s="8">
        <v>47780.0</v>
      </c>
      <c r="G135" s="9">
        <v>0.0677</v>
      </c>
      <c r="H135" s="10"/>
      <c r="I135" s="11" t="s">
        <v>521</v>
      </c>
      <c r="J135" s="7" t="s">
        <v>522</v>
      </c>
      <c r="K135" s="11" t="s">
        <v>24</v>
      </c>
      <c r="L135" s="7"/>
      <c r="M135" s="11"/>
      <c r="N135" s="12" t="s">
        <v>523</v>
      </c>
      <c r="O135" s="2"/>
      <c r="P135" s="2"/>
    </row>
    <row r="136" hidden="1">
      <c r="A136" s="6" t="s">
        <v>524</v>
      </c>
      <c r="B136" s="7" t="s">
        <v>19</v>
      </c>
      <c r="C136" s="7" t="s">
        <v>20</v>
      </c>
      <c r="D136" s="7" t="s">
        <v>21</v>
      </c>
      <c r="E136" s="8">
        <v>88300.0</v>
      </c>
      <c r="F136" s="8">
        <v>21659.0</v>
      </c>
      <c r="G136" s="9">
        <v>0.035</v>
      </c>
      <c r="H136" s="10"/>
      <c r="I136" s="11"/>
      <c r="J136" s="7" t="s">
        <v>525</v>
      </c>
      <c r="K136" s="11" t="s">
        <v>24</v>
      </c>
      <c r="L136" s="7"/>
      <c r="M136" s="11"/>
      <c r="N136" s="12" t="s">
        <v>526</v>
      </c>
      <c r="O136" s="2"/>
      <c r="P136" s="2"/>
    </row>
    <row r="137" hidden="1">
      <c r="A137" s="6" t="s">
        <v>527</v>
      </c>
      <c r="B137" s="7" t="s">
        <v>19</v>
      </c>
      <c r="C137" s="7" t="s">
        <v>20</v>
      </c>
      <c r="D137" s="7" t="s">
        <v>21</v>
      </c>
      <c r="E137" s="8">
        <v>85000.0</v>
      </c>
      <c r="F137" s="8">
        <v>41449.0</v>
      </c>
      <c r="G137" s="9">
        <v>0.0315</v>
      </c>
      <c r="H137" s="10"/>
      <c r="I137" s="11" t="s">
        <v>528</v>
      </c>
      <c r="J137" s="7" t="s">
        <v>529</v>
      </c>
      <c r="K137" s="11" t="s">
        <v>24</v>
      </c>
      <c r="L137" s="7"/>
      <c r="M137" s="11"/>
      <c r="N137" s="12" t="s">
        <v>530</v>
      </c>
      <c r="O137" s="2"/>
      <c r="P137" s="2"/>
    </row>
    <row r="138" hidden="1">
      <c r="A138" s="6" t="s">
        <v>531</v>
      </c>
      <c r="B138" s="7" t="s">
        <v>40</v>
      </c>
      <c r="C138" s="7" t="s">
        <v>41</v>
      </c>
      <c r="D138" s="7" t="s">
        <v>21</v>
      </c>
      <c r="E138" s="8">
        <v>84400.0</v>
      </c>
      <c r="F138" s="8"/>
      <c r="G138" s="9">
        <v>1.0E-4</v>
      </c>
      <c r="H138" s="10">
        <v>3496.0</v>
      </c>
      <c r="I138" s="11" t="s">
        <v>532</v>
      </c>
      <c r="J138" s="7" t="s">
        <v>533</v>
      </c>
      <c r="K138" s="11" t="s">
        <v>24</v>
      </c>
      <c r="L138" s="7"/>
      <c r="M138" s="11"/>
      <c r="N138" s="12" t="s">
        <v>534</v>
      </c>
      <c r="O138" s="2"/>
      <c r="P138" s="2"/>
    </row>
    <row r="139" hidden="1">
      <c r="A139" s="6" t="s">
        <v>535</v>
      </c>
      <c r="B139" s="7" t="s">
        <v>40</v>
      </c>
      <c r="C139" s="7" t="s">
        <v>41</v>
      </c>
      <c r="D139" s="7" t="s">
        <v>21</v>
      </c>
      <c r="E139" s="8">
        <v>81300.0</v>
      </c>
      <c r="F139" s="8"/>
      <c r="G139" s="9">
        <v>2.8E-4</v>
      </c>
      <c r="H139" s="10">
        <v>5315.0</v>
      </c>
      <c r="I139" s="11" t="s">
        <v>536</v>
      </c>
      <c r="J139" s="7" t="s">
        <v>537</v>
      </c>
      <c r="K139" s="11" t="s">
        <v>24</v>
      </c>
      <c r="L139" s="7"/>
      <c r="M139" s="11"/>
      <c r="N139" s="12" t="s">
        <v>538</v>
      </c>
      <c r="O139" s="2"/>
      <c r="P139" s="2"/>
    </row>
    <row r="140" hidden="1">
      <c r="A140" s="6" t="s">
        <v>539</v>
      </c>
      <c r="B140" s="7" t="s">
        <v>19</v>
      </c>
      <c r="C140" s="7" t="s">
        <v>20</v>
      </c>
      <c r="D140" s="7" t="s">
        <v>21</v>
      </c>
      <c r="E140" s="8">
        <v>79600.0</v>
      </c>
      <c r="F140" s="8">
        <v>102435.0</v>
      </c>
      <c r="G140" s="9">
        <v>0.0337</v>
      </c>
      <c r="H140" s="10"/>
      <c r="I140" s="11" t="s">
        <v>540</v>
      </c>
      <c r="J140" s="7" t="s">
        <v>541</v>
      </c>
      <c r="K140" s="11" t="s">
        <v>24</v>
      </c>
      <c r="L140" s="7"/>
      <c r="M140" s="11"/>
      <c r="N140" s="12" t="s">
        <v>542</v>
      </c>
      <c r="O140" s="2"/>
      <c r="P140" s="2"/>
    </row>
    <row r="141" hidden="1">
      <c r="A141" s="6" t="s">
        <v>543</v>
      </c>
      <c r="B141" s="7" t="s">
        <v>40</v>
      </c>
      <c r="C141" s="7" t="s">
        <v>41</v>
      </c>
      <c r="D141" s="7" t="s">
        <v>21</v>
      </c>
      <c r="E141" s="8">
        <v>74800.0</v>
      </c>
      <c r="F141" s="8"/>
      <c r="G141" s="9">
        <v>1.9E-4</v>
      </c>
      <c r="H141" s="10">
        <v>888.0</v>
      </c>
      <c r="I141" s="11" t="s">
        <v>544</v>
      </c>
      <c r="J141" s="7" t="s">
        <v>545</v>
      </c>
      <c r="K141" s="11" t="s">
        <v>24</v>
      </c>
      <c r="L141" s="7"/>
      <c r="M141" s="11"/>
      <c r="N141" s="12" t="s">
        <v>546</v>
      </c>
      <c r="O141" s="2"/>
      <c r="P141" s="2"/>
    </row>
    <row r="142" hidden="1">
      <c r="A142" s="6" t="s">
        <v>547</v>
      </c>
      <c r="B142" s="7" t="s">
        <v>19</v>
      </c>
      <c r="C142" s="7" t="s">
        <v>20</v>
      </c>
      <c r="D142" s="7" t="s">
        <v>21</v>
      </c>
      <c r="E142" s="8">
        <v>73700.0</v>
      </c>
      <c r="F142" s="8">
        <v>15930.0</v>
      </c>
      <c r="G142" s="9">
        <v>0.0245</v>
      </c>
      <c r="H142" s="10"/>
      <c r="I142" s="11" t="s">
        <v>548</v>
      </c>
      <c r="J142" s="7" t="s">
        <v>549</v>
      </c>
      <c r="K142" s="11" t="s">
        <v>24</v>
      </c>
      <c r="L142" s="7"/>
      <c r="M142" s="11"/>
      <c r="N142" s="12" t="s">
        <v>550</v>
      </c>
      <c r="O142" s="2"/>
      <c r="P142" s="2"/>
    </row>
    <row r="143" hidden="1">
      <c r="A143" s="6" t="s">
        <v>551</v>
      </c>
      <c r="B143" s="7" t="s">
        <v>19</v>
      </c>
      <c r="C143" s="7" t="s">
        <v>20</v>
      </c>
      <c r="D143" s="7" t="s">
        <v>21</v>
      </c>
      <c r="E143" s="8">
        <v>73300.0</v>
      </c>
      <c r="F143" s="8">
        <v>8915.0</v>
      </c>
      <c r="G143" s="9">
        <v>0.0056</v>
      </c>
      <c r="H143" s="10"/>
      <c r="I143" s="11" t="s">
        <v>552</v>
      </c>
      <c r="J143" s="7" t="s">
        <v>192</v>
      </c>
      <c r="K143" s="11" t="s">
        <v>24</v>
      </c>
      <c r="L143" s="7"/>
      <c r="M143" s="11"/>
      <c r="N143" s="12" t="s">
        <v>553</v>
      </c>
      <c r="O143" s="2"/>
      <c r="P143" s="2"/>
    </row>
    <row r="144" hidden="1">
      <c r="A144" s="6" t="s">
        <v>554</v>
      </c>
      <c r="B144" s="7" t="s">
        <v>19</v>
      </c>
      <c r="C144" s="7" t="s">
        <v>20</v>
      </c>
      <c r="D144" s="7" t="s">
        <v>21</v>
      </c>
      <c r="E144" s="8">
        <v>72400.0</v>
      </c>
      <c r="F144" s="8">
        <v>18610.0</v>
      </c>
      <c r="G144" s="9">
        <v>0.0311</v>
      </c>
      <c r="H144" s="10"/>
      <c r="I144" s="11" t="s">
        <v>555</v>
      </c>
      <c r="J144" s="7" t="s">
        <v>556</v>
      </c>
      <c r="K144" s="11" t="s">
        <v>24</v>
      </c>
      <c r="L144" s="7"/>
      <c r="M144" s="11"/>
      <c r="N144" s="12" t="s">
        <v>557</v>
      </c>
      <c r="O144" s="2"/>
      <c r="P144" s="2"/>
    </row>
    <row r="145" hidden="1">
      <c r="A145" s="6" t="s">
        <v>558</v>
      </c>
      <c r="B145" s="7" t="s">
        <v>19</v>
      </c>
      <c r="C145" s="7" t="s">
        <v>20</v>
      </c>
      <c r="D145" s="7" t="s">
        <v>21</v>
      </c>
      <c r="E145" s="8">
        <v>71100.0</v>
      </c>
      <c r="F145" s="8">
        <v>15489.0</v>
      </c>
      <c r="G145" s="9">
        <v>0.0749</v>
      </c>
      <c r="H145" s="10"/>
      <c r="I145" s="11" t="s">
        <v>559</v>
      </c>
      <c r="J145" s="7" t="s">
        <v>560</v>
      </c>
      <c r="K145" s="11" t="s">
        <v>24</v>
      </c>
      <c r="L145" s="7"/>
      <c r="M145" s="11"/>
      <c r="N145" s="12" t="s">
        <v>561</v>
      </c>
      <c r="O145" s="2"/>
      <c r="P145" s="2"/>
    </row>
    <row r="146" hidden="1">
      <c r="A146" s="6" t="s">
        <v>562</v>
      </c>
      <c r="B146" s="7" t="s">
        <v>19</v>
      </c>
      <c r="C146" s="7" t="s">
        <v>20</v>
      </c>
      <c r="D146" s="7" t="s">
        <v>21</v>
      </c>
      <c r="E146" s="8">
        <v>67600.0</v>
      </c>
      <c r="F146" s="8">
        <v>28654.0</v>
      </c>
      <c r="G146" s="9">
        <v>0.0466</v>
      </c>
      <c r="H146" s="10"/>
      <c r="I146" s="11"/>
      <c r="J146" s="7" t="s">
        <v>96</v>
      </c>
      <c r="K146" s="11" t="s">
        <v>24</v>
      </c>
      <c r="L146" s="7"/>
      <c r="M146" s="11"/>
      <c r="N146" s="12" t="s">
        <v>563</v>
      </c>
      <c r="O146" s="2"/>
      <c r="P146" s="2"/>
    </row>
    <row r="147" hidden="1">
      <c r="A147" s="6" t="s">
        <v>564</v>
      </c>
      <c r="B147" s="7" t="s">
        <v>19</v>
      </c>
      <c r="C147" s="7" t="s">
        <v>20</v>
      </c>
      <c r="D147" s="7" t="s">
        <v>21</v>
      </c>
      <c r="E147" s="8">
        <v>65600.0</v>
      </c>
      <c r="F147" s="8">
        <v>21382.0</v>
      </c>
      <c r="G147" s="9">
        <v>0.0217</v>
      </c>
      <c r="H147" s="10"/>
      <c r="I147" s="11" t="s">
        <v>565</v>
      </c>
      <c r="J147" s="7" t="s">
        <v>282</v>
      </c>
      <c r="K147" s="11" t="s">
        <v>24</v>
      </c>
      <c r="L147" s="7"/>
      <c r="M147" s="11"/>
      <c r="N147" s="12" t="s">
        <v>566</v>
      </c>
      <c r="O147" s="2"/>
      <c r="P147" s="2"/>
    </row>
    <row r="148" hidden="1">
      <c r="A148" s="6" t="s">
        <v>567</v>
      </c>
      <c r="B148" s="7" t="s">
        <v>19</v>
      </c>
      <c r="C148" s="7" t="s">
        <v>20</v>
      </c>
      <c r="D148" s="7" t="s">
        <v>21</v>
      </c>
      <c r="E148" s="8">
        <v>62500.0</v>
      </c>
      <c r="F148" s="8">
        <v>22442.0</v>
      </c>
      <c r="G148" s="9">
        <v>0.0158</v>
      </c>
      <c r="H148" s="10"/>
      <c r="I148" s="11"/>
      <c r="J148" s="7" t="s">
        <v>568</v>
      </c>
      <c r="K148" s="11" t="s">
        <v>24</v>
      </c>
      <c r="L148" s="7"/>
      <c r="M148" s="11"/>
      <c r="N148" s="12" t="s">
        <v>569</v>
      </c>
      <c r="O148" s="2"/>
      <c r="P148" s="2"/>
    </row>
    <row r="149" hidden="1">
      <c r="A149" s="6" t="s">
        <v>570</v>
      </c>
      <c r="B149" s="7" t="s">
        <v>19</v>
      </c>
      <c r="C149" s="7" t="s">
        <v>20</v>
      </c>
      <c r="D149" s="7" t="s">
        <v>21</v>
      </c>
      <c r="E149" s="8">
        <v>61200.0</v>
      </c>
      <c r="F149" s="8">
        <v>22604.0</v>
      </c>
      <c r="G149" s="9">
        <v>0.0841</v>
      </c>
      <c r="H149" s="10"/>
      <c r="I149" s="11" t="s">
        <v>571</v>
      </c>
      <c r="J149" s="7" t="s">
        <v>572</v>
      </c>
      <c r="K149" s="11" t="s">
        <v>24</v>
      </c>
      <c r="L149" s="7"/>
      <c r="M149" s="11"/>
      <c r="N149" s="12" t="s">
        <v>573</v>
      </c>
      <c r="O149" s="2"/>
      <c r="P149" s="2"/>
    </row>
    <row r="150" hidden="1">
      <c r="A150" s="6" t="s">
        <v>574</v>
      </c>
      <c r="B150" s="7" t="s">
        <v>19</v>
      </c>
      <c r="C150" s="7" t="s">
        <v>20</v>
      </c>
      <c r="D150" s="7" t="s">
        <v>21</v>
      </c>
      <c r="E150" s="8">
        <v>59800.0</v>
      </c>
      <c r="F150" s="8">
        <v>81509.0</v>
      </c>
      <c r="G150" s="9">
        <v>0.0125</v>
      </c>
      <c r="H150" s="10"/>
      <c r="I150" s="11" t="s">
        <v>575</v>
      </c>
      <c r="J150" s="7" t="s">
        <v>576</v>
      </c>
      <c r="K150" s="11" t="s">
        <v>24</v>
      </c>
      <c r="L150" s="7"/>
      <c r="M150" s="11"/>
      <c r="N150" s="12" t="s">
        <v>577</v>
      </c>
      <c r="O150" s="2"/>
      <c r="P150" s="2"/>
    </row>
    <row r="151" hidden="1">
      <c r="A151" s="6" t="s">
        <v>578</v>
      </c>
      <c r="B151" s="7" t="s">
        <v>19</v>
      </c>
      <c r="C151" s="7" t="s">
        <v>20</v>
      </c>
      <c r="D151" s="7" t="s">
        <v>21</v>
      </c>
      <c r="E151" s="8">
        <v>58800.0</v>
      </c>
      <c r="F151" s="8">
        <v>75686.0</v>
      </c>
      <c r="G151" s="9">
        <v>0.0025</v>
      </c>
      <c r="H151" s="10"/>
      <c r="I151" s="11" t="s">
        <v>579</v>
      </c>
      <c r="J151" s="7" t="s">
        <v>580</v>
      </c>
      <c r="K151" s="11" t="s">
        <v>24</v>
      </c>
      <c r="L151" s="7"/>
      <c r="M151" s="11"/>
      <c r="N151" s="12" t="s">
        <v>581</v>
      </c>
      <c r="O151" s="2"/>
      <c r="P151" s="2"/>
    </row>
    <row r="152">
      <c r="A152" s="6" t="s">
        <v>582</v>
      </c>
      <c r="B152" s="7" t="s">
        <v>19</v>
      </c>
      <c r="C152" s="7" t="s">
        <v>20</v>
      </c>
      <c r="D152" s="7" t="s">
        <v>32</v>
      </c>
      <c r="E152" s="8">
        <v>56600.0</v>
      </c>
      <c r="F152" s="8">
        <v>39014.0</v>
      </c>
      <c r="G152" s="9">
        <v>0.0489</v>
      </c>
      <c r="H152" s="10"/>
      <c r="I152" s="19" t="s">
        <v>214</v>
      </c>
      <c r="J152" s="7" t="s">
        <v>583</v>
      </c>
      <c r="K152" s="11" t="s">
        <v>24</v>
      </c>
      <c r="L152" s="13" t="s">
        <v>56</v>
      </c>
      <c r="M152" s="11"/>
      <c r="N152" s="12" t="s">
        <v>584</v>
      </c>
      <c r="O152" s="17">
        <f>H152/F152</f>
        <v>0</v>
      </c>
      <c r="P152" s="18">
        <f>(H152/F152)*1000</f>
        <v>0</v>
      </c>
    </row>
    <row r="153" hidden="1">
      <c r="A153" s="6" t="s">
        <v>585</v>
      </c>
      <c r="B153" s="7" t="s">
        <v>19</v>
      </c>
      <c r="C153" s="7" t="s">
        <v>20</v>
      </c>
      <c r="D153" s="7" t="s">
        <v>21</v>
      </c>
      <c r="E153" s="8">
        <v>53700.0</v>
      </c>
      <c r="F153" s="8">
        <v>29971.0</v>
      </c>
      <c r="G153" s="9">
        <v>0.0832</v>
      </c>
      <c r="H153" s="10"/>
      <c r="I153" s="11" t="s">
        <v>586</v>
      </c>
      <c r="J153" s="7" t="s">
        <v>587</v>
      </c>
      <c r="K153" s="11" t="s">
        <v>24</v>
      </c>
      <c r="L153" s="7"/>
      <c r="M153" s="11"/>
      <c r="N153" s="12" t="s">
        <v>588</v>
      </c>
      <c r="O153" s="2"/>
      <c r="P153" s="2"/>
    </row>
    <row r="154">
      <c r="A154" s="6" t="s">
        <v>589</v>
      </c>
      <c r="B154" s="7" t="s">
        <v>19</v>
      </c>
      <c r="C154" s="7" t="s">
        <v>20</v>
      </c>
      <c r="D154" s="7" t="s">
        <v>32</v>
      </c>
      <c r="E154" s="8">
        <v>52600.0</v>
      </c>
      <c r="F154" s="8">
        <v>68038.0</v>
      </c>
      <c r="G154" s="9">
        <v>0.0087</v>
      </c>
      <c r="H154" s="10"/>
      <c r="I154" s="38" t="s">
        <v>590</v>
      </c>
      <c r="J154" s="7" t="s">
        <v>591</v>
      </c>
      <c r="K154" s="11" t="s">
        <v>24</v>
      </c>
      <c r="L154" s="13" t="s">
        <v>56</v>
      </c>
      <c r="M154" s="11"/>
      <c r="N154" s="12" t="s">
        <v>592</v>
      </c>
      <c r="O154" s="17">
        <f>H154/F154</f>
        <v>0</v>
      </c>
      <c r="P154" s="18">
        <f>(H154/F154)*1000</f>
        <v>0</v>
      </c>
    </row>
    <row r="155" hidden="1">
      <c r="A155" s="6" t="s">
        <v>593</v>
      </c>
      <c r="B155" s="7" t="s">
        <v>19</v>
      </c>
      <c r="C155" s="7" t="s">
        <v>20</v>
      </c>
      <c r="D155" s="7" t="s">
        <v>21</v>
      </c>
      <c r="E155" s="8">
        <v>51300.0</v>
      </c>
      <c r="F155" s="8">
        <v>27325.0</v>
      </c>
      <c r="G155" s="9">
        <v>0.0394</v>
      </c>
      <c r="H155" s="10"/>
      <c r="I155" s="11" t="s">
        <v>594</v>
      </c>
      <c r="J155" s="7" t="s">
        <v>595</v>
      </c>
      <c r="K155" s="11" t="s">
        <v>24</v>
      </c>
      <c r="L155" s="7"/>
      <c r="M155" s="11"/>
      <c r="N155" s="12" t="s">
        <v>596</v>
      </c>
      <c r="O155" s="2"/>
      <c r="P155" s="2"/>
    </row>
    <row r="156">
      <c r="A156" s="6" t="s">
        <v>597</v>
      </c>
      <c r="B156" s="7" t="s">
        <v>19</v>
      </c>
      <c r="C156" s="7" t="s">
        <v>20</v>
      </c>
      <c r="D156" s="7" t="s">
        <v>32</v>
      </c>
      <c r="E156" s="8">
        <v>50900.0</v>
      </c>
      <c r="F156" s="8">
        <v>117048.0</v>
      </c>
      <c r="G156" s="9">
        <v>0.0154</v>
      </c>
      <c r="H156" s="10"/>
      <c r="I156" s="11" t="s">
        <v>598</v>
      </c>
      <c r="J156" s="7" t="s">
        <v>294</v>
      </c>
      <c r="K156" s="11" t="s">
        <v>24</v>
      </c>
      <c r="L156" s="13" t="s">
        <v>56</v>
      </c>
      <c r="M156" s="11"/>
      <c r="N156" s="12" t="s">
        <v>599</v>
      </c>
      <c r="O156" s="17">
        <f>H156/F156</f>
        <v>0</v>
      </c>
      <c r="P156" s="18">
        <f>(H156/F156)*1000</f>
        <v>0</v>
      </c>
    </row>
    <row r="157" hidden="1">
      <c r="A157" s="6" t="s">
        <v>600</v>
      </c>
      <c r="B157" s="7" t="s">
        <v>19</v>
      </c>
      <c r="C157" s="7" t="s">
        <v>20</v>
      </c>
      <c r="D157" s="7" t="s">
        <v>21</v>
      </c>
      <c r="E157" s="8">
        <v>50200.0</v>
      </c>
      <c r="F157" s="8">
        <v>18125.0</v>
      </c>
      <c r="G157" s="9">
        <v>0.0568</v>
      </c>
      <c r="H157" s="10"/>
      <c r="I157" s="11" t="s">
        <v>601</v>
      </c>
      <c r="J157" s="7" t="s">
        <v>602</v>
      </c>
      <c r="K157" s="11" t="s">
        <v>24</v>
      </c>
      <c r="L157" s="7"/>
      <c r="M157" s="11"/>
      <c r="N157" s="12" t="s">
        <v>603</v>
      </c>
      <c r="O157" s="2"/>
      <c r="P157" s="2"/>
    </row>
    <row r="158">
      <c r="A158" s="6" t="s">
        <v>604</v>
      </c>
      <c r="B158" s="7" t="s">
        <v>19</v>
      </c>
      <c r="C158" s="7" t="s">
        <v>20</v>
      </c>
      <c r="D158" s="7" t="s">
        <v>32</v>
      </c>
      <c r="E158" s="8">
        <v>49600.0</v>
      </c>
      <c r="F158" s="8">
        <v>18081.0</v>
      </c>
      <c r="G158" s="9">
        <v>0.057</v>
      </c>
      <c r="H158" s="10"/>
      <c r="I158" s="11" t="s">
        <v>605</v>
      </c>
      <c r="J158" s="7" t="s">
        <v>606</v>
      </c>
      <c r="K158" s="11" t="s">
        <v>24</v>
      </c>
      <c r="L158" s="13" t="s">
        <v>607</v>
      </c>
      <c r="M158" s="11"/>
      <c r="N158" s="12" t="s">
        <v>608</v>
      </c>
      <c r="O158" s="17">
        <f>H158/F158</f>
        <v>0</v>
      </c>
      <c r="P158" s="18">
        <f>(H158/F158)*1000</f>
        <v>0</v>
      </c>
    </row>
    <row r="159" hidden="1">
      <c r="A159" s="6" t="s">
        <v>609</v>
      </c>
      <c r="B159" s="7" t="s">
        <v>19</v>
      </c>
      <c r="C159" s="7" t="s">
        <v>20</v>
      </c>
      <c r="D159" s="7" t="s">
        <v>21</v>
      </c>
      <c r="E159" s="8">
        <v>48100.0</v>
      </c>
      <c r="F159" s="8">
        <v>18592.0</v>
      </c>
      <c r="G159" s="9">
        <v>0.016</v>
      </c>
      <c r="H159" s="10"/>
      <c r="I159" s="11" t="s">
        <v>610</v>
      </c>
      <c r="J159" s="7" t="s">
        <v>611</v>
      </c>
      <c r="K159" s="11" t="s">
        <v>24</v>
      </c>
      <c r="L159" s="7"/>
      <c r="M159" s="11"/>
      <c r="N159" s="12" t="s">
        <v>612</v>
      </c>
      <c r="O159" s="2"/>
      <c r="P159" s="2"/>
    </row>
    <row r="160" hidden="1">
      <c r="A160" s="6" t="s">
        <v>613</v>
      </c>
      <c r="B160" s="7" t="s">
        <v>19</v>
      </c>
      <c r="C160" s="7" t="s">
        <v>20</v>
      </c>
      <c r="D160" s="7" t="s">
        <v>21</v>
      </c>
      <c r="E160" s="8">
        <v>47900.0</v>
      </c>
      <c r="F160" s="8">
        <v>7221.0</v>
      </c>
      <c r="G160" s="9">
        <v>0.0523</v>
      </c>
      <c r="H160" s="10"/>
      <c r="I160" s="11" t="s">
        <v>614</v>
      </c>
      <c r="J160" s="7" t="s">
        <v>615</v>
      </c>
      <c r="K160" s="11" t="s">
        <v>24</v>
      </c>
      <c r="L160" s="7"/>
      <c r="M160" s="11"/>
      <c r="N160" s="12" t="s">
        <v>616</v>
      </c>
      <c r="O160" s="2"/>
      <c r="P160" s="2"/>
    </row>
    <row r="161">
      <c r="A161" s="6" t="s">
        <v>617</v>
      </c>
      <c r="B161" s="7" t="s">
        <v>19</v>
      </c>
      <c r="C161" s="7" t="s">
        <v>20</v>
      </c>
      <c r="D161" s="7" t="s">
        <v>32</v>
      </c>
      <c r="E161" s="8">
        <v>47400.0</v>
      </c>
      <c r="F161" s="8">
        <v>40799.0</v>
      </c>
      <c r="G161" s="9">
        <v>0.0341</v>
      </c>
      <c r="H161" s="10"/>
      <c r="I161" s="11" t="s">
        <v>618</v>
      </c>
      <c r="J161" s="7" t="s">
        <v>619</v>
      </c>
      <c r="K161" s="11" t="s">
        <v>24</v>
      </c>
      <c r="L161" s="13" t="s">
        <v>620</v>
      </c>
      <c r="M161" s="11"/>
      <c r="N161" s="12" t="s">
        <v>621</v>
      </c>
      <c r="O161" s="17">
        <f>H161/F161</f>
        <v>0</v>
      </c>
      <c r="P161" s="18">
        <f>(H161/F161)*1000</f>
        <v>0</v>
      </c>
    </row>
    <row r="162" hidden="1">
      <c r="A162" s="6" t="s">
        <v>622</v>
      </c>
      <c r="B162" s="7" t="s">
        <v>19</v>
      </c>
      <c r="C162" s="7" t="s">
        <v>20</v>
      </c>
      <c r="D162" s="7" t="s">
        <v>21</v>
      </c>
      <c r="E162" s="8">
        <v>46400.0</v>
      </c>
      <c r="F162" s="8">
        <v>22925.0</v>
      </c>
      <c r="G162" s="9">
        <v>0.057</v>
      </c>
      <c r="H162" s="10"/>
      <c r="I162" s="11" t="s">
        <v>623</v>
      </c>
      <c r="J162" s="7" t="s">
        <v>624</v>
      </c>
      <c r="K162" s="11" t="s">
        <v>24</v>
      </c>
      <c r="L162" s="7"/>
      <c r="M162" s="11"/>
      <c r="N162" s="12" t="s">
        <v>625</v>
      </c>
      <c r="O162" s="2"/>
      <c r="P162" s="2"/>
    </row>
    <row r="163" hidden="1">
      <c r="A163" s="6" t="s">
        <v>626</v>
      </c>
      <c r="B163" s="7" t="s">
        <v>40</v>
      </c>
      <c r="C163" s="7" t="s">
        <v>41</v>
      </c>
      <c r="D163" s="7" t="s">
        <v>21</v>
      </c>
      <c r="E163" s="8">
        <v>46300.0</v>
      </c>
      <c r="F163" s="8"/>
      <c r="G163" s="9">
        <v>2.5E-4</v>
      </c>
      <c r="H163" s="10">
        <v>2098.0</v>
      </c>
      <c r="I163" s="11" t="s">
        <v>627</v>
      </c>
      <c r="J163" s="7" t="s">
        <v>421</v>
      </c>
      <c r="K163" s="11" t="s">
        <v>24</v>
      </c>
      <c r="L163" s="7"/>
      <c r="M163" s="11"/>
      <c r="N163" s="12" t="s">
        <v>628</v>
      </c>
      <c r="O163" s="2"/>
      <c r="P163" s="2"/>
    </row>
    <row r="164" hidden="1">
      <c r="A164" s="6" t="s">
        <v>629</v>
      </c>
      <c r="B164" s="7" t="s">
        <v>40</v>
      </c>
      <c r="C164" s="7" t="s">
        <v>41</v>
      </c>
      <c r="D164" s="7" t="s">
        <v>21</v>
      </c>
      <c r="E164" s="8">
        <v>45800.0</v>
      </c>
      <c r="F164" s="8"/>
      <c r="G164" s="9">
        <v>2.0E-4</v>
      </c>
      <c r="H164" s="10">
        <v>594.0</v>
      </c>
      <c r="I164" s="11" t="s">
        <v>630</v>
      </c>
      <c r="J164" s="7" t="s">
        <v>631</v>
      </c>
      <c r="K164" s="11" t="s">
        <v>24</v>
      </c>
      <c r="L164" s="7"/>
      <c r="M164" s="11"/>
      <c r="N164" s="12" t="s">
        <v>632</v>
      </c>
      <c r="O164" s="2"/>
      <c r="P164" s="2"/>
    </row>
    <row r="165" hidden="1">
      <c r="A165" s="6" t="s">
        <v>633</v>
      </c>
      <c r="B165" s="7" t="s">
        <v>40</v>
      </c>
      <c r="C165" s="7" t="s">
        <v>41</v>
      </c>
      <c r="D165" s="7" t="s">
        <v>21</v>
      </c>
      <c r="E165" s="8">
        <v>45600.0</v>
      </c>
      <c r="F165" s="8"/>
      <c r="G165" s="9">
        <v>4.0E-4</v>
      </c>
      <c r="H165" s="10">
        <v>363636.0</v>
      </c>
      <c r="I165" s="11" t="s">
        <v>634</v>
      </c>
      <c r="J165" s="7" t="s">
        <v>635</v>
      </c>
      <c r="K165" s="11" t="s">
        <v>24</v>
      </c>
      <c r="L165" s="7"/>
      <c r="M165" s="11"/>
      <c r="N165" s="12" t="s">
        <v>636</v>
      </c>
      <c r="O165" s="2"/>
      <c r="P165" s="2"/>
    </row>
    <row r="166">
      <c r="A166" s="6" t="s">
        <v>637</v>
      </c>
      <c r="B166" s="7" t="s">
        <v>19</v>
      </c>
      <c r="C166" s="7" t="s">
        <v>20</v>
      </c>
      <c r="D166" s="7" t="s">
        <v>32</v>
      </c>
      <c r="E166" s="8">
        <v>45300.0</v>
      </c>
      <c r="F166" s="8">
        <v>25027.0</v>
      </c>
      <c r="G166" s="9">
        <v>0.041</v>
      </c>
      <c r="H166" s="10"/>
      <c r="I166" s="11" t="s">
        <v>638</v>
      </c>
      <c r="J166" s="7" t="s">
        <v>639</v>
      </c>
      <c r="K166" s="11" t="s">
        <v>24</v>
      </c>
      <c r="L166" s="13" t="s">
        <v>607</v>
      </c>
      <c r="M166" s="11"/>
      <c r="N166" s="12" t="s">
        <v>640</v>
      </c>
      <c r="O166" s="17">
        <f>H166/F166</f>
        <v>0</v>
      </c>
      <c r="P166" s="18">
        <f>(H166/F166)*1000</f>
        <v>0</v>
      </c>
    </row>
    <row r="167" hidden="1">
      <c r="A167" s="6" t="s">
        <v>641</v>
      </c>
      <c r="B167" s="7" t="s">
        <v>19</v>
      </c>
      <c r="C167" s="7" t="s">
        <v>20</v>
      </c>
      <c r="D167" s="7" t="s">
        <v>21</v>
      </c>
      <c r="E167" s="8">
        <v>44300.0</v>
      </c>
      <c r="F167" s="8">
        <v>16584.0</v>
      </c>
      <c r="G167" s="9">
        <v>0.021</v>
      </c>
      <c r="H167" s="10"/>
      <c r="I167" s="11" t="s">
        <v>642</v>
      </c>
      <c r="J167" s="7" t="s">
        <v>643</v>
      </c>
      <c r="K167" s="11" t="s">
        <v>24</v>
      </c>
      <c r="L167" s="7"/>
      <c r="M167" s="11"/>
      <c r="N167" s="12" t="s">
        <v>644</v>
      </c>
      <c r="O167" s="2"/>
      <c r="P167" s="2"/>
    </row>
    <row r="168" hidden="1">
      <c r="A168" s="6" t="s">
        <v>645</v>
      </c>
      <c r="B168" s="7" t="s">
        <v>19</v>
      </c>
      <c r="C168" s="7" t="s">
        <v>20</v>
      </c>
      <c r="D168" s="7" t="s">
        <v>21</v>
      </c>
      <c r="E168" s="8">
        <v>43700.0</v>
      </c>
      <c r="F168" s="8">
        <v>82475.0</v>
      </c>
      <c r="G168" s="9">
        <v>0.0283</v>
      </c>
      <c r="H168" s="10"/>
      <c r="I168" s="11" t="s">
        <v>646</v>
      </c>
      <c r="J168" s="7" t="s">
        <v>647</v>
      </c>
      <c r="K168" s="11" t="s">
        <v>24</v>
      </c>
      <c r="L168" s="7"/>
      <c r="M168" s="11"/>
      <c r="N168" s="12" t="s">
        <v>648</v>
      </c>
      <c r="O168" s="2"/>
      <c r="P168" s="2"/>
    </row>
    <row r="169" hidden="1">
      <c r="A169" s="6" t="s">
        <v>649</v>
      </c>
      <c r="B169" s="7" t="s">
        <v>40</v>
      </c>
      <c r="C169" s="7" t="s">
        <v>41</v>
      </c>
      <c r="D169" s="7" t="s">
        <v>21</v>
      </c>
      <c r="E169" s="8">
        <v>42900.0</v>
      </c>
      <c r="F169" s="8"/>
      <c r="G169" s="9">
        <v>8.0E-5</v>
      </c>
      <c r="H169" s="10">
        <v>2098.0</v>
      </c>
      <c r="I169" s="11" t="s">
        <v>650</v>
      </c>
      <c r="J169" s="7" t="s">
        <v>651</v>
      </c>
      <c r="K169" s="11" t="s">
        <v>24</v>
      </c>
      <c r="L169" s="7"/>
      <c r="M169" s="11"/>
      <c r="N169" s="12" t="s">
        <v>652</v>
      </c>
      <c r="O169" s="2"/>
      <c r="P169" s="2"/>
    </row>
    <row r="170" hidden="1">
      <c r="A170" s="6" t="s">
        <v>653</v>
      </c>
      <c r="B170" s="7" t="s">
        <v>40</v>
      </c>
      <c r="C170" s="7" t="s">
        <v>41</v>
      </c>
      <c r="D170" s="7" t="s">
        <v>21</v>
      </c>
      <c r="E170" s="8">
        <v>42200.0</v>
      </c>
      <c r="F170" s="8"/>
      <c r="G170" s="9">
        <v>3.0E-4</v>
      </c>
      <c r="H170" s="10">
        <v>5594.0</v>
      </c>
      <c r="I170" s="11" t="s">
        <v>654</v>
      </c>
      <c r="J170" s="7" t="s">
        <v>223</v>
      </c>
      <c r="K170" s="11" t="s">
        <v>24</v>
      </c>
      <c r="L170" s="7"/>
      <c r="M170" s="11"/>
      <c r="N170" s="12" t="s">
        <v>655</v>
      </c>
      <c r="O170" s="2"/>
      <c r="P170" s="2"/>
    </row>
    <row r="171" hidden="1">
      <c r="A171" s="6" t="s">
        <v>656</v>
      </c>
      <c r="B171" s="7" t="s">
        <v>19</v>
      </c>
      <c r="C171" s="7" t="s">
        <v>20</v>
      </c>
      <c r="D171" s="7" t="s">
        <v>21</v>
      </c>
      <c r="E171" s="8">
        <v>41000.0</v>
      </c>
      <c r="F171" s="8">
        <v>32090.0</v>
      </c>
      <c r="G171" s="9">
        <v>0.0169</v>
      </c>
      <c r="H171" s="10"/>
      <c r="I171" s="11" t="s">
        <v>657</v>
      </c>
      <c r="J171" s="7" t="s">
        <v>658</v>
      </c>
      <c r="K171" s="11" t="s">
        <v>24</v>
      </c>
      <c r="L171" s="7"/>
      <c r="M171" s="11"/>
      <c r="N171" s="12" t="s">
        <v>659</v>
      </c>
      <c r="O171" s="2"/>
      <c r="P171" s="2"/>
    </row>
    <row r="172">
      <c r="A172" s="54" t="s">
        <v>660</v>
      </c>
      <c r="B172" s="13" t="s">
        <v>31</v>
      </c>
      <c r="C172" s="7" t="s">
        <v>20</v>
      </c>
      <c r="D172" s="7" t="s">
        <v>32</v>
      </c>
      <c r="E172" s="14">
        <v>23000.0</v>
      </c>
      <c r="F172" s="14">
        <v>14000.0</v>
      </c>
      <c r="G172" s="9">
        <v>0.0235</v>
      </c>
      <c r="H172" s="15">
        <v>25000.0</v>
      </c>
      <c r="I172" s="11" t="s">
        <v>661</v>
      </c>
      <c r="J172" s="7" t="s">
        <v>662</v>
      </c>
      <c r="K172" s="11" t="s">
        <v>24</v>
      </c>
      <c r="L172" s="7"/>
      <c r="M172" s="47" t="s">
        <v>663</v>
      </c>
      <c r="N172" s="12" t="s">
        <v>664</v>
      </c>
      <c r="O172" s="17">
        <f t="shared" ref="O172:O176" si="23">H172/F172</f>
        <v>1.785714286</v>
      </c>
      <c r="P172" s="18">
        <f t="shared" ref="P172:P176" si="24">(H172/F172)*1000</f>
        <v>1785.714286</v>
      </c>
    </row>
    <row r="173">
      <c r="A173" s="55" t="s">
        <v>665</v>
      </c>
      <c r="B173" s="7" t="s">
        <v>19</v>
      </c>
      <c r="C173" s="7" t="s">
        <v>20</v>
      </c>
      <c r="D173" s="7" t="s">
        <v>32</v>
      </c>
      <c r="E173" s="8">
        <v>122000.0</v>
      </c>
      <c r="F173" s="14">
        <v>14000.0</v>
      </c>
      <c r="G173" s="9">
        <v>0.0682</v>
      </c>
      <c r="H173" s="15">
        <v>25000.0</v>
      </c>
      <c r="I173" s="56" t="s">
        <v>666</v>
      </c>
      <c r="J173" s="7" t="s">
        <v>667</v>
      </c>
      <c r="K173" s="11" t="s">
        <v>24</v>
      </c>
      <c r="L173" s="7" t="s">
        <v>56</v>
      </c>
      <c r="M173" s="47" t="s">
        <v>663</v>
      </c>
      <c r="N173" s="12" t="s">
        <v>668</v>
      </c>
      <c r="O173" s="17">
        <f t="shared" si="23"/>
        <v>1.785714286</v>
      </c>
      <c r="P173" s="18">
        <f t="shared" si="24"/>
        <v>1785.714286</v>
      </c>
    </row>
    <row r="174">
      <c r="A174" s="57" t="s">
        <v>669</v>
      </c>
      <c r="B174" s="13" t="s">
        <v>670</v>
      </c>
      <c r="C174" s="7" t="s">
        <v>20</v>
      </c>
      <c r="D174" s="7" t="s">
        <v>32</v>
      </c>
      <c r="E174" s="14">
        <v>5094.0</v>
      </c>
      <c r="F174" s="14">
        <v>2000.0</v>
      </c>
      <c r="G174" s="58">
        <v>0.07</v>
      </c>
      <c r="H174" s="15">
        <v>0.0</v>
      </c>
      <c r="I174" s="11"/>
      <c r="J174" s="7"/>
      <c r="K174" s="11" t="s">
        <v>671</v>
      </c>
      <c r="L174" s="7"/>
      <c r="M174" s="47" t="s">
        <v>663</v>
      </c>
      <c r="N174" s="12"/>
      <c r="O174" s="17">
        <f t="shared" si="23"/>
        <v>0</v>
      </c>
      <c r="P174" s="18">
        <f t="shared" si="24"/>
        <v>0</v>
      </c>
    </row>
    <row r="175">
      <c r="A175" s="59"/>
      <c r="B175" s="13" t="s">
        <v>670</v>
      </c>
      <c r="C175" s="7" t="s">
        <v>20</v>
      </c>
      <c r="D175" s="7" t="s">
        <v>32</v>
      </c>
      <c r="E175" s="8"/>
      <c r="F175" s="8"/>
      <c r="G175" s="9">
        <v>0.0682</v>
      </c>
      <c r="H175" s="10"/>
      <c r="I175" s="11"/>
      <c r="J175" s="7"/>
      <c r="K175" s="11" t="s">
        <v>672</v>
      </c>
      <c r="L175" s="7"/>
      <c r="M175" s="11"/>
      <c r="N175" s="12"/>
      <c r="O175" s="17" t="str">
        <f t="shared" si="23"/>
        <v>#DIV/0!</v>
      </c>
      <c r="P175" s="18" t="str">
        <f t="shared" si="24"/>
        <v>#DIV/0!</v>
      </c>
    </row>
    <row r="176">
      <c r="A176" s="49" t="s">
        <v>673</v>
      </c>
      <c r="B176" s="7" t="s">
        <v>19</v>
      </c>
      <c r="C176" s="7" t="s">
        <v>20</v>
      </c>
      <c r="D176" s="7" t="s">
        <v>32</v>
      </c>
      <c r="E176" s="8">
        <v>39800.0</v>
      </c>
      <c r="F176" s="8">
        <v>20132.0</v>
      </c>
      <c r="G176" s="9">
        <v>0.0748</v>
      </c>
      <c r="H176" s="10"/>
      <c r="I176" s="11" t="s">
        <v>674</v>
      </c>
      <c r="J176" s="7" t="s">
        <v>294</v>
      </c>
      <c r="K176" s="11" t="s">
        <v>675</v>
      </c>
      <c r="L176" s="13" t="s">
        <v>676</v>
      </c>
      <c r="M176" s="11"/>
      <c r="N176" s="12" t="s">
        <v>677</v>
      </c>
      <c r="O176" s="17">
        <f t="shared" si="23"/>
        <v>0</v>
      </c>
      <c r="P176" s="18">
        <f t="shared" si="24"/>
        <v>0</v>
      </c>
    </row>
    <row r="177" hidden="1">
      <c r="A177" s="6" t="s">
        <v>678</v>
      </c>
      <c r="B177" s="7" t="s">
        <v>19</v>
      </c>
      <c r="C177" s="7" t="s">
        <v>20</v>
      </c>
      <c r="D177" s="7" t="s">
        <v>21</v>
      </c>
      <c r="E177" s="8">
        <v>37400.0</v>
      </c>
      <c r="F177" s="8">
        <v>109838.0</v>
      </c>
      <c r="G177" s="9">
        <v>0.0032</v>
      </c>
      <c r="H177" s="10"/>
      <c r="I177" s="11"/>
      <c r="J177" s="7" t="s">
        <v>679</v>
      </c>
      <c r="K177" s="11" t="s">
        <v>24</v>
      </c>
      <c r="L177" s="7"/>
      <c r="M177" s="11"/>
      <c r="N177" s="12" t="s">
        <v>680</v>
      </c>
      <c r="O177" s="2"/>
      <c r="P177" s="2"/>
    </row>
    <row r="178">
      <c r="A178" s="6" t="s">
        <v>681</v>
      </c>
      <c r="B178" s="7" t="s">
        <v>19</v>
      </c>
      <c r="C178" s="7" t="s">
        <v>20</v>
      </c>
      <c r="D178" s="7" t="s">
        <v>32</v>
      </c>
      <c r="E178" s="8">
        <v>36000.0</v>
      </c>
      <c r="F178" s="8">
        <v>19272.0</v>
      </c>
      <c r="G178" s="9">
        <v>0.0668</v>
      </c>
      <c r="H178" s="10"/>
      <c r="I178" s="11" t="s">
        <v>682</v>
      </c>
      <c r="J178" s="7" t="s">
        <v>215</v>
      </c>
      <c r="K178" s="11" t="s">
        <v>24</v>
      </c>
      <c r="L178" s="13" t="s">
        <v>683</v>
      </c>
      <c r="M178" s="11"/>
      <c r="N178" s="12" t="s">
        <v>684</v>
      </c>
      <c r="O178" s="17">
        <f>H178/F178</f>
        <v>0</v>
      </c>
      <c r="P178" s="18">
        <f>(H178/F178)*1000</f>
        <v>0</v>
      </c>
    </row>
    <row r="179" hidden="1">
      <c r="A179" s="6" t="s">
        <v>685</v>
      </c>
      <c r="B179" s="7" t="s">
        <v>40</v>
      </c>
      <c r="C179" s="7" t="s">
        <v>41</v>
      </c>
      <c r="D179" s="7" t="s">
        <v>21</v>
      </c>
      <c r="E179" s="8">
        <v>35900.0</v>
      </c>
      <c r="F179" s="8"/>
      <c r="G179" s="9">
        <v>2.3E-4</v>
      </c>
      <c r="H179" s="10">
        <v>2098.0</v>
      </c>
      <c r="I179" s="11" t="s">
        <v>686</v>
      </c>
      <c r="J179" s="7" t="s">
        <v>687</v>
      </c>
      <c r="K179" s="11" t="s">
        <v>24</v>
      </c>
      <c r="L179" s="7"/>
      <c r="M179" s="11"/>
      <c r="N179" s="12" t="s">
        <v>688</v>
      </c>
      <c r="O179" s="2"/>
      <c r="P179" s="2"/>
    </row>
    <row r="180" hidden="1">
      <c r="A180" s="6" t="s">
        <v>689</v>
      </c>
      <c r="B180" s="7" t="s">
        <v>19</v>
      </c>
      <c r="C180" s="7" t="s">
        <v>20</v>
      </c>
      <c r="D180" s="7" t="s">
        <v>21</v>
      </c>
      <c r="E180" s="8">
        <v>35500.0</v>
      </c>
      <c r="F180" s="8">
        <v>30396.0</v>
      </c>
      <c r="G180" s="9">
        <v>0.0278</v>
      </c>
      <c r="H180" s="10"/>
      <c r="I180" s="11"/>
      <c r="J180" s="7" t="s">
        <v>690</v>
      </c>
      <c r="K180" s="11" t="s">
        <v>24</v>
      </c>
      <c r="L180" s="7"/>
      <c r="M180" s="11"/>
      <c r="N180" s="12" t="s">
        <v>691</v>
      </c>
      <c r="O180" s="2"/>
      <c r="P180" s="2"/>
    </row>
    <row r="181" hidden="1">
      <c r="A181" s="6" t="s">
        <v>692</v>
      </c>
      <c r="B181" s="7" t="s">
        <v>19</v>
      </c>
      <c r="C181" s="7" t="s">
        <v>20</v>
      </c>
      <c r="D181" s="7" t="s">
        <v>21</v>
      </c>
      <c r="E181" s="8">
        <v>32500.0</v>
      </c>
      <c r="F181" s="8">
        <v>14942.0</v>
      </c>
      <c r="G181" s="9">
        <v>0.0359</v>
      </c>
      <c r="H181" s="10"/>
      <c r="I181" s="11" t="s">
        <v>693</v>
      </c>
      <c r="J181" s="7" t="s">
        <v>694</v>
      </c>
      <c r="K181" s="11" t="s">
        <v>24</v>
      </c>
      <c r="L181" s="7"/>
      <c r="M181" s="11"/>
      <c r="N181" s="12" t="s">
        <v>695</v>
      </c>
      <c r="O181" s="2"/>
      <c r="P181" s="2"/>
    </row>
    <row r="182" hidden="1">
      <c r="A182" s="6" t="s">
        <v>696</v>
      </c>
      <c r="B182" s="7" t="s">
        <v>40</v>
      </c>
      <c r="C182" s="7" t="s">
        <v>41</v>
      </c>
      <c r="D182" s="7" t="s">
        <v>21</v>
      </c>
      <c r="E182" s="8">
        <v>32100.0</v>
      </c>
      <c r="F182" s="8"/>
      <c r="G182" s="9">
        <v>3.0E-4</v>
      </c>
      <c r="H182" s="10">
        <v>2895.0</v>
      </c>
      <c r="I182" s="11" t="s">
        <v>697</v>
      </c>
      <c r="J182" s="7" t="s">
        <v>698</v>
      </c>
      <c r="K182" s="11" t="s">
        <v>24</v>
      </c>
      <c r="L182" s="7"/>
      <c r="M182" s="11"/>
      <c r="N182" s="12" t="s">
        <v>699</v>
      </c>
      <c r="O182" s="2"/>
      <c r="P182" s="2"/>
    </row>
    <row r="183" hidden="1">
      <c r="A183" s="6" t="s">
        <v>700</v>
      </c>
      <c r="B183" s="7" t="s">
        <v>40</v>
      </c>
      <c r="C183" s="7" t="s">
        <v>41</v>
      </c>
      <c r="D183" s="7" t="s">
        <v>21</v>
      </c>
      <c r="E183" s="8">
        <v>31900.0</v>
      </c>
      <c r="F183" s="8"/>
      <c r="G183" s="9">
        <v>2.1E-4</v>
      </c>
      <c r="H183" s="10">
        <v>2517.0</v>
      </c>
      <c r="I183" s="11" t="s">
        <v>701</v>
      </c>
      <c r="J183" s="7" t="s">
        <v>702</v>
      </c>
      <c r="K183" s="11" t="s">
        <v>24</v>
      </c>
      <c r="L183" s="7"/>
      <c r="M183" s="11"/>
      <c r="N183" s="12" t="s">
        <v>703</v>
      </c>
      <c r="O183" s="2"/>
      <c r="P183" s="2"/>
    </row>
    <row r="184" hidden="1">
      <c r="A184" s="6" t="s">
        <v>704</v>
      </c>
      <c r="B184" s="7" t="s">
        <v>19</v>
      </c>
      <c r="C184" s="7" t="s">
        <v>20</v>
      </c>
      <c r="D184" s="7" t="s">
        <v>21</v>
      </c>
      <c r="E184" s="8">
        <v>31800.0</v>
      </c>
      <c r="F184" s="8">
        <v>5215.0</v>
      </c>
      <c r="G184" s="9">
        <v>0.0379</v>
      </c>
      <c r="H184" s="10"/>
      <c r="I184" s="11" t="s">
        <v>705</v>
      </c>
      <c r="J184" s="7" t="s">
        <v>706</v>
      </c>
      <c r="K184" s="11" t="s">
        <v>24</v>
      </c>
      <c r="L184" s="7"/>
      <c r="M184" s="11"/>
      <c r="N184" s="12" t="s">
        <v>707</v>
      </c>
      <c r="O184" s="2"/>
      <c r="P184" s="2"/>
    </row>
    <row r="185" hidden="1">
      <c r="A185" s="6" t="s">
        <v>708</v>
      </c>
      <c r="B185" s="7" t="s">
        <v>19</v>
      </c>
      <c r="C185" s="7" t="s">
        <v>20</v>
      </c>
      <c r="D185" s="7" t="s">
        <v>21</v>
      </c>
      <c r="E185" s="8">
        <v>31600.0</v>
      </c>
      <c r="F185" s="8">
        <v>8635.0</v>
      </c>
      <c r="G185" s="9">
        <v>0.0329</v>
      </c>
      <c r="H185" s="10"/>
      <c r="I185" s="11"/>
      <c r="J185" s="7" t="s">
        <v>709</v>
      </c>
      <c r="K185" s="11" t="s">
        <v>24</v>
      </c>
      <c r="L185" s="7"/>
      <c r="M185" s="11"/>
      <c r="N185" s="12" t="s">
        <v>710</v>
      </c>
      <c r="O185" s="2"/>
      <c r="P185" s="2"/>
    </row>
    <row r="186" hidden="1">
      <c r="A186" s="6" t="s">
        <v>711</v>
      </c>
      <c r="B186" s="7" t="s">
        <v>19</v>
      </c>
      <c r="C186" s="7" t="s">
        <v>20</v>
      </c>
      <c r="D186" s="7" t="s">
        <v>21</v>
      </c>
      <c r="E186" s="8">
        <v>31200.0</v>
      </c>
      <c r="F186" s="8">
        <v>13307.0</v>
      </c>
      <c r="G186" s="9">
        <v>0.0114</v>
      </c>
      <c r="H186" s="10"/>
      <c r="I186" s="11" t="s">
        <v>712</v>
      </c>
      <c r="J186" s="7" t="s">
        <v>713</v>
      </c>
      <c r="K186" s="11" t="s">
        <v>24</v>
      </c>
      <c r="L186" s="7"/>
      <c r="M186" s="11"/>
      <c r="N186" s="12" t="s">
        <v>714</v>
      </c>
      <c r="O186" s="2"/>
      <c r="P186" s="2"/>
    </row>
    <row r="187" hidden="1">
      <c r="A187" s="6" t="s">
        <v>715</v>
      </c>
      <c r="B187" s="7" t="s">
        <v>19</v>
      </c>
      <c r="C187" s="7" t="s">
        <v>20</v>
      </c>
      <c r="D187" s="7" t="s">
        <v>21</v>
      </c>
      <c r="E187" s="8">
        <v>30500.0</v>
      </c>
      <c r="F187" s="8">
        <v>13597.0</v>
      </c>
      <c r="G187" s="9">
        <v>0.0344</v>
      </c>
      <c r="H187" s="10"/>
      <c r="I187" s="11" t="s">
        <v>716</v>
      </c>
      <c r="J187" s="7" t="s">
        <v>717</v>
      </c>
      <c r="K187" s="11" t="s">
        <v>24</v>
      </c>
      <c r="L187" s="7"/>
      <c r="M187" s="11"/>
      <c r="N187" s="12" t="s">
        <v>718</v>
      </c>
      <c r="O187" s="2"/>
      <c r="P187" s="2"/>
    </row>
    <row r="188">
      <c r="A188" s="6" t="s">
        <v>719</v>
      </c>
      <c r="B188" s="7" t="s">
        <v>19</v>
      </c>
      <c r="C188" s="7" t="s">
        <v>20</v>
      </c>
      <c r="D188" s="7" t="s">
        <v>32</v>
      </c>
      <c r="E188" s="8">
        <v>30300.0</v>
      </c>
      <c r="F188" s="8">
        <v>14456.0</v>
      </c>
      <c r="G188" s="9">
        <v>0.0817</v>
      </c>
      <c r="H188" s="10"/>
      <c r="I188" s="11" t="s">
        <v>720</v>
      </c>
      <c r="J188" s="7" t="s">
        <v>721</v>
      </c>
      <c r="K188" s="11" t="s">
        <v>24</v>
      </c>
      <c r="L188" s="13" t="s">
        <v>620</v>
      </c>
      <c r="M188" s="11"/>
      <c r="N188" s="12" t="s">
        <v>722</v>
      </c>
      <c r="O188" s="17">
        <f>H188/F188</f>
        <v>0</v>
      </c>
      <c r="P188" s="18">
        <f>(H188/F188)*1000</f>
        <v>0</v>
      </c>
    </row>
    <row r="189" hidden="1">
      <c r="A189" s="6" t="s">
        <v>723</v>
      </c>
      <c r="B189" s="7" t="s">
        <v>19</v>
      </c>
      <c r="C189" s="7" t="s">
        <v>20</v>
      </c>
      <c r="D189" s="7" t="s">
        <v>21</v>
      </c>
      <c r="E189" s="8">
        <v>29300.0</v>
      </c>
      <c r="F189" s="8">
        <v>6330.0</v>
      </c>
      <c r="G189" s="9">
        <v>0.0543</v>
      </c>
      <c r="H189" s="10"/>
      <c r="I189" s="11" t="s">
        <v>724</v>
      </c>
      <c r="J189" s="7" t="s">
        <v>725</v>
      </c>
      <c r="K189" s="11" t="s">
        <v>24</v>
      </c>
      <c r="L189" s="7"/>
      <c r="M189" s="11"/>
      <c r="N189" s="12" t="s">
        <v>726</v>
      </c>
      <c r="O189" s="2"/>
      <c r="P189" s="2"/>
    </row>
    <row r="190">
      <c r="A190" s="6" t="s">
        <v>727</v>
      </c>
      <c r="B190" s="7" t="s">
        <v>19</v>
      </c>
      <c r="C190" s="7" t="s">
        <v>20</v>
      </c>
      <c r="D190" s="7" t="s">
        <v>32</v>
      </c>
      <c r="E190" s="8">
        <v>16000.0</v>
      </c>
      <c r="F190" s="8">
        <v>24048.0</v>
      </c>
      <c r="G190" s="9">
        <v>0.0449</v>
      </c>
      <c r="H190" s="10"/>
      <c r="I190" s="11" t="s">
        <v>214</v>
      </c>
      <c r="J190" s="7" t="s">
        <v>728</v>
      </c>
      <c r="K190" s="11" t="s">
        <v>24</v>
      </c>
      <c r="L190" s="13" t="s">
        <v>729</v>
      </c>
      <c r="M190" s="11"/>
      <c r="N190" s="12" t="s">
        <v>730</v>
      </c>
      <c r="O190" s="17">
        <f>H190/F190</f>
        <v>0</v>
      </c>
      <c r="P190" s="18">
        <f>(H190/F190)*1000</f>
        <v>0</v>
      </c>
    </row>
    <row r="191" hidden="1">
      <c r="A191" s="6" t="s">
        <v>731</v>
      </c>
      <c r="B191" s="7" t="s">
        <v>19</v>
      </c>
      <c r="C191" s="7" t="s">
        <v>20</v>
      </c>
      <c r="D191" s="7" t="s">
        <v>21</v>
      </c>
      <c r="E191" s="8">
        <v>15700.0</v>
      </c>
      <c r="F191" s="8">
        <v>20883.0</v>
      </c>
      <c r="G191" s="9">
        <v>0.0592</v>
      </c>
      <c r="H191" s="10"/>
      <c r="I191" s="11"/>
      <c r="J191" s="7" t="s">
        <v>732</v>
      </c>
      <c r="K191" s="11" t="s">
        <v>24</v>
      </c>
      <c r="L191" s="7"/>
      <c r="M191" s="11"/>
      <c r="N191" s="12" t="s">
        <v>733</v>
      </c>
      <c r="O191" s="2"/>
      <c r="P191" s="2"/>
    </row>
    <row r="192" hidden="1">
      <c r="A192" s="6" t="s">
        <v>734</v>
      </c>
      <c r="B192" s="7" t="s">
        <v>19</v>
      </c>
      <c r="C192" s="7" t="s">
        <v>20</v>
      </c>
      <c r="D192" s="7" t="s">
        <v>21</v>
      </c>
      <c r="E192" s="8">
        <v>15600.0</v>
      </c>
      <c r="F192" s="8">
        <v>9810.0</v>
      </c>
      <c r="G192" s="9">
        <v>0.0045</v>
      </c>
      <c r="H192" s="10"/>
      <c r="I192" s="11" t="s">
        <v>735</v>
      </c>
      <c r="J192" s="7" t="s">
        <v>736</v>
      </c>
      <c r="K192" s="11" t="s">
        <v>24</v>
      </c>
      <c r="L192" s="7"/>
      <c r="M192" s="11"/>
      <c r="N192" s="12" t="s">
        <v>737</v>
      </c>
      <c r="O192" s="2"/>
      <c r="P192" s="2"/>
    </row>
    <row r="193" hidden="1">
      <c r="A193" s="6" t="s">
        <v>738</v>
      </c>
      <c r="B193" s="7" t="s">
        <v>19</v>
      </c>
      <c r="C193" s="7" t="s">
        <v>20</v>
      </c>
      <c r="D193" s="7" t="s">
        <v>21</v>
      </c>
      <c r="E193" s="8">
        <v>15200.0</v>
      </c>
      <c r="F193" s="8">
        <v>6749.0</v>
      </c>
      <c r="G193" s="9">
        <v>0.0247</v>
      </c>
      <c r="H193" s="10"/>
      <c r="I193" s="11" t="s">
        <v>739</v>
      </c>
      <c r="J193" s="7" t="s">
        <v>740</v>
      </c>
      <c r="K193" s="11" t="s">
        <v>24</v>
      </c>
      <c r="L193" s="7"/>
      <c r="M193" s="11"/>
      <c r="N193" s="12" t="s">
        <v>741</v>
      </c>
      <c r="O193" s="2"/>
      <c r="P193" s="2"/>
    </row>
    <row r="194">
      <c r="A194" s="6" t="s">
        <v>742</v>
      </c>
      <c r="B194" s="7" t="s">
        <v>19</v>
      </c>
      <c r="C194" s="7" t="s">
        <v>20</v>
      </c>
      <c r="D194" s="7" t="s">
        <v>32</v>
      </c>
      <c r="E194" s="8">
        <v>15100.0</v>
      </c>
      <c r="F194" s="8">
        <v>11949.0</v>
      </c>
      <c r="G194" s="9">
        <v>0.0354</v>
      </c>
      <c r="H194" s="10"/>
      <c r="I194" s="11" t="s">
        <v>743</v>
      </c>
      <c r="J194" s="7" t="s">
        <v>744</v>
      </c>
      <c r="K194" s="11" t="s">
        <v>24</v>
      </c>
      <c r="L194" s="13" t="s">
        <v>745</v>
      </c>
      <c r="M194" s="11"/>
      <c r="N194" s="12" t="s">
        <v>746</v>
      </c>
      <c r="O194" s="17">
        <f t="shared" ref="O194:O197" si="25">H194/F194</f>
        <v>0</v>
      </c>
      <c r="P194" s="18">
        <f t="shared" ref="P194:P197" si="26">(H194/F194)*1000</f>
        <v>0</v>
      </c>
    </row>
    <row r="195">
      <c r="A195" s="6" t="s">
        <v>747</v>
      </c>
      <c r="B195" s="7" t="s">
        <v>19</v>
      </c>
      <c r="C195" s="7" t="s">
        <v>20</v>
      </c>
      <c r="D195" s="7" t="s">
        <v>32</v>
      </c>
      <c r="E195" s="8">
        <v>13500.0</v>
      </c>
      <c r="F195" s="8">
        <v>15430.0</v>
      </c>
      <c r="G195" s="9">
        <v>0.0712</v>
      </c>
      <c r="H195" s="10"/>
      <c r="I195" s="11"/>
      <c r="J195" s="7" t="s">
        <v>748</v>
      </c>
      <c r="K195" s="11" t="s">
        <v>24</v>
      </c>
      <c r="L195" s="13" t="s">
        <v>620</v>
      </c>
      <c r="M195" s="11"/>
      <c r="N195" s="12" t="s">
        <v>749</v>
      </c>
      <c r="O195" s="17">
        <f t="shared" si="25"/>
        <v>0</v>
      </c>
      <c r="P195" s="18">
        <f t="shared" si="26"/>
        <v>0</v>
      </c>
    </row>
    <row r="196">
      <c r="A196" s="6" t="s">
        <v>750</v>
      </c>
      <c r="B196" s="7" t="s">
        <v>19</v>
      </c>
      <c r="C196" s="7" t="s">
        <v>20</v>
      </c>
      <c r="D196" s="7" t="s">
        <v>32</v>
      </c>
      <c r="E196" s="8">
        <v>14300.0</v>
      </c>
      <c r="F196" s="8">
        <v>16443.0</v>
      </c>
      <c r="G196" s="9">
        <v>0.0232</v>
      </c>
      <c r="H196" s="10"/>
      <c r="I196" s="11" t="s">
        <v>751</v>
      </c>
      <c r="J196" s="7" t="s">
        <v>752</v>
      </c>
      <c r="K196" s="11" t="s">
        <v>24</v>
      </c>
      <c r="L196" s="13" t="s">
        <v>753</v>
      </c>
      <c r="M196" s="11"/>
      <c r="N196" s="12" t="s">
        <v>754</v>
      </c>
      <c r="O196" s="17">
        <f t="shared" si="25"/>
        <v>0</v>
      </c>
      <c r="P196" s="18">
        <f t="shared" si="26"/>
        <v>0</v>
      </c>
    </row>
    <row r="197">
      <c r="A197" s="6" t="s">
        <v>755</v>
      </c>
      <c r="B197" s="7" t="s">
        <v>19</v>
      </c>
      <c r="C197" s="7" t="s">
        <v>20</v>
      </c>
      <c r="D197" s="7" t="s">
        <v>32</v>
      </c>
      <c r="E197" s="8">
        <v>28200.0</v>
      </c>
      <c r="F197" s="8">
        <v>21854.0</v>
      </c>
      <c r="G197" s="9">
        <v>0.0238</v>
      </c>
      <c r="H197" s="10"/>
      <c r="I197" s="38" t="s">
        <v>756</v>
      </c>
      <c r="J197" s="7" t="s">
        <v>167</v>
      </c>
      <c r="K197" s="11" t="s">
        <v>24</v>
      </c>
      <c r="L197" s="13" t="s">
        <v>729</v>
      </c>
      <c r="M197" s="11"/>
      <c r="N197" s="12" t="s">
        <v>757</v>
      </c>
      <c r="O197" s="17">
        <f t="shared" si="25"/>
        <v>0</v>
      </c>
      <c r="P197" s="18">
        <f t="shared" si="26"/>
        <v>0</v>
      </c>
    </row>
    <row r="198" hidden="1">
      <c r="A198" s="6" t="s">
        <v>758</v>
      </c>
      <c r="B198" s="7" t="s">
        <v>19</v>
      </c>
      <c r="C198" s="7" t="s">
        <v>20</v>
      </c>
      <c r="D198" s="7" t="s">
        <v>21</v>
      </c>
      <c r="E198" s="8">
        <v>28200.0</v>
      </c>
      <c r="F198" s="8">
        <v>13692.0</v>
      </c>
      <c r="G198" s="9">
        <v>0.0438</v>
      </c>
      <c r="H198" s="10"/>
      <c r="I198" s="11" t="s">
        <v>759</v>
      </c>
      <c r="J198" s="7" t="s">
        <v>760</v>
      </c>
      <c r="K198" s="11" t="s">
        <v>24</v>
      </c>
      <c r="L198" s="7"/>
      <c r="M198" s="11"/>
      <c r="N198" s="12" t="s">
        <v>761</v>
      </c>
      <c r="O198" s="2"/>
      <c r="P198" s="2"/>
    </row>
    <row r="199">
      <c r="A199" s="6" t="s">
        <v>762</v>
      </c>
      <c r="B199" s="7" t="s">
        <v>19</v>
      </c>
      <c r="C199" s="7" t="s">
        <v>20</v>
      </c>
      <c r="D199" s="7" t="s">
        <v>32</v>
      </c>
      <c r="E199" s="8">
        <v>27600.0</v>
      </c>
      <c r="F199" s="8">
        <v>6387.0</v>
      </c>
      <c r="G199" s="9">
        <v>0.083</v>
      </c>
      <c r="H199" s="10"/>
      <c r="I199" s="11" t="s">
        <v>763</v>
      </c>
      <c r="J199" s="7" t="s">
        <v>215</v>
      </c>
      <c r="K199" s="11" t="s">
        <v>24</v>
      </c>
      <c r="L199" s="7"/>
      <c r="M199" s="11"/>
      <c r="N199" s="12" t="s">
        <v>764</v>
      </c>
      <c r="O199" s="17">
        <f t="shared" ref="O199:O201" si="27">H199/F199</f>
        <v>0</v>
      </c>
      <c r="P199" s="18">
        <f t="shared" ref="P199:P201" si="28">(H199/F199)*1000</f>
        <v>0</v>
      </c>
    </row>
    <row r="200">
      <c r="A200" s="49" t="s">
        <v>765</v>
      </c>
      <c r="B200" s="7" t="s">
        <v>19</v>
      </c>
      <c r="C200" s="7" t="s">
        <v>20</v>
      </c>
      <c r="D200" s="7" t="s">
        <v>32</v>
      </c>
      <c r="E200" s="8">
        <v>27300.0</v>
      </c>
      <c r="F200" s="8">
        <v>37623.0</v>
      </c>
      <c r="G200" s="9">
        <v>0.0541</v>
      </c>
      <c r="H200" s="10"/>
      <c r="I200" s="11" t="s">
        <v>766</v>
      </c>
      <c r="J200" s="7" t="s">
        <v>767</v>
      </c>
      <c r="K200" s="11" t="s">
        <v>24</v>
      </c>
      <c r="L200" s="7"/>
      <c r="M200" s="11"/>
      <c r="N200" s="12" t="s">
        <v>768</v>
      </c>
      <c r="O200" s="17">
        <f t="shared" si="27"/>
        <v>0</v>
      </c>
      <c r="P200" s="18">
        <f t="shared" si="28"/>
        <v>0</v>
      </c>
    </row>
    <row r="201">
      <c r="A201" s="6" t="s">
        <v>769</v>
      </c>
      <c r="B201" s="7" t="s">
        <v>19</v>
      </c>
      <c r="C201" s="7" t="s">
        <v>20</v>
      </c>
      <c r="D201" s="7" t="s">
        <v>32</v>
      </c>
      <c r="E201" s="8">
        <v>26600.0</v>
      </c>
      <c r="F201" s="8">
        <v>14143.0</v>
      </c>
      <c r="G201" s="9">
        <v>0.0317</v>
      </c>
      <c r="H201" s="10"/>
      <c r="I201" s="11" t="s">
        <v>770</v>
      </c>
      <c r="J201" s="7" t="s">
        <v>771</v>
      </c>
      <c r="K201" s="11" t="s">
        <v>24</v>
      </c>
      <c r="L201" s="60" t="s">
        <v>772</v>
      </c>
      <c r="M201" s="11"/>
      <c r="N201" s="12" t="s">
        <v>773</v>
      </c>
      <c r="O201" s="17">
        <f t="shared" si="27"/>
        <v>0</v>
      </c>
      <c r="P201" s="18">
        <f t="shared" si="28"/>
        <v>0</v>
      </c>
    </row>
    <row r="202" hidden="1">
      <c r="A202" s="6" t="s">
        <v>774</v>
      </c>
      <c r="B202" s="7" t="s">
        <v>19</v>
      </c>
      <c r="C202" s="7" t="s">
        <v>20</v>
      </c>
      <c r="D202" s="7" t="s">
        <v>21</v>
      </c>
      <c r="E202" s="8">
        <v>26600.0</v>
      </c>
      <c r="F202" s="8">
        <v>93258.0</v>
      </c>
      <c r="G202" s="9">
        <v>0.013</v>
      </c>
      <c r="H202" s="10"/>
      <c r="I202" s="11"/>
      <c r="J202" s="7" t="s">
        <v>775</v>
      </c>
      <c r="K202" s="11" t="s">
        <v>24</v>
      </c>
      <c r="L202" s="7"/>
      <c r="M202" s="11"/>
      <c r="N202" s="12" t="s">
        <v>776</v>
      </c>
      <c r="O202" s="2"/>
      <c r="P202" s="2"/>
    </row>
    <row r="203" hidden="1">
      <c r="A203" s="6" t="s">
        <v>777</v>
      </c>
      <c r="B203" s="7" t="s">
        <v>19</v>
      </c>
      <c r="C203" s="7" t="s">
        <v>20</v>
      </c>
      <c r="D203" s="7" t="s">
        <v>21</v>
      </c>
      <c r="E203" s="8">
        <v>26300.0</v>
      </c>
      <c r="F203" s="8">
        <v>4048.0</v>
      </c>
      <c r="G203" s="9">
        <v>0.076</v>
      </c>
      <c r="H203" s="10"/>
      <c r="I203" s="11"/>
      <c r="J203" s="7" t="s">
        <v>778</v>
      </c>
      <c r="K203" s="11" t="s">
        <v>24</v>
      </c>
      <c r="L203" s="7"/>
      <c r="M203" s="11"/>
      <c r="N203" s="12" t="s">
        <v>779</v>
      </c>
      <c r="O203" s="2"/>
      <c r="P203" s="2"/>
    </row>
    <row r="204">
      <c r="A204" s="49" t="s">
        <v>780</v>
      </c>
      <c r="B204" s="7" t="s">
        <v>19</v>
      </c>
      <c r="C204" s="7" t="s">
        <v>20</v>
      </c>
      <c r="D204" s="7" t="s">
        <v>32</v>
      </c>
      <c r="E204" s="8">
        <v>26200.0</v>
      </c>
      <c r="F204" s="8">
        <v>23105.0</v>
      </c>
      <c r="G204" s="9">
        <v>0.0611</v>
      </c>
      <c r="H204" s="10"/>
      <c r="I204" s="11" t="s">
        <v>781</v>
      </c>
      <c r="J204" s="7" t="s">
        <v>215</v>
      </c>
      <c r="K204" s="11" t="s">
        <v>24</v>
      </c>
      <c r="L204" s="7"/>
      <c r="M204" s="11"/>
      <c r="N204" s="12" t="s">
        <v>782</v>
      </c>
      <c r="O204" s="17">
        <f>H204/F204</f>
        <v>0</v>
      </c>
      <c r="P204" s="18">
        <f>(H204/F204)*1000</f>
        <v>0</v>
      </c>
    </row>
    <row r="205" hidden="1">
      <c r="A205" s="6" t="s">
        <v>783</v>
      </c>
      <c r="B205" s="7" t="s">
        <v>19</v>
      </c>
      <c r="C205" s="7" t="s">
        <v>20</v>
      </c>
      <c r="D205" s="7" t="s">
        <v>21</v>
      </c>
      <c r="E205" s="8">
        <v>26200.0</v>
      </c>
      <c r="F205" s="8">
        <v>83501.0</v>
      </c>
      <c r="G205" s="9">
        <v>0.0112</v>
      </c>
      <c r="H205" s="10"/>
      <c r="I205" s="11"/>
      <c r="J205" s="7" t="s">
        <v>784</v>
      </c>
      <c r="K205" s="11" t="s">
        <v>24</v>
      </c>
      <c r="L205" s="7"/>
      <c r="M205" s="11"/>
      <c r="N205" s="12" t="s">
        <v>785</v>
      </c>
      <c r="O205" s="2"/>
      <c r="P205" s="2"/>
    </row>
    <row r="206">
      <c r="A206" s="6" t="s">
        <v>786</v>
      </c>
      <c r="B206" s="7" t="s">
        <v>19</v>
      </c>
      <c r="C206" s="7" t="s">
        <v>20</v>
      </c>
      <c r="D206" s="7" t="s">
        <v>32</v>
      </c>
      <c r="E206" s="8">
        <v>25500.0</v>
      </c>
      <c r="F206" s="8">
        <v>35616.0</v>
      </c>
      <c r="G206" s="9">
        <v>0.0135</v>
      </c>
      <c r="H206" s="10"/>
      <c r="I206" s="11" t="s">
        <v>787</v>
      </c>
      <c r="J206" s="7" t="s">
        <v>788</v>
      </c>
      <c r="K206" s="11" t="s">
        <v>24</v>
      </c>
      <c r="L206" s="7"/>
      <c r="M206" s="11"/>
      <c r="N206" s="12" t="s">
        <v>789</v>
      </c>
      <c r="O206" s="17">
        <f>H206/F206</f>
        <v>0</v>
      </c>
      <c r="P206" s="18">
        <f>(H206/F206)*1000</f>
        <v>0</v>
      </c>
    </row>
    <row r="207" hidden="1">
      <c r="A207" s="6" t="s">
        <v>790</v>
      </c>
      <c r="B207" s="7" t="s">
        <v>40</v>
      </c>
      <c r="C207" s="7" t="s">
        <v>41</v>
      </c>
      <c r="D207" s="7" t="s">
        <v>21</v>
      </c>
      <c r="E207" s="8">
        <v>25400.0</v>
      </c>
      <c r="F207" s="8"/>
      <c r="G207" s="9">
        <v>0.0027</v>
      </c>
      <c r="H207" s="10">
        <v>1399.0</v>
      </c>
      <c r="I207" s="11" t="s">
        <v>791</v>
      </c>
      <c r="J207" s="7" t="s">
        <v>792</v>
      </c>
      <c r="K207" s="11" t="s">
        <v>24</v>
      </c>
      <c r="L207" s="7"/>
      <c r="M207" s="11"/>
      <c r="N207" s="12" t="s">
        <v>793</v>
      </c>
      <c r="O207" s="2"/>
      <c r="P207" s="2"/>
    </row>
    <row r="208" hidden="1">
      <c r="A208" s="6" t="s">
        <v>794</v>
      </c>
      <c r="B208" s="7" t="s">
        <v>40</v>
      </c>
      <c r="C208" s="7" t="s">
        <v>41</v>
      </c>
      <c r="D208" s="7" t="s">
        <v>21</v>
      </c>
      <c r="E208" s="8">
        <v>25300.0</v>
      </c>
      <c r="F208" s="8"/>
      <c r="G208" s="9">
        <v>2.1E-4</v>
      </c>
      <c r="H208" s="10">
        <v>392.0</v>
      </c>
      <c r="I208" s="11" t="s">
        <v>795</v>
      </c>
      <c r="J208" s="7" t="s">
        <v>796</v>
      </c>
      <c r="K208" s="11" t="s">
        <v>24</v>
      </c>
      <c r="L208" s="7"/>
      <c r="M208" s="11"/>
      <c r="N208" s="12" t="s">
        <v>797</v>
      </c>
      <c r="O208" s="2"/>
      <c r="P208" s="2"/>
    </row>
    <row r="209" hidden="1">
      <c r="A209" s="6" t="s">
        <v>798</v>
      </c>
      <c r="B209" s="7" t="s">
        <v>19</v>
      </c>
      <c r="C209" s="7" t="s">
        <v>20</v>
      </c>
      <c r="D209" s="7" t="s">
        <v>21</v>
      </c>
      <c r="E209" s="8">
        <v>25200.0</v>
      </c>
      <c r="F209" s="8">
        <v>3488.0</v>
      </c>
      <c r="G209" s="9">
        <v>0.0806</v>
      </c>
      <c r="H209" s="10"/>
      <c r="I209" s="11" t="s">
        <v>799</v>
      </c>
      <c r="J209" s="7" t="s">
        <v>800</v>
      </c>
      <c r="K209" s="11" t="s">
        <v>24</v>
      </c>
      <c r="L209" s="7"/>
      <c r="M209" s="11"/>
      <c r="N209" s="12" t="s">
        <v>801</v>
      </c>
      <c r="O209" s="2"/>
      <c r="P209" s="2"/>
    </row>
    <row r="210">
      <c r="A210" s="6" t="s">
        <v>802</v>
      </c>
      <c r="B210" s="7" t="s">
        <v>19</v>
      </c>
      <c r="C210" s="7" t="s">
        <v>20</v>
      </c>
      <c r="D210" s="7" t="s">
        <v>32</v>
      </c>
      <c r="E210" s="8">
        <v>24800.0</v>
      </c>
      <c r="F210" s="8">
        <v>18027.0</v>
      </c>
      <c r="G210" s="9">
        <v>0.0411</v>
      </c>
      <c r="H210" s="10"/>
      <c r="I210" s="11" t="s">
        <v>803</v>
      </c>
      <c r="J210" s="7" t="s">
        <v>804</v>
      </c>
      <c r="K210" s="11" t="s">
        <v>24</v>
      </c>
      <c r="L210" s="7"/>
      <c r="M210" s="11"/>
      <c r="N210" s="12" t="s">
        <v>805</v>
      </c>
      <c r="O210" s="17">
        <f>H210/F210</f>
        <v>0</v>
      </c>
      <c r="P210" s="18">
        <f>(H210/F210)*1000</f>
        <v>0</v>
      </c>
    </row>
    <row r="211" hidden="1">
      <c r="A211" s="6" t="s">
        <v>806</v>
      </c>
      <c r="B211" s="7" t="s">
        <v>19</v>
      </c>
      <c r="C211" s="7" t="s">
        <v>20</v>
      </c>
      <c r="D211" s="7" t="s">
        <v>21</v>
      </c>
      <c r="E211" s="8">
        <v>24000.0</v>
      </c>
      <c r="F211" s="8">
        <v>5323.0</v>
      </c>
      <c r="G211" s="9">
        <v>0.0221</v>
      </c>
      <c r="H211" s="10"/>
      <c r="I211" s="11" t="s">
        <v>807</v>
      </c>
      <c r="J211" s="7" t="s">
        <v>43</v>
      </c>
      <c r="K211" s="11" t="s">
        <v>24</v>
      </c>
      <c r="L211" s="7"/>
      <c r="M211" s="11"/>
      <c r="N211" s="12" t="s">
        <v>808</v>
      </c>
      <c r="O211" s="2"/>
      <c r="P211" s="2"/>
    </row>
    <row r="212" hidden="1">
      <c r="A212" s="6" t="s">
        <v>809</v>
      </c>
      <c r="B212" s="7" t="s">
        <v>19</v>
      </c>
      <c r="C212" s="7" t="s">
        <v>20</v>
      </c>
      <c r="D212" s="7" t="s">
        <v>21</v>
      </c>
      <c r="E212" s="8">
        <v>23400.0</v>
      </c>
      <c r="F212" s="8">
        <v>13471.0</v>
      </c>
      <c r="G212" s="9">
        <v>0.0285</v>
      </c>
      <c r="H212" s="10"/>
      <c r="I212" s="11" t="s">
        <v>810</v>
      </c>
      <c r="J212" s="7" t="s">
        <v>760</v>
      </c>
      <c r="K212" s="11" t="s">
        <v>24</v>
      </c>
      <c r="L212" s="7"/>
      <c r="M212" s="11"/>
      <c r="N212" s="12" t="s">
        <v>811</v>
      </c>
      <c r="O212" s="2"/>
      <c r="P212" s="2"/>
    </row>
    <row r="213">
      <c r="A213" s="6" t="s">
        <v>812</v>
      </c>
      <c r="B213" s="7" t="s">
        <v>19</v>
      </c>
      <c r="C213" s="7" t="s">
        <v>20</v>
      </c>
      <c r="D213" s="7" t="s">
        <v>32</v>
      </c>
      <c r="E213" s="8">
        <v>22900.0</v>
      </c>
      <c r="F213" s="8">
        <v>37842.0</v>
      </c>
      <c r="G213" s="9">
        <v>0.0424</v>
      </c>
      <c r="H213" s="10"/>
      <c r="I213" s="11" t="s">
        <v>813</v>
      </c>
      <c r="J213" s="7" t="s">
        <v>215</v>
      </c>
      <c r="K213" s="11" t="s">
        <v>24</v>
      </c>
      <c r="L213" s="7"/>
      <c r="M213" s="11"/>
      <c r="N213" s="12" t="s">
        <v>814</v>
      </c>
      <c r="O213" s="17">
        <f>H213/F213</f>
        <v>0</v>
      </c>
      <c r="P213" s="18">
        <f>(H213/F213)*1000</f>
        <v>0</v>
      </c>
    </row>
    <row r="214" hidden="1">
      <c r="A214" s="6" t="s">
        <v>815</v>
      </c>
      <c r="B214" s="7" t="s">
        <v>19</v>
      </c>
      <c r="C214" s="7" t="s">
        <v>20</v>
      </c>
      <c r="D214" s="7" t="s">
        <v>21</v>
      </c>
      <c r="E214" s="8">
        <v>22900.0</v>
      </c>
      <c r="F214" s="8">
        <v>8706.0</v>
      </c>
      <c r="G214" s="9">
        <v>0.0579</v>
      </c>
      <c r="H214" s="10"/>
      <c r="I214" s="11" t="s">
        <v>816</v>
      </c>
      <c r="J214" s="7" t="s">
        <v>817</v>
      </c>
      <c r="K214" s="11" t="s">
        <v>24</v>
      </c>
      <c r="L214" s="7"/>
      <c r="M214" s="11"/>
      <c r="N214" s="12" t="s">
        <v>818</v>
      </c>
      <c r="O214" s="2"/>
      <c r="P214" s="2"/>
    </row>
    <row r="215">
      <c r="A215" s="6" t="s">
        <v>819</v>
      </c>
      <c r="B215" s="7" t="s">
        <v>19</v>
      </c>
      <c r="C215" s="7" t="s">
        <v>20</v>
      </c>
      <c r="D215" s="7" t="s">
        <v>32</v>
      </c>
      <c r="E215" s="8">
        <v>22600.0</v>
      </c>
      <c r="F215" s="8">
        <v>43545.0</v>
      </c>
      <c r="G215" s="9">
        <v>0.0161</v>
      </c>
      <c r="H215" s="10"/>
      <c r="I215" s="11" t="s">
        <v>820</v>
      </c>
      <c r="J215" s="7" t="s">
        <v>294</v>
      </c>
      <c r="K215" s="11" t="s">
        <v>24</v>
      </c>
      <c r="L215" s="7"/>
      <c r="M215" s="11"/>
      <c r="N215" s="12" t="s">
        <v>821</v>
      </c>
      <c r="O215" s="17">
        <f>H215/F215</f>
        <v>0</v>
      </c>
      <c r="P215" s="18">
        <f>(H215/F215)*1000</f>
        <v>0</v>
      </c>
    </row>
    <row r="216" hidden="1">
      <c r="A216" s="6" t="s">
        <v>822</v>
      </c>
      <c r="B216" s="7" t="s">
        <v>19</v>
      </c>
      <c r="C216" s="7" t="s">
        <v>20</v>
      </c>
      <c r="D216" s="7" t="s">
        <v>21</v>
      </c>
      <c r="E216" s="8">
        <v>22500.0</v>
      </c>
      <c r="F216" s="8">
        <v>19628.0</v>
      </c>
      <c r="G216" s="9">
        <v>0.0292</v>
      </c>
      <c r="H216" s="10"/>
      <c r="I216" s="11"/>
      <c r="J216" s="7" t="s">
        <v>823</v>
      </c>
      <c r="K216" s="11" t="s">
        <v>24</v>
      </c>
      <c r="L216" s="7"/>
      <c r="M216" s="11"/>
      <c r="N216" s="12" t="s">
        <v>824</v>
      </c>
      <c r="O216" s="2"/>
      <c r="P216" s="2"/>
    </row>
    <row r="217" hidden="1">
      <c r="A217" s="6" t="s">
        <v>825</v>
      </c>
      <c r="B217" s="7" t="s">
        <v>19</v>
      </c>
      <c r="C217" s="7" t="s">
        <v>20</v>
      </c>
      <c r="D217" s="7" t="s">
        <v>21</v>
      </c>
      <c r="E217" s="8">
        <v>22400.0</v>
      </c>
      <c r="F217" s="8">
        <v>28033.0</v>
      </c>
      <c r="G217" s="9">
        <v>0.0088</v>
      </c>
      <c r="H217" s="10"/>
      <c r="I217" s="11" t="s">
        <v>826</v>
      </c>
      <c r="J217" s="7" t="s">
        <v>760</v>
      </c>
      <c r="K217" s="11" t="s">
        <v>24</v>
      </c>
      <c r="L217" s="7"/>
      <c r="M217" s="11"/>
      <c r="N217" s="12" t="s">
        <v>827</v>
      </c>
      <c r="O217" s="2"/>
      <c r="P217" s="2"/>
    </row>
    <row r="218">
      <c r="A218" s="6" t="s">
        <v>828</v>
      </c>
      <c r="B218" s="7" t="s">
        <v>19</v>
      </c>
      <c r="C218" s="7" t="s">
        <v>20</v>
      </c>
      <c r="D218" s="7" t="s">
        <v>32</v>
      </c>
      <c r="E218" s="8">
        <v>21800.0</v>
      </c>
      <c r="F218" s="8">
        <v>14096.0</v>
      </c>
      <c r="G218" s="9">
        <v>0.0217</v>
      </c>
      <c r="H218" s="10"/>
      <c r="I218" s="11" t="s">
        <v>829</v>
      </c>
      <c r="J218" s="7" t="s">
        <v>830</v>
      </c>
      <c r="K218" s="11" t="s">
        <v>24</v>
      </c>
      <c r="L218" s="7"/>
      <c r="M218" s="11"/>
      <c r="N218" s="12" t="s">
        <v>831</v>
      </c>
      <c r="O218" s="17">
        <f>H218/F218</f>
        <v>0</v>
      </c>
      <c r="P218" s="18">
        <f>(H218/F218)*1000</f>
        <v>0</v>
      </c>
    </row>
    <row r="219" hidden="1">
      <c r="A219" s="6" t="s">
        <v>832</v>
      </c>
      <c r="B219" s="7" t="s">
        <v>19</v>
      </c>
      <c r="C219" s="7" t="s">
        <v>20</v>
      </c>
      <c r="D219" s="7" t="s">
        <v>21</v>
      </c>
      <c r="E219" s="8">
        <v>20800.0</v>
      </c>
      <c r="F219" s="8">
        <v>4923.0</v>
      </c>
      <c r="G219" s="9">
        <v>0.065</v>
      </c>
      <c r="H219" s="10"/>
      <c r="I219" s="11" t="s">
        <v>833</v>
      </c>
      <c r="J219" s="7" t="s">
        <v>834</v>
      </c>
      <c r="K219" s="11" t="s">
        <v>24</v>
      </c>
      <c r="L219" s="7"/>
      <c r="M219" s="11"/>
      <c r="N219" s="12" t="s">
        <v>835</v>
      </c>
      <c r="O219" s="2"/>
      <c r="P219" s="2"/>
    </row>
    <row r="220">
      <c r="A220" s="6" t="s">
        <v>836</v>
      </c>
      <c r="B220" s="7" t="s">
        <v>19</v>
      </c>
      <c r="C220" s="7" t="s">
        <v>20</v>
      </c>
      <c r="D220" s="7" t="s">
        <v>32</v>
      </c>
      <c r="E220" s="8">
        <v>20700.0</v>
      </c>
      <c r="F220" s="8">
        <v>33462.0</v>
      </c>
      <c r="G220" s="9">
        <v>0.0765</v>
      </c>
      <c r="H220" s="10"/>
      <c r="I220" s="11"/>
      <c r="J220" s="7" t="s">
        <v>837</v>
      </c>
      <c r="K220" s="11" t="s">
        <v>24</v>
      </c>
      <c r="L220" s="7"/>
      <c r="M220" s="11"/>
      <c r="N220" s="12" t="s">
        <v>838</v>
      </c>
      <c r="O220" s="17">
        <f>H220/F220</f>
        <v>0</v>
      </c>
      <c r="P220" s="18">
        <f>(H220/F220)*1000</f>
        <v>0</v>
      </c>
    </row>
    <row r="221" hidden="1">
      <c r="A221" s="6" t="s">
        <v>839</v>
      </c>
      <c r="B221" s="7" t="s">
        <v>19</v>
      </c>
      <c r="C221" s="7" t="s">
        <v>20</v>
      </c>
      <c r="D221" s="7" t="s">
        <v>21</v>
      </c>
      <c r="E221" s="8">
        <v>20400.0</v>
      </c>
      <c r="F221" s="8">
        <v>8414.0</v>
      </c>
      <c r="G221" s="9">
        <v>0.0605</v>
      </c>
      <c r="H221" s="10"/>
      <c r="I221" s="11" t="s">
        <v>840</v>
      </c>
      <c r="J221" s="7" t="s">
        <v>841</v>
      </c>
      <c r="K221" s="11" t="s">
        <v>24</v>
      </c>
      <c r="L221" s="7"/>
      <c r="M221" s="11"/>
      <c r="N221" s="12" t="s">
        <v>842</v>
      </c>
      <c r="O221" s="2"/>
      <c r="P221" s="2"/>
    </row>
    <row r="222" hidden="1">
      <c r="A222" s="6" t="s">
        <v>843</v>
      </c>
      <c r="B222" s="7" t="s">
        <v>19</v>
      </c>
      <c r="C222" s="7" t="s">
        <v>20</v>
      </c>
      <c r="D222" s="7" t="s">
        <v>21</v>
      </c>
      <c r="E222" s="8">
        <v>20000.0</v>
      </c>
      <c r="F222" s="8">
        <v>3678.0</v>
      </c>
      <c r="G222" s="9">
        <v>0.0391</v>
      </c>
      <c r="H222" s="10"/>
      <c r="I222" s="11" t="s">
        <v>844</v>
      </c>
      <c r="J222" s="7" t="s">
        <v>845</v>
      </c>
      <c r="K222" s="11" t="s">
        <v>24</v>
      </c>
      <c r="L222" s="7"/>
      <c r="M222" s="11"/>
      <c r="N222" s="12" t="s">
        <v>846</v>
      </c>
      <c r="O222" s="2"/>
      <c r="P222" s="2"/>
    </row>
    <row r="223">
      <c r="A223" s="6" t="s">
        <v>847</v>
      </c>
      <c r="B223" s="7" t="s">
        <v>19</v>
      </c>
      <c r="C223" s="7" t="s">
        <v>20</v>
      </c>
      <c r="D223" s="7" t="s">
        <v>32</v>
      </c>
      <c r="E223" s="8">
        <v>19700.0</v>
      </c>
      <c r="F223" s="8">
        <v>30406.0</v>
      </c>
      <c r="G223" s="9">
        <v>0.0482</v>
      </c>
      <c r="H223" s="10"/>
      <c r="I223" s="11" t="s">
        <v>848</v>
      </c>
      <c r="J223" s="7" t="s">
        <v>849</v>
      </c>
      <c r="K223" s="11" t="s">
        <v>24</v>
      </c>
      <c r="L223" s="7"/>
      <c r="M223" s="11"/>
      <c r="N223" s="12" t="s">
        <v>850</v>
      </c>
      <c r="O223" s="17">
        <f>H223/F223</f>
        <v>0</v>
      </c>
      <c r="P223" s="18">
        <f>(H223/F223)*1000</f>
        <v>0</v>
      </c>
    </row>
    <row r="224" hidden="1">
      <c r="A224" s="6" t="s">
        <v>851</v>
      </c>
      <c r="B224" s="7" t="s">
        <v>19</v>
      </c>
      <c r="C224" s="7" t="s">
        <v>20</v>
      </c>
      <c r="D224" s="7" t="s">
        <v>21</v>
      </c>
      <c r="E224" s="8">
        <v>19500.0</v>
      </c>
      <c r="F224" s="8">
        <v>4124.0</v>
      </c>
      <c r="G224" s="9">
        <v>0.0515</v>
      </c>
      <c r="H224" s="10"/>
      <c r="I224" s="11"/>
      <c r="J224" s="7" t="s">
        <v>852</v>
      </c>
      <c r="K224" s="11" t="s">
        <v>24</v>
      </c>
      <c r="L224" s="7"/>
      <c r="M224" s="11"/>
      <c r="N224" s="12" t="s">
        <v>853</v>
      </c>
      <c r="O224" s="2"/>
      <c r="P224" s="2"/>
    </row>
    <row r="225" hidden="1">
      <c r="A225" s="6" t="s">
        <v>854</v>
      </c>
      <c r="B225" s="7" t="s">
        <v>40</v>
      </c>
      <c r="C225" s="7" t="s">
        <v>41</v>
      </c>
      <c r="D225" s="7" t="s">
        <v>21</v>
      </c>
      <c r="E225" s="8">
        <v>19400.0</v>
      </c>
      <c r="F225" s="8"/>
      <c r="G225" s="9">
        <v>0.00176</v>
      </c>
      <c r="H225" s="10">
        <v>1399.0</v>
      </c>
      <c r="I225" s="11" t="s">
        <v>855</v>
      </c>
      <c r="J225" s="7" t="s">
        <v>856</v>
      </c>
      <c r="K225" s="11" t="s">
        <v>24</v>
      </c>
      <c r="L225" s="7"/>
      <c r="M225" s="11"/>
      <c r="N225" s="12" t="s">
        <v>857</v>
      </c>
      <c r="O225" s="2"/>
      <c r="P225" s="2"/>
    </row>
    <row r="226">
      <c r="A226" s="6" t="s">
        <v>858</v>
      </c>
      <c r="B226" s="7" t="s">
        <v>19</v>
      </c>
      <c r="C226" s="7" t="s">
        <v>20</v>
      </c>
      <c r="D226" s="7" t="s">
        <v>32</v>
      </c>
      <c r="E226" s="8">
        <v>19200.0</v>
      </c>
      <c r="F226" s="8">
        <v>46532.0</v>
      </c>
      <c r="G226" s="9">
        <v>0.037</v>
      </c>
      <c r="H226" s="10"/>
      <c r="I226" s="11" t="s">
        <v>859</v>
      </c>
      <c r="J226" s="7" t="s">
        <v>215</v>
      </c>
      <c r="K226" s="11" t="s">
        <v>24</v>
      </c>
      <c r="L226" s="7"/>
      <c r="M226" s="11"/>
      <c r="N226" s="12" t="s">
        <v>860</v>
      </c>
      <c r="O226" s="17">
        <f>H226/F226</f>
        <v>0</v>
      </c>
      <c r="P226" s="18">
        <f>(H226/F226)*1000</f>
        <v>0</v>
      </c>
    </row>
    <row r="227" hidden="1">
      <c r="A227" s="6" t="s">
        <v>861</v>
      </c>
      <c r="B227" s="7" t="s">
        <v>19</v>
      </c>
      <c r="C227" s="7" t="s">
        <v>20</v>
      </c>
      <c r="D227" s="7" t="s">
        <v>21</v>
      </c>
      <c r="E227" s="8">
        <v>18900.0</v>
      </c>
      <c r="F227" s="8">
        <v>15749.0</v>
      </c>
      <c r="G227" s="9">
        <v>0.0145</v>
      </c>
      <c r="H227" s="10"/>
      <c r="I227" s="11"/>
      <c r="J227" s="7" t="s">
        <v>862</v>
      </c>
      <c r="K227" s="11" t="s">
        <v>24</v>
      </c>
      <c r="L227" s="7"/>
      <c r="M227" s="11"/>
      <c r="N227" s="12" t="s">
        <v>863</v>
      </c>
      <c r="O227" s="2"/>
      <c r="P227" s="2"/>
    </row>
    <row r="228" hidden="1">
      <c r="A228" s="6" t="s">
        <v>864</v>
      </c>
      <c r="B228" s="7" t="s">
        <v>19</v>
      </c>
      <c r="C228" s="7" t="s">
        <v>20</v>
      </c>
      <c r="D228" s="7" t="s">
        <v>21</v>
      </c>
      <c r="E228" s="8">
        <v>18500.0</v>
      </c>
      <c r="F228" s="8">
        <v>3600.0</v>
      </c>
      <c r="G228" s="9">
        <v>0.048</v>
      </c>
      <c r="H228" s="10"/>
      <c r="I228" s="11" t="s">
        <v>865</v>
      </c>
      <c r="J228" s="7" t="s">
        <v>866</v>
      </c>
      <c r="K228" s="11" t="s">
        <v>24</v>
      </c>
      <c r="L228" s="7"/>
      <c r="M228" s="11"/>
      <c r="N228" s="12" t="s">
        <v>867</v>
      </c>
      <c r="O228" s="2"/>
      <c r="P228" s="2"/>
    </row>
    <row r="229" hidden="1">
      <c r="A229" s="6" t="s">
        <v>868</v>
      </c>
      <c r="B229" s="7" t="s">
        <v>19</v>
      </c>
      <c r="C229" s="7" t="s">
        <v>20</v>
      </c>
      <c r="D229" s="7" t="s">
        <v>21</v>
      </c>
      <c r="E229" s="8">
        <v>17900.0</v>
      </c>
      <c r="F229" s="8">
        <v>2774.0</v>
      </c>
      <c r="G229" s="9">
        <v>0.0208</v>
      </c>
      <c r="H229" s="10"/>
      <c r="I229" s="11" t="s">
        <v>869</v>
      </c>
      <c r="J229" s="7" t="s">
        <v>870</v>
      </c>
      <c r="K229" s="11" t="s">
        <v>24</v>
      </c>
      <c r="L229" s="7"/>
      <c r="M229" s="11"/>
      <c r="N229" s="12" t="s">
        <v>871</v>
      </c>
      <c r="O229" s="2"/>
      <c r="P229" s="2"/>
    </row>
    <row r="230" hidden="1">
      <c r="A230" s="6" t="s">
        <v>872</v>
      </c>
      <c r="B230" s="7" t="s">
        <v>40</v>
      </c>
      <c r="C230" s="7" t="s">
        <v>41</v>
      </c>
      <c r="D230" s="7" t="s">
        <v>21</v>
      </c>
      <c r="E230" s="8">
        <v>17800.0</v>
      </c>
      <c r="F230" s="8"/>
      <c r="G230" s="9">
        <v>4.4E-4</v>
      </c>
      <c r="H230" s="10">
        <v>10490.0</v>
      </c>
      <c r="I230" s="11" t="s">
        <v>873</v>
      </c>
      <c r="J230" s="7" t="s">
        <v>874</v>
      </c>
      <c r="K230" s="11" t="s">
        <v>24</v>
      </c>
      <c r="L230" s="7"/>
      <c r="M230" s="11"/>
      <c r="N230" s="12" t="s">
        <v>875</v>
      </c>
      <c r="O230" s="2"/>
      <c r="P230" s="2"/>
    </row>
    <row r="231" hidden="1">
      <c r="A231" s="6" t="s">
        <v>864</v>
      </c>
      <c r="B231" s="7" t="s">
        <v>40</v>
      </c>
      <c r="C231" s="7" t="s">
        <v>41</v>
      </c>
      <c r="D231" s="7" t="s">
        <v>21</v>
      </c>
      <c r="E231" s="8">
        <v>17300.0</v>
      </c>
      <c r="F231" s="8"/>
      <c r="G231" s="9">
        <v>2.5E-4</v>
      </c>
      <c r="H231" s="10">
        <v>1259.0</v>
      </c>
      <c r="I231" s="11" t="s">
        <v>876</v>
      </c>
      <c r="J231" s="7" t="s">
        <v>866</v>
      </c>
      <c r="K231" s="11" t="s">
        <v>24</v>
      </c>
      <c r="L231" s="7"/>
      <c r="M231" s="11"/>
      <c r="N231" s="12" t="s">
        <v>877</v>
      </c>
      <c r="O231" s="2"/>
      <c r="P231" s="2"/>
    </row>
    <row r="232" hidden="1">
      <c r="A232" s="6" t="s">
        <v>878</v>
      </c>
      <c r="B232" s="7" t="s">
        <v>19</v>
      </c>
      <c r="C232" s="7" t="s">
        <v>20</v>
      </c>
      <c r="D232" s="7" t="s">
        <v>21</v>
      </c>
      <c r="E232" s="8">
        <v>16800.0</v>
      </c>
      <c r="F232" s="8">
        <v>49985.0</v>
      </c>
      <c r="G232" s="9">
        <v>0.0151</v>
      </c>
      <c r="H232" s="10">
        <v>701454.0</v>
      </c>
      <c r="I232" s="11" t="s">
        <v>879</v>
      </c>
      <c r="J232" s="7" t="s">
        <v>880</v>
      </c>
      <c r="K232" s="11" t="s">
        <v>24</v>
      </c>
      <c r="L232" s="7"/>
      <c r="M232" s="11"/>
      <c r="N232" s="12" t="s">
        <v>881</v>
      </c>
      <c r="O232" s="2"/>
      <c r="P232" s="2"/>
    </row>
    <row r="233" hidden="1">
      <c r="A233" s="6" t="s">
        <v>882</v>
      </c>
      <c r="B233" s="7" t="s">
        <v>19</v>
      </c>
      <c r="C233" s="7" t="s">
        <v>20</v>
      </c>
      <c r="D233" s="7" t="s">
        <v>21</v>
      </c>
      <c r="E233" s="8">
        <v>16700.0</v>
      </c>
      <c r="F233" s="8">
        <v>15270.0</v>
      </c>
      <c r="G233" s="9">
        <v>0.0185</v>
      </c>
      <c r="H233" s="10"/>
      <c r="I233" s="11"/>
      <c r="J233" s="7" t="s">
        <v>883</v>
      </c>
      <c r="K233" s="11" t="s">
        <v>24</v>
      </c>
      <c r="L233" s="7"/>
      <c r="M233" s="11"/>
      <c r="N233" s="12" t="s">
        <v>884</v>
      </c>
      <c r="O233" s="2"/>
      <c r="P233" s="2"/>
    </row>
    <row r="234" hidden="1">
      <c r="A234" s="6" t="s">
        <v>885</v>
      </c>
      <c r="B234" s="7" t="s">
        <v>19</v>
      </c>
      <c r="C234" s="7" t="s">
        <v>20</v>
      </c>
      <c r="D234" s="7" t="s">
        <v>21</v>
      </c>
      <c r="E234" s="8">
        <v>16400.0</v>
      </c>
      <c r="F234" s="8">
        <v>2568.0</v>
      </c>
      <c r="G234" s="9">
        <v>0.0779</v>
      </c>
      <c r="H234" s="10"/>
      <c r="I234" s="11" t="s">
        <v>886</v>
      </c>
      <c r="J234" s="7" t="s">
        <v>887</v>
      </c>
      <c r="K234" s="11" t="s">
        <v>24</v>
      </c>
      <c r="L234" s="7"/>
      <c r="M234" s="11"/>
      <c r="N234" s="12" t="s">
        <v>888</v>
      </c>
      <c r="O234" s="2"/>
      <c r="P234" s="2"/>
    </row>
    <row r="235" hidden="1">
      <c r="A235" s="6" t="s">
        <v>889</v>
      </c>
      <c r="B235" s="7" t="s">
        <v>19</v>
      </c>
      <c r="C235" s="7" t="s">
        <v>20</v>
      </c>
      <c r="D235" s="7" t="s">
        <v>21</v>
      </c>
      <c r="E235" s="8">
        <v>16300.0</v>
      </c>
      <c r="F235" s="8">
        <v>10421.0</v>
      </c>
      <c r="G235" s="9">
        <v>0.017</v>
      </c>
      <c r="H235" s="10"/>
      <c r="I235" s="11" t="s">
        <v>890</v>
      </c>
      <c r="J235" s="7" t="s">
        <v>392</v>
      </c>
      <c r="K235" s="11" t="s">
        <v>24</v>
      </c>
      <c r="L235" s="7"/>
      <c r="M235" s="11"/>
      <c r="N235" s="12" t="s">
        <v>891</v>
      </c>
      <c r="O235" s="2"/>
      <c r="P235" s="2"/>
    </row>
    <row r="236">
      <c r="A236" s="6" t="s">
        <v>892</v>
      </c>
      <c r="B236" s="7" t="s">
        <v>19</v>
      </c>
      <c r="C236" s="7" t="s">
        <v>20</v>
      </c>
      <c r="D236" s="7" t="s">
        <v>32</v>
      </c>
      <c r="E236" s="8">
        <v>12900.0</v>
      </c>
      <c r="F236" s="8">
        <v>12962.0</v>
      </c>
      <c r="G236" s="9">
        <v>0.0255</v>
      </c>
      <c r="H236" s="10"/>
      <c r="I236" s="11" t="s">
        <v>893</v>
      </c>
      <c r="J236" s="7" t="s">
        <v>894</v>
      </c>
      <c r="K236" s="11" t="s">
        <v>24</v>
      </c>
      <c r="L236" s="7"/>
      <c r="M236" s="11"/>
      <c r="N236" s="12" t="s">
        <v>895</v>
      </c>
      <c r="O236" s="17">
        <f t="shared" ref="O236:O237" si="29">H236/F236</f>
        <v>0</v>
      </c>
      <c r="P236" s="18">
        <f t="shared" ref="P236:P237" si="30">(H236/F236)*1000</f>
        <v>0</v>
      </c>
    </row>
    <row r="237">
      <c r="A237" s="6" t="s">
        <v>896</v>
      </c>
      <c r="B237" s="7" t="s">
        <v>19</v>
      </c>
      <c r="C237" s="7" t="s">
        <v>20</v>
      </c>
      <c r="D237" s="7" t="s">
        <v>32</v>
      </c>
      <c r="E237" s="8">
        <v>12700.0</v>
      </c>
      <c r="F237" s="8">
        <v>12143.0</v>
      </c>
      <c r="G237" s="9">
        <v>0.0377</v>
      </c>
      <c r="H237" s="10"/>
      <c r="I237" s="11" t="s">
        <v>897</v>
      </c>
      <c r="J237" s="7" t="s">
        <v>898</v>
      </c>
      <c r="K237" s="11" t="s">
        <v>24</v>
      </c>
      <c r="L237" s="7"/>
      <c r="M237" s="11"/>
      <c r="N237" s="12" t="s">
        <v>899</v>
      </c>
      <c r="O237" s="17">
        <f t="shared" si="29"/>
        <v>0</v>
      </c>
      <c r="P237" s="18">
        <f t="shared" si="30"/>
        <v>0</v>
      </c>
    </row>
    <row r="238" hidden="1">
      <c r="A238" s="6" t="s">
        <v>900</v>
      </c>
      <c r="B238" s="7" t="s">
        <v>19</v>
      </c>
      <c r="C238" s="7" t="s">
        <v>20</v>
      </c>
      <c r="D238" s="7" t="s">
        <v>21</v>
      </c>
      <c r="E238" s="8">
        <v>12600.0</v>
      </c>
      <c r="F238" s="8">
        <v>7715.0</v>
      </c>
      <c r="G238" s="9">
        <v>0.0843</v>
      </c>
      <c r="H238" s="10"/>
      <c r="I238" s="11" t="s">
        <v>901</v>
      </c>
      <c r="J238" s="7" t="s">
        <v>817</v>
      </c>
      <c r="K238" s="11" t="s">
        <v>24</v>
      </c>
      <c r="L238" s="7"/>
      <c r="M238" s="11"/>
      <c r="N238" s="12" t="s">
        <v>902</v>
      </c>
      <c r="O238" s="2"/>
      <c r="P238" s="2"/>
    </row>
    <row r="239">
      <c r="A239" s="6" t="s">
        <v>903</v>
      </c>
      <c r="B239" s="7" t="s">
        <v>19</v>
      </c>
      <c r="C239" s="7" t="s">
        <v>20</v>
      </c>
      <c r="D239" s="7" t="s">
        <v>32</v>
      </c>
      <c r="E239" s="8">
        <v>12500.0</v>
      </c>
      <c r="F239" s="8">
        <v>8794.0</v>
      </c>
      <c r="G239" s="9">
        <v>0.0745</v>
      </c>
      <c r="H239" s="10"/>
      <c r="I239" s="11" t="s">
        <v>904</v>
      </c>
      <c r="J239" s="7" t="s">
        <v>905</v>
      </c>
      <c r="K239" s="11" t="s">
        <v>24</v>
      </c>
      <c r="L239" s="7"/>
      <c r="M239" s="11"/>
      <c r="N239" s="12" t="s">
        <v>906</v>
      </c>
      <c r="O239" s="17">
        <f>H239/F239</f>
        <v>0</v>
      </c>
      <c r="P239" s="18">
        <f>(H239/F239)*1000</f>
        <v>0</v>
      </c>
    </row>
    <row r="240" hidden="1">
      <c r="A240" s="6" t="s">
        <v>907</v>
      </c>
      <c r="B240" s="7" t="s">
        <v>40</v>
      </c>
      <c r="C240" s="7" t="s">
        <v>41</v>
      </c>
      <c r="D240" s="7" t="s">
        <v>21</v>
      </c>
      <c r="E240" s="8">
        <v>12400.0</v>
      </c>
      <c r="F240" s="8"/>
      <c r="G240" s="9">
        <v>0.00179</v>
      </c>
      <c r="H240" s="10">
        <v>937.0</v>
      </c>
      <c r="I240" s="11" t="s">
        <v>908</v>
      </c>
      <c r="J240" s="7" t="s">
        <v>909</v>
      </c>
      <c r="K240" s="11" t="s">
        <v>24</v>
      </c>
      <c r="L240" s="7"/>
      <c r="M240" s="11"/>
      <c r="N240" s="12" t="s">
        <v>910</v>
      </c>
      <c r="O240" s="2"/>
      <c r="P240" s="2"/>
    </row>
    <row r="241">
      <c r="A241" s="6" t="s">
        <v>911</v>
      </c>
      <c r="B241" s="7" t="s">
        <v>19</v>
      </c>
      <c r="C241" s="7" t="s">
        <v>20</v>
      </c>
      <c r="D241" s="7" t="s">
        <v>32</v>
      </c>
      <c r="E241" s="8">
        <v>12400.0</v>
      </c>
      <c r="F241" s="8">
        <v>5888.0</v>
      </c>
      <c r="G241" s="9">
        <v>0.0337</v>
      </c>
      <c r="H241" s="10"/>
      <c r="I241" s="11" t="s">
        <v>912</v>
      </c>
      <c r="J241" s="7" t="s">
        <v>215</v>
      </c>
      <c r="K241" s="11" t="s">
        <v>24</v>
      </c>
      <c r="L241" s="7"/>
      <c r="M241" s="11"/>
      <c r="N241" s="12" t="s">
        <v>913</v>
      </c>
      <c r="O241" s="17">
        <f>H241/F241</f>
        <v>0</v>
      </c>
      <c r="P241" s="18">
        <f>(H241/F241)*1000</f>
        <v>0</v>
      </c>
    </row>
    <row r="242" hidden="1">
      <c r="A242" s="6" t="s">
        <v>914</v>
      </c>
      <c r="B242" s="7" t="s">
        <v>19</v>
      </c>
      <c r="C242" s="7" t="s">
        <v>20</v>
      </c>
      <c r="D242" s="7" t="s">
        <v>21</v>
      </c>
      <c r="E242" s="8">
        <v>12400.0</v>
      </c>
      <c r="F242" s="8">
        <v>34183.0</v>
      </c>
      <c r="G242" s="9">
        <v>0.0304</v>
      </c>
      <c r="H242" s="10"/>
      <c r="I242" s="11" t="s">
        <v>915</v>
      </c>
      <c r="J242" s="7" t="s">
        <v>862</v>
      </c>
      <c r="K242" s="11" t="s">
        <v>24</v>
      </c>
      <c r="L242" s="7"/>
      <c r="M242" s="11"/>
      <c r="N242" s="12" t="s">
        <v>916</v>
      </c>
      <c r="O242" s="2"/>
      <c r="P242" s="2"/>
    </row>
    <row r="243" hidden="1">
      <c r="A243" s="6" t="s">
        <v>917</v>
      </c>
      <c r="B243" s="7" t="s">
        <v>19</v>
      </c>
      <c r="C243" s="7" t="s">
        <v>20</v>
      </c>
      <c r="D243" s="7" t="s">
        <v>21</v>
      </c>
      <c r="E243" s="8">
        <v>12300.0</v>
      </c>
      <c r="F243" s="8">
        <v>53572.0</v>
      </c>
      <c r="G243" s="9">
        <v>0.0266</v>
      </c>
      <c r="H243" s="10"/>
      <c r="I243" s="11" t="s">
        <v>918</v>
      </c>
      <c r="J243" s="7" t="s">
        <v>919</v>
      </c>
      <c r="K243" s="11" t="s">
        <v>24</v>
      </c>
      <c r="L243" s="7"/>
      <c r="M243" s="11"/>
      <c r="N243" s="12" t="s">
        <v>920</v>
      </c>
      <c r="O243" s="2"/>
      <c r="P243" s="2"/>
    </row>
    <row r="244">
      <c r="A244" s="6" t="s">
        <v>921</v>
      </c>
      <c r="B244" s="7" t="s">
        <v>19</v>
      </c>
      <c r="C244" s="7" t="s">
        <v>20</v>
      </c>
      <c r="D244" s="7" t="s">
        <v>32</v>
      </c>
      <c r="E244" s="8">
        <v>12200.0</v>
      </c>
      <c r="F244" s="8">
        <v>21669.0</v>
      </c>
      <c r="G244" s="9">
        <v>0.0229</v>
      </c>
      <c r="H244" s="10"/>
      <c r="I244" s="11"/>
      <c r="J244" s="7" t="s">
        <v>922</v>
      </c>
      <c r="K244" s="11" t="s">
        <v>24</v>
      </c>
      <c r="L244" s="7"/>
      <c r="M244" s="11"/>
      <c r="N244" s="12" t="s">
        <v>923</v>
      </c>
      <c r="O244" s="17">
        <f>H244/F244</f>
        <v>0</v>
      </c>
      <c r="P244" s="18">
        <f>(H244/F244)*1000</f>
        <v>0</v>
      </c>
    </row>
    <row r="245" hidden="1">
      <c r="A245" s="6" t="s">
        <v>924</v>
      </c>
      <c r="B245" s="7" t="s">
        <v>19</v>
      </c>
      <c r="C245" s="7" t="s">
        <v>20</v>
      </c>
      <c r="D245" s="7" t="s">
        <v>21</v>
      </c>
      <c r="E245" s="8">
        <v>12200.0</v>
      </c>
      <c r="F245" s="8">
        <v>29731.0</v>
      </c>
      <c r="G245" s="9">
        <v>0.0211</v>
      </c>
      <c r="H245" s="10"/>
      <c r="I245" s="11" t="s">
        <v>925</v>
      </c>
      <c r="J245" s="7" t="s">
        <v>924</v>
      </c>
      <c r="K245" s="11" t="s">
        <v>24</v>
      </c>
      <c r="L245" s="7"/>
      <c r="M245" s="11"/>
      <c r="N245" s="12" t="s">
        <v>926</v>
      </c>
      <c r="O245" s="2"/>
      <c r="P245" s="2"/>
    </row>
    <row r="246">
      <c r="A246" s="6" t="s">
        <v>927</v>
      </c>
      <c r="B246" s="7" t="s">
        <v>19</v>
      </c>
      <c r="C246" s="7" t="s">
        <v>20</v>
      </c>
      <c r="D246" s="7" t="s">
        <v>32</v>
      </c>
      <c r="E246" s="8">
        <v>11600.0</v>
      </c>
      <c r="F246" s="8">
        <v>3440.0</v>
      </c>
      <c r="G246" s="9">
        <v>0.0588</v>
      </c>
      <c r="H246" s="10"/>
      <c r="I246" s="11"/>
      <c r="J246" s="7" t="s">
        <v>231</v>
      </c>
      <c r="K246" s="11" t="s">
        <v>24</v>
      </c>
      <c r="L246" s="7"/>
      <c r="M246" s="11"/>
      <c r="N246" s="12" t="s">
        <v>928</v>
      </c>
      <c r="O246" s="17">
        <f>H246/F246</f>
        <v>0</v>
      </c>
      <c r="P246" s="18">
        <f>(H246/F246)*1000</f>
        <v>0</v>
      </c>
    </row>
    <row r="247" hidden="1">
      <c r="A247" s="6" t="s">
        <v>929</v>
      </c>
      <c r="B247" s="7" t="s">
        <v>19</v>
      </c>
      <c r="C247" s="7" t="s">
        <v>20</v>
      </c>
      <c r="D247" s="7" t="s">
        <v>21</v>
      </c>
      <c r="E247" s="8">
        <v>11600.0</v>
      </c>
      <c r="F247" s="8">
        <v>20898.0</v>
      </c>
      <c r="G247" s="9">
        <v>0.0167</v>
      </c>
      <c r="H247" s="10"/>
      <c r="I247" s="11"/>
      <c r="J247" s="7" t="s">
        <v>930</v>
      </c>
      <c r="K247" s="11" t="s">
        <v>24</v>
      </c>
      <c r="L247" s="7"/>
      <c r="M247" s="11"/>
      <c r="N247" s="12" t="s">
        <v>931</v>
      </c>
      <c r="O247" s="2"/>
      <c r="P247" s="2"/>
    </row>
    <row r="248" hidden="1">
      <c r="A248" s="6" t="s">
        <v>932</v>
      </c>
      <c r="B248" s="7" t="s">
        <v>19</v>
      </c>
      <c r="C248" s="7" t="s">
        <v>20</v>
      </c>
      <c r="D248" s="7" t="s">
        <v>21</v>
      </c>
      <c r="E248" s="8">
        <v>11400.0</v>
      </c>
      <c r="F248" s="8">
        <v>4984.0</v>
      </c>
      <c r="G248" s="9">
        <v>0.0504</v>
      </c>
      <c r="H248" s="10"/>
      <c r="I248" s="11" t="s">
        <v>933</v>
      </c>
      <c r="J248" s="7" t="s">
        <v>934</v>
      </c>
      <c r="K248" s="11" t="s">
        <v>24</v>
      </c>
      <c r="L248" s="7"/>
      <c r="M248" s="11"/>
      <c r="N248" s="12" t="s">
        <v>935</v>
      </c>
      <c r="O248" s="2"/>
      <c r="P248" s="2"/>
    </row>
    <row r="249" hidden="1">
      <c r="A249" s="6" t="s">
        <v>936</v>
      </c>
      <c r="B249" s="7" t="s">
        <v>40</v>
      </c>
      <c r="C249" s="7" t="s">
        <v>41</v>
      </c>
      <c r="D249" s="7" t="s">
        <v>21</v>
      </c>
      <c r="E249" s="8">
        <v>11100.0</v>
      </c>
      <c r="F249" s="8"/>
      <c r="G249" s="9">
        <v>0.0</v>
      </c>
      <c r="H249" s="10">
        <v>9790.0</v>
      </c>
      <c r="I249" s="11" t="s">
        <v>937</v>
      </c>
      <c r="J249" s="7" t="s">
        <v>938</v>
      </c>
      <c r="K249" s="11" t="s">
        <v>24</v>
      </c>
      <c r="L249" s="7"/>
      <c r="M249" s="11"/>
      <c r="N249" s="12" t="s">
        <v>939</v>
      </c>
      <c r="O249" s="2"/>
      <c r="P249" s="2"/>
    </row>
    <row r="250">
      <c r="A250" s="6" t="s">
        <v>940</v>
      </c>
      <c r="B250" s="7" t="s">
        <v>19</v>
      </c>
      <c r="C250" s="7" t="s">
        <v>20</v>
      </c>
      <c r="D250" s="7" t="s">
        <v>32</v>
      </c>
      <c r="E250" s="8">
        <v>11000.0</v>
      </c>
      <c r="F250" s="8">
        <v>20610.0</v>
      </c>
      <c r="G250" s="9">
        <v>0.0841</v>
      </c>
      <c r="H250" s="10"/>
      <c r="I250" s="11" t="s">
        <v>941</v>
      </c>
      <c r="J250" s="7" t="s">
        <v>942</v>
      </c>
      <c r="K250" s="11" t="s">
        <v>24</v>
      </c>
      <c r="L250" s="7"/>
      <c r="M250" s="11"/>
      <c r="N250" s="12" t="s">
        <v>943</v>
      </c>
      <c r="O250" s="17">
        <f>H250/F250</f>
        <v>0</v>
      </c>
      <c r="P250" s="18">
        <f>(H250/F250)*1000</f>
        <v>0</v>
      </c>
    </row>
    <row r="251" hidden="1">
      <c r="A251" s="6" t="s">
        <v>944</v>
      </c>
      <c r="B251" s="7" t="s">
        <v>19</v>
      </c>
      <c r="C251" s="7" t="s">
        <v>20</v>
      </c>
      <c r="D251" s="7" t="s">
        <v>21</v>
      </c>
      <c r="E251" s="8">
        <v>11000.0</v>
      </c>
      <c r="F251" s="8">
        <v>6648.0</v>
      </c>
      <c r="G251" s="9">
        <v>0.0417</v>
      </c>
      <c r="H251" s="10"/>
      <c r="I251" s="11"/>
      <c r="J251" s="7" t="s">
        <v>945</v>
      </c>
      <c r="K251" s="11" t="s">
        <v>24</v>
      </c>
      <c r="L251" s="7"/>
      <c r="M251" s="11"/>
      <c r="N251" s="12" t="s">
        <v>946</v>
      </c>
      <c r="O251" s="2"/>
      <c r="P251" s="2"/>
    </row>
    <row r="252" hidden="1">
      <c r="A252" s="6" t="s">
        <v>947</v>
      </c>
      <c r="B252" s="7" t="s">
        <v>19</v>
      </c>
      <c r="C252" s="7" t="s">
        <v>20</v>
      </c>
      <c r="D252" s="7" t="s">
        <v>21</v>
      </c>
      <c r="E252" s="8">
        <v>10600.0</v>
      </c>
      <c r="F252" s="8">
        <v>5146.0</v>
      </c>
      <c r="G252" s="9">
        <v>0.0497</v>
      </c>
      <c r="H252" s="10"/>
      <c r="I252" s="11" t="s">
        <v>948</v>
      </c>
      <c r="J252" s="7" t="s">
        <v>949</v>
      </c>
      <c r="K252" s="11" t="s">
        <v>24</v>
      </c>
      <c r="L252" s="7"/>
      <c r="M252" s="11"/>
      <c r="N252" s="12" t="s">
        <v>950</v>
      </c>
      <c r="O252" s="2"/>
      <c r="P252" s="2"/>
    </row>
    <row r="253" hidden="1">
      <c r="A253" s="6" t="s">
        <v>951</v>
      </c>
      <c r="B253" s="7" t="s">
        <v>19</v>
      </c>
      <c r="C253" s="7" t="s">
        <v>20</v>
      </c>
      <c r="D253" s="7" t="s">
        <v>21</v>
      </c>
      <c r="E253" s="8">
        <v>10600.0</v>
      </c>
      <c r="F253" s="8">
        <v>1955.0</v>
      </c>
      <c r="G253" s="9">
        <v>0.0341</v>
      </c>
      <c r="H253" s="10"/>
      <c r="I253" s="11" t="s">
        <v>952</v>
      </c>
      <c r="J253" s="7" t="s">
        <v>953</v>
      </c>
      <c r="K253" s="11" t="s">
        <v>24</v>
      </c>
      <c r="L253" s="7"/>
      <c r="M253" s="11"/>
      <c r="N253" s="12" t="s">
        <v>954</v>
      </c>
      <c r="O253" s="2"/>
      <c r="P253" s="2"/>
    </row>
    <row r="254" hidden="1">
      <c r="A254" s="6" t="s">
        <v>955</v>
      </c>
      <c r="B254" s="7" t="s">
        <v>40</v>
      </c>
      <c r="C254" s="7" t="s">
        <v>41</v>
      </c>
      <c r="D254" s="7" t="s">
        <v>21</v>
      </c>
      <c r="E254" s="8">
        <v>10500.0</v>
      </c>
      <c r="F254" s="8"/>
      <c r="G254" s="9">
        <v>0.0</v>
      </c>
      <c r="H254" s="10">
        <v>13986.0</v>
      </c>
      <c r="I254" s="11" t="s">
        <v>956</v>
      </c>
      <c r="J254" s="7" t="s">
        <v>957</v>
      </c>
      <c r="K254" s="11" t="s">
        <v>24</v>
      </c>
      <c r="L254" s="7"/>
      <c r="M254" s="11"/>
      <c r="N254" s="12" t="s">
        <v>958</v>
      </c>
      <c r="O254" s="2"/>
      <c r="P254" s="2"/>
    </row>
    <row r="255">
      <c r="A255" s="6" t="s">
        <v>959</v>
      </c>
      <c r="B255" s="7" t="s">
        <v>19</v>
      </c>
      <c r="C255" s="7" t="s">
        <v>20</v>
      </c>
      <c r="D255" s="7" t="s">
        <v>32</v>
      </c>
      <c r="E255" s="8">
        <v>10500.0</v>
      </c>
      <c r="F255" s="8">
        <v>15564.0</v>
      </c>
      <c r="G255" s="9">
        <v>0.0553</v>
      </c>
      <c r="H255" s="10"/>
      <c r="I255" s="11" t="s">
        <v>960</v>
      </c>
      <c r="J255" s="7" t="s">
        <v>961</v>
      </c>
      <c r="K255" s="11" t="s">
        <v>24</v>
      </c>
      <c r="L255" s="7"/>
      <c r="M255" s="11"/>
      <c r="N255" s="12" t="s">
        <v>962</v>
      </c>
      <c r="O255" s="17">
        <f>H255/F255</f>
        <v>0</v>
      </c>
      <c r="P255" s="18">
        <f>(H255/F255)*1000</f>
        <v>0</v>
      </c>
    </row>
    <row r="256" hidden="1">
      <c r="A256" s="6" t="s">
        <v>963</v>
      </c>
      <c r="B256" s="7" t="s">
        <v>40</v>
      </c>
      <c r="C256" s="7" t="s">
        <v>41</v>
      </c>
      <c r="D256" s="7" t="s">
        <v>21</v>
      </c>
      <c r="E256" s="8">
        <v>10400.0</v>
      </c>
      <c r="F256" s="8"/>
      <c r="G256" s="9">
        <v>2.8E-4</v>
      </c>
      <c r="H256" s="10">
        <v>1399.0</v>
      </c>
      <c r="I256" s="11" t="s">
        <v>964</v>
      </c>
      <c r="J256" s="7" t="s">
        <v>479</v>
      </c>
      <c r="K256" s="11" t="s">
        <v>24</v>
      </c>
      <c r="L256" s="7"/>
      <c r="M256" s="11"/>
      <c r="N256" s="12" t="s">
        <v>965</v>
      </c>
      <c r="O256" s="2"/>
      <c r="P256" s="2"/>
    </row>
    <row r="257">
      <c r="A257" s="6" t="s">
        <v>966</v>
      </c>
      <c r="B257" s="7" t="s">
        <v>19</v>
      </c>
      <c r="C257" s="7" t="s">
        <v>20</v>
      </c>
      <c r="D257" s="7" t="s">
        <v>32</v>
      </c>
      <c r="E257" s="8">
        <v>10400.0</v>
      </c>
      <c r="F257" s="8">
        <v>5268.0</v>
      </c>
      <c r="G257" s="9">
        <v>0.046</v>
      </c>
      <c r="H257" s="10"/>
      <c r="I257" s="11" t="s">
        <v>967</v>
      </c>
      <c r="J257" s="7" t="s">
        <v>968</v>
      </c>
      <c r="K257" s="11" t="s">
        <v>24</v>
      </c>
      <c r="L257" s="7"/>
      <c r="M257" s="11"/>
      <c r="N257" s="12" t="s">
        <v>969</v>
      </c>
      <c r="O257" s="17">
        <f t="shared" ref="O257:O258" si="31">H257/F257</f>
        <v>0</v>
      </c>
      <c r="P257" s="18">
        <f t="shared" ref="P257:P258" si="32">(H257/F257)*1000</f>
        <v>0</v>
      </c>
    </row>
    <row r="258">
      <c r="A258" s="6" t="s">
        <v>970</v>
      </c>
      <c r="B258" s="7" t="s">
        <v>19</v>
      </c>
      <c r="C258" s="7" t="s">
        <v>20</v>
      </c>
      <c r="D258" s="7" t="s">
        <v>32</v>
      </c>
      <c r="E258" s="8">
        <v>10300.0</v>
      </c>
      <c r="F258" s="8">
        <v>28450.0</v>
      </c>
      <c r="G258" s="9">
        <v>0.0205</v>
      </c>
      <c r="H258" s="10"/>
      <c r="I258" s="11" t="s">
        <v>971</v>
      </c>
      <c r="J258" s="7" t="s">
        <v>972</v>
      </c>
      <c r="K258" s="11" t="s">
        <v>24</v>
      </c>
      <c r="L258" s="7"/>
      <c r="M258" s="11"/>
      <c r="N258" s="12" t="s">
        <v>973</v>
      </c>
      <c r="O258" s="17">
        <f t="shared" si="31"/>
        <v>0</v>
      </c>
      <c r="P258" s="18">
        <f t="shared" si="32"/>
        <v>0</v>
      </c>
    </row>
    <row r="259" hidden="1">
      <c r="A259" s="6" t="s">
        <v>974</v>
      </c>
      <c r="B259" s="7" t="s">
        <v>19</v>
      </c>
      <c r="C259" s="7" t="s">
        <v>20</v>
      </c>
      <c r="D259" s="7" t="s">
        <v>21</v>
      </c>
      <c r="E259" s="8">
        <v>10300.0</v>
      </c>
      <c r="F259" s="8">
        <v>29686.0</v>
      </c>
      <c r="G259" s="9">
        <v>0.0155</v>
      </c>
      <c r="H259" s="10"/>
      <c r="I259" s="11"/>
      <c r="J259" s="7" t="s">
        <v>975</v>
      </c>
      <c r="K259" s="11" t="s">
        <v>24</v>
      </c>
      <c r="L259" s="7"/>
      <c r="M259" s="11"/>
      <c r="N259" s="12" t="s">
        <v>976</v>
      </c>
      <c r="O259" s="2"/>
      <c r="P259" s="2"/>
    </row>
    <row r="260" hidden="1">
      <c r="A260" s="6" t="s">
        <v>977</v>
      </c>
      <c r="B260" s="7" t="s">
        <v>19</v>
      </c>
      <c r="C260" s="7" t="s">
        <v>20</v>
      </c>
      <c r="D260" s="7" t="s">
        <v>21</v>
      </c>
      <c r="E260" s="8">
        <v>9940.0</v>
      </c>
      <c r="F260" s="8">
        <v>4855.0</v>
      </c>
      <c r="G260" s="9">
        <v>0.0351</v>
      </c>
      <c r="H260" s="10"/>
      <c r="I260" s="11" t="s">
        <v>978</v>
      </c>
      <c r="J260" s="7" t="s">
        <v>979</v>
      </c>
      <c r="K260" s="11" t="s">
        <v>24</v>
      </c>
      <c r="L260" s="7"/>
      <c r="M260" s="11"/>
      <c r="N260" s="12" t="s">
        <v>980</v>
      </c>
      <c r="O260" s="2"/>
      <c r="P260" s="2"/>
    </row>
    <row r="261">
      <c r="A261" s="6" t="s">
        <v>981</v>
      </c>
      <c r="B261" s="7" t="s">
        <v>19</v>
      </c>
      <c r="C261" s="7" t="s">
        <v>20</v>
      </c>
      <c r="D261" s="7" t="s">
        <v>32</v>
      </c>
      <c r="E261" s="8">
        <v>9790.0</v>
      </c>
      <c r="F261" s="8">
        <v>25424.0</v>
      </c>
      <c r="G261" s="9">
        <v>0.02</v>
      </c>
      <c r="H261" s="10"/>
      <c r="I261" s="11"/>
      <c r="J261" s="7" t="s">
        <v>982</v>
      </c>
      <c r="K261" s="11" t="s">
        <v>24</v>
      </c>
      <c r="L261" s="7"/>
      <c r="M261" s="11"/>
      <c r="N261" s="12" t="s">
        <v>983</v>
      </c>
      <c r="O261" s="17">
        <f>H261/F261</f>
        <v>0</v>
      </c>
      <c r="P261" s="18">
        <f>(H261/F261)*1000</f>
        <v>0</v>
      </c>
    </row>
    <row r="262" hidden="1">
      <c r="A262" s="6" t="s">
        <v>984</v>
      </c>
      <c r="B262" s="7" t="s">
        <v>19</v>
      </c>
      <c r="C262" s="7" t="s">
        <v>20</v>
      </c>
      <c r="D262" s="7" t="s">
        <v>21</v>
      </c>
      <c r="E262" s="8">
        <v>9680.0</v>
      </c>
      <c r="F262" s="8">
        <v>6225.0</v>
      </c>
      <c r="G262" s="9">
        <v>0.0543</v>
      </c>
      <c r="H262" s="10"/>
      <c r="I262" s="11"/>
      <c r="J262" s="7" t="s">
        <v>985</v>
      </c>
      <c r="K262" s="11" t="s">
        <v>24</v>
      </c>
      <c r="L262" s="7"/>
      <c r="M262" s="11"/>
      <c r="N262" s="12" t="s">
        <v>986</v>
      </c>
      <c r="O262" s="2"/>
      <c r="P262" s="2"/>
    </row>
    <row r="263">
      <c r="A263" s="6" t="s">
        <v>987</v>
      </c>
      <c r="B263" s="7" t="s">
        <v>19</v>
      </c>
      <c r="C263" s="7" t="s">
        <v>20</v>
      </c>
      <c r="D263" s="7" t="s">
        <v>32</v>
      </c>
      <c r="E263" s="8">
        <v>9590.0</v>
      </c>
      <c r="F263" s="8">
        <v>10748.0</v>
      </c>
      <c r="G263" s="9">
        <v>0.0313</v>
      </c>
      <c r="H263" s="10"/>
      <c r="I263" s="11" t="s">
        <v>988</v>
      </c>
      <c r="J263" s="7" t="s">
        <v>215</v>
      </c>
      <c r="K263" s="11" t="s">
        <v>24</v>
      </c>
      <c r="L263" s="7"/>
      <c r="M263" s="11"/>
      <c r="N263" s="12" t="s">
        <v>989</v>
      </c>
      <c r="O263" s="17">
        <f t="shared" ref="O263:O264" si="33">H263/F263</f>
        <v>0</v>
      </c>
      <c r="P263" s="18">
        <f t="shared" ref="P263:P264" si="34">(H263/F263)*1000</f>
        <v>0</v>
      </c>
    </row>
    <row r="264">
      <c r="A264" s="6" t="s">
        <v>990</v>
      </c>
      <c r="B264" s="7" t="s">
        <v>19</v>
      </c>
      <c r="C264" s="7" t="s">
        <v>20</v>
      </c>
      <c r="D264" s="7" t="s">
        <v>32</v>
      </c>
      <c r="E264" s="8">
        <v>9540.0</v>
      </c>
      <c r="F264" s="8">
        <v>5830.0</v>
      </c>
      <c r="G264" s="9">
        <v>0.0272</v>
      </c>
      <c r="H264" s="10"/>
      <c r="I264" s="11" t="s">
        <v>991</v>
      </c>
      <c r="J264" s="7" t="s">
        <v>215</v>
      </c>
      <c r="K264" s="11" t="s">
        <v>24</v>
      </c>
      <c r="L264" s="7"/>
      <c r="M264" s="11"/>
      <c r="N264" s="12" t="s">
        <v>992</v>
      </c>
      <c r="O264" s="17">
        <f t="shared" si="33"/>
        <v>0</v>
      </c>
      <c r="P264" s="18">
        <f t="shared" si="34"/>
        <v>0</v>
      </c>
    </row>
    <row r="265" hidden="1">
      <c r="A265" s="6" t="s">
        <v>993</v>
      </c>
      <c r="B265" s="7" t="s">
        <v>19</v>
      </c>
      <c r="C265" s="7" t="s">
        <v>20</v>
      </c>
      <c r="D265" s="7" t="s">
        <v>21</v>
      </c>
      <c r="E265" s="8">
        <v>9410.0</v>
      </c>
      <c r="F265" s="8">
        <v>6763.0</v>
      </c>
      <c r="G265" s="9">
        <v>0.0549</v>
      </c>
      <c r="H265" s="10"/>
      <c r="I265" s="11" t="s">
        <v>994</v>
      </c>
      <c r="J265" s="7" t="s">
        <v>995</v>
      </c>
      <c r="K265" s="11" t="s">
        <v>24</v>
      </c>
      <c r="L265" s="7"/>
      <c r="M265" s="11"/>
      <c r="N265" s="12" t="s">
        <v>996</v>
      </c>
      <c r="O265" s="2"/>
      <c r="P265" s="2"/>
    </row>
    <row r="266">
      <c r="A266" s="6" t="s">
        <v>997</v>
      </c>
      <c r="B266" s="7" t="s">
        <v>19</v>
      </c>
      <c r="C266" s="7" t="s">
        <v>20</v>
      </c>
      <c r="D266" s="7" t="s">
        <v>32</v>
      </c>
      <c r="E266" s="8">
        <v>9260.0</v>
      </c>
      <c r="F266" s="8">
        <v>11651.0</v>
      </c>
      <c r="G266" s="9">
        <v>0.0264</v>
      </c>
      <c r="H266" s="10"/>
      <c r="I266" s="11" t="s">
        <v>998</v>
      </c>
      <c r="J266" s="7" t="s">
        <v>999</v>
      </c>
      <c r="K266" s="11" t="s">
        <v>24</v>
      </c>
      <c r="L266" s="7"/>
      <c r="M266" s="11"/>
      <c r="N266" s="12" t="s">
        <v>1000</v>
      </c>
      <c r="O266" s="17">
        <f>H266/F266</f>
        <v>0</v>
      </c>
      <c r="P266" s="18">
        <f>(H266/F266)*1000</f>
        <v>0</v>
      </c>
    </row>
    <row r="267" hidden="1">
      <c r="A267" s="6" t="s">
        <v>1001</v>
      </c>
      <c r="B267" s="7" t="s">
        <v>40</v>
      </c>
      <c r="C267" s="7" t="s">
        <v>41</v>
      </c>
      <c r="D267" s="7" t="s">
        <v>21</v>
      </c>
      <c r="E267" s="8">
        <v>9100.0</v>
      </c>
      <c r="F267" s="8"/>
      <c r="G267" s="9">
        <v>2.2E-4</v>
      </c>
      <c r="H267" s="10">
        <v>1007.0</v>
      </c>
      <c r="I267" s="11" t="s">
        <v>1002</v>
      </c>
      <c r="J267" s="7" t="s">
        <v>1003</v>
      </c>
      <c r="K267" s="11" t="s">
        <v>24</v>
      </c>
      <c r="L267" s="7"/>
      <c r="M267" s="11"/>
      <c r="N267" s="12" t="s">
        <v>1004</v>
      </c>
      <c r="O267" s="2"/>
      <c r="P267" s="2"/>
    </row>
    <row r="268" hidden="1">
      <c r="A268" s="6" t="s">
        <v>1005</v>
      </c>
      <c r="B268" s="7" t="s">
        <v>40</v>
      </c>
      <c r="C268" s="7" t="s">
        <v>41</v>
      </c>
      <c r="D268" s="7" t="s">
        <v>21</v>
      </c>
      <c r="E268" s="8">
        <v>9000.0</v>
      </c>
      <c r="F268" s="8"/>
      <c r="G268" s="9">
        <v>4.3E-4</v>
      </c>
      <c r="H268" s="10">
        <v>769.0</v>
      </c>
      <c r="I268" s="11" t="s">
        <v>1006</v>
      </c>
      <c r="J268" s="7" t="s">
        <v>760</v>
      </c>
      <c r="K268" s="11" t="s">
        <v>24</v>
      </c>
      <c r="L268" s="7"/>
      <c r="M268" s="11"/>
      <c r="N268" s="12" t="s">
        <v>1007</v>
      </c>
      <c r="O268" s="2"/>
      <c r="P268" s="2"/>
    </row>
    <row r="269">
      <c r="A269" s="6" t="s">
        <v>1008</v>
      </c>
      <c r="B269" s="7" t="s">
        <v>19</v>
      </c>
      <c r="C269" s="7" t="s">
        <v>20</v>
      </c>
      <c r="D269" s="7" t="s">
        <v>32</v>
      </c>
      <c r="E269" s="8">
        <v>8930.0</v>
      </c>
      <c r="F269" s="8">
        <v>4784.0</v>
      </c>
      <c r="G269" s="9">
        <v>0.036</v>
      </c>
      <c r="H269" s="10"/>
      <c r="I269" s="11" t="s">
        <v>1009</v>
      </c>
      <c r="J269" s="7" t="s">
        <v>1010</v>
      </c>
      <c r="K269" s="11" t="s">
        <v>24</v>
      </c>
      <c r="L269" s="7"/>
      <c r="M269" s="11"/>
      <c r="N269" s="12" t="s">
        <v>1011</v>
      </c>
      <c r="O269" s="17">
        <f>H269/F269</f>
        <v>0</v>
      </c>
      <c r="P269" s="18">
        <f>(H269/F269)*1000</f>
        <v>0</v>
      </c>
    </row>
    <row r="270" hidden="1">
      <c r="A270" s="6" t="s">
        <v>1012</v>
      </c>
      <c r="B270" s="7" t="s">
        <v>40</v>
      </c>
      <c r="C270" s="7" t="s">
        <v>41</v>
      </c>
      <c r="D270" s="7" t="s">
        <v>21</v>
      </c>
      <c r="E270" s="8">
        <v>8900.0</v>
      </c>
      <c r="F270" s="8"/>
      <c r="G270" s="9">
        <v>4.1E-4</v>
      </c>
      <c r="H270" s="10">
        <v>322.0</v>
      </c>
      <c r="I270" s="11" t="s">
        <v>1013</v>
      </c>
      <c r="J270" s="7" t="s">
        <v>985</v>
      </c>
      <c r="K270" s="11" t="s">
        <v>24</v>
      </c>
      <c r="L270" s="7"/>
      <c r="M270" s="11"/>
      <c r="N270" s="12" t="s">
        <v>1014</v>
      </c>
      <c r="O270" s="2"/>
      <c r="P270" s="2"/>
    </row>
    <row r="271" hidden="1">
      <c r="A271" s="6" t="s">
        <v>516</v>
      </c>
      <c r="B271" s="7" t="s">
        <v>40</v>
      </c>
      <c r="C271" s="7" t="s">
        <v>41</v>
      </c>
      <c r="D271" s="7" t="s">
        <v>21</v>
      </c>
      <c r="E271" s="8">
        <v>8900.0</v>
      </c>
      <c r="F271" s="8"/>
      <c r="G271" s="9">
        <v>5.0E-4</v>
      </c>
      <c r="H271" s="10">
        <v>420.0</v>
      </c>
      <c r="I271" s="11" t="s">
        <v>1015</v>
      </c>
      <c r="J271" s="7" t="s">
        <v>518</v>
      </c>
      <c r="K271" s="11" t="s">
        <v>24</v>
      </c>
      <c r="L271" s="7"/>
      <c r="M271" s="11"/>
      <c r="N271" s="12" t="s">
        <v>1016</v>
      </c>
      <c r="O271" s="2"/>
      <c r="P271" s="2"/>
    </row>
    <row r="272">
      <c r="A272" s="6" t="s">
        <v>1017</v>
      </c>
      <c r="B272" s="7" t="s">
        <v>19</v>
      </c>
      <c r="C272" s="7" t="s">
        <v>20</v>
      </c>
      <c r="D272" s="7" t="s">
        <v>32</v>
      </c>
      <c r="E272" s="8">
        <v>8890.0</v>
      </c>
      <c r="F272" s="8">
        <v>6176.0</v>
      </c>
      <c r="G272" s="9">
        <v>0.0252</v>
      </c>
      <c r="H272" s="10"/>
      <c r="I272" s="11"/>
      <c r="J272" s="7" t="s">
        <v>1018</v>
      </c>
      <c r="K272" s="11" t="s">
        <v>24</v>
      </c>
      <c r="L272" s="7"/>
      <c r="M272" s="11"/>
      <c r="N272" s="12" t="s">
        <v>1019</v>
      </c>
      <c r="O272" s="17">
        <f>H272/F272</f>
        <v>0</v>
      </c>
      <c r="P272" s="18">
        <f>(H272/F272)*1000</f>
        <v>0</v>
      </c>
    </row>
    <row r="273" hidden="1">
      <c r="A273" s="6" t="s">
        <v>1020</v>
      </c>
      <c r="B273" s="7" t="s">
        <v>19</v>
      </c>
      <c r="C273" s="7" t="s">
        <v>20</v>
      </c>
      <c r="D273" s="7" t="s">
        <v>21</v>
      </c>
      <c r="E273" s="8">
        <v>8710.0</v>
      </c>
      <c r="F273" s="8">
        <v>10394.0</v>
      </c>
      <c r="G273" s="9">
        <v>0.0245</v>
      </c>
      <c r="H273" s="10"/>
      <c r="I273" s="11" t="s">
        <v>1021</v>
      </c>
      <c r="J273" s="7" t="s">
        <v>1022</v>
      </c>
      <c r="K273" s="11" t="s">
        <v>24</v>
      </c>
      <c r="L273" s="7"/>
      <c r="M273" s="11"/>
      <c r="N273" s="12" t="s">
        <v>1023</v>
      </c>
      <c r="O273" s="2"/>
      <c r="P273" s="2"/>
    </row>
    <row r="274" hidden="1">
      <c r="A274" s="6" t="s">
        <v>1024</v>
      </c>
      <c r="B274" s="7" t="s">
        <v>40</v>
      </c>
      <c r="C274" s="7" t="s">
        <v>41</v>
      </c>
      <c r="D274" s="7" t="s">
        <v>21</v>
      </c>
      <c r="E274" s="8">
        <v>8700.0</v>
      </c>
      <c r="F274" s="8"/>
      <c r="G274" s="9">
        <v>0.0</v>
      </c>
      <c r="H274" s="10">
        <v>10490.0</v>
      </c>
      <c r="I274" s="11" t="s">
        <v>1025</v>
      </c>
      <c r="J274" s="7" t="s">
        <v>1026</v>
      </c>
      <c r="K274" s="11" t="s">
        <v>24</v>
      </c>
      <c r="L274" s="7"/>
      <c r="M274" s="11"/>
      <c r="N274" s="12" t="s">
        <v>1027</v>
      </c>
      <c r="O274" s="2"/>
      <c r="P274" s="2"/>
    </row>
    <row r="275">
      <c r="A275" s="6" t="s">
        <v>1028</v>
      </c>
      <c r="B275" s="7" t="s">
        <v>19</v>
      </c>
      <c r="C275" s="7" t="s">
        <v>20</v>
      </c>
      <c r="D275" s="7" t="s">
        <v>32</v>
      </c>
      <c r="E275" s="8">
        <v>8500.0</v>
      </c>
      <c r="F275" s="8">
        <v>170558.0</v>
      </c>
      <c r="G275" s="9">
        <v>0.0062</v>
      </c>
      <c r="H275" s="10"/>
      <c r="I275" s="11"/>
      <c r="J275" s="7" t="s">
        <v>1029</v>
      </c>
      <c r="K275" s="11" t="s">
        <v>24</v>
      </c>
      <c r="L275" s="7"/>
      <c r="M275" s="11"/>
      <c r="N275" s="12" t="s">
        <v>1030</v>
      </c>
      <c r="O275" s="17">
        <f>H275/F275</f>
        <v>0</v>
      </c>
      <c r="P275" s="18">
        <f>(H275/F275)*1000</f>
        <v>0</v>
      </c>
    </row>
    <row r="276" hidden="1">
      <c r="A276" s="6" t="s">
        <v>1031</v>
      </c>
      <c r="B276" s="7" t="s">
        <v>40</v>
      </c>
      <c r="C276" s="7" t="s">
        <v>41</v>
      </c>
      <c r="D276" s="7" t="s">
        <v>21</v>
      </c>
      <c r="E276" s="8">
        <v>8400.0</v>
      </c>
      <c r="F276" s="8"/>
      <c r="G276" s="9">
        <v>1.8E-4</v>
      </c>
      <c r="H276" s="10">
        <v>308.0</v>
      </c>
      <c r="I276" s="11" t="s">
        <v>1032</v>
      </c>
      <c r="J276" s="7" t="s">
        <v>611</v>
      </c>
      <c r="K276" s="11" t="s">
        <v>24</v>
      </c>
      <c r="L276" s="7"/>
      <c r="M276" s="11"/>
      <c r="N276" s="12" t="s">
        <v>1033</v>
      </c>
      <c r="O276" s="2"/>
      <c r="P276" s="2"/>
    </row>
    <row r="277">
      <c r="A277" s="6" t="s">
        <v>1034</v>
      </c>
      <c r="B277" s="7" t="s">
        <v>19</v>
      </c>
      <c r="C277" s="7" t="s">
        <v>20</v>
      </c>
      <c r="D277" s="7" t="s">
        <v>32</v>
      </c>
      <c r="E277" s="8">
        <v>8390.0</v>
      </c>
      <c r="F277" s="8">
        <v>7131.0</v>
      </c>
      <c r="G277" s="9">
        <v>0.0413</v>
      </c>
      <c r="H277" s="10"/>
      <c r="I277" s="11" t="s">
        <v>1035</v>
      </c>
      <c r="J277" s="7" t="s">
        <v>1036</v>
      </c>
      <c r="K277" s="11" t="s">
        <v>24</v>
      </c>
      <c r="L277" s="7"/>
      <c r="M277" s="11"/>
      <c r="N277" s="12" t="s">
        <v>1037</v>
      </c>
      <c r="O277" s="17">
        <f>H277/F277</f>
        <v>0</v>
      </c>
      <c r="P277" s="18">
        <f>(H277/F277)*1000</f>
        <v>0</v>
      </c>
    </row>
    <row r="278" hidden="1">
      <c r="A278" s="6" t="s">
        <v>1038</v>
      </c>
      <c r="B278" s="7" t="s">
        <v>19</v>
      </c>
      <c r="C278" s="7" t="s">
        <v>20</v>
      </c>
      <c r="D278" s="7" t="s">
        <v>21</v>
      </c>
      <c r="E278" s="8">
        <v>8280.0</v>
      </c>
      <c r="F278" s="8">
        <v>13265.0</v>
      </c>
      <c r="G278" s="9">
        <v>0.0456</v>
      </c>
      <c r="H278" s="10"/>
      <c r="I278" s="11"/>
      <c r="J278" s="7" t="s">
        <v>1039</v>
      </c>
      <c r="K278" s="11" t="s">
        <v>24</v>
      </c>
      <c r="L278" s="7"/>
      <c r="M278" s="11"/>
      <c r="N278" s="12" t="s">
        <v>1040</v>
      </c>
      <c r="O278" s="2"/>
      <c r="P278" s="2"/>
    </row>
    <row r="279" hidden="1">
      <c r="A279" s="6" t="s">
        <v>1041</v>
      </c>
      <c r="B279" s="7" t="s">
        <v>19</v>
      </c>
      <c r="C279" s="7" t="s">
        <v>20</v>
      </c>
      <c r="D279" s="7" t="s">
        <v>21</v>
      </c>
      <c r="E279" s="8">
        <v>8220.0</v>
      </c>
      <c r="F279" s="8">
        <v>4017.0</v>
      </c>
      <c r="G279" s="9">
        <v>0.0213</v>
      </c>
      <c r="H279" s="10"/>
      <c r="I279" s="11" t="s">
        <v>1042</v>
      </c>
      <c r="J279" s="7" t="s">
        <v>1043</v>
      </c>
      <c r="K279" s="11" t="s">
        <v>24</v>
      </c>
      <c r="L279" s="7"/>
      <c r="M279" s="11"/>
      <c r="N279" s="12" t="s">
        <v>1044</v>
      </c>
      <c r="O279" s="2"/>
      <c r="P279" s="2"/>
    </row>
    <row r="280">
      <c r="A280" s="6" t="s">
        <v>1045</v>
      </c>
      <c r="B280" s="7" t="s">
        <v>19</v>
      </c>
      <c r="C280" s="7" t="s">
        <v>20</v>
      </c>
      <c r="D280" s="7" t="s">
        <v>32</v>
      </c>
      <c r="E280" s="8">
        <v>8030.0</v>
      </c>
      <c r="F280" s="8">
        <v>7637.0</v>
      </c>
      <c r="G280" s="9">
        <v>0.0565</v>
      </c>
      <c r="H280" s="10"/>
      <c r="I280" s="11" t="s">
        <v>1046</v>
      </c>
      <c r="J280" s="7" t="s">
        <v>318</v>
      </c>
      <c r="K280" s="11" t="s">
        <v>24</v>
      </c>
      <c r="L280" s="7"/>
      <c r="M280" s="11"/>
      <c r="N280" s="12" t="s">
        <v>1047</v>
      </c>
      <c r="O280" s="17">
        <f>H280/F280</f>
        <v>0</v>
      </c>
      <c r="P280" s="18">
        <f>(H280/F280)*1000</f>
        <v>0</v>
      </c>
    </row>
    <row r="281" hidden="1">
      <c r="A281" s="6" t="s">
        <v>1048</v>
      </c>
      <c r="B281" s="7" t="s">
        <v>19</v>
      </c>
      <c r="C281" s="7" t="s">
        <v>20</v>
      </c>
      <c r="D281" s="7" t="s">
        <v>21</v>
      </c>
      <c r="E281" s="8">
        <v>7980.0</v>
      </c>
      <c r="F281" s="8">
        <v>4430.0</v>
      </c>
      <c r="G281" s="9">
        <v>0.0485</v>
      </c>
      <c r="H281" s="10"/>
      <c r="I281" s="11" t="s">
        <v>1049</v>
      </c>
      <c r="J281" s="7" t="s">
        <v>1050</v>
      </c>
      <c r="K281" s="11" t="s">
        <v>24</v>
      </c>
      <c r="L281" s="7"/>
      <c r="M281" s="11"/>
      <c r="N281" s="12" t="s">
        <v>1051</v>
      </c>
      <c r="O281" s="2"/>
      <c r="P281" s="2"/>
    </row>
    <row r="282" hidden="1">
      <c r="A282" s="6" t="s">
        <v>1052</v>
      </c>
      <c r="B282" s="7" t="s">
        <v>19</v>
      </c>
      <c r="C282" s="7" t="s">
        <v>20</v>
      </c>
      <c r="D282" s="7" t="s">
        <v>21</v>
      </c>
      <c r="E282" s="8">
        <v>7920.0</v>
      </c>
      <c r="F282" s="8">
        <v>54087.0</v>
      </c>
      <c r="G282" s="9">
        <v>0.0156</v>
      </c>
      <c r="H282" s="10"/>
      <c r="I282" s="11"/>
      <c r="J282" s="7" t="s">
        <v>1053</v>
      </c>
      <c r="K282" s="11" t="s">
        <v>24</v>
      </c>
      <c r="L282" s="7"/>
      <c r="M282" s="11"/>
      <c r="N282" s="12" t="s">
        <v>1054</v>
      </c>
      <c r="O282" s="2"/>
      <c r="P282" s="2"/>
    </row>
    <row r="283">
      <c r="A283" s="6" t="s">
        <v>1055</v>
      </c>
      <c r="B283" s="7" t="s">
        <v>19</v>
      </c>
      <c r="C283" s="7" t="s">
        <v>20</v>
      </c>
      <c r="D283" s="7" t="s">
        <v>32</v>
      </c>
      <c r="E283" s="8">
        <v>7810.0</v>
      </c>
      <c r="F283" s="8">
        <v>19454.0</v>
      </c>
      <c r="G283" s="9">
        <v>0.0166</v>
      </c>
      <c r="H283" s="10"/>
      <c r="I283" s="11" t="s">
        <v>1056</v>
      </c>
      <c r="J283" s="7" t="s">
        <v>1057</v>
      </c>
      <c r="K283" s="11" t="s">
        <v>24</v>
      </c>
      <c r="L283" s="7"/>
      <c r="M283" s="11"/>
      <c r="N283" s="12" t="s">
        <v>1058</v>
      </c>
      <c r="O283" s="17">
        <f>H283/F283</f>
        <v>0</v>
      </c>
      <c r="P283" s="18">
        <f>(H283/F283)*1000</f>
        <v>0</v>
      </c>
    </row>
    <row r="284" hidden="1">
      <c r="A284" s="6" t="s">
        <v>1059</v>
      </c>
      <c r="B284" s="7" t="s">
        <v>19</v>
      </c>
      <c r="C284" s="7" t="s">
        <v>20</v>
      </c>
      <c r="D284" s="7" t="s">
        <v>21</v>
      </c>
      <c r="E284" s="8">
        <v>7750.0</v>
      </c>
      <c r="F284" s="8">
        <v>14432.0</v>
      </c>
      <c r="G284" s="9">
        <v>0.0324</v>
      </c>
      <c r="H284" s="10"/>
      <c r="I284" s="11" t="s">
        <v>1060</v>
      </c>
      <c r="J284" s="7" t="s">
        <v>1061</v>
      </c>
      <c r="K284" s="11" t="s">
        <v>24</v>
      </c>
      <c r="L284" s="7"/>
      <c r="M284" s="11"/>
      <c r="N284" s="12" t="s">
        <v>1062</v>
      </c>
      <c r="O284" s="2"/>
      <c r="P284" s="2"/>
    </row>
    <row r="285">
      <c r="A285" s="6" t="s">
        <v>1063</v>
      </c>
      <c r="B285" s="7" t="s">
        <v>19</v>
      </c>
      <c r="C285" s="7" t="s">
        <v>20</v>
      </c>
      <c r="D285" s="7" t="s">
        <v>32</v>
      </c>
      <c r="E285" s="8">
        <v>7610.0</v>
      </c>
      <c r="F285" s="8">
        <v>4371.0</v>
      </c>
      <c r="G285" s="9">
        <v>0.0439</v>
      </c>
      <c r="H285" s="10"/>
      <c r="I285" s="11"/>
      <c r="J285" s="7" t="s">
        <v>1064</v>
      </c>
      <c r="K285" s="11" t="s">
        <v>24</v>
      </c>
      <c r="L285" s="7"/>
      <c r="M285" s="11"/>
      <c r="N285" s="12" t="s">
        <v>1065</v>
      </c>
      <c r="O285" s="17">
        <f>H285/F285</f>
        <v>0</v>
      </c>
      <c r="P285" s="18">
        <f>(H285/F285)*1000</f>
        <v>0</v>
      </c>
    </row>
    <row r="286" hidden="1">
      <c r="A286" s="6" t="s">
        <v>1066</v>
      </c>
      <c r="B286" s="7" t="s">
        <v>19</v>
      </c>
      <c r="C286" s="7" t="s">
        <v>20</v>
      </c>
      <c r="D286" s="7" t="s">
        <v>21</v>
      </c>
      <c r="E286" s="8">
        <v>7530.0</v>
      </c>
      <c r="F286" s="8">
        <v>4586.0</v>
      </c>
      <c r="G286" s="9">
        <v>0.0136</v>
      </c>
      <c r="H286" s="10"/>
      <c r="I286" s="11"/>
      <c r="J286" s="7" t="s">
        <v>1067</v>
      </c>
      <c r="K286" s="11" t="s">
        <v>24</v>
      </c>
      <c r="L286" s="7"/>
      <c r="M286" s="11"/>
      <c r="N286" s="12" t="s">
        <v>1068</v>
      </c>
      <c r="O286" s="2"/>
      <c r="P286" s="2"/>
    </row>
    <row r="287">
      <c r="A287" s="6" t="s">
        <v>1069</v>
      </c>
      <c r="B287" s="7" t="s">
        <v>19</v>
      </c>
      <c r="C287" s="7" t="s">
        <v>20</v>
      </c>
      <c r="D287" s="7" t="s">
        <v>32</v>
      </c>
      <c r="E287" s="8">
        <v>7430.0</v>
      </c>
      <c r="F287" s="8">
        <v>11935.0</v>
      </c>
      <c r="G287" s="9">
        <v>0.0216</v>
      </c>
      <c r="H287" s="10"/>
      <c r="I287" s="11"/>
      <c r="J287" s="7" t="s">
        <v>1070</v>
      </c>
      <c r="K287" s="11" t="s">
        <v>24</v>
      </c>
      <c r="L287" s="7"/>
      <c r="M287" s="11"/>
      <c r="N287" s="12" t="s">
        <v>1071</v>
      </c>
      <c r="O287" s="17">
        <f>H287/F287</f>
        <v>0</v>
      </c>
      <c r="P287" s="18">
        <f>(H287/F287)*1000</f>
        <v>0</v>
      </c>
    </row>
    <row r="288" hidden="1">
      <c r="A288" s="6" t="s">
        <v>1072</v>
      </c>
      <c r="B288" s="7" t="s">
        <v>19</v>
      </c>
      <c r="C288" s="7" t="s">
        <v>20</v>
      </c>
      <c r="D288" s="7" t="s">
        <v>21</v>
      </c>
      <c r="E288" s="8">
        <v>7320.0</v>
      </c>
      <c r="F288" s="8">
        <v>19762.0</v>
      </c>
      <c r="G288" s="9">
        <v>0.0176</v>
      </c>
      <c r="H288" s="10"/>
      <c r="I288" s="11" t="s">
        <v>1073</v>
      </c>
      <c r="J288" s="7" t="s">
        <v>1074</v>
      </c>
      <c r="K288" s="11" t="s">
        <v>24</v>
      </c>
      <c r="L288" s="7"/>
      <c r="M288" s="11"/>
      <c r="N288" s="12" t="s">
        <v>1075</v>
      </c>
      <c r="O288" s="2"/>
      <c r="P288" s="2"/>
    </row>
    <row r="289">
      <c r="A289" s="6" t="s">
        <v>1076</v>
      </c>
      <c r="B289" s="7" t="s">
        <v>19</v>
      </c>
      <c r="C289" s="7" t="s">
        <v>20</v>
      </c>
      <c r="D289" s="7" t="s">
        <v>32</v>
      </c>
      <c r="E289" s="8">
        <v>7220.0</v>
      </c>
      <c r="F289" s="8">
        <v>6793.0</v>
      </c>
      <c r="G289" s="9">
        <v>0.0385</v>
      </c>
      <c r="H289" s="10"/>
      <c r="I289" s="11" t="s">
        <v>1077</v>
      </c>
      <c r="J289" s="7" t="s">
        <v>1078</v>
      </c>
      <c r="K289" s="11" t="s">
        <v>24</v>
      </c>
      <c r="L289" s="7"/>
      <c r="M289" s="11"/>
      <c r="N289" s="12" t="s">
        <v>1079</v>
      </c>
      <c r="O289" s="17">
        <f t="shared" ref="O289:O292" si="35">H289/F289</f>
        <v>0</v>
      </c>
      <c r="P289" s="18">
        <f t="shared" ref="P289:P292" si="36">(H289/F289)*1000</f>
        <v>0</v>
      </c>
    </row>
    <row r="290">
      <c r="A290" s="6" t="s">
        <v>1080</v>
      </c>
      <c r="B290" s="7" t="s">
        <v>19</v>
      </c>
      <c r="C290" s="7" t="s">
        <v>20</v>
      </c>
      <c r="D290" s="7" t="s">
        <v>32</v>
      </c>
      <c r="E290" s="8">
        <v>6950.0</v>
      </c>
      <c r="F290" s="8">
        <v>6186.0</v>
      </c>
      <c r="G290" s="9">
        <v>0.0493</v>
      </c>
      <c r="H290" s="10"/>
      <c r="I290" s="11" t="s">
        <v>1081</v>
      </c>
      <c r="J290" s="7" t="s">
        <v>215</v>
      </c>
      <c r="K290" s="11" t="s">
        <v>24</v>
      </c>
      <c r="L290" s="7"/>
      <c r="M290" s="11"/>
      <c r="N290" s="12" t="s">
        <v>1082</v>
      </c>
      <c r="O290" s="17">
        <f t="shared" si="35"/>
        <v>0</v>
      </c>
      <c r="P290" s="18">
        <f t="shared" si="36"/>
        <v>0</v>
      </c>
    </row>
    <row r="291">
      <c r="A291" s="6" t="s">
        <v>1083</v>
      </c>
      <c r="B291" s="7" t="s">
        <v>19</v>
      </c>
      <c r="C291" s="7" t="s">
        <v>20</v>
      </c>
      <c r="D291" s="7" t="s">
        <v>32</v>
      </c>
      <c r="E291" s="8">
        <v>6850.0</v>
      </c>
      <c r="F291" s="8">
        <v>11577.0</v>
      </c>
      <c r="G291" s="9">
        <v>0.0313</v>
      </c>
      <c r="H291" s="10"/>
      <c r="I291" s="11" t="s">
        <v>1084</v>
      </c>
      <c r="J291" s="7" t="s">
        <v>1085</v>
      </c>
      <c r="K291" s="11" t="s">
        <v>24</v>
      </c>
      <c r="L291" s="7"/>
      <c r="M291" s="11"/>
      <c r="N291" s="12" t="s">
        <v>1086</v>
      </c>
      <c r="O291" s="17">
        <f t="shared" si="35"/>
        <v>0</v>
      </c>
      <c r="P291" s="18">
        <f t="shared" si="36"/>
        <v>0</v>
      </c>
    </row>
    <row r="292">
      <c r="A292" s="6" t="s">
        <v>1087</v>
      </c>
      <c r="B292" s="7" t="s">
        <v>19</v>
      </c>
      <c r="C292" s="7" t="s">
        <v>20</v>
      </c>
      <c r="D292" s="7" t="s">
        <v>32</v>
      </c>
      <c r="E292" s="8">
        <v>6760.0</v>
      </c>
      <c r="F292" s="8">
        <v>7056.0</v>
      </c>
      <c r="G292" s="9">
        <v>0.0272</v>
      </c>
      <c r="H292" s="10"/>
      <c r="I292" s="11" t="s">
        <v>1088</v>
      </c>
      <c r="J292" s="7" t="s">
        <v>1089</v>
      </c>
      <c r="K292" s="11" t="s">
        <v>24</v>
      </c>
      <c r="L292" s="7"/>
      <c r="M292" s="11"/>
      <c r="N292" s="12" t="s">
        <v>1090</v>
      </c>
      <c r="O292" s="17">
        <f t="shared" si="35"/>
        <v>0</v>
      </c>
      <c r="P292" s="18">
        <f t="shared" si="36"/>
        <v>0</v>
      </c>
    </row>
    <row r="293" hidden="1">
      <c r="A293" s="6" t="s">
        <v>1091</v>
      </c>
      <c r="B293" s="7" t="s">
        <v>19</v>
      </c>
      <c r="C293" s="7" t="s">
        <v>20</v>
      </c>
      <c r="D293" s="7" t="s">
        <v>21</v>
      </c>
      <c r="E293" s="8">
        <v>6760.0</v>
      </c>
      <c r="F293" s="8">
        <v>19427.0</v>
      </c>
      <c r="G293" s="9">
        <v>0.0259</v>
      </c>
      <c r="H293" s="10"/>
      <c r="I293" s="11" t="s">
        <v>1092</v>
      </c>
      <c r="J293" s="7" t="s">
        <v>1093</v>
      </c>
      <c r="K293" s="11" t="s">
        <v>24</v>
      </c>
      <c r="L293" s="7"/>
      <c r="M293" s="11"/>
      <c r="N293" s="12" t="s">
        <v>1094</v>
      </c>
      <c r="O293" s="2"/>
      <c r="P293" s="2"/>
    </row>
    <row r="294" hidden="1">
      <c r="A294" s="6" t="s">
        <v>1095</v>
      </c>
      <c r="B294" s="7" t="s">
        <v>40</v>
      </c>
      <c r="C294" s="7" t="s">
        <v>41</v>
      </c>
      <c r="D294" s="7" t="s">
        <v>21</v>
      </c>
      <c r="E294" s="8">
        <v>6700.0</v>
      </c>
      <c r="F294" s="8"/>
      <c r="G294" s="9">
        <v>4.9E-4</v>
      </c>
      <c r="H294" s="10">
        <v>554.0</v>
      </c>
      <c r="I294" s="11" t="s">
        <v>1096</v>
      </c>
      <c r="J294" s="7" t="s">
        <v>1097</v>
      </c>
      <c r="K294" s="11" t="s">
        <v>24</v>
      </c>
      <c r="L294" s="7"/>
      <c r="M294" s="11"/>
      <c r="N294" s="12" t="s">
        <v>1098</v>
      </c>
      <c r="O294" s="2"/>
      <c r="P294" s="2"/>
    </row>
    <row r="295">
      <c r="A295" s="6" t="s">
        <v>1099</v>
      </c>
      <c r="B295" s="7" t="s">
        <v>19</v>
      </c>
      <c r="C295" s="7" t="s">
        <v>20</v>
      </c>
      <c r="D295" s="7" t="s">
        <v>32</v>
      </c>
      <c r="E295" s="8">
        <v>6650.0</v>
      </c>
      <c r="F295" s="8">
        <v>4634.0</v>
      </c>
      <c r="G295" s="9">
        <v>0.0069</v>
      </c>
      <c r="H295" s="10"/>
      <c r="I295" s="11" t="s">
        <v>1100</v>
      </c>
      <c r="J295" s="7" t="s">
        <v>1101</v>
      </c>
      <c r="K295" s="11" t="s">
        <v>24</v>
      </c>
      <c r="L295" s="7"/>
      <c r="M295" s="11"/>
      <c r="N295" s="12" t="s">
        <v>1102</v>
      </c>
      <c r="O295" s="17">
        <f>H295/F295</f>
        <v>0</v>
      </c>
      <c r="P295" s="18">
        <f>(H295/F295)*1000</f>
        <v>0</v>
      </c>
    </row>
    <row r="296" hidden="1">
      <c r="A296" s="6" t="s">
        <v>1103</v>
      </c>
      <c r="B296" s="7" t="s">
        <v>40</v>
      </c>
      <c r="C296" s="7" t="s">
        <v>41</v>
      </c>
      <c r="D296" s="7" t="s">
        <v>21</v>
      </c>
      <c r="E296" s="8">
        <v>6600.0</v>
      </c>
      <c r="F296" s="8"/>
      <c r="G296" s="9">
        <v>1.7E-4</v>
      </c>
      <c r="H296" s="10">
        <v>308.0</v>
      </c>
      <c r="I296" s="11" t="s">
        <v>1104</v>
      </c>
      <c r="J296" s="7" t="s">
        <v>545</v>
      </c>
      <c r="K296" s="11" t="s">
        <v>24</v>
      </c>
      <c r="L296" s="7"/>
      <c r="M296" s="11"/>
      <c r="N296" s="12" t="s">
        <v>1105</v>
      </c>
      <c r="O296" s="2"/>
      <c r="P296" s="2"/>
    </row>
    <row r="297">
      <c r="A297" s="6" t="s">
        <v>1106</v>
      </c>
      <c r="B297" s="7" t="s">
        <v>19</v>
      </c>
      <c r="C297" s="7" t="s">
        <v>20</v>
      </c>
      <c r="D297" s="7" t="s">
        <v>32</v>
      </c>
      <c r="E297" s="8">
        <v>6570.0</v>
      </c>
      <c r="F297" s="8">
        <v>10692.0</v>
      </c>
      <c r="G297" s="9">
        <v>0.0428</v>
      </c>
      <c r="H297" s="10"/>
      <c r="I297" s="11" t="s">
        <v>1107</v>
      </c>
      <c r="J297" s="7" t="s">
        <v>1108</v>
      </c>
      <c r="K297" s="11" t="s">
        <v>24</v>
      </c>
      <c r="L297" s="7"/>
      <c r="M297" s="11"/>
      <c r="N297" s="12" t="s">
        <v>1109</v>
      </c>
      <c r="O297" s="17">
        <f>H297/F297</f>
        <v>0</v>
      </c>
      <c r="P297" s="18">
        <f>(H297/F297)*1000</f>
        <v>0</v>
      </c>
    </row>
    <row r="298" hidden="1">
      <c r="A298" s="6" t="s">
        <v>1110</v>
      </c>
      <c r="B298" s="7" t="s">
        <v>19</v>
      </c>
      <c r="C298" s="7" t="s">
        <v>20</v>
      </c>
      <c r="D298" s="7" t="s">
        <v>21</v>
      </c>
      <c r="E298" s="8">
        <v>6540.0</v>
      </c>
      <c r="F298" s="8">
        <v>2465.0</v>
      </c>
      <c r="G298" s="9">
        <v>0.0297</v>
      </c>
      <c r="H298" s="10"/>
      <c r="I298" s="11" t="s">
        <v>1111</v>
      </c>
      <c r="J298" s="7" t="s">
        <v>1112</v>
      </c>
      <c r="K298" s="11" t="s">
        <v>24</v>
      </c>
      <c r="L298" s="7"/>
      <c r="M298" s="11"/>
      <c r="N298" s="12" t="s">
        <v>1113</v>
      </c>
      <c r="O298" s="2"/>
      <c r="P298" s="2"/>
    </row>
    <row r="299" hidden="1">
      <c r="A299" s="6" t="s">
        <v>1114</v>
      </c>
      <c r="B299" s="7" t="s">
        <v>40</v>
      </c>
      <c r="C299" s="7" t="s">
        <v>41</v>
      </c>
      <c r="D299" s="7" t="s">
        <v>21</v>
      </c>
      <c r="E299" s="8">
        <v>6500.0</v>
      </c>
      <c r="F299" s="8"/>
      <c r="G299" s="9">
        <v>4.3E-4</v>
      </c>
      <c r="H299" s="10">
        <v>1678.0</v>
      </c>
      <c r="I299" s="11" t="s">
        <v>1115</v>
      </c>
      <c r="J299" s="7" t="s">
        <v>1116</v>
      </c>
      <c r="K299" s="11" t="s">
        <v>24</v>
      </c>
      <c r="L299" s="7"/>
      <c r="M299" s="11"/>
      <c r="N299" s="12" t="s">
        <v>1117</v>
      </c>
      <c r="O299" s="2"/>
      <c r="P299" s="2"/>
    </row>
    <row r="300" hidden="1">
      <c r="A300" s="6" t="s">
        <v>1118</v>
      </c>
      <c r="B300" s="7" t="s">
        <v>19</v>
      </c>
      <c r="C300" s="7" t="s">
        <v>20</v>
      </c>
      <c r="D300" s="7" t="s">
        <v>21</v>
      </c>
      <c r="E300" s="8">
        <v>6480.0</v>
      </c>
      <c r="F300" s="8">
        <v>10796.0</v>
      </c>
      <c r="G300" s="9">
        <v>0.0433</v>
      </c>
      <c r="H300" s="10"/>
      <c r="I300" s="11"/>
      <c r="J300" s="7" t="s">
        <v>1119</v>
      </c>
      <c r="K300" s="11" t="s">
        <v>24</v>
      </c>
      <c r="L300" s="7"/>
      <c r="M300" s="11"/>
      <c r="N300" s="12" t="s">
        <v>1120</v>
      </c>
      <c r="O300" s="2"/>
      <c r="P300" s="2"/>
    </row>
    <row r="301">
      <c r="A301" s="6" t="s">
        <v>1121</v>
      </c>
      <c r="B301" s="7" t="s">
        <v>19</v>
      </c>
      <c r="C301" s="7" t="s">
        <v>20</v>
      </c>
      <c r="D301" s="7" t="s">
        <v>32</v>
      </c>
      <c r="E301" s="8">
        <v>6420.0</v>
      </c>
      <c r="F301" s="8">
        <v>37976.0</v>
      </c>
      <c r="G301" s="9">
        <v>0.0092</v>
      </c>
      <c r="H301" s="10"/>
      <c r="I301" s="11" t="s">
        <v>1122</v>
      </c>
      <c r="J301" s="7" t="s">
        <v>1123</v>
      </c>
      <c r="K301" s="11" t="s">
        <v>24</v>
      </c>
      <c r="L301" s="7"/>
      <c r="M301" s="11"/>
      <c r="N301" s="12" t="s">
        <v>1124</v>
      </c>
      <c r="O301" s="17">
        <f>H301/F301</f>
        <v>0</v>
      </c>
      <c r="P301" s="18">
        <f>(H301/F301)*1000</f>
        <v>0</v>
      </c>
    </row>
    <row r="302" hidden="1">
      <c r="A302" s="6" t="s">
        <v>1125</v>
      </c>
      <c r="B302" s="7" t="s">
        <v>40</v>
      </c>
      <c r="C302" s="7" t="s">
        <v>41</v>
      </c>
      <c r="D302" s="7" t="s">
        <v>21</v>
      </c>
      <c r="E302" s="8">
        <v>6400.0</v>
      </c>
      <c r="F302" s="8"/>
      <c r="G302" s="9">
        <v>2.1E-4</v>
      </c>
      <c r="H302" s="10">
        <v>629.0</v>
      </c>
      <c r="I302" s="11" t="s">
        <v>1126</v>
      </c>
      <c r="J302" s="7" t="s">
        <v>883</v>
      </c>
      <c r="K302" s="11" t="s">
        <v>24</v>
      </c>
      <c r="L302" s="7"/>
      <c r="M302" s="11"/>
      <c r="N302" s="12" t="s">
        <v>1127</v>
      </c>
      <c r="O302" s="2"/>
      <c r="P302" s="2"/>
    </row>
    <row r="303">
      <c r="A303" s="6" t="s">
        <v>1128</v>
      </c>
      <c r="B303" s="7" t="s">
        <v>19</v>
      </c>
      <c r="C303" s="7" t="s">
        <v>20</v>
      </c>
      <c r="D303" s="7" t="s">
        <v>32</v>
      </c>
      <c r="E303" s="8">
        <v>6360.0</v>
      </c>
      <c r="F303" s="8">
        <v>8336.0</v>
      </c>
      <c r="G303" s="9">
        <v>0.1149</v>
      </c>
      <c r="H303" s="10"/>
      <c r="I303" s="11"/>
      <c r="J303" s="7" t="s">
        <v>1129</v>
      </c>
      <c r="K303" s="11" t="s">
        <v>24</v>
      </c>
      <c r="L303" s="7"/>
      <c r="M303" s="11"/>
      <c r="N303" s="12" t="s">
        <v>1130</v>
      </c>
      <c r="O303" s="17">
        <f>H303/F303</f>
        <v>0</v>
      </c>
      <c r="P303" s="18">
        <f>(H303/F303)*1000</f>
        <v>0</v>
      </c>
    </row>
    <row r="304" hidden="1">
      <c r="A304" s="6" t="s">
        <v>1131</v>
      </c>
      <c r="B304" s="7" t="s">
        <v>40</v>
      </c>
      <c r="C304" s="7" t="s">
        <v>41</v>
      </c>
      <c r="D304" s="7" t="s">
        <v>21</v>
      </c>
      <c r="E304" s="8">
        <v>6200.0</v>
      </c>
      <c r="F304" s="8"/>
      <c r="G304" s="9">
        <v>2.0E-4</v>
      </c>
      <c r="H304" s="10">
        <v>308.0</v>
      </c>
      <c r="I304" s="11" t="s">
        <v>1132</v>
      </c>
      <c r="J304" s="7" t="s">
        <v>1133</v>
      </c>
      <c r="K304" s="11" t="s">
        <v>24</v>
      </c>
      <c r="L304" s="7"/>
      <c r="M304" s="11"/>
      <c r="N304" s="12" t="s">
        <v>1134</v>
      </c>
      <c r="O304" s="2"/>
      <c r="P304" s="2"/>
    </row>
    <row r="305" hidden="1">
      <c r="A305" s="6" t="s">
        <v>1135</v>
      </c>
      <c r="B305" s="7" t="s">
        <v>40</v>
      </c>
      <c r="C305" s="7" t="s">
        <v>41</v>
      </c>
      <c r="D305" s="7" t="s">
        <v>21</v>
      </c>
      <c r="E305" s="8">
        <v>6000.0</v>
      </c>
      <c r="F305" s="8"/>
      <c r="G305" s="9">
        <v>3.2E-4</v>
      </c>
      <c r="H305" s="10">
        <v>2098.0</v>
      </c>
      <c r="I305" s="11" t="s">
        <v>1136</v>
      </c>
      <c r="J305" s="7" t="s">
        <v>1137</v>
      </c>
      <c r="K305" s="11" t="s">
        <v>24</v>
      </c>
      <c r="L305" s="7"/>
      <c r="M305" s="11"/>
      <c r="N305" s="12" t="s">
        <v>1138</v>
      </c>
      <c r="O305" s="2"/>
      <c r="P305" s="2"/>
    </row>
    <row r="306" hidden="1">
      <c r="A306" s="6" t="s">
        <v>1139</v>
      </c>
      <c r="B306" s="7" t="s">
        <v>40</v>
      </c>
      <c r="C306" s="7" t="s">
        <v>41</v>
      </c>
      <c r="D306" s="7" t="s">
        <v>21</v>
      </c>
      <c r="E306" s="8">
        <v>6000.0</v>
      </c>
      <c r="F306" s="8"/>
      <c r="G306" s="9">
        <v>1.1E-4</v>
      </c>
      <c r="H306" s="10">
        <v>2937.0</v>
      </c>
      <c r="I306" s="11" t="s">
        <v>1140</v>
      </c>
      <c r="J306" s="7" t="s">
        <v>1141</v>
      </c>
      <c r="K306" s="11" t="s">
        <v>24</v>
      </c>
      <c r="L306" s="7"/>
      <c r="M306" s="11"/>
      <c r="N306" s="12" t="s">
        <v>1142</v>
      </c>
      <c r="O306" s="2"/>
      <c r="P306" s="2"/>
    </row>
    <row r="307" hidden="1">
      <c r="A307" s="6" t="s">
        <v>1143</v>
      </c>
      <c r="B307" s="7" t="s">
        <v>19</v>
      </c>
      <c r="C307" s="7" t="s">
        <v>20</v>
      </c>
      <c r="D307" s="7" t="s">
        <v>21</v>
      </c>
      <c r="E307" s="8">
        <v>5950.0</v>
      </c>
      <c r="F307" s="8">
        <v>3665.0</v>
      </c>
      <c r="G307" s="9">
        <v>0.0076</v>
      </c>
      <c r="H307" s="10"/>
      <c r="I307" s="11" t="s">
        <v>1144</v>
      </c>
      <c r="J307" s="7" t="s">
        <v>1145</v>
      </c>
      <c r="K307" s="11" t="s">
        <v>24</v>
      </c>
      <c r="L307" s="7"/>
      <c r="M307" s="11"/>
      <c r="N307" s="12" t="s">
        <v>1146</v>
      </c>
      <c r="O307" s="2"/>
      <c r="P307" s="2"/>
    </row>
    <row r="308">
      <c r="A308" s="6" t="s">
        <v>1147</v>
      </c>
      <c r="B308" s="7" t="s">
        <v>19</v>
      </c>
      <c r="C308" s="7" t="s">
        <v>20</v>
      </c>
      <c r="D308" s="7" t="s">
        <v>32</v>
      </c>
      <c r="E308" s="8">
        <v>5900.0</v>
      </c>
      <c r="F308" s="8">
        <v>8244.0</v>
      </c>
      <c r="G308" s="9">
        <v>0.0256</v>
      </c>
      <c r="H308" s="10"/>
      <c r="I308" s="11"/>
      <c r="J308" s="7" t="s">
        <v>1148</v>
      </c>
      <c r="K308" s="11" t="s">
        <v>24</v>
      </c>
      <c r="L308" s="7"/>
      <c r="M308" s="11"/>
      <c r="N308" s="12" t="s">
        <v>1149</v>
      </c>
      <c r="O308" s="17">
        <f>H308/F308</f>
        <v>0</v>
      </c>
      <c r="P308" s="18">
        <f>(H308/F308)*1000</f>
        <v>0</v>
      </c>
    </row>
    <row r="309" hidden="1">
      <c r="A309" s="6" t="s">
        <v>1150</v>
      </c>
      <c r="B309" s="7" t="s">
        <v>19</v>
      </c>
      <c r="C309" s="7" t="s">
        <v>20</v>
      </c>
      <c r="D309" s="7" t="s">
        <v>21</v>
      </c>
      <c r="E309" s="8">
        <v>5850.0</v>
      </c>
      <c r="F309" s="8">
        <v>4172.0</v>
      </c>
      <c r="G309" s="9">
        <v>0.0285</v>
      </c>
      <c r="H309" s="10"/>
      <c r="I309" s="11" t="s">
        <v>1151</v>
      </c>
      <c r="J309" s="7" t="s">
        <v>1152</v>
      </c>
      <c r="K309" s="11" t="s">
        <v>24</v>
      </c>
      <c r="L309" s="7"/>
      <c r="M309" s="11"/>
      <c r="N309" s="12" t="s">
        <v>1153</v>
      </c>
      <c r="O309" s="2"/>
      <c r="P309" s="2"/>
    </row>
    <row r="310" hidden="1">
      <c r="A310" s="6" t="s">
        <v>1154</v>
      </c>
      <c r="B310" s="7" t="s">
        <v>40</v>
      </c>
      <c r="C310" s="7" t="s">
        <v>41</v>
      </c>
      <c r="D310" s="7" t="s">
        <v>21</v>
      </c>
      <c r="E310" s="8">
        <v>5800.0</v>
      </c>
      <c r="F310" s="8"/>
      <c r="G310" s="9">
        <v>8.2E-4</v>
      </c>
      <c r="H310" s="10">
        <v>420.0</v>
      </c>
      <c r="I310" s="11" t="s">
        <v>1155</v>
      </c>
      <c r="J310" s="7" t="s">
        <v>1156</v>
      </c>
      <c r="K310" s="11" t="s">
        <v>24</v>
      </c>
      <c r="L310" s="7"/>
      <c r="M310" s="11"/>
      <c r="N310" s="12" t="s">
        <v>1157</v>
      </c>
      <c r="O310" s="2"/>
      <c r="P310" s="2"/>
    </row>
    <row r="311">
      <c r="A311" s="6" t="s">
        <v>1158</v>
      </c>
      <c r="B311" s="7" t="s">
        <v>19</v>
      </c>
      <c r="C311" s="7" t="s">
        <v>20</v>
      </c>
      <c r="D311" s="7" t="s">
        <v>32</v>
      </c>
      <c r="E311" s="8">
        <v>5800.0</v>
      </c>
      <c r="F311" s="8">
        <v>8867.0</v>
      </c>
      <c r="G311" s="9">
        <v>0.0375</v>
      </c>
      <c r="H311" s="10"/>
      <c r="I311" s="11" t="s">
        <v>1159</v>
      </c>
      <c r="J311" s="7" t="s">
        <v>1160</v>
      </c>
      <c r="K311" s="11" t="s">
        <v>24</v>
      </c>
      <c r="L311" s="7"/>
      <c r="M311" s="11"/>
      <c r="N311" s="12" t="s">
        <v>1161</v>
      </c>
      <c r="O311" s="17">
        <f t="shared" ref="O311:O312" si="37">H311/F311</f>
        <v>0</v>
      </c>
      <c r="P311" s="18">
        <f t="shared" ref="P311:P312" si="38">(H311/F311)*1000</f>
        <v>0</v>
      </c>
    </row>
    <row r="312">
      <c r="A312" s="6" t="s">
        <v>1162</v>
      </c>
      <c r="B312" s="7" t="s">
        <v>19</v>
      </c>
      <c r="C312" s="7" t="s">
        <v>20</v>
      </c>
      <c r="D312" s="7" t="s">
        <v>32</v>
      </c>
      <c r="E312" s="8">
        <v>5760.0</v>
      </c>
      <c r="F312" s="8">
        <v>4291.0</v>
      </c>
      <c r="G312" s="9">
        <v>0.0298</v>
      </c>
      <c r="H312" s="10"/>
      <c r="I312" s="11" t="s">
        <v>1163</v>
      </c>
      <c r="J312" s="7" t="s">
        <v>1164</v>
      </c>
      <c r="K312" s="11" t="s">
        <v>24</v>
      </c>
      <c r="L312" s="7"/>
      <c r="M312" s="11"/>
      <c r="N312" s="12" t="s">
        <v>1165</v>
      </c>
      <c r="O312" s="17">
        <f t="shared" si="37"/>
        <v>0</v>
      </c>
      <c r="P312" s="18">
        <f t="shared" si="38"/>
        <v>0</v>
      </c>
    </row>
    <row r="313" hidden="1">
      <c r="A313" s="6" t="s">
        <v>272</v>
      </c>
      <c r="B313" s="7" t="s">
        <v>40</v>
      </c>
      <c r="C313" s="7" t="s">
        <v>41</v>
      </c>
      <c r="D313" s="7" t="s">
        <v>21</v>
      </c>
      <c r="E313" s="8">
        <v>5700.0</v>
      </c>
      <c r="F313" s="8"/>
      <c r="G313" s="9">
        <v>0.00191</v>
      </c>
      <c r="H313" s="10">
        <v>825.0</v>
      </c>
      <c r="I313" s="11" t="s">
        <v>1166</v>
      </c>
      <c r="J313" s="7" t="s">
        <v>274</v>
      </c>
      <c r="K313" s="11" t="s">
        <v>24</v>
      </c>
      <c r="L313" s="7"/>
      <c r="M313" s="11"/>
      <c r="N313" s="12" t="s">
        <v>1167</v>
      </c>
      <c r="O313" s="2"/>
      <c r="P313" s="2"/>
    </row>
    <row r="314" hidden="1">
      <c r="A314" s="6" t="s">
        <v>1168</v>
      </c>
      <c r="B314" s="7" t="s">
        <v>40</v>
      </c>
      <c r="C314" s="7" t="s">
        <v>41</v>
      </c>
      <c r="D314" s="7" t="s">
        <v>21</v>
      </c>
      <c r="E314" s="8">
        <v>5700.0</v>
      </c>
      <c r="F314" s="8"/>
      <c r="G314" s="9">
        <v>2.6E-4</v>
      </c>
      <c r="H314" s="10">
        <v>308.0</v>
      </c>
      <c r="I314" s="11" t="s">
        <v>1169</v>
      </c>
      <c r="J314" s="7" t="s">
        <v>1170</v>
      </c>
      <c r="K314" s="11" t="s">
        <v>24</v>
      </c>
      <c r="L314" s="7"/>
      <c r="M314" s="11"/>
      <c r="N314" s="12" t="s">
        <v>1171</v>
      </c>
      <c r="O314" s="2"/>
      <c r="P314" s="2"/>
    </row>
    <row r="315" hidden="1">
      <c r="A315" s="6" t="s">
        <v>1172</v>
      </c>
      <c r="B315" s="7" t="s">
        <v>19</v>
      </c>
      <c r="C315" s="7" t="s">
        <v>20</v>
      </c>
      <c r="D315" s="7" t="s">
        <v>21</v>
      </c>
      <c r="E315" s="8">
        <v>5640.0</v>
      </c>
      <c r="F315" s="8">
        <v>9257.0</v>
      </c>
      <c r="G315" s="9">
        <v>0.0387</v>
      </c>
      <c r="H315" s="10"/>
      <c r="I315" s="11" t="s">
        <v>1173</v>
      </c>
      <c r="J315" s="7" t="s">
        <v>1174</v>
      </c>
      <c r="K315" s="11" t="s">
        <v>24</v>
      </c>
      <c r="L315" s="7"/>
      <c r="M315" s="11"/>
      <c r="N315" s="12" t="s">
        <v>1175</v>
      </c>
      <c r="O315" s="2"/>
      <c r="P315" s="2"/>
    </row>
    <row r="316">
      <c r="A316" s="6" t="s">
        <v>1176</v>
      </c>
      <c r="B316" s="7" t="s">
        <v>19</v>
      </c>
      <c r="C316" s="7" t="s">
        <v>20</v>
      </c>
      <c r="D316" s="7" t="s">
        <v>32</v>
      </c>
      <c r="E316" s="8">
        <v>5590.0</v>
      </c>
      <c r="F316" s="8">
        <v>9644.0</v>
      </c>
      <c r="G316" s="9">
        <v>0.0101</v>
      </c>
      <c r="H316" s="10"/>
      <c r="I316" s="11" t="s">
        <v>1177</v>
      </c>
      <c r="J316" s="7" t="s">
        <v>1178</v>
      </c>
      <c r="K316" s="11" t="s">
        <v>24</v>
      </c>
      <c r="L316" s="7"/>
      <c r="M316" s="11"/>
      <c r="N316" s="12" t="s">
        <v>1179</v>
      </c>
      <c r="O316" s="17">
        <f>H316/F316</f>
        <v>0</v>
      </c>
      <c r="P316" s="18">
        <f>(H316/F316)*1000</f>
        <v>0</v>
      </c>
    </row>
    <row r="317" hidden="1">
      <c r="A317" s="6" t="s">
        <v>1180</v>
      </c>
      <c r="B317" s="7" t="s">
        <v>40</v>
      </c>
      <c r="C317" s="7" t="s">
        <v>41</v>
      </c>
      <c r="D317" s="7" t="s">
        <v>21</v>
      </c>
      <c r="E317" s="8">
        <v>5500.0</v>
      </c>
      <c r="F317" s="8"/>
      <c r="G317" s="9">
        <v>0.00537</v>
      </c>
      <c r="H317" s="10">
        <v>2098.0</v>
      </c>
      <c r="I317" s="11" t="s">
        <v>1181</v>
      </c>
      <c r="J317" s="7" t="s">
        <v>1182</v>
      </c>
      <c r="K317" s="11" t="s">
        <v>24</v>
      </c>
      <c r="L317" s="7"/>
      <c r="M317" s="11"/>
      <c r="N317" s="12" t="s">
        <v>1183</v>
      </c>
      <c r="O317" s="2"/>
      <c r="P317" s="2"/>
    </row>
    <row r="318" hidden="1">
      <c r="A318" s="6" t="s">
        <v>1184</v>
      </c>
      <c r="B318" s="7" t="s">
        <v>40</v>
      </c>
      <c r="C318" s="7" t="s">
        <v>41</v>
      </c>
      <c r="D318" s="7" t="s">
        <v>21</v>
      </c>
      <c r="E318" s="8">
        <v>5500.0</v>
      </c>
      <c r="F318" s="8"/>
      <c r="G318" s="9">
        <v>0.0</v>
      </c>
      <c r="H318" s="10">
        <v>6993.0</v>
      </c>
      <c r="I318" s="11" t="s">
        <v>1185</v>
      </c>
      <c r="J318" s="7" t="s">
        <v>1186</v>
      </c>
      <c r="K318" s="11" t="s">
        <v>24</v>
      </c>
      <c r="L318" s="7"/>
      <c r="M318" s="11"/>
      <c r="N318" s="12" t="s">
        <v>1187</v>
      </c>
      <c r="O318" s="2"/>
      <c r="P318" s="2"/>
    </row>
    <row r="319" hidden="1">
      <c r="A319" s="6" t="s">
        <v>1188</v>
      </c>
      <c r="B319" s="7" t="s">
        <v>40</v>
      </c>
      <c r="C319" s="7" t="s">
        <v>41</v>
      </c>
      <c r="D319" s="7" t="s">
        <v>21</v>
      </c>
      <c r="E319" s="8">
        <v>5400.0</v>
      </c>
      <c r="F319" s="8"/>
      <c r="G319" s="9">
        <v>4.1E-4</v>
      </c>
      <c r="H319" s="10">
        <v>559.0</v>
      </c>
      <c r="I319" s="11" t="s">
        <v>1189</v>
      </c>
      <c r="J319" s="7" t="s">
        <v>1190</v>
      </c>
      <c r="K319" s="11" t="s">
        <v>24</v>
      </c>
      <c r="L319" s="7"/>
      <c r="M319" s="11"/>
      <c r="N319" s="12" t="s">
        <v>1191</v>
      </c>
      <c r="O319" s="2"/>
      <c r="P319" s="2"/>
    </row>
    <row r="320">
      <c r="A320" s="6" t="s">
        <v>1192</v>
      </c>
      <c r="B320" s="7" t="s">
        <v>19</v>
      </c>
      <c r="C320" s="7" t="s">
        <v>20</v>
      </c>
      <c r="D320" s="7" t="s">
        <v>32</v>
      </c>
      <c r="E320" s="8">
        <v>5370.0</v>
      </c>
      <c r="F320" s="8">
        <v>25371.0</v>
      </c>
      <c r="G320" s="9">
        <v>0.0137</v>
      </c>
      <c r="H320" s="10"/>
      <c r="I320" s="11"/>
      <c r="J320" s="7" t="s">
        <v>1193</v>
      </c>
      <c r="K320" s="11" t="s">
        <v>24</v>
      </c>
      <c r="L320" s="7"/>
      <c r="M320" s="11"/>
      <c r="N320" s="12" t="s">
        <v>1194</v>
      </c>
      <c r="O320" s="17">
        <f t="shared" ref="O320:O321" si="39">H320/F320</f>
        <v>0</v>
      </c>
      <c r="P320" s="18">
        <f t="shared" ref="P320:P321" si="40">(H320/F320)*1000</f>
        <v>0</v>
      </c>
    </row>
    <row r="321">
      <c r="A321" s="6" t="s">
        <v>1195</v>
      </c>
      <c r="B321" s="7" t="s">
        <v>19</v>
      </c>
      <c r="C321" s="7" t="s">
        <v>20</v>
      </c>
      <c r="D321" s="7" t="s">
        <v>32</v>
      </c>
      <c r="E321" s="8">
        <v>5230.0</v>
      </c>
      <c r="F321" s="8">
        <v>9225.0</v>
      </c>
      <c r="G321" s="9">
        <v>0.0244</v>
      </c>
      <c r="H321" s="10"/>
      <c r="I321" s="11"/>
      <c r="J321" s="7" t="s">
        <v>1196</v>
      </c>
      <c r="K321" s="11" t="s">
        <v>24</v>
      </c>
      <c r="L321" s="7"/>
      <c r="M321" s="11"/>
      <c r="N321" s="12" t="s">
        <v>1197</v>
      </c>
      <c r="O321" s="17">
        <f t="shared" si="39"/>
        <v>0</v>
      </c>
      <c r="P321" s="18">
        <f t="shared" si="40"/>
        <v>0</v>
      </c>
    </row>
    <row r="322" hidden="1">
      <c r="A322" s="6" t="s">
        <v>1198</v>
      </c>
      <c r="B322" s="7" t="s">
        <v>19</v>
      </c>
      <c r="C322" s="7" t="s">
        <v>20</v>
      </c>
      <c r="D322" s="7" t="s">
        <v>21</v>
      </c>
      <c r="E322" s="8">
        <v>5230.0</v>
      </c>
      <c r="F322" s="8">
        <v>7425.0</v>
      </c>
      <c r="G322" s="9">
        <v>0.0174</v>
      </c>
      <c r="H322" s="10"/>
      <c r="I322" s="11" t="s">
        <v>1199</v>
      </c>
      <c r="J322" s="7" t="s">
        <v>1200</v>
      </c>
      <c r="K322" s="11" t="s">
        <v>24</v>
      </c>
      <c r="L322" s="7"/>
      <c r="M322" s="11"/>
      <c r="N322" s="12" t="s">
        <v>1201</v>
      </c>
      <c r="O322" s="2"/>
      <c r="P322" s="2"/>
    </row>
    <row r="323" hidden="1">
      <c r="A323" s="6" t="s">
        <v>1202</v>
      </c>
      <c r="B323" s="7" t="s">
        <v>19</v>
      </c>
      <c r="C323" s="7" t="s">
        <v>20</v>
      </c>
      <c r="D323" s="7" t="s">
        <v>21</v>
      </c>
      <c r="E323" s="8">
        <v>5170.0</v>
      </c>
      <c r="F323" s="8">
        <v>4227.0</v>
      </c>
      <c r="G323" s="9">
        <v>0.021</v>
      </c>
      <c r="H323" s="10"/>
      <c r="I323" s="11"/>
      <c r="J323" s="7" t="s">
        <v>441</v>
      </c>
      <c r="K323" s="11" t="s">
        <v>24</v>
      </c>
      <c r="L323" s="7"/>
      <c r="M323" s="11"/>
      <c r="N323" s="12" t="s">
        <v>1203</v>
      </c>
      <c r="O323" s="2"/>
      <c r="P323" s="2"/>
    </row>
    <row r="324">
      <c r="A324" s="6" t="s">
        <v>1204</v>
      </c>
      <c r="B324" s="7" t="s">
        <v>19</v>
      </c>
      <c r="C324" s="7" t="s">
        <v>20</v>
      </c>
      <c r="D324" s="7" t="s">
        <v>32</v>
      </c>
      <c r="E324" s="8">
        <v>5140.0</v>
      </c>
      <c r="F324" s="8">
        <v>6983.0</v>
      </c>
      <c r="G324" s="9">
        <v>0.0387</v>
      </c>
      <c r="H324" s="10"/>
      <c r="I324" s="11" t="s">
        <v>1205</v>
      </c>
      <c r="J324" s="7" t="s">
        <v>1206</v>
      </c>
      <c r="K324" s="11" t="s">
        <v>24</v>
      </c>
      <c r="L324" s="7"/>
      <c r="M324" s="11"/>
      <c r="N324" s="12" t="s">
        <v>1207</v>
      </c>
      <c r="O324" s="17">
        <f t="shared" ref="O324:O325" si="41">H324/F324</f>
        <v>0</v>
      </c>
      <c r="P324" s="18">
        <f t="shared" ref="P324:P325" si="42">(H324/F324)*1000</f>
        <v>0</v>
      </c>
    </row>
    <row r="325">
      <c r="A325" s="6" t="s">
        <v>1208</v>
      </c>
      <c r="B325" s="7" t="s">
        <v>19</v>
      </c>
      <c r="C325" s="7" t="s">
        <v>20</v>
      </c>
      <c r="D325" s="7" t="s">
        <v>32</v>
      </c>
      <c r="E325" s="8">
        <v>5080.0</v>
      </c>
      <c r="F325" s="8">
        <v>1979.0</v>
      </c>
      <c r="G325" s="9">
        <v>0.0678</v>
      </c>
      <c r="H325" s="10"/>
      <c r="I325" s="11" t="s">
        <v>1209</v>
      </c>
      <c r="J325" s="7" t="s">
        <v>1210</v>
      </c>
      <c r="K325" s="11" t="s">
        <v>24</v>
      </c>
      <c r="L325" s="7"/>
      <c r="M325" s="11"/>
      <c r="N325" s="12" t="s">
        <v>1211</v>
      </c>
      <c r="O325" s="17">
        <f t="shared" si="41"/>
        <v>0</v>
      </c>
      <c r="P325" s="18">
        <f t="shared" si="42"/>
        <v>0</v>
      </c>
    </row>
    <row r="326" hidden="1">
      <c r="A326" s="6" t="s">
        <v>1212</v>
      </c>
      <c r="B326" s="7" t="s">
        <v>40</v>
      </c>
      <c r="C326" s="7" t="s">
        <v>41</v>
      </c>
      <c r="D326" s="7" t="s">
        <v>21</v>
      </c>
      <c r="E326" s="8">
        <v>5000.0</v>
      </c>
      <c r="F326" s="8"/>
      <c r="G326" s="9">
        <v>0.0</v>
      </c>
      <c r="H326" s="10">
        <v>5594.0</v>
      </c>
      <c r="I326" s="11" t="s">
        <v>1213</v>
      </c>
      <c r="J326" s="7" t="s">
        <v>1214</v>
      </c>
      <c r="K326" s="11" t="s">
        <v>24</v>
      </c>
      <c r="L326" s="7"/>
      <c r="M326" s="11"/>
      <c r="N326" s="12" t="s">
        <v>1215</v>
      </c>
      <c r="O326" s="2"/>
      <c r="P326" s="2"/>
    </row>
    <row r="327">
      <c r="A327" s="6" t="s">
        <v>1216</v>
      </c>
      <c r="B327" s="7" t="s">
        <v>19</v>
      </c>
      <c r="C327" s="7" t="s">
        <v>20</v>
      </c>
      <c r="D327" s="7" t="s">
        <v>32</v>
      </c>
      <c r="E327" s="8">
        <v>4990.0</v>
      </c>
      <c r="F327" s="8">
        <v>6072.0</v>
      </c>
      <c r="G327" s="9">
        <v>0.0256</v>
      </c>
      <c r="H327" s="10"/>
      <c r="I327" s="11" t="s">
        <v>1217</v>
      </c>
      <c r="J327" s="7" t="s">
        <v>1218</v>
      </c>
      <c r="K327" s="11" t="s">
        <v>24</v>
      </c>
      <c r="L327" s="7"/>
      <c r="M327" s="11"/>
      <c r="N327" s="12" t="s">
        <v>1219</v>
      </c>
      <c r="O327" s="17">
        <f>H327/F327</f>
        <v>0</v>
      </c>
      <c r="P327" s="18">
        <f>(H327/F327)*1000</f>
        <v>0</v>
      </c>
    </row>
    <row r="328" hidden="1">
      <c r="A328" s="6" t="s">
        <v>1220</v>
      </c>
      <c r="B328" s="7" t="s">
        <v>19</v>
      </c>
      <c r="C328" s="7" t="s">
        <v>20</v>
      </c>
      <c r="D328" s="7" t="s">
        <v>21</v>
      </c>
      <c r="E328" s="8">
        <v>4920.0</v>
      </c>
      <c r="F328" s="8">
        <v>2181.0</v>
      </c>
      <c r="G328" s="9">
        <v>0.1253</v>
      </c>
      <c r="H328" s="10"/>
      <c r="I328" s="11" t="s">
        <v>1221</v>
      </c>
      <c r="J328" s="7" t="s">
        <v>1222</v>
      </c>
      <c r="K328" s="11" t="s">
        <v>24</v>
      </c>
      <c r="L328" s="7"/>
      <c r="M328" s="11"/>
      <c r="N328" s="12" t="s">
        <v>1223</v>
      </c>
      <c r="O328" s="2"/>
      <c r="P328" s="2"/>
    </row>
    <row r="329" hidden="1">
      <c r="A329" s="6" t="s">
        <v>1224</v>
      </c>
      <c r="B329" s="7" t="s">
        <v>40</v>
      </c>
      <c r="C329" s="7" t="s">
        <v>41</v>
      </c>
      <c r="D329" s="7" t="s">
        <v>21</v>
      </c>
      <c r="E329" s="8">
        <v>4900.0</v>
      </c>
      <c r="F329" s="8"/>
      <c r="G329" s="9">
        <v>0.0017</v>
      </c>
      <c r="H329" s="10">
        <v>9790.0</v>
      </c>
      <c r="I329" s="11" t="s">
        <v>1225</v>
      </c>
      <c r="J329" s="7" t="s">
        <v>518</v>
      </c>
      <c r="K329" s="11" t="s">
        <v>24</v>
      </c>
      <c r="L329" s="7"/>
      <c r="M329" s="11"/>
      <c r="N329" s="12" t="s">
        <v>1226</v>
      </c>
      <c r="O329" s="2"/>
      <c r="P329" s="2"/>
    </row>
    <row r="330" hidden="1">
      <c r="A330" s="6" t="s">
        <v>1227</v>
      </c>
      <c r="B330" s="7" t="s">
        <v>19</v>
      </c>
      <c r="C330" s="7" t="s">
        <v>20</v>
      </c>
      <c r="D330" s="7" t="s">
        <v>21</v>
      </c>
      <c r="E330" s="8">
        <v>4840.0</v>
      </c>
      <c r="F330" s="8">
        <v>1892.0</v>
      </c>
      <c r="G330" s="9">
        <v>0.1122</v>
      </c>
      <c r="H330" s="10"/>
      <c r="I330" s="11"/>
      <c r="J330" s="7" t="s">
        <v>1228</v>
      </c>
      <c r="K330" s="11" t="s">
        <v>24</v>
      </c>
      <c r="L330" s="7"/>
      <c r="M330" s="11"/>
      <c r="N330" s="12" t="s">
        <v>1229</v>
      </c>
      <c r="O330" s="2"/>
      <c r="P330" s="2"/>
    </row>
    <row r="331">
      <c r="A331" s="6" t="s">
        <v>1230</v>
      </c>
      <c r="B331" s="7" t="s">
        <v>19</v>
      </c>
      <c r="C331" s="7" t="s">
        <v>20</v>
      </c>
      <c r="D331" s="7" t="s">
        <v>32</v>
      </c>
      <c r="E331" s="8">
        <v>4820.0</v>
      </c>
      <c r="F331" s="8">
        <v>4173.0</v>
      </c>
      <c r="G331" s="9">
        <v>0.0387</v>
      </c>
      <c r="H331" s="10"/>
      <c r="I331" s="11" t="s">
        <v>1231</v>
      </c>
      <c r="J331" s="7" t="s">
        <v>591</v>
      </c>
      <c r="K331" s="11" t="s">
        <v>24</v>
      </c>
      <c r="L331" s="7"/>
      <c r="M331" s="11"/>
      <c r="N331" s="12" t="s">
        <v>1232</v>
      </c>
      <c r="O331" s="17">
        <f t="shared" ref="O331:O334" si="43">H331/F331</f>
        <v>0</v>
      </c>
      <c r="P331" s="18">
        <f t="shared" ref="P331:P334" si="44">(H331/F331)*1000</f>
        <v>0</v>
      </c>
    </row>
    <row r="332">
      <c r="A332" s="6" t="s">
        <v>1233</v>
      </c>
      <c r="B332" s="7" t="s">
        <v>19</v>
      </c>
      <c r="C332" s="7" t="s">
        <v>20</v>
      </c>
      <c r="D332" s="7" t="s">
        <v>32</v>
      </c>
      <c r="E332" s="8">
        <v>4710.0</v>
      </c>
      <c r="F332" s="8">
        <v>8367.0</v>
      </c>
      <c r="G332" s="9">
        <v>0.0242</v>
      </c>
      <c r="H332" s="10"/>
      <c r="I332" s="11"/>
      <c r="J332" s="7" t="s">
        <v>294</v>
      </c>
      <c r="K332" s="11" t="s">
        <v>24</v>
      </c>
      <c r="L332" s="7"/>
      <c r="M332" s="11"/>
      <c r="N332" s="12" t="s">
        <v>1234</v>
      </c>
      <c r="O332" s="17">
        <f t="shared" si="43"/>
        <v>0</v>
      </c>
      <c r="P332" s="18">
        <f t="shared" si="44"/>
        <v>0</v>
      </c>
    </row>
    <row r="333">
      <c r="A333" s="6" t="s">
        <v>1235</v>
      </c>
      <c r="B333" s="7" t="s">
        <v>19</v>
      </c>
      <c r="C333" s="7" t="s">
        <v>20</v>
      </c>
      <c r="D333" s="7" t="s">
        <v>32</v>
      </c>
      <c r="E333" s="8">
        <v>4610.0</v>
      </c>
      <c r="F333" s="8">
        <v>4278.0</v>
      </c>
      <c r="G333" s="9">
        <v>0.0477</v>
      </c>
      <c r="H333" s="10"/>
      <c r="I333" s="11" t="s">
        <v>1236</v>
      </c>
      <c r="J333" s="7" t="s">
        <v>1237</v>
      </c>
      <c r="K333" s="11" t="s">
        <v>24</v>
      </c>
      <c r="L333" s="7"/>
      <c r="M333" s="11"/>
      <c r="N333" s="12" t="s">
        <v>1238</v>
      </c>
      <c r="O333" s="17">
        <f t="shared" si="43"/>
        <v>0</v>
      </c>
      <c r="P333" s="18">
        <f t="shared" si="44"/>
        <v>0</v>
      </c>
    </row>
    <row r="334">
      <c r="A334" s="6" t="s">
        <v>1239</v>
      </c>
      <c r="B334" s="7" t="s">
        <v>19</v>
      </c>
      <c r="C334" s="7" t="s">
        <v>20</v>
      </c>
      <c r="D334" s="7" t="s">
        <v>32</v>
      </c>
      <c r="E334" s="8">
        <v>4570.0</v>
      </c>
      <c r="F334" s="8">
        <v>5013.0</v>
      </c>
      <c r="G334" s="9">
        <v>0.0455</v>
      </c>
      <c r="H334" s="10"/>
      <c r="I334" s="11" t="s">
        <v>1240</v>
      </c>
      <c r="J334" s="7" t="s">
        <v>1241</v>
      </c>
      <c r="K334" s="11" t="s">
        <v>24</v>
      </c>
      <c r="L334" s="7"/>
      <c r="M334" s="11"/>
      <c r="N334" s="12" t="s">
        <v>1242</v>
      </c>
      <c r="O334" s="17">
        <f t="shared" si="43"/>
        <v>0</v>
      </c>
      <c r="P334" s="18">
        <f t="shared" si="44"/>
        <v>0</v>
      </c>
    </row>
    <row r="335" hidden="1">
      <c r="A335" s="6" t="s">
        <v>1243</v>
      </c>
      <c r="B335" s="7" t="s">
        <v>19</v>
      </c>
      <c r="C335" s="7" t="s">
        <v>20</v>
      </c>
      <c r="D335" s="7" t="s">
        <v>21</v>
      </c>
      <c r="E335" s="8">
        <v>4510.0</v>
      </c>
      <c r="F335" s="8">
        <v>4528.0</v>
      </c>
      <c r="G335" s="9">
        <v>0.029</v>
      </c>
      <c r="H335" s="10"/>
      <c r="I335" s="11"/>
      <c r="J335" s="7" t="s">
        <v>1244</v>
      </c>
      <c r="K335" s="11" t="s">
        <v>24</v>
      </c>
      <c r="L335" s="7"/>
      <c r="M335" s="11"/>
      <c r="N335" s="12" t="s">
        <v>1245</v>
      </c>
      <c r="O335" s="2"/>
      <c r="P335" s="2"/>
    </row>
    <row r="336" hidden="1">
      <c r="A336" s="6" t="s">
        <v>1246</v>
      </c>
      <c r="B336" s="7" t="s">
        <v>19</v>
      </c>
      <c r="C336" s="7" t="s">
        <v>20</v>
      </c>
      <c r="D336" s="7" t="s">
        <v>21</v>
      </c>
      <c r="E336" s="8">
        <v>4500.0</v>
      </c>
      <c r="F336" s="8">
        <v>201.0</v>
      </c>
      <c r="G336" s="9"/>
      <c r="H336" s="10"/>
      <c r="I336" s="11"/>
      <c r="J336" s="7" t="s">
        <v>1228</v>
      </c>
      <c r="K336" s="11" t="s">
        <v>24</v>
      </c>
      <c r="L336" s="7"/>
      <c r="M336" s="11"/>
      <c r="N336" s="12" t="s">
        <v>1247</v>
      </c>
      <c r="O336" s="2"/>
      <c r="P336" s="2"/>
    </row>
    <row r="337" hidden="1">
      <c r="A337" s="6" t="s">
        <v>1248</v>
      </c>
      <c r="B337" s="7" t="s">
        <v>40</v>
      </c>
      <c r="C337" s="7" t="s">
        <v>41</v>
      </c>
      <c r="D337" s="7" t="s">
        <v>21</v>
      </c>
      <c r="E337" s="8">
        <v>4400.0</v>
      </c>
      <c r="F337" s="8"/>
      <c r="G337" s="9">
        <v>2.1E-4</v>
      </c>
      <c r="H337" s="10">
        <v>308.0</v>
      </c>
      <c r="I337" s="11" t="s">
        <v>1249</v>
      </c>
      <c r="J337" s="7" t="s">
        <v>1250</v>
      </c>
      <c r="K337" s="11" t="s">
        <v>24</v>
      </c>
      <c r="L337" s="7"/>
      <c r="M337" s="11"/>
      <c r="N337" s="12" t="s">
        <v>1251</v>
      </c>
      <c r="O337" s="2"/>
      <c r="P337" s="2"/>
    </row>
    <row r="338" hidden="1">
      <c r="A338" s="6" t="s">
        <v>1252</v>
      </c>
      <c r="B338" s="7" t="s">
        <v>19</v>
      </c>
      <c r="C338" s="7" t="s">
        <v>20</v>
      </c>
      <c r="D338" s="7" t="s">
        <v>21</v>
      </c>
      <c r="E338" s="8">
        <v>4400.0</v>
      </c>
      <c r="F338" s="8">
        <v>13476.0</v>
      </c>
      <c r="G338" s="9">
        <v>0.0259</v>
      </c>
      <c r="H338" s="10"/>
      <c r="I338" s="11"/>
      <c r="J338" s="7" t="s">
        <v>1253</v>
      </c>
      <c r="K338" s="11" t="s">
        <v>24</v>
      </c>
      <c r="L338" s="7"/>
      <c r="M338" s="11"/>
      <c r="N338" s="12" t="s">
        <v>1254</v>
      </c>
      <c r="O338" s="2"/>
      <c r="P338" s="2"/>
    </row>
    <row r="339" hidden="1">
      <c r="A339" s="6" t="s">
        <v>1255</v>
      </c>
      <c r="B339" s="7" t="s">
        <v>19</v>
      </c>
      <c r="C339" s="7" t="s">
        <v>20</v>
      </c>
      <c r="D339" s="7" t="s">
        <v>21</v>
      </c>
      <c r="E339" s="8">
        <v>4320.0</v>
      </c>
      <c r="F339" s="8">
        <v>3849.0</v>
      </c>
      <c r="G339" s="9">
        <v>0.0171</v>
      </c>
      <c r="H339" s="10"/>
      <c r="I339" s="11"/>
      <c r="J339" s="7" t="s">
        <v>1256</v>
      </c>
      <c r="K339" s="11" t="s">
        <v>24</v>
      </c>
      <c r="L339" s="7"/>
      <c r="M339" s="11"/>
      <c r="N339" s="12" t="s">
        <v>1257</v>
      </c>
      <c r="O339" s="2"/>
      <c r="P339" s="2"/>
    </row>
    <row r="340" hidden="1">
      <c r="A340" s="6" t="s">
        <v>1258</v>
      </c>
      <c r="B340" s="7" t="s">
        <v>40</v>
      </c>
      <c r="C340" s="7" t="s">
        <v>41</v>
      </c>
      <c r="D340" s="7" t="s">
        <v>21</v>
      </c>
      <c r="E340" s="8">
        <v>4300.0</v>
      </c>
      <c r="F340" s="8"/>
      <c r="G340" s="9">
        <v>2.8E-4</v>
      </c>
      <c r="H340" s="10">
        <v>629.0</v>
      </c>
      <c r="I340" s="11" t="s">
        <v>1259</v>
      </c>
      <c r="J340" s="7" t="s">
        <v>1190</v>
      </c>
      <c r="K340" s="11" t="s">
        <v>24</v>
      </c>
      <c r="L340" s="7"/>
      <c r="M340" s="11"/>
      <c r="N340" s="12" t="s">
        <v>1260</v>
      </c>
      <c r="O340" s="2"/>
      <c r="P340" s="2"/>
    </row>
    <row r="341" hidden="1">
      <c r="A341" s="6" t="s">
        <v>1261</v>
      </c>
      <c r="B341" s="7" t="s">
        <v>40</v>
      </c>
      <c r="C341" s="7" t="s">
        <v>41</v>
      </c>
      <c r="D341" s="7" t="s">
        <v>21</v>
      </c>
      <c r="E341" s="8">
        <v>4200.0</v>
      </c>
      <c r="F341" s="8"/>
      <c r="G341" s="9">
        <v>3.2E-4</v>
      </c>
      <c r="H341" s="10">
        <v>1399.0</v>
      </c>
      <c r="I341" s="11" t="s">
        <v>1262</v>
      </c>
      <c r="J341" s="7" t="s">
        <v>1263</v>
      </c>
      <c r="K341" s="11" t="s">
        <v>24</v>
      </c>
      <c r="L341" s="7"/>
      <c r="M341" s="11"/>
      <c r="N341" s="12" t="s">
        <v>1264</v>
      </c>
      <c r="O341" s="2"/>
      <c r="P341" s="2"/>
    </row>
    <row r="342" hidden="1">
      <c r="A342" s="6" t="s">
        <v>1265</v>
      </c>
      <c r="B342" s="7" t="s">
        <v>40</v>
      </c>
      <c r="C342" s="7" t="s">
        <v>41</v>
      </c>
      <c r="D342" s="7" t="s">
        <v>21</v>
      </c>
      <c r="E342" s="8">
        <v>4200.0</v>
      </c>
      <c r="F342" s="8"/>
      <c r="G342" s="9">
        <v>0.0</v>
      </c>
      <c r="H342" s="10">
        <v>16783.0</v>
      </c>
      <c r="I342" s="11" t="s">
        <v>1266</v>
      </c>
      <c r="J342" s="7" t="s">
        <v>1267</v>
      </c>
      <c r="K342" s="11" t="s">
        <v>24</v>
      </c>
      <c r="L342" s="7"/>
      <c r="M342" s="11"/>
      <c r="N342" s="12" t="s">
        <v>1268</v>
      </c>
      <c r="O342" s="2"/>
      <c r="P342" s="2"/>
    </row>
    <row r="343">
      <c r="A343" s="6" t="s">
        <v>1269</v>
      </c>
      <c r="B343" s="7" t="s">
        <v>19</v>
      </c>
      <c r="C343" s="7" t="s">
        <v>20</v>
      </c>
      <c r="D343" s="7" t="s">
        <v>32</v>
      </c>
      <c r="E343" s="8">
        <v>4150.0</v>
      </c>
      <c r="F343" s="8">
        <v>52702.0</v>
      </c>
      <c r="G343" s="9">
        <v>0.011</v>
      </c>
      <c r="H343" s="10"/>
      <c r="I343" s="11"/>
      <c r="J343" s="7" t="s">
        <v>1270</v>
      </c>
      <c r="K343" s="11" t="s">
        <v>24</v>
      </c>
      <c r="L343" s="7"/>
      <c r="M343" s="11"/>
      <c r="N343" s="12" t="s">
        <v>1271</v>
      </c>
      <c r="O343" s="17">
        <f>H343/F343</f>
        <v>0</v>
      </c>
      <c r="P343" s="18">
        <f>(H343/F343)*1000</f>
        <v>0</v>
      </c>
    </row>
    <row r="344" hidden="1">
      <c r="A344" s="6" t="s">
        <v>1272</v>
      </c>
      <c r="B344" s="7" t="s">
        <v>19</v>
      </c>
      <c r="C344" s="7" t="s">
        <v>20</v>
      </c>
      <c r="D344" s="7" t="s">
        <v>21</v>
      </c>
      <c r="E344" s="8">
        <v>4150.0</v>
      </c>
      <c r="F344" s="8">
        <v>4540.0</v>
      </c>
      <c r="G344" s="9">
        <v>0.0111</v>
      </c>
      <c r="H344" s="10"/>
      <c r="I344" s="11"/>
      <c r="J344" s="7" t="s">
        <v>1273</v>
      </c>
      <c r="K344" s="11" t="s">
        <v>24</v>
      </c>
      <c r="L344" s="7"/>
      <c r="M344" s="11"/>
      <c r="N344" s="12" t="s">
        <v>1274</v>
      </c>
      <c r="O344" s="2"/>
      <c r="P344" s="2"/>
    </row>
    <row r="345">
      <c r="A345" s="6" t="s">
        <v>1275</v>
      </c>
      <c r="B345" s="7" t="s">
        <v>19</v>
      </c>
      <c r="C345" s="7" t="s">
        <v>20</v>
      </c>
      <c r="D345" s="7" t="s">
        <v>32</v>
      </c>
      <c r="E345" s="8">
        <v>4030.0</v>
      </c>
      <c r="F345" s="8">
        <v>2928.0</v>
      </c>
      <c r="G345" s="9">
        <v>0.0592</v>
      </c>
      <c r="H345" s="10"/>
      <c r="I345" s="11" t="s">
        <v>1276</v>
      </c>
      <c r="J345" s="7" t="s">
        <v>1277</v>
      </c>
      <c r="K345" s="11" t="s">
        <v>24</v>
      </c>
      <c r="L345" s="7"/>
      <c r="M345" s="11"/>
      <c r="N345" s="12" t="s">
        <v>1278</v>
      </c>
      <c r="O345" s="17">
        <f t="shared" ref="O345:O346" si="45">H345/F345</f>
        <v>0</v>
      </c>
      <c r="P345" s="18">
        <f t="shared" ref="P345:P346" si="46">(H345/F345)*1000</f>
        <v>0</v>
      </c>
    </row>
    <row r="346">
      <c r="A346" s="6" t="s">
        <v>1279</v>
      </c>
      <c r="B346" s="7" t="s">
        <v>19</v>
      </c>
      <c r="C346" s="7" t="s">
        <v>20</v>
      </c>
      <c r="D346" s="7" t="s">
        <v>32</v>
      </c>
      <c r="E346" s="8">
        <v>4010.0</v>
      </c>
      <c r="F346" s="8">
        <v>182630.0</v>
      </c>
      <c r="G346" s="9">
        <v>0.0046</v>
      </c>
      <c r="H346" s="10"/>
      <c r="I346" s="11"/>
      <c r="J346" s="7" t="s">
        <v>1280</v>
      </c>
      <c r="K346" s="11" t="s">
        <v>24</v>
      </c>
      <c r="L346" s="7"/>
      <c r="M346" s="11"/>
      <c r="N346" s="12" t="s">
        <v>1281</v>
      </c>
      <c r="O346" s="17">
        <f t="shared" si="45"/>
        <v>0</v>
      </c>
      <c r="P346" s="18">
        <f t="shared" si="46"/>
        <v>0</v>
      </c>
    </row>
    <row r="347" hidden="1">
      <c r="A347" s="6" t="s">
        <v>1282</v>
      </c>
      <c r="B347" s="7" t="s">
        <v>19</v>
      </c>
      <c r="C347" s="7" t="s">
        <v>20</v>
      </c>
      <c r="D347" s="7" t="s">
        <v>21</v>
      </c>
      <c r="E347" s="8">
        <v>4010.0</v>
      </c>
      <c r="F347" s="8">
        <v>33272.0</v>
      </c>
      <c r="G347" s="9">
        <v>0.0133</v>
      </c>
      <c r="H347" s="10"/>
      <c r="I347" s="11"/>
      <c r="J347" s="7" t="s">
        <v>1283</v>
      </c>
      <c r="K347" s="11" t="s">
        <v>24</v>
      </c>
      <c r="L347" s="7"/>
      <c r="M347" s="11"/>
      <c r="N347" s="12" t="s">
        <v>1284</v>
      </c>
      <c r="O347" s="2"/>
      <c r="P347" s="2"/>
    </row>
    <row r="348" hidden="1">
      <c r="A348" s="6" t="s">
        <v>1285</v>
      </c>
      <c r="B348" s="7" t="s">
        <v>40</v>
      </c>
      <c r="C348" s="7" t="s">
        <v>41</v>
      </c>
      <c r="D348" s="7" t="s">
        <v>21</v>
      </c>
      <c r="E348" s="8">
        <v>4000.0</v>
      </c>
      <c r="F348" s="8"/>
      <c r="G348" s="9">
        <v>2.0E-4</v>
      </c>
      <c r="H348" s="10">
        <v>294.0</v>
      </c>
      <c r="I348" s="11" t="s">
        <v>1286</v>
      </c>
      <c r="J348" s="7" t="s">
        <v>124</v>
      </c>
      <c r="K348" s="11" t="s">
        <v>24</v>
      </c>
      <c r="L348" s="7"/>
      <c r="M348" s="11"/>
      <c r="N348" s="12" t="s">
        <v>1287</v>
      </c>
      <c r="O348" s="2"/>
      <c r="P348" s="2"/>
    </row>
    <row r="349">
      <c r="A349" s="6" t="s">
        <v>1288</v>
      </c>
      <c r="B349" s="7" t="s">
        <v>19</v>
      </c>
      <c r="C349" s="7" t="s">
        <v>20</v>
      </c>
      <c r="D349" s="7" t="s">
        <v>32</v>
      </c>
      <c r="E349" s="8">
        <v>3900.0</v>
      </c>
      <c r="F349" s="8">
        <v>5417.0</v>
      </c>
      <c r="G349" s="9">
        <v>0.0277</v>
      </c>
      <c r="H349" s="10"/>
      <c r="I349" s="11"/>
      <c r="J349" s="7" t="s">
        <v>1289</v>
      </c>
      <c r="K349" s="11" t="s">
        <v>24</v>
      </c>
      <c r="L349" s="7"/>
      <c r="M349" s="11"/>
      <c r="N349" s="12" t="s">
        <v>1290</v>
      </c>
      <c r="O349" s="17">
        <f t="shared" ref="O349:O350" si="47">H349/F349</f>
        <v>0</v>
      </c>
      <c r="P349" s="18">
        <f t="shared" ref="P349:P350" si="48">(H349/F349)*1000</f>
        <v>0</v>
      </c>
    </row>
    <row r="350">
      <c r="A350" s="6" t="s">
        <v>1291</v>
      </c>
      <c r="B350" s="7" t="s">
        <v>19</v>
      </c>
      <c r="C350" s="7" t="s">
        <v>20</v>
      </c>
      <c r="D350" s="7" t="s">
        <v>32</v>
      </c>
      <c r="E350" s="8">
        <v>3870.0</v>
      </c>
      <c r="F350" s="8">
        <v>4556.0</v>
      </c>
      <c r="G350" s="9">
        <v>0.0215</v>
      </c>
      <c r="H350" s="10"/>
      <c r="I350" s="11" t="s">
        <v>1292</v>
      </c>
      <c r="J350" s="7" t="s">
        <v>1293</v>
      </c>
      <c r="K350" s="11" t="s">
        <v>24</v>
      </c>
      <c r="L350" s="7"/>
      <c r="M350" s="11"/>
      <c r="N350" s="12" t="s">
        <v>1294</v>
      </c>
      <c r="O350" s="17">
        <f t="shared" si="47"/>
        <v>0</v>
      </c>
      <c r="P350" s="18">
        <f t="shared" si="48"/>
        <v>0</v>
      </c>
    </row>
    <row r="351" hidden="1">
      <c r="A351" s="6" t="s">
        <v>1295</v>
      </c>
      <c r="B351" s="7" t="s">
        <v>19</v>
      </c>
      <c r="C351" s="7" t="s">
        <v>20</v>
      </c>
      <c r="D351" s="7" t="s">
        <v>21</v>
      </c>
      <c r="E351" s="8">
        <v>3820.0</v>
      </c>
      <c r="F351" s="8">
        <v>3813.0</v>
      </c>
      <c r="G351" s="9">
        <v>0.0431</v>
      </c>
      <c r="H351" s="10"/>
      <c r="I351" s="11" t="s">
        <v>1296</v>
      </c>
      <c r="J351" s="7" t="s">
        <v>1022</v>
      </c>
      <c r="K351" s="11" t="s">
        <v>24</v>
      </c>
      <c r="L351" s="7"/>
      <c r="M351" s="11"/>
      <c r="N351" s="12" t="s">
        <v>1297</v>
      </c>
      <c r="O351" s="2"/>
      <c r="P351" s="2"/>
    </row>
    <row r="352" hidden="1">
      <c r="A352" s="6" t="s">
        <v>1298</v>
      </c>
      <c r="B352" s="7" t="s">
        <v>40</v>
      </c>
      <c r="C352" s="7" t="s">
        <v>41</v>
      </c>
      <c r="D352" s="7" t="s">
        <v>21</v>
      </c>
      <c r="E352" s="8">
        <v>3800.0</v>
      </c>
      <c r="F352" s="8"/>
      <c r="G352" s="9">
        <v>3.0E-4</v>
      </c>
      <c r="H352" s="10">
        <v>979.0</v>
      </c>
      <c r="I352" s="11" t="s">
        <v>1299</v>
      </c>
      <c r="J352" s="7" t="s">
        <v>1053</v>
      </c>
      <c r="K352" s="11" t="s">
        <v>24</v>
      </c>
      <c r="L352" s="7"/>
      <c r="M352" s="11"/>
      <c r="N352" s="12" t="s">
        <v>1300</v>
      </c>
      <c r="O352" s="2"/>
      <c r="P352" s="2"/>
    </row>
    <row r="353" hidden="1">
      <c r="A353" s="6" t="s">
        <v>1301</v>
      </c>
      <c r="B353" s="7" t="s">
        <v>40</v>
      </c>
      <c r="C353" s="7" t="s">
        <v>41</v>
      </c>
      <c r="D353" s="7" t="s">
        <v>21</v>
      </c>
      <c r="E353" s="8">
        <v>3800.0</v>
      </c>
      <c r="F353" s="8"/>
      <c r="G353" s="9">
        <v>9.0E-5</v>
      </c>
      <c r="H353" s="10">
        <v>317.0</v>
      </c>
      <c r="I353" s="11" t="s">
        <v>1302</v>
      </c>
      <c r="J353" s="7" t="s">
        <v>1303</v>
      </c>
      <c r="K353" s="11" t="s">
        <v>24</v>
      </c>
      <c r="L353" s="7"/>
      <c r="M353" s="11"/>
      <c r="N353" s="12" t="s">
        <v>1304</v>
      </c>
      <c r="O353" s="2"/>
      <c r="P353" s="2"/>
    </row>
    <row r="354" hidden="1">
      <c r="A354" s="6" t="s">
        <v>1305</v>
      </c>
      <c r="B354" s="7" t="s">
        <v>40</v>
      </c>
      <c r="C354" s="7" t="s">
        <v>41</v>
      </c>
      <c r="D354" s="7" t="s">
        <v>21</v>
      </c>
      <c r="E354" s="8">
        <v>3800.0</v>
      </c>
      <c r="F354" s="8"/>
      <c r="G354" s="9">
        <v>0.00234</v>
      </c>
      <c r="H354" s="10">
        <v>839.0</v>
      </c>
      <c r="I354" s="11" t="s">
        <v>1306</v>
      </c>
      <c r="J354" s="7" t="s">
        <v>518</v>
      </c>
      <c r="K354" s="11" t="s">
        <v>24</v>
      </c>
      <c r="L354" s="7"/>
      <c r="M354" s="11"/>
      <c r="N354" s="12" t="s">
        <v>1307</v>
      </c>
      <c r="O354" s="2"/>
      <c r="P354" s="2"/>
    </row>
    <row r="355" hidden="1">
      <c r="A355" s="6" t="s">
        <v>1308</v>
      </c>
      <c r="B355" s="7" t="s">
        <v>40</v>
      </c>
      <c r="C355" s="7" t="s">
        <v>41</v>
      </c>
      <c r="D355" s="7" t="s">
        <v>21</v>
      </c>
      <c r="E355" s="8">
        <v>3700.0</v>
      </c>
      <c r="F355" s="8"/>
      <c r="G355" s="9">
        <v>0.00147</v>
      </c>
      <c r="H355" s="10">
        <v>531.0</v>
      </c>
      <c r="I355" s="11" t="s">
        <v>1309</v>
      </c>
      <c r="J355" s="7" t="s">
        <v>1310</v>
      </c>
      <c r="K355" s="11" t="s">
        <v>24</v>
      </c>
      <c r="L355" s="7"/>
      <c r="M355" s="11"/>
      <c r="N355" s="12" t="s">
        <v>1311</v>
      </c>
      <c r="O355" s="2"/>
      <c r="P355" s="2"/>
    </row>
    <row r="356">
      <c r="A356" s="6" t="s">
        <v>1312</v>
      </c>
      <c r="B356" s="7" t="s">
        <v>19</v>
      </c>
      <c r="C356" s="7" t="s">
        <v>20</v>
      </c>
      <c r="D356" s="7" t="s">
        <v>32</v>
      </c>
      <c r="E356" s="8">
        <v>3700.0</v>
      </c>
      <c r="F356" s="8">
        <v>11350.0</v>
      </c>
      <c r="G356" s="9">
        <v>0.0353</v>
      </c>
      <c r="H356" s="10"/>
      <c r="I356" s="11"/>
      <c r="J356" s="7" t="s">
        <v>1313</v>
      </c>
      <c r="K356" s="11" t="s">
        <v>24</v>
      </c>
      <c r="L356" s="7"/>
      <c r="M356" s="11"/>
      <c r="N356" s="12" t="s">
        <v>1314</v>
      </c>
      <c r="O356" s="17">
        <f t="shared" ref="O356:O357" si="49">H356/F356</f>
        <v>0</v>
      </c>
      <c r="P356" s="18">
        <f t="shared" ref="P356:P357" si="50">(H356/F356)*1000</f>
        <v>0</v>
      </c>
    </row>
    <row r="357">
      <c r="A357" s="6" t="s">
        <v>1315</v>
      </c>
      <c r="B357" s="7" t="s">
        <v>19</v>
      </c>
      <c r="C357" s="7" t="s">
        <v>20</v>
      </c>
      <c r="D357" s="7" t="s">
        <v>32</v>
      </c>
      <c r="E357" s="8">
        <v>3620.0</v>
      </c>
      <c r="F357" s="8">
        <v>15371.0</v>
      </c>
      <c r="G357" s="9">
        <v>0.0171</v>
      </c>
      <c r="H357" s="10"/>
      <c r="I357" s="11"/>
      <c r="J357" s="7" t="s">
        <v>1316</v>
      </c>
      <c r="K357" s="11" t="s">
        <v>24</v>
      </c>
      <c r="L357" s="7"/>
      <c r="M357" s="11"/>
      <c r="N357" s="12" t="s">
        <v>1317</v>
      </c>
      <c r="O357" s="17">
        <f t="shared" si="49"/>
        <v>0</v>
      </c>
      <c r="P357" s="18">
        <f t="shared" si="50"/>
        <v>0</v>
      </c>
    </row>
    <row r="358" hidden="1">
      <c r="A358" s="6" t="s">
        <v>1318</v>
      </c>
      <c r="B358" s="7" t="s">
        <v>40</v>
      </c>
      <c r="C358" s="7" t="s">
        <v>41</v>
      </c>
      <c r="D358" s="7" t="s">
        <v>21</v>
      </c>
      <c r="E358" s="8">
        <v>3600.0</v>
      </c>
      <c r="F358" s="8"/>
      <c r="G358" s="9">
        <v>0.02</v>
      </c>
      <c r="H358" s="10">
        <v>838.0</v>
      </c>
      <c r="I358" s="11" t="s">
        <v>1319</v>
      </c>
      <c r="J358" s="7" t="s">
        <v>96</v>
      </c>
      <c r="K358" s="11" t="s">
        <v>24</v>
      </c>
      <c r="L358" s="7"/>
      <c r="M358" s="11"/>
      <c r="N358" s="12" t="s">
        <v>1320</v>
      </c>
      <c r="O358" s="2"/>
      <c r="P358" s="2"/>
    </row>
    <row r="359">
      <c r="A359" s="6" t="s">
        <v>1321</v>
      </c>
      <c r="B359" s="7" t="s">
        <v>19</v>
      </c>
      <c r="C359" s="7" t="s">
        <v>20</v>
      </c>
      <c r="D359" s="7" t="s">
        <v>32</v>
      </c>
      <c r="E359" s="8">
        <v>3600.0</v>
      </c>
      <c r="F359" s="8">
        <v>14341.0</v>
      </c>
      <c r="G359" s="9">
        <v>0.016</v>
      </c>
      <c r="H359" s="10"/>
      <c r="I359" s="11"/>
      <c r="J359" s="7" t="s">
        <v>1322</v>
      </c>
      <c r="K359" s="11" t="s">
        <v>24</v>
      </c>
      <c r="L359" s="7"/>
      <c r="M359" s="11"/>
      <c r="N359" s="12" t="s">
        <v>1323</v>
      </c>
      <c r="O359" s="17">
        <f>H359/F359</f>
        <v>0</v>
      </c>
      <c r="P359" s="18">
        <f>(H359/F359)*1000</f>
        <v>0</v>
      </c>
    </row>
    <row r="360" hidden="1">
      <c r="A360" s="6" t="s">
        <v>1324</v>
      </c>
      <c r="B360" s="7" t="s">
        <v>19</v>
      </c>
      <c r="C360" s="7" t="s">
        <v>20</v>
      </c>
      <c r="D360" s="7" t="s">
        <v>21</v>
      </c>
      <c r="E360" s="8">
        <v>3590.0</v>
      </c>
      <c r="F360" s="8">
        <v>17980.0</v>
      </c>
      <c r="G360" s="9">
        <v>0.0013</v>
      </c>
      <c r="H360" s="10"/>
      <c r="I360" s="11"/>
      <c r="J360" s="7" t="s">
        <v>1325</v>
      </c>
      <c r="K360" s="11" t="s">
        <v>24</v>
      </c>
      <c r="L360" s="7"/>
      <c r="M360" s="11"/>
      <c r="N360" s="12" t="s">
        <v>1326</v>
      </c>
      <c r="O360" s="2"/>
      <c r="P360" s="2"/>
    </row>
    <row r="361">
      <c r="A361" s="6" t="s">
        <v>1327</v>
      </c>
      <c r="B361" s="7" t="s">
        <v>19</v>
      </c>
      <c r="C361" s="7" t="s">
        <v>20</v>
      </c>
      <c r="D361" s="7" t="s">
        <v>32</v>
      </c>
      <c r="E361" s="8">
        <v>3570.0</v>
      </c>
      <c r="F361" s="8">
        <v>10057.0</v>
      </c>
      <c r="G361" s="9">
        <v>0.0186</v>
      </c>
      <c r="H361" s="10"/>
      <c r="I361" s="11" t="s">
        <v>1328</v>
      </c>
      <c r="J361" s="7" t="s">
        <v>1329</v>
      </c>
      <c r="K361" s="11" t="s">
        <v>24</v>
      </c>
      <c r="L361" s="7"/>
      <c r="M361" s="11"/>
      <c r="N361" s="12" t="s">
        <v>1330</v>
      </c>
      <c r="O361" s="17">
        <f t="shared" ref="O361:O362" si="51">H361/F361</f>
        <v>0</v>
      </c>
      <c r="P361" s="18">
        <f t="shared" ref="P361:P362" si="52">(H361/F361)*1000</f>
        <v>0</v>
      </c>
    </row>
    <row r="362">
      <c r="A362" s="6" t="s">
        <v>1331</v>
      </c>
      <c r="B362" s="7" t="s">
        <v>19</v>
      </c>
      <c r="C362" s="7" t="s">
        <v>20</v>
      </c>
      <c r="D362" s="7" t="s">
        <v>32</v>
      </c>
      <c r="E362" s="8">
        <v>3540.0</v>
      </c>
      <c r="F362" s="8">
        <v>17665.0</v>
      </c>
      <c r="G362" s="9">
        <v>0.0222</v>
      </c>
      <c r="H362" s="10"/>
      <c r="I362" s="11" t="s">
        <v>1332</v>
      </c>
      <c r="J362" s="7" t="s">
        <v>1333</v>
      </c>
      <c r="K362" s="11" t="s">
        <v>24</v>
      </c>
      <c r="L362" s="7"/>
      <c r="M362" s="11"/>
      <c r="N362" s="12" t="s">
        <v>1334</v>
      </c>
      <c r="O362" s="17">
        <f t="shared" si="51"/>
        <v>0</v>
      </c>
      <c r="P362" s="18">
        <f t="shared" si="52"/>
        <v>0</v>
      </c>
    </row>
    <row r="363" hidden="1">
      <c r="A363" s="6" t="s">
        <v>1335</v>
      </c>
      <c r="B363" s="7" t="s">
        <v>19</v>
      </c>
      <c r="C363" s="7" t="s">
        <v>20</v>
      </c>
      <c r="D363" s="7" t="s">
        <v>21</v>
      </c>
      <c r="E363" s="8">
        <v>3540.0</v>
      </c>
      <c r="F363" s="8">
        <v>11636.0</v>
      </c>
      <c r="G363" s="9">
        <v>0.0265</v>
      </c>
      <c r="H363" s="10"/>
      <c r="I363" s="11"/>
      <c r="J363" s="7" t="s">
        <v>845</v>
      </c>
      <c r="K363" s="11" t="s">
        <v>24</v>
      </c>
      <c r="L363" s="7"/>
      <c r="M363" s="11"/>
      <c r="N363" s="12" t="s">
        <v>1336</v>
      </c>
      <c r="O363" s="2"/>
      <c r="P363" s="2"/>
    </row>
    <row r="364">
      <c r="A364" s="6" t="s">
        <v>1337</v>
      </c>
      <c r="B364" s="7" t="s">
        <v>19</v>
      </c>
      <c r="C364" s="7" t="s">
        <v>20</v>
      </c>
      <c r="D364" s="7" t="s">
        <v>32</v>
      </c>
      <c r="E364" s="8">
        <v>3520.0</v>
      </c>
      <c r="F364" s="8">
        <v>2972.0</v>
      </c>
      <c r="G364" s="9">
        <v>0.0341</v>
      </c>
      <c r="H364" s="10"/>
      <c r="I364" s="11"/>
      <c r="J364" s="7" t="s">
        <v>721</v>
      </c>
      <c r="K364" s="11" t="s">
        <v>24</v>
      </c>
      <c r="L364" s="7"/>
      <c r="M364" s="11"/>
      <c r="N364" s="12" t="s">
        <v>1338</v>
      </c>
      <c r="O364" s="17">
        <f>H364/F364</f>
        <v>0</v>
      </c>
      <c r="P364" s="18">
        <f>(H364/F364)*1000</f>
        <v>0</v>
      </c>
    </row>
    <row r="365" hidden="1">
      <c r="A365" s="6" t="s">
        <v>1339</v>
      </c>
      <c r="B365" s="7" t="s">
        <v>40</v>
      </c>
      <c r="C365" s="7" t="s">
        <v>41</v>
      </c>
      <c r="D365" s="7" t="s">
        <v>21</v>
      </c>
      <c r="E365" s="8">
        <v>3500.0</v>
      </c>
      <c r="F365" s="8"/>
      <c r="G365" s="9">
        <v>2.3E-4</v>
      </c>
      <c r="H365" s="10">
        <v>839.0</v>
      </c>
      <c r="I365" s="11" t="s">
        <v>1340</v>
      </c>
      <c r="J365" s="7" t="s">
        <v>1341</v>
      </c>
      <c r="K365" s="11" t="s">
        <v>24</v>
      </c>
      <c r="L365" s="7"/>
      <c r="M365" s="11"/>
      <c r="N365" s="12" t="s">
        <v>1342</v>
      </c>
      <c r="O365" s="2"/>
      <c r="P365" s="2"/>
    </row>
    <row r="366" hidden="1">
      <c r="A366" s="6" t="s">
        <v>1343</v>
      </c>
      <c r="B366" s="7" t="s">
        <v>19</v>
      </c>
      <c r="C366" s="7" t="s">
        <v>20</v>
      </c>
      <c r="D366" s="7" t="s">
        <v>21</v>
      </c>
      <c r="E366" s="8">
        <v>3480.0</v>
      </c>
      <c r="F366" s="8">
        <v>24591.0</v>
      </c>
      <c r="G366" s="9">
        <v>0.0142</v>
      </c>
      <c r="H366" s="10"/>
      <c r="I366" s="11" t="s">
        <v>1344</v>
      </c>
      <c r="J366" s="7" t="s">
        <v>1345</v>
      </c>
      <c r="K366" s="11" t="s">
        <v>24</v>
      </c>
      <c r="L366" s="7"/>
      <c r="M366" s="11"/>
      <c r="N366" s="12" t="s">
        <v>1346</v>
      </c>
      <c r="O366" s="2"/>
      <c r="P366" s="2"/>
    </row>
    <row r="367">
      <c r="A367" s="6" t="s">
        <v>1347</v>
      </c>
      <c r="B367" s="7" t="s">
        <v>19</v>
      </c>
      <c r="C367" s="7" t="s">
        <v>20</v>
      </c>
      <c r="D367" s="7" t="s">
        <v>32</v>
      </c>
      <c r="E367" s="8">
        <v>3440.0</v>
      </c>
      <c r="F367" s="8">
        <v>6226.0</v>
      </c>
      <c r="G367" s="9">
        <v>0.0346</v>
      </c>
      <c r="H367" s="10"/>
      <c r="I367" s="11" t="s">
        <v>1348</v>
      </c>
      <c r="J367" s="7" t="s">
        <v>1349</v>
      </c>
      <c r="K367" s="11" t="s">
        <v>24</v>
      </c>
      <c r="L367" s="7"/>
      <c r="M367" s="11"/>
      <c r="N367" s="12" t="s">
        <v>1350</v>
      </c>
      <c r="O367" s="17">
        <f>H367/F367</f>
        <v>0</v>
      </c>
      <c r="P367" s="18">
        <f>(H367/F367)*1000</f>
        <v>0</v>
      </c>
    </row>
    <row r="368" hidden="1">
      <c r="A368" s="6" t="s">
        <v>1351</v>
      </c>
      <c r="B368" s="7" t="s">
        <v>19</v>
      </c>
      <c r="C368" s="7" t="s">
        <v>20</v>
      </c>
      <c r="D368" s="7" t="s">
        <v>21</v>
      </c>
      <c r="E368" s="8">
        <v>3420.0</v>
      </c>
      <c r="F368" s="8">
        <v>3779.0</v>
      </c>
      <c r="G368" s="9">
        <v>0.0784</v>
      </c>
      <c r="H368" s="10"/>
      <c r="I368" s="11" t="s">
        <v>1352</v>
      </c>
      <c r="J368" s="7" t="s">
        <v>346</v>
      </c>
      <c r="K368" s="11" t="s">
        <v>24</v>
      </c>
      <c r="L368" s="7"/>
      <c r="M368" s="11"/>
      <c r="N368" s="12" t="s">
        <v>1353</v>
      </c>
      <c r="O368" s="2"/>
      <c r="P368" s="2"/>
    </row>
    <row r="369" hidden="1">
      <c r="A369" s="6" t="s">
        <v>1354</v>
      </c>
      <c r="B369" s="7" t="s">
        <v>40</v>
      </c>
      <c r="C369" s="7" t="s">
        <v>41</v>
      </c>
      <c r="D369" s="7" t="s">
        <v>21</v>
      </c>
      <c r="E369" s="8">
        <v>3400.0</v>
      </c>
      <c r="F369" s="8"/>
      <c r="G369" s="9">
        <v>5.3E-4</v>
      </c>
      <c r="H369" s="10">
        <v>699.0</v>
      </c>
      <c r="I369" s="11" t="s">
        <v>1355</v>
      </c>
      <c r="J369" s="7" t="s">
        <v>1356</v>
      </c>
      <c r="K369" s="11" t="s">
        <v>24</v>
      </c>
      <c r="L369" s="7"/>
      <c r="M369" s="11"/>
      <c r="N369" s="12" t="s">
        <v>1357</v>
      </c>
      <c r="O369" s="2"/>
      <c r="P369" s="2"/>
    </row>
    <row r="370" hidden="1">
      <c r="A370" s="6" t="s">
        <v>1358</v>
      </c>
      <c r="B370" s="7" t="s">
        <v>40</v>
      </c>
      <c r="C370" s="7" t="s">
        <v>41</v>
      </c>
      <c r="D370" s="7" t="s">
        <v>21</v>
      </c>
      <c r="E370" s="8">
        <v>3400.0</v>
      </c>
      <c r="F370" s="8"/>
      <c r="G370" s="9">
        <v>0.0</v>
      </c>
      <c r="H370" s="10">
        <v>11189.0</v>
      </c>
      <c r="I370" s="11" t="s">
        <v>1359</v>
      </c>
      <c r="J370" s="7" t="s">
        <v>1360</v>
      </c>
      <c r="K370" s="11" t="s">
        <v>24</v>
      </c>
      <c r="L370" s="7"/>
      <c r="M370" s="11"/>
      <c r="N370" s="12" t="s">
        <v>1361</v>
      </c>
      <c r="O370" s="2"/>
      <c r="P370" s="2"/>
    </row>
    <row r="371" hidden="1">
      <c r="A371" s="6" t="s">
        <v>1362</v>
      </c>
      <c r="B371" s="7" t="s">
        <v>19</v>
      </c>
      <c r="C371" s="7" t="s">
        <v>20</v>
      </c>
      <c r="D371" s="7" t="s">
        <v>21</v>
      </c>
      <c r="E371" s="8">
        <v>3340.0</v>
      </c>
      <c r="F371" s="8">
        <v>2735.0</v>
      </c>
      <c r="G371" s="9">
        <v>0.0213</v>
      </c>
      <c r="H371" s="10"/>
      <c r="I371" s="11" t="s">
        <v>751</v>
      </c>
      <c r="J371" s="7" t="s">
        <v>1363</v>
      </c>
      <c r="K371" s="11" t="s">
        <v>24</v>
      </c>
      <c r="L371" s="7"/>
      <c r="M371" s="11"/>
      <c r="N371" s="12" t="s">
        <v>1364</v>
      </c>
      <c r="O371" s="2"/>
      <c r="P371" s="2"/>
    </row>
    <row r="372" hidden="1">
      <c r="A372" s="6" t="s">
        <v>248</v>
      </c>
      <c r="B372" s="7" t="s">
        <v>40</v>
      </c>
      <c r="C372" s="7" t="s">
        <v>41</v>
      </c>
      <c r="D372" s="7" t="s">
        <v>21</v>
      </c>
      <c r="E372" s="8">
        <v>3300.0</v>
      </c>
      <c r="F372" s="8"/>
      <c r="G372" s="9">
        <v>0.00136</v>
      </c>
      <c r="H372" s="10">
        <v>1399.0</v>
      </c>
      <c r="I372" s="11" t="s">
        <v>1365</v>
      </c>
      <c r="J372" s="7" t="s">
        <v>250</v>
      </c>
      <c r="K372" s="11" t="s">
        <v>24</v>
      </c>
      <c r="L372" s="7"/>
      <c r="M372" s="11"/>
      <c r="N372" s="12" t="s">
        <v>1366</v>
      </c>
      <c r="O372" s="2"/>
      <c r="P372" s="2"/>
    </row>
    <row r="373" hidden="1">
      <c r="A373" s="6" t="s">
        <v>1367</v>
      </c>
      <c r="B373" s="7" t="s">
        <v>19</v>
      </c>
      <c r="C373" s="7" t="s">
        <v>20</v>
      </c>
      <c r="D373" s="7" t="s">
        <v>21</v>
      </c>
      <c r="E373" s="8">
        <v>3210.0</v>
      </c>
      <c r="F373" s="8">
        <v>12844.0</v>
      </c>
      <c r="G373" s="9">
        <v>0.0238</v>
      </c>
      <c r="H373" s="10"/>
      <c r="I373" s="11"/>
      <c r="J373" s="7" t="s">
        <v>1022</v>
      </c>
      <c r="K373" s="11" t="s">
        <v>24</v>
      </c>
      <c r="L373" s="7"/>
      <c r="M373" s="11"/>
      <c r="N373" s="12" t="s">
        <v>1368</v>
      </c>
      <c r="O373" s="2"/>
      <c r="P373" s="2"/>
    </row>
    <row r="374" hidden="1">
      <c r="A374" s="6" t="s">
        <v>1369</v>
      </c>
      <c r="B374" s="7" t="s">
        <v>40</v>
      </c>
      <c r="C374" s="7" t="s">
        <v>41</v>
      </c>
      <c r="D374" s="7" t="s">
        <v>21</v>
      </c>
      <c r="E374" s="8">
        <v>3200.0</v>
      </c>
      <c r="F374" s="8"/>
      <c r="G374" s="9">
        <v>0.0</v>
      </c>
      <c r="H374" s="10">
        <v>5594.0</v>
      </c>
      <c r="I374" s="11" t="s">
        <v>1370</v>
      </c>
      <c r="J374" s="7" t="s">
        <v>1371</v>
      </c>
      <c r="K374" s="11" t="s">
        <v>24</v>
      </c>
      <c r="L374" s="7"/>
      <c r="M374" s="11"/>
      <c r="N374" s="12" t="s">
        <v>1372</v>
      </c>
      <c r="O374" s="2"/>
      <c r="P374" s="2"/>
    </row>
    <row r="375" hidden="1">
      <c r="A375" s="6" t="s">
        <v>1373</v>
      </c>
      <c r="B375" s="7" t="s">
        <v>40</v>
      </c>
      <c r="C375" s="7" t="s">
        <v>41</v>
      </c>
      <c r="D375" s="7" t="s">
        <v>21</v>
      </c>
      <c r="E375" s="8">
        <v>3200.0</v>
      </c>
      <c r="F375" s="8"/>
      <c r="G375" s="9">
        <v>0.0</v>
      </c>
      <c r="H375" s="10">
        <v>4895.0</v>
      </c>
      <c r="I375" s="11" t="s">
        <v>1374</v>
      </c>
      <c r="J375" s="7" t="s">
        <v>1375</v>
      </c>
      <c r="K375" s="11" t="s">
        <v>24</v>
      </c>
      <c r="L375" s="7"/>
      <c r="M375" s="11"/>
      <c r="N375" s="12" t="s">
        <v>1376</v>
      </c>
      <c r="O375" s="2"/>
      <c r="P375" s="2"/>
    </row>
    <row r="376" hidden="1">
      <c r="A376" s="6" t="s">
        <v>1377</v>
      </c>
      <c r="B376" s="7" t="s">
        <v>40</v>
      </c>
      <c r="C376" s="7" t="s">
        <v>41</v>
      </c>
      <c r="D376" s="7" t="s">
        <v>21</v>
      </c>
      <c r="E376" s="8">
        <v>3100.0</v>
      </c>
      <c r="F376" s="8"/>
      <c r="G376" s="9">
        <v>3.3E-4</v>
      </c>
      <c r="H376" s="10">
        <v>839.0</v>
      </c>
      <c r="I376" s="11" t="s">
        <v>1378</v>
      </c>
      <c r="J376" s="7" t="s">
        <v>223</v>
      </c>
      <c r="K376" s="11" t="s">
        <v>24</v>
      </c>
      <c r="L376" s="7"/>
      <c r="M376" s="11"/>
      <c r="N376" s="12" t="s">
        <v>1379</v>
      </c>
      <c r="O376" s="2"/>
      <c r="P376" s="2"/>
    </row>
    <row r="377">
      <c r="A377" s="6" t="s">
        <v>1380</v>
      </c>
      <c r="B377" s="7" t="s">
        <v>19</v>
      </c>
      <c r="C377" s="7" t="s">
        <v>20</v>
      </c>
      <c r="D377" s="7" t="s">
        <v>32</v>
      </c>
      <c r="E377" s="8">
        <v>3080.0</v>
      </c>
      <c r="F377" s="8">
        <v>2061.0</v>
      </c>
      <c r="G377" s="9">
        <v>0.0423</v>
      </c>
      <c r="H377" s="10"/>
      <c r="I377" s="11" t="s">
        <v>1381</v>
      </c>
      <c r="J377" s="7" t="s">
        <v>591</v>
      </c>
      <c r="K377" s="11" t="s">
        <v>24</v>
      </c>
      <c r="L377" s="7"/>
      <c r="M377" s="11"/>
      <c r="N377" s="12" t="s">
        <v>1382</v>
      </c>
      <c r="O377" s="17">
        <f t="shared" ref="O377:O379" si="53">H377/F377</f>
        <v>0</v>
      </c>
      <c r="P377" s="18">
        <f t="shared" ref="P377:P379" si="54">(H377/F377)*1000</f>
        <v>0</v>
      </c>
    </row>
    <row r="378">
      <c r="A378" s="6" t="s">
        <v>1383</v>
      </c>
      <c r="B378" s="7" t="s">
        <v>19</v>
      </c>
      <c r="C378" s="7" t="s">
        <v>20</v>
      </c>
      <c r="D378" s="7" t="s">
        <v>32</v>
      </c>
      <c r="E378" s="8">
        <v>3070.0</v>
      </c>
      <c r="F378" s="8">
        <v>3751.0</v>
      </c>
      <c r="G378" s="9">
        <v>0.0452</v>
      </c>
      <c r="H378" s="10"/>
      <c r="I378" s="11"/>
      <c r="J378" s="7" t="s">
        <v>1384</v>
      </c>
      <c r="K378" s="11" t="s">
        <v>24</v>
      </c>
      <c r="L378" s="7"/>
      <c r="M378" s="11"/>
      <c r="N378" s="12" t="s">
        <v>1385</v>
      </c>
      <c r="O378" s="17">
        <f t="shared" si="53"/>
        <v>0</v>
      </c>
      <c r="P378" s="18">
        <f t="shared" si="54"/>
        <v>0</v>
      </c>
    </row>
    <row r="379">
      <c r="A379" s="6" t="s">
        <v>1386</v>
      </c>
      <c r="B379" s="7" t="s">
        <v>19</v>
      </c>
      <c r="C379" s="7" t="s">
        <v>20</v>
      </c>
      <c r="D379" s="7" t="s">
        <v>32</v>
      </c>
      <c r="E379" s="8">
        <v>3050.0</v>
      </c>
      <c r="F379" s="8">
        <v>41392.0</v>
      </c>
      <c r="G379" s="9">
        <v>0.013</v>
      </c>
      <c r="H379" s="10"/>
      <c r="I379" s="11" t="s">
        <v>1387</v>
      </c>
      <c r="J379" s="7" t="s">
        <v>1388</v>
      </c>
      <c r="K379" s="11" t="s">
        <v>24</v>
      </c>
      <c r="L379" s="7"/>
      <c r="M379" s="11"/>
      <c r="N379" s="12" t="s">
        <v>1389</v>
      </c>
      <c r="O379" s="17">
        <f t="shared" si="53"/>
        <v>0</v>
      </c>
      <c r="P379" s="18">
        <f t="shared" si="54"/>
        <v>0</v>
      </c>
    </row>
    <row r="380" hidden="1">
      <c r="A380" s="6" t="s">
        <v>1390</v>
      </c>
      <c r="B380" s="7" t="s">
        <v>19</v>
      </c>
      <c r="C380" s="7" t="s">
        <v>20</v>
      </c>
      <c r="D380" s="7" t="s">
        <v>21</v>
      </c>
      <c r="E380" s="8">
        <v>3040.0</v>
      </c>
      <c r="F380" s="8">
        <v>14771.0</v>
      </c>
      <c r="G380" s="9">
        <v>0.0135</v>
      </c>
      <c r="H380" s="10"/>
      <c r="I380" s="11"/>
      <c r="J380" s="7" t="s">
        <v>1391</v>
      </c>
      <c r="K380" s="11" t="s">
        <v>24</v>
      </c>
      <c r="L380" s="7"/>
      <c r="M380" s="11"/>
      <c r="N380" s="12" t="s">
        <v>1392</v>
      </c>
      <c r="O380" s="2"/>
      <c r="P380" s="2"/>
    </row>
    <row r="381">
      <c r="A381" s="6" t="s">
        <v>1393</v>
      </c>
      <c r="B381" s="7" t="s">
        <v>19</v>
      </c>
      <c r="C381" s="7" t="s">
        <v>20</v>
      </c>
      <c r="D381" s="7" t="s">
        <v>32</v>
      </c>
      <c r="E381" s="8">
        <v>2980.0</v>
      </c>
      <c r="F381" s="8">
        <v>7906.0</v>
      </c>
      <c r="G381" s="9">
        <v>0.0351</v>
      </c>
      <c r="H381" s="10"/>
      <c r="I381" s="11"/>
      <c r="J381" s="7" t="s">
        <v>1394</v>
      </c>
      <c r="K381" s="11" t="s">
        <v>24</v>
      </c>
      <c r="L381" s="7"/>
      <c r="M381" s="11"/>
      <c r="N381" s="12" t="s">
        <v>1395</v>
      </c>
      <c r="O381" s="17">
        <f t="shared" ref="O381:O382" si="55">H381/F381</f>
        <v>0</v>
      </c>
      <c r="P381" s="18">
        <f t="shared" ref="P381:P382" si="56">(H381/F381)*1000</f>
        <v>0</v>
      </c>
    </row>
    <row r="382">
      <c r="A382" s="6" t="s">
        <v>1396</v>
      </c>
      <c r="B382" s="7" t="s">
        <v>19</v>
      </c>
      <c r="C382" s="7" t="s">
        <v>20</v>
      </c>
      <c r="D382" s="7" t="s">
        <v>32</v>
      </c>
      <c r="E382" s="8">
        <v>2940.0</v>
      </c>
      <c r="F382" s="8">
        <v>2235.0</v>
      </c>
      <c r="G382" s="9">
        <v>0.0246</v>
      </c>
      <c r="H382" s="10"/>
      <c r="I382" s="11" t="s">
        <v>1397</v>
      </c>
      <c r="J382" s="7" t="s">
        <v>1398</v>
      </c>
      <c r="K382" s="11" t="s">
        <v>24</v>
      </c>
      <c r="L382" s="7"/>
      <c r="M382" s="11"/>
      <c r="N382" s="12" t="s">
        <v>1399</v>
      </c>
      <c r="O382" s="17">
        <f t="shared" si="55"/>
        <v>0</v>
      </c>
      <c r="P382" s="18">
        <f t="shared" si="56"/>
        <v>0</v>
      </c>
    </row>
    <row r="383" hidden="1">
      <c r="A383" s="6" t="s">
        <v>1400</v>
      </c>
      <c r="B383" s="7" t="s">
        <v>40</v>
      </c>
      <c r="C383" s="7" t="s">
        <v>41</v>
      </c>
      <c r="D383" s="7" t="s">
        <v>21</v>
      </c>
      <c r="E383" s="8">
        <v>2900.0</v>
      </c>
      <c r="F383" s="8"/>
      <c r="G383" s="9">
        <v>0.0</v>
      </c>
      <c r="H383" s="10">
        <v>6993.0</v>
      </c>
      <c r="I383" s="11" t="s">
        <v>1401</v>
      </c>
      <c r="J383" s="7" t="s">
        <v>1402</v>
      </c>
      <c r="K383" s="11" t="s">
        <v>24</v>
      </c>
      <c r="L383" s="7"/>
      <c r="M383" s="11"/>
      <c r="N383" s="12" t="s">
        <v>1403</v>
      </c>
      <c r="O383" s="2"/>
      <c r="P383" s="2"/>
    </row>
    <row r="384" hidden="1">
      <c r="A384" s="6" t="s">
        <v>1404</v>
      </c>
      <c r="B384" s="7" t="s">
        <v>19</v>
      </c>
      <c r="C384" s="7" t="s">
        <v>20</v>
      </c>
      <c r="D384" s="7" t="s">
        <v>21</v>
      </c>
      <c r="E384" s="8">
        <v>2900.0</v>
      </c>
      <c r="F384" s="8">
        <v>1469.0</v>
      </c>
      <c r="G384" s="9">
        <v>0.0117</v>
      </c>
      <c r="H384" s="10"/>
      <c r="I384" s="11"/>
      <c r="J384" s="7" t="s">
        <v>1405</v>
      </c>
      <c r="K384" s="11" t="s">
        <v>24</v>
      </c>
      <c r="L384" s="7"/>
      <c r="M384" s="11"/>
      <c r="N384" s="12" t="s">
        <v>1406</v>
      </c>
      <c r="O384" s="2"/>
      <c r="P384" s="2"/>
    </row>
    <row r="385">
      <c r="A385" s="6" t="s">
        <v>1407</v>
      </c>
      <c r="B385" s="7" t="s">
        <v>19</v>
      </c>
      <c r="C385" s="7" t="s">
        <v>20</v>
      </c>
      <c r="D385" s="7" t="s">
        <v>32</v>
      </c>
      <c r="E385" s="8">
        <v>2860.0</v>
      </c>
      <c r="F385" s="8">
        <v>32906.0</v>
      </c>
      <c r="G385" s="9">
        <v>0.0211</v>
      </c>
      <c r="H385" s="10"/>
      <c r="I385" s="11"/>
      <c r="J385" s="7" t="s">
        <v>1408</v>
      </c>
      <c r="K385" s="11" t="s">
        <v>24</v>
      </c>
      <c r="L385" s="7"/>
      <c r="M385" s="11"/>
      <c r="N385" s="12" t="s">
        <v>1409</v>
      </c>
      <c r="O385" s="17">
        <f t="shared" ref="O385:O386" si="57">H385/F385</f>
        <v>0</v>
      </c>
      <c r="P385" s="18">
        <f t="shared" ref="P385:P386" si="58">(H385/F385)*1000</f>
        <v>0</v>
      </c>
    </row>
    <row r="386">
      <c r="A386" s="6" t="s">
        <v>1410</v>
      </c>
      <c r="B386" s="7" t="s">
        <v>19</v>
      </c>
      <c r="C386" s="7" t="s">
        <v>20</v>
      </c>
      <c r="D386" s="7" t="s">
        <v>32</v>
      </c>
      <c r="E386" s="8">
        <v>2830.0</v>
      </c>
      <c r="F386" s="8">
        <v>3043.0</v>
      </c>
      <c r="G386" s="9">
        <v>0.0431</v>
      </c>
      <c r="H386" s="10"/>
      <c r="I386" s="11"/>
      <c r="J386" s="7" t="s">
        <v>1411</v>
      </c>
      <c r="K386" s="11" t="s">
        <v>24</v>
      </c>
      <c r="L386" s="7"/>
      <c r="M386" s="11"/>
      <c r="N386" s="12" t="s">
        <v>1412</v>
      </c>
      <c r="O386" s="17">
        <f t="shared" si="57"/>
        <v>0</v>
      </c>
      <c r="P386" s="18">
        <f t="shared" si="58"/>
        <v>0</v>
      </c>
    </row>
    <row r="387" hidden="1">
      <c r="A387" s="6" t="s">
        <v>1413</v>
      </c>
      <c r="B387" s="7" t="s">
        <v>19</v>
      </c>
      <c r="C387" s="7" t="s">
        <v>20</v>
      </c>
      <c r="D387" s="7" t="s">
        <v>21</v>
      </c>
      <c r="E387" s="8">
        <v>2830.0</v>
      </c>
      <c r="F387" s="8">
        <v>3934.0</v>
      </c>
      <c r="G387" s="9">
        <v>0.0484</v>
      </c>
      <c r="H387" s="10"/>
      <c r="I387" s="11"/>
      <c r="J387" s="7" t="s">
        <v>1414</v>
      </c>
      <c r="K387" s="11" t="s">
        <v>24</v>
      </c>
      <c r="L387" s="7"/>
      <c r="M387" s="11"/>
      <c r="N387" s="12" t="s">
        <v>1415</v>
      </c>
      <c r="O387" s="2"/>
      <c r="P387" s="2"/>
    </row>
    <row r="388">
      <c r="A388" s="6" t="s">
        <v>1416</v>
      </c>
      <c r="B388" s="7" t="s">
        <v>19</v>
      </c>
      <c r="C388" s="7" t="s">
        <v>20</v>
      </c>
      <c r="D388" s="7" t="s">
        <v>32</v>
      </c>
      <c r="E388" s="8">
        <v>2810.0</v>
      </c>
      <c r="F388" s="8">
        <v>4468.0</v>
      </c>
      <c r="G388" s="9">
        <v>0.0107</v>
      </c>
      <c r="H388" s="10"/>
      <c r="I388" s="11" t="s">
        <v>1417</v>
      </c>
      <c r="J388" s="7" t="s">
        <v>1418</v>
      </c>
      <c r="K388" s="11" t="s">
        <v>24</v>
      </c>
      <c r="L388" s="7"/>
      <c r="M388" s="11"/>
      <c r="N388" s="12" t="s">
        <v>1419</v>
      </c>
      <c r="O388" s="17">
        <f>H388/F388</f>
        <v>0</v>
      </c>
      <c r="P388" s="18">
        <f>(H388/F388)*1000</f>
        <v>0</v>
      </c>
    </row>
    <row r="389" hidden="1">
      <c r="A389" s="6" t="s">
        <v>1420</v>
      </c>
      <c r="B389" s="7" t="s">
        <v>40</v>
      </c>
      <c r="C389" s="7" t="s">
        <v>41</v>
      </c>
      <c r="D389" s="7" t="s">
        <v>21</v>
      </c>
      <c r="E389" s="8">
        <v>2800.0</v>
      </c>
      <c r="F389" s="8"/>
      <c r="G389" s="9">
        <v>0.0</v>
      </c>
      <c r="H389" s="10">
        <v>11189.0</v>
      </c>
      <c r="I389" s="11" t="s">
        <v>1421</v>
      </c>
      <c r="J389" s="7" t="s">
        <v>1422</v>
      </c>
      <c r="K389" s="11" t="s">
        <v>24</v>
      </c>
      <c r="L389" s="7"/>
      <c r="M389" s="11"/>
      <c r="N389" s="12" t="s">
        <v>1423</v>
      </c>
      <c r="O389" s="2"/>
      <c r="P389" s="2"/>
    </row>
    <row r="390" hidden="1">
      <c r="A390" s="6" t="s">
        <v>1424</v>
      </c>
      <c r="B390" s="7" t="s">
        <v>19</v>
      </c>
      <c r="C390" s="7" t="s">
        <v>20</v>
      </c>
      <c r="D390" s="7" t="s">
        <v>21</v>
      </c>
      <c r="E390" s="8">
        <v>2800.0</v>
      </c>
      <c r="F390" s="8">
        <v>12861.0</v>
      </c>
      <c r="G390" s="9">
        <v>0.0177</v>
      </c>
      <c r="H390" s="10"/>
      <c r="I390" s="11"/>
      <c r="J390" s="7" t="s">
        <v>1425</v>
      </c>
      <c r="K390" s="11" t="s">
        <v>24</v>
      </c>
      <c r="L390" s="7"/>
      <c r="M390" s="11"/>
      <c r="N390" s="12" t="s">
        <v>1426</v>
      </c>
      <c r="O390" s="2"/>
      <c r="P390" s="2"/>
    </row>
    <row r="391">
      <c r="A391" s="6" t="s">
        <v>1427</v>
      </c>
      <c r="B391" s="7" t="s">
        <v>19</v>
      </c>
      <c r="C391" s="7" t="s">
        <v>20</v>
      </c>
      <c r="D391" s="7" t="s">
        <v>32</v>
      </c>
      <c r="E391" s="8">
        <v>2740.0</v>
      </c>
      <c r="F391" s="8">
        <v>6587.0</v>
      </c>
      <c r="G391" s="9">
        <v>0.0193</v>
      </c>
      <c r="H391" s="10"/>
      <c r="I391" s="11"/>
      <c r="J391" s="7" t="s">
        <v>357</v>
      </c>
      <c r="K391" s="11" t="s">
        <v>24</v>
      </c>
      <c r="L391" s="7"/>
      <c r="M391" s="11"/>
      <c r="N391" s="12" t="s">
        <v>1428</v>
      </c>
      <c r="O391" s="17">
        <f>H391/F391</f>
        <v>0</v>
      </c>
      <c r="P391" s="18">
        <f>(H391/F391)*1000</f>
        <v>0</v>
      </c>
    </row>
    <row r="392" hidden="1">
      <c r="A392" s="6" t="s">
        <v>1429</v>
      </c>
      <c r="B392" s="7" t="s">
        <v>19</v>
      </c>
      <c r="C392" s="7" t="s">
        <v>20</v>
      </c>
      <c r="D392" s="7" t="s">
        <v>21</v>
      </c>
      <c r="E392" s="8">
        <v>2720.0</v>
      </c>
      <c r="F392" s="8">
        <v>4147.0</v>
      </c>
      <c r="G392" s="9">
        <v>0.0351</v>
      </c>
      <c r="H392" s="10"/>
      <c r="I392" s="11"/>
      <c r="J392" s="7" t="s">
        <v>1430</v>
      </c>
      <c r="K392" s="11" t="s">
        <v>24</v>
      </c>
      <c r="L392" s="7"/>
      <c r="M392" s="11"/>
      <c r="N392" s="12" t="s">
        <v>1431</v>
      </c>
      <c r="O392" s="2"/>
      <c r="P392" s="2"/>
    </row>
    <row r="393">
      <c r="A393" s="6" t="s">
        <v>1432</v>
      </c>
      <c r="B393" s="7" t="s">
        <v>19</v>
      </c>
      <c r="C393" s="7" t="s">
        <v>20</v>
      </c>
      <c r="D393" s="7" t="s">
        <v>32</v>
      </c>
      <c r="E393" s="8">
        <v>2710.0</v>
      </c>
      <c r="F393" s="8">
        <v>27849.0</v>
      </c>
      <c r="G393" s="9">
        <v>0.0114</v>
      </c>
      <c r="H393" s="10"/>
      <c r="I393" s="11"/>
      <c r="J393" s="7" t="s">
        <v>1433</v>
      </c>
      <c r="K393" s="11" t="s">
        <v>24</v>
      </c>
      <c r="L393" s="7"/>
      <c r="M393" s="11"/>
      <c r="N393" s="12" t="s">
        <v>1434</v>
      </c>
      <c r="O393" s="17">
        <f>H393/F393</f>
        <v>0</v>
      </c>
      <c r="P393" s="18">
        <f>(H393/F393)*1000</f>
        <v>0</v>
      </c>
    </row>
    <row r="394" hidden="1">
      <c r="A394" s="6" t="s">
        <v>1435</v>
      </c>
      <c r="B394" s="7" t="s">
        <v>19</v>
      </c>
      <c r="C394" s="7" t="s">
        <v>20</v>
      </c>
      <c r="D394" s="7" t="s">
        <v>21</v>
      </c>
      <c r="E394" s="8">
        <v>2700.0</v>
      </c>
      <c r="F394" s="8">
        <v>1076.0</v>
      </c>
      <c r="G394" s="9">
        <v>0.0119</v>
      </c>
      <c r="H394" s="10"/>
      <c r="I394" s="11"/>
      <c r="J394" s="7" t="s">
        <v>1436</v>
      </c>
      <c r="K394" s="11" t="s">
        <v>24</v>
      </c>
      <c r="L394" s="7"/>
      <c r="M394" s="11"/>
      <c r="N394" s="12" t="s">
        <v>1437</v>
      </c>
      <c r="O394" s="2"/>
      <c r="P394" s="2"/>
    </row>
    <row r="395">
      <c r="A395" s="6" t="s">
        <v>1438</v>
      </c>
      <c r="B395" s="7" t="s">
        <v>19</v>
      </c>
      <c r="C395" s="7" t="s">
        <v>20</v>
      </c>
      <c r="D395" s="7" t="s">
        <v>32</v>
      </c>
      <c r="E395" s="8">
        <v>2690.0</v>
      </c>
      <c r="F395" s="8">
        <v>34431.0</v>
      </c>
      <c r="G395" s="9">
        <v>0.0077</v>
      </c>
      <c r="H395" s="10"/>
      <c r="I395" s="11" t="s">
        <v>1439</v>
      </c>
      <c r="J395" s="7" t="s">
        <v>1440</v>
      </c>
      <c r="K395" s="11" t="s">
        <v>24</v>
      </c>
      <c r="L395" s="7"/>
      <c r="M395" s="11"/>
      <c r="N395" s="12" t="s">
        <v>1441</v>
      </c>
      <c r="O395" s="17">
        <f t="shared" ref="O395:O398" si="59">H395/F395</f>
        <v>0</v>
      </c>
      <c r="P395" s="18">
        <f t="shared" ref="P395:P398" si="60">(H395/F395)*1000</f>
        <v>0</v>
      </c>
    </row>
    <row r="396">
      <c r="A396" s="6" t="s">
        <v>1442</v>
      </c>
      <c r="B396" s="7" t="s">
        <v>19</v>
      </c>
      <c r="C396" s="7" t="s">
        <v>20</v>
      </c>
      <c r="D396" s="7" t="s">
        <v>32</v>
      </c>
      <c r="E396" s="8">
        <v>2680.0</v>
      </c>
      <c r="F396" s="8">
        <v>10429.0</v>
      </c>
      <c r="G396" s="9">
        <v>0.0197</v>
      </c>
      <c r="H396" s="10"/>
      <c r="I396" s="11"/>
      <c r="J396" s="7" t="s">
        <v>231</v>
      </c>
      <c r="K396" s="11" t="s">
        <v>24</v>
      </c>
      <c r="L396" s="7"/>
      <c r="M396" s="11"/>
      <c r="N396" s="12" t="s">
        <v>1443</v>
      </c>
      <c r="O396" s="17">
        <f t="shared" si="59"/>
        <v>0</v>
      </c>
      <c r="P396" s="18">
        <f t="shared" si="60"/>
        <v>0</v>
      </c>
    </row>
    <row r="397">
      <c r="A397" s="6" t="s">
        <v>1444</v>
      </c>
      <c r="B397" s="7" t="s">
        <v>19</v>
      </c>
      <c r="C397" s="7" t="s">
        <v>20</v>
      </c>
      <c r="D397" s="7" t="s">
        <v>32</v>
      </c>
      <c r="E397" s="8">
        <v>2650.0</v>
      </c>
      <c r="F397" s="8">
        <v>862.0</v>
      </c>
      <c r="G397" s="9">
        <v>0.0191</v>
      </c>
      <c r="H397" s="10"/>
      <c r="I397" s="11" t="s">
        <v>1445</v>
      </c>
      <c r="J397" s="7" t="s">
        <v>1446</v>
      </c>
      <c r="K397" s="11" t="s">
        <v>24</v>
      </c>
      <c r="L397" s="7"/>
      <c r="M397" s="11"/>
      <c r="N397" s="12" t="s">
        <v>1447</v>
      </c>
      <c r="O397" s="17">
        <f t="shared" si="59"/>
        <v>0</v>
      </c>
      <c r="P397" s="18">
        <f t="shared" si="60"/>
        <v>0</v>
      </c>
    </row>
    <row r="398">
      <c r="A398" s="6" t="s">
        <v>1448</v>
      </c>
      <c r="B398" s="7" t="s">
        <v>19</v>
      </c>
      <c r="C398" s="7" t="s">
        <v>20</v>
      </c>
      <c r="D398" s="7" t="s">
        <v>32</v>
      </c>
      <c r="E398" s="8">
        <v>2630.0</v>
      </c>
      <c r="F398" s="8">
        <v>6205.0</v>
      </c>
      <c r="G398" s="9">
        <v>0.0204</v>
      </c>
      <c r="H398" s="10"/>
      <c r="I398" s="11" t="s">
        <v>1449</v>
      </c>
      <c r="J398" s="7" t="s">
        <v>1450</v>
      </c>
      <c r="K398" s="11" t="s">
        <v>24</v>
      </c>
      <c r="L398" s="7"/>
      <c r="M398" s="11"/>
      <c r="N398" s="12" t="s">
        <v>1451</v>
      </c>
      <c r="O398" s="17">
        <f t="shared" si="59"/>
        <v>0</v>
      </c>
      <c r="P398" s="18">
        <f t="shared" si="60"/>
        <v>0</v>
      </c>
    </row>
    <row r="399" hidden="1">
      <c r="A399" s="6" t="s">
        <v>1452</v>
      </c>
      <c r="B399" s="7" t="s">
        <v>40</v>
      </c>
      <c r="C399" s="7" t="s">
        <v>41</v>
      </c>
      <c r="D399" s="7" t="s">
        <v>21</v>
      </c>
      <c r="E399" s="8">
        <v>2600.0</v>
      </c>
      <c r="F399" s="8"/>
      <c r="G399" s="9">
        <v>6.9E-4</v>
      </c>
      <c r="H399" s="10">
        <v>420.0</v>
      </c>
      <c r="I399" s="11" t="s">
        <v>1453</v>
      </c>
      <c r="J399" s="7" t="s">
        <v>1454</v>
      </c>
      <c r="K399" s="11" t="s">
        <v>24</v>
      </c>
      <c r="L399" s="7"/>
      <c r="M399" s="11"/>
      <c r="N399" s="12" t="s">
        <v>1455</v>
      </c>
      <c r="O399" s="2"/>
      <c r="P399" s="2"/>
    </row>
    <row r="400" hidden="1">
      <c r="A400" s="6" t="s">
        <v>1456</v>
      </c>
      <c r="B400" s="7" t="s">
        <v>19</v>
      </c>
      <c r="C400" s="7" t="s">
        <v>20</v>
      </c>
      <c r="D400" s="7" t="s">
        <v>21</v>
      </c>
      <c r="E400" s="8">
        <v>2570.0</v>
      </c>
      <c r="F400" s="8">
        <v>1305.0</v>
      </c>
      <c r="G400" s="9">
        <v>0.0488</v>
      </c>
      <c r="H400" s="10"/>
      <c r="I400" s="11"/>
      <c r="J400" s="7" t="s">
        <v>1457</v>
      </c>
      <c r="K400" s="11" t="s">
        <v>24</v>
      </c>
      <c r="L400" s="7"/>
      <c r="M400" s="11"/>
      <c r="N400" s="12" t="s">
        <v>1458</v>
      </c>
      <c r="O400" s="2"/>
      <c r="P400" s="2"/>
    </row>
    <row r="401">
      <c r="A401" s="6" t="s">
        <v>1459</v>
      </c>
      <c r="B401" s="7" t="s">
        <v>19</v>
      </c>
      <c r="C401" s="7" t="s">
        <v>20</v>
      </c>
      <c r="D401" s="7" t="s">
        <v>32</v>
      </c>
      <c r="E401" s="8">
        <v>2520.0</v>
      </c>
      <c r="F401" s="8">
        <v>39884.0</v>
      </c>
      <c r="G401" s="9">
        <v>0.0035</v>
      </c>
      <c r="H401" s="10"/>
      <c r="I401" s="11"/>
      <c r="J401" s="7" t="s">
        <v>1270</v>
      </c>
      <c r="K401" s="11" t="s">
        <v>24</v>
      </c>
      <c r="L401" s="7"/>
      <c r="M401" s="11"/>
      <c r="N401" s="12" t="s">
        <v>1460</v>
      </c>
      <c r="O401" s="17">
        <f>H401/F401</f>
        <v>0</v>
      </c>
      <c r="P401" s="18">
        <f>(H401/F401)*1000</f>
        <v>0</v>
      </c>
    </row>
    <row r="402" hidden="1">
      <c r="A402" s="6" t="s">
        <v>1461</v>
      </c>
      <c r="B402" s="7" t="s">
        <v>40</v>
      </c>
      <c r="C402" s="7" t="s">
        <v>41</v>
      </c>
      <c r="D402" s="7" t="s">
        <v>21</v>
      </c>
      <c r="E402" s="8">
        <v>2500.0</v>
      </c>
      <c r="F402" s="8"/>
      <c r="G402" s="9">
        <v>3.7E-4</v>
      </c>
      <c r="H402" s="10">
        <v>294.0</v>
      </c>
      <c r="I402" s="11" t="s">
        <v>1462</v>
      </c>
      <c r="J402" s="7" t="s">
        <v>1463</v>
      </c>
      <c r="K402" s="11" t="s">
        <v>24</v>
      </c>
      <c r="L402" s="7"/>
      <c r="M402" s="11"/>
      <c r="N402" s="12" t="s">
        <v>1464</v>
      </c>
      <c r="O402" s="2"/>
      <c r="P402" s="2"/>
    </row>
    <row r="403" hidden="1">
      <c r="A403" s="6" t="s">
        <v>1465</v>
      </c>
      <c r="B403" s="7" t="s">
        <v>40</v>
      </c>
      <c r="C403" s="7" t="s">
        <v>41</v>
      </c>
      <c r="D403" s="7" t="s">
        <v>21</v>
      </c>
      <c r="E403" s="8">
        <v>2500.0</v>
      </c>
      <c r="F403" s="8"/>
      <c r="G403" s="9">
        <v>6.4E-4</v>
      </c>
      <c r="H403" s="10">
        <v>979.0</v>
      </c>
      <c r="I403" s="11" t="s">
        <v>1466</v>
      </c>
      <c r="J403" s="7" t="s">
        <v>1467</v>
      </c>
      <c r="K403" s="11" t="s">
        <v>24</v>
      </c>
      <c r="L403" s="7"/>
      <c r="M403" s="11"/>
      <c r="N403" s="12" t="s">
        <v>1468</v>
      </c>
      <c r="O403" s="2"/>
      <c r="P403" s="2"/>
    </row>
    <row r="404" hidden="1">
      <c r="A404" s="6" t="s">
        <v>1469</v>
      </c>
      <c r="B404" s="7" t="s">
        <v>40</v>
      </c>
      <c r="C404" s="7" t="s">
        <v>41</v>
      </c>
      <c r="D404" s="7" t="s">
        <v>21</v>
      </c>
      <c r="E404" s="8">
        <v>2500.0</v>
      </c>
      <c r="F404" s="8"/>
      <c r="G404" s="9">
        <v>0.01364</v>
      </c>
      <c r="H404" s="10">
        <v>3496.0</v>
      </c>
      <c r="I404" s="11" t="s">
        <v>1470</v>
      </c>
      <c r="J404" s="7" t="s">
        <v>1454</v>
      </c>
      <c r="K404" s="11" t="s">
        <v>24</v>
      </c>
      <c r="L404" s="7"/>
      <c r="M404" s="11"/>
      <c r="N404" s="12" t="s">
        <v>1471</v>
      </c>
      <c r="O404" s="2"/>
      <c r="P404" s="2"/>
    </row>
    <row r="405" hidden="1">
      <c r="A405" s="6" t="s">
        <v>1472</v>
      </c>
      <c r="B405" s="7" t="s">
        <v>19</v>
      </c>
      <c r="C405" s="7" t="s">
        <v>20</v>
      </c>
      <c r="D405" s="7" t="s">
        <v>21</v>
      </c>
      <c r="E405" s="8">
        <v>2490.0</v>
      </c>
      <c r="F405" s="8">
        <v>5111.0</v>
      </c>
      <c r="G405" s="9">
        <v>0.0301</v>
      </c>
      <c r="H405" s="10"/>
      <c r="I405" s="11"/>
      <c r="J405" s="7" t="s">
        <v>817</v>
      </c>
      <c r="K405" s="11" t="s">
        <v>24</v>
      </c>
      <c r="L405" s="7"/>
      <c r="M405" s="11"/>
      <c r="N405" s="12" t="s">
        <v>1473</v>
      </c>
      <c r="O405" s="2"/>
      <c r="P405" s="2"/>
    </row>
    <row r="406">
      <c r="A406" s="6" t="s">
        <v>1474</v>
      </c>
      <c r="B406" s="7" t="s">
        <v>19</v>
      </c>
      <c r="C406" s="7" t="s">
        <v>20</v>
      </c>
      <c r="D406" s="7" t="s">
        <v>32</v>
      </c>
      <c r="E406" s="8">
        <v>2410.0</v>
      </c>
      <c r="F406" s="8">
        <v>3489.0</v>
      </c>
      <c r="G406" s="9">
        <v>0.0406</v>
      </c>
      <c r="H406" s="10"/>
      <c r="I406" s="11"/>
      <c r="J406" s="7" t="s">
        <v>1475</v>
      </c>
      <c r="K406" s="11" t="s">
        <v>24</v>
      </c>
      <c r="L406" s="7"/>
      <c r="M406" s="11"/>
      <c r="N406" s="12" t="s">
        <v>1476</v>
      </c>
      <c r="O406" s="17">
        <f>H406/F406</f>
        <v>0</v>
      </c>
      <c r="P406" s="18">
        <f>(H406/F406)*1000</f>
        <v>0</v>
      </c>
    </row>
    <row r="407" hidden="1">
      <c r="A407" s="6" t="s">
        <v>1477</v>
      </c>
      <c r="B407" s="7" t="s">
        <v>40</v>
      </c>
      <c r="C407" s="7" t="s">
        <v>41</v>
      </c>
      <c r="D407" s="7" t="s">
        <v>21</v>
      </c>
      <c r="E407" s="8">
        <v>2400.0</v>
      </c>
      <c r="F407" s="8"/>
      <c r="G407" s="9">
        <v>5.1E-4</v>
      </c>
      <c r="H407" s="10">
        <v>559.0</v>
      </c>
      <c r="I407" s="11" t="s">
        <v>1478</v>
      </c>
      <c r="J407" s="7" t="s">
        <v>1133</v>
      </c>
      <c r="K407" s="11" t="s">
        <v>24</v>
      </c>
      <c r="L407" s="7"/>
      <c r="M407" s="11"/>
      <c r="N407" s="12" t="s">
        <v>1479</v>
      </c>
      <c r="O407" s="2"/>
      <c r="P407" s="2"/>
    </row>
    <row r="408" hidden="1">
      <c r="A408" s="6" t="s">
        <v>1480</v>
      </c>
      <c r="B408" s="7" t="s">
        <v>40</v>
      </c>
      <c r="C408" s="7" t="s">
        <v>41</v>
      </c>
      <c r="D408" s="7" t="s">
        <v>21</v>
      </c>
      <c r="E408" s="8">
        <v>2400.0</v>
      </c>
      <c r="F408" s="8"/>
      <c r="G408" s="9">
        <v>0.0</v>
      </c>
      <c r="H408" s="10">
        <v>9790.0</v>
      </c>
      <c r="I408" s="11" t="s">
        <v>1481</v>
      </c>
      <c r="J408" s="7" t="s">
        <v>1482</v>
      </c>
      <c r="K408" s="11" t="s">
        <v>24</v>
      </c>
      <c r="L408" s="7"/>
      <c r="M408" s="11"/>
      <c r="N408" s="12" t="s">
        <v>1483</v>
      </c>
      <c r="O408" s="2"/>
      <c r="P408" s="2"/>
    </row>
    <row r="409">
      <c r="A409" s="6" t="s">
        <v>1484</v>
      </c>
      <c r="B409" s="7" t="s">
        <v>19</v>
      </c>
      <c r="C409" s="7" t="s">
        <v>20</v>
      </c>
      <c r="D409" s="7" t="s">
        <v>32</v>
      </c>
      <c r="E409" s="8">
        <v>2390.0</v>
      </c>
      <c r="F409" s="8">
        <v>17123.0</v>
      </c>
      <c r="G409" s="9">
        <v>0.0241</v>
      </c>
      <c r="H409" s="10"/>
      <c r="I409" s="11"/>
      <c r="J409" s="7" t="s">
        <v>1485</v>
      </c>
      <c r="K409" s="11" t="s">
        <v>24</v>
      </c>
      <c r="L409" s="7"/>
      <c r="M409" s="11"/>
      <c r="N409" s="12" t="s">
        <v>1486</v>
      </c>
      <c r="O409" s="17">
        <f>H409/F409</f>
        <v>0</v>
      </c>
      <c r="P409" s="18">
        <f>(H409/F409)*1000</f>
        <v>0</v>
      </c>
    </row>
    <row r="410" hidden="1">
      <c r="A410" s="6" t="s">
        <v>1487</v>
      </c>
      <c r="B410" s="7" t="s">
        <v>19</v>
      </c>
      <c r="C410" s="7" t="s">
        <v>20</v>
      </c>
      <c r="D410" s="7" t="s">
        <v>21</v>
      </c>
      <c r="E410" s="8">
        <v>2390.0</v>
      </c>
      <c r="F410" s="8">
        <v>1104.0</v>
      </c>
      <c r="G410" s="9">
        <v>0.0126</v>
      </c>
      <c r="H410" s="10"/>
      <c r="I410" s="11"/>
      <c r="J410" s="7" t="s">
        <v>1488</v>
      </c>
      <c r="K410" s="11" t="s">
        <v>24</v>
      </c>
      <c r="L410" s="7"/>
      <c r="M410" s="11"/>
      <c r="N410" s="12" t="s">
        <v>1489</v>
      </c>
      <c r="O410" s="2"/>
      <c r="P410" s="2"/>
    </row>
    <row r="411">
      <c r="A411" s="6" t="s">
        <v>1490</v>
      </c>
      <c r="B411" s="7" t="s">
        <v>19</v>
      </c>
      <c r="C411" s="7" t="s">
        <v>20</v>
      </c>
      <c r="D411" s="7" t="s">
        <v>32</v>
      </c>
      <c r="E411" s="8">
        <v>2370.0</v>
      </c>
      <c r="F411" s="8">
        <v>3567.0</v>
      </c>
      <c r="G411" s="9">
        <v>0.0213</v>
      </c>
      <c r="H411" s="10"/>
      <c r="I411" s="11" t="s">
        <v>1491</v>
      </c>
      <c r="J411" s="7" t="s">
        <v>1492</v>
      </c>
      <c r="K411" s="11" t="s">
        <v>24</v>
      </c>
      <c r="L411" s="7"/>
      <c r="M411" s="11"/>
      <c r="N411" s="12" t="s">
        <v>1493</v>
      </c>
      <c r="O411" s="17">
        <f>H411/F411</f>
        <v>0</v>
      </c>
      <c r="P411" s="18">
        <f>(H411/F411)*1000</f>
        <v>0</v>
      </c>
    </row>
    <row r="412" hidden="1">
      <c r="A412" s="6" t="s">
        <v>1494</v>
      </c>
      <c r="B412" s="7" t="s">
        <v>19</v>
      </c>
      <c r="C412" s="7" t="s">
        <v>20</v>
      </c>
      <c r="D412" s="7" t="s">
        <v>21</v>
      </c>
      <c r="E412" s="8">
        <v>2360.0</v>
      </c>
      <c r="F412" s="8">
        <v>1190.0</v>
      </c>
      <c r="G412" s="9">
        <v>0.0163</v>
      </c>
      <c r="H412" s="10"/>
      <c r="I412" s="11" t="s">
        <v>1495</v>
      </c>
      <c r="J412" s="7" t="s">
        <v>1496</v>
      </c>
      <c r="K412" s="11" t="s">
        <v>24</v>
      </c>
      <c r="L412" s="7"/>
      <c r="M412" s="11"/>
      <c r="N412" s="12" t="s">
        <v>1497</v>
      </c>
      <c r="O412" s="2"/>
      <c r="P412" s="2"/>
    </row>
    <row r="413">
      <c r="A413" s="6" t="s">
        <v>1498</v>
      </c>
      <c r="B413" s="7" t="s">
        <v>19</v>
      </c>
      <c r="C413" s="7" t="s">
        <v>20</v>
      </c>
      <c r="D413" s="7" t="s">
        <v>32</v>
      </c>
      <c r="E413" s="8">
        <v>2320.0</v>
      </c>
      <c r="F413" s="8">
        <v>13301.0</v>
      </c>
      <c r="G413" s="9">
        <v>0.0134</v>
      </c>
      <c r="H413" s="10"/>
      <c r="I413" s="11"/>
      <c r="J413" s="7" t="s">
        <v>215</v>
      </c>
      <c r="K413" s="11" t="s">
        <v>24</v>
      </c>
      <c r="L413" s="7"/>
      <c r="M413" s="11"/>
      <c r="N413" s="12" t="s">
        <v>1499</v>
      </c>
      <c r="O413" s="17">
        <f>H413/F413</f>
        <v>0</v>
      </c>
      <c r="P413" s="18">
        <f>(H413/F413)*1000</f>
        <v>0</v>
      </c>
    </row>
    <row r="414" hidden="1">
      <c r="A414" s="6" t="s">
        <v>1500</v>
      </c>
      <c r="B414" s="7" t="s">
        <v>19</v>
      </c>
      <c r="C414" s="7" t="s">
        <v>20</v>
      </c>
      <c r="D414" s="7" t="s">
        <v>21</v>
      </c>
      <c r="E414" s="8">
        <v>2310.0</v>
      </c>
      <c r="F414" s="8">
        <v>3831.0</v>
      </c>
      <c r="G414" s="9">
        <v>0.016</v>
      </c>
      <c r="H414" s="10"/>
      <c r="I414" s="11"/>
      <c r="J414" s="7" t="s">
        <v>1501</v>
      </c>
      <c r="K414" s="11" t="s">
        <v>24</v>
      </c>
      <c r="L414" s="7"/>
      <c r="M414" s="11"/>
      <c r="N414" s="12" t="s">
        <v>1502</v>
      </c>
      <c r="O414" s="2"/>
      <c r="P414" s="2"/>
    </row>
    <row r="415" hidden="1">
      <c r="A415" s="6" t="s">
        <v>1503</v>
      </c>
      <c r="B415" s="7" t="s">
        <v>40</v>
      </c>
      <c r="C415" s="7" t="s">
        <v>41</v>
      </c>
      <c r="D415" s="7" t="s">
        <v>21</v>
      </c>
      <c r="E415" s="8">
        <v>2300.0</v>
      </c>
      <c r="F415" s="8"/>
      <c r="G415" s="9">
        <v>6.9E-4</v>
      </c>
      <c r="H415" s="10">
        <v>294.0</v>
      </c>
      <c r="I415" s="11" t="s">
        <v>1504</v>
      </c>
      <c r="J415" s="7" t="s">
        <v>1505</v>
      </c>
      <c r="K415" s="11" t="s">
        <v>24</v>
      </c>
      <c r="L415" s="7"/>
      <c r="M415" s="11"/>
      <c r="N415" s="12" t="s">
        <v>1506</v>
      </c>
      <c r="O415" s="2"/>
      <c r="P415" s="2"/>
    </row>
    <row r="416" hidden="1">
      <c r="A416" s="6" t="s">
        <v>1507</v>
      </c>
      <c r="B416" s="7" t="s">
        <v>19</v>
      </c>
      <c r="C416" s="7" t="s">
        <v>20</v>
      </c>
      <c r="D416" s="7" t="s">
        <v>21</v>
      </c>
      <c r="E416" s="8">
        <v>2290.0</v>
      </c>
      <c r="F416" s="8">
        <v>13752.0</v>
      </c>
      <c r="G416" s="9">
        <v>0.0214</v>
      </c>
      <c r="H416" s="10"/>
      <c r="I416" s="11" t="s">
        <v>1508</v>
      </c>
      <c r="J416" s="7" t="s">
        <v>1509</v>
      </c>
      <c r="K416" s="11" t="s">
        <v>24</v>
      </c>
      <c r="L416" s="7"/>
      <c r="M416" s="11"/>
      <c r="N416" s="12" t="s">
        <v>1510</v>
      </c>
      <c r="O416" s="2"/>
      <c r="P416" s="2"/>
    </row>
    <row r="417">
      <c r="A417" s="6" t="s">
        <v>1511</v>
      </c>
      <c r="B417" s="7" t="s">
        <v>19</v>
      </c>
      <c r="C417" s="7" t="s">
        <v>20</v>
      </c>
      <c r="D417" s="7" t="s">
        <v>32</v>
      </c>
      <c r="E417" s="8">
        <v>2250.0</v>
      </c>
      <c r="F417" s="8">
        <v>2896.0</v>
      </c>
      <c r="G417" s="9">
        <v>0.0269</v>
      </c>
      <c r="H417" s="10"/>
      <c r="I417" s="11"/>
      <c r="J417" s="7" t="s">
        <v>357</v>
      </c>
      <c r="K417" s="11" t="s">
        <v>24</v>
      </c>
      <c r="L417" s="7"/>
      <c r="M417" s="11"/>
      <c r="N417" s="12" t="s">
        <v>1512</v>
      </c>
      <c r="O417" s="17">
        <f>H417/F417</f>
        <v>0</v>
      </c>
      <c r="P417" s="18">
        <f>(H417/F417)*1000</f>
        <v>0</v>
      </c>
    </row>
    <row r="418" hidden="1">
      <c r="A418" s="6" t="s">
        <v>1513</v>
      </c>
      <c r="B418" s="7" t="s">
        <v>40</v>
      </c>
      <c r="C418" s="7" t="s">
        <v>41</v>
      </c>
      <c r="D418" s="7" t="s">
        <v>21</v>
      </c>
      <c r="E418" s="8">
        <v>2200.0</v>
      </c>
      <c r="F418" s="8"/>
      <c r="G418" s="9">
        <v>0.0</v>
      </c>
      <c r="H418" s="10">
        <v>2098.0</v>
      </c>
      <c r="I418" s="11" t="s">
        <v>1514</v>
      </c>
      <c r="J418" s="7" t="s">
        <v>1515</v>
      </c>
      <c r="K418" s="11" t="s">
        <v>24</v>
      </c>
      <c r="L418" s="7"/>
      <c r="M418" s="11"/>
      <c r="N418" s="12" t="s">
        <v>1516</v>
      </c>
      <c r="O418" s="2"/>
      <c r="P418" s="2"/>
    </row>
    <row r="419" hidden="1">
      <c r="A419" s="6" t="s">
        <v>1517</v>
      </c>
      <c r="B419" s="7" t="s">
        <v>40</v>
      </c>
      <c r="C419" s="7" t="s">
        <v>41</v>
      </c>
      <c r="D419" s="7" t="s">
        <v>21</v>
      </c>
      <c r="E419" s="8">
        <v>2200.0</v>
      </c>
      <c r="F419" s="8"/>
      <c r="G419" s="9">
        <v>0.0</v>
      </c>
      <c r="H419" s="10">
        <v>6993.0</v>
      </c>
      <c r="I419" s="11" t="s">
        <v>1518</v>
      </c>
      <c r="J419" s="7" t="s">
        <v>1310</v>
      </c>
      <c r="K419" s="11" t="s">
        <v>24</v>
      </c>
      <c r="L419" s="7"/>
      <c r="M419" s="11"/>
      <c r="N419" s="12" t="s">
        <v>1519</v>
      </c>
      <c r="O419" s="2"/>
      <c r="P419" s="2"/>
    </row>
    <row r="420" hidden="1">
      <c r="A420" s="6" t="s">
        <v>1520</v>
      </c>
      <c r="B420" s="7" t="s">
        <v>40</v>
      </c>
      <c r="C420" s="7" t="s">
        <v>41</v>
      </c>
      <c r="D420" s="7" t="s">
        <v>21</v>
      </c>
      <c r="E420" s="8">
        <v>2200.0</v>
      </c>
      <c r="F420" s="8"/>
      <c r="G420" s="9">
        <v>0.0</v>
      </c>
      <c r="H420" s="10">
        <v>4895.0</v>
      </c>
      <c r="I420" s="11" t="s">
        <v>1521</v>
      </c>
      <c r="J420" s="7" t="s">
        <v>784</v>
      </c>
      <c r="K420" s="11" t="s">
        <v>24</v>
      </c>
      <c r="L420" s="7"/>
      <c r="M420" s="11"/>
      <c r="N420" s="12" t="s">
        <v>1522</v>
      </c>
      <c r="O420" s="2"/>
      <c r="P420" s="2"/>
    </row>
    <row r="421" hidden="1">
      <c r="A421" s="6" t="s">
        <v>1523</v>
      </c>
      <c r="B421" s="7" t="s">
        <v>40</v>
      </c>
      <c r="C421" s="7" t="s">
        <v>41</v>
      </c>
      <c r="D421" s="7" t="s">
        <v>21</v>
      </c>
      <c r="E421" s="8">
        <v>2200.0</v>
      </c>
      <c r="F421" s="8"/>
      <c r="G421" s="9">
        <v>0.0</v>
      </c>
      <c r="H421" s="10">
        <v>5594.0</v>
      </c>
      <c r="I421" s="11" t="s">
        <v>1524</v>
      </c>
      <c r="J421" s="7" t="s">
        <v>1525</v>
      </c>
      <c r="K421" s="11" t="s">
        <v>24</v>
      </c>
      <c r="L421" s="7"/>
      <c r="M421" s="11"/>
      <c r="N421" s="12" t="s">
        <v>1526</v>
      </c>
      <c r="O421" s="2"/>
      <c r="P421" s="2"/>
    </row>
    <row r="422">
      <c r="A422" s="6" t="s">
        <v>1527</v>
      </c>
      <c r="B422" s="7" t="s">
        <v>19</v>
      </c>
      <c r="C422" s="7" t="s">
        <v>20</v>
      </c>
      <c r="D422" s="7" t="s">
        <v>32</v>
      </c>
      <c r="E422" s="8">
        <v>2200.0</v>
      </c>
      <c r="F422" s="8">
        <v>14462.0</v>
      </c>
      <c r="G422" s="9">
        <v>0.0111</v>
      </c>
      <c r="H422" s="10"/>
      <c r="I422" s="11" t="s">
        <v>1528</v>
      </c>
      <c r="J422" s="7" t="s">
        <v>1529</v>
      </c>
      <c r="K422" s="11" t="s">
        <v>24</v>
      </c>
      <c r="L422" s="7"/>
      <c r="M422" s="11"/>
      <c r="N422" s="12" t="s">
        <v>1530</v>
      </c>
      <c r="O422" s="17">
        <f t="shared" ref="O422:O426" si="61">H422/F422</f>
        <v>0</v>
      </c>
      <c r="P422" s="18">
        <f t="shared" ref="P422:P426" si="62">(H422/F422)*1000</f>
        <v>0</v>
      </c>
    </row>
    <row r="423">
      <c r="A423" s="6" t="s">
        <v>1531</v>
      </c>
      <c r="B423" s="7" t="s">
        <v>19</v>
      </c>
      <c r="C423" s="7" t="s">
        <v>20</v>
      </c>
      <c r="D423" s="7" t="s">
        <v>32</v>
      </c>
      <c r="E423" s="8">
        <v>2170.0</v>
      </c>
      <c r="F423" s="8">
        <v>9776.0</v>
      </c>
      <c r="G423" s="9">
        <v>0.0364</v>
      </c>
      <c r="H423" s="10"/>
      <c r="I423" s="11"/>
      <c r="J423" s="7" t="s">
        <v>231</v>
      </c>
      <c r="K423" s="11" t="s">
        <v>24</v>
      </c>
      <c r="L423" s="7"/>
      <c r="M423" s="11"/>
      <c r="N423" s="12" t="s">
        <v>1532</v>
      </c>
      <c r="O423" s="17">
        <f t="shared" si="61"/>
        <v>0</v>
      </c>
      <c r="P423" s="18">
        <f t="shared" si="62"/>
        <v>0</v>
      </c>
    </row>
    <row r="424">
      <c r="A424" s="6" t="s">
        <v>1533</v>
      </c>
      <c r="B424" s="7" t="s">
        <v>19</v>
      </c>
      <c r="C424" s="7" t="s">
        <v>20</v>
      </c>
      <c r="D424" s="7" t="s">
        <v>32</v>
      </c>
      <c r="E424" s="8">
        <v>2160.0</v>
      </c>
      <c r="F424" s="8">
        <v>5790.0</v>
      </c>
      <c r="G424" s="9">
        <v>0.0202</v>
      </c>
      <c r="H424" s="10"/>
      <c r="I424" s="11" t="s">
        <v>1534</v>
      </c>
      <c r="J424" s="7" t="s">
        <v>1535</v>
      </c>
      <c r="K424" s="11" t="s">
        <v>24</v>
      </c>
      <c r="L424" s="7"/>
      <c r="M424" s="11"/>
      <c r="N424" s="12" t="s">
        <v>1536</v>
      </c>
      <c r="O424" s="17">
        <f t="shared" si="61"/>
        <v>0</v>
      </c>
      <c r="P424" s="18">
        <f t="shared" si="62"/>
        <v>0</v>
      </c>
    </row>
    <row r="425">
      <c r="A425" s="6" t="s">
        <v>1537</v>
      </c>
      <c r="B425" s="7" t="s">
        <v>19</v>
      </c>
      <c r="C425" s="7" t="s">
        <v>20</v>
      </c>
      <c r="D425" s="7" t="s">
        <v>32</v>
      </c>
      <c r="E425" s="8">
        <v>2160.0</v>
      </c>
      <c r="F425" s="8">
        <v>20270.0</v>
      </c>
      <c r="G425" s="9">
        <v>0.0091</v>
      </c>
      <c r="H425" s="10"/>
      <c r="I425" s="11" t="s">
        <v>1538</v>
      </c>
      <c r="J425" s="7" t="s">
        <v>318</v>
      </c>
      <c r="K425" s="11" t="s">
        <v>24</v>
      </c>
      <c r="L425" s="7"/>
      <c r="M425" s="11"/>
      <c r="N425" s="12" t="s">
        <v>1539</v>
      </c>
      <c r="O425" s="17">
        <f t="shared" si="61"/>
        <v>0</v>
      </c>
      <c r="P425" s="18">
        <f t="shared" si="62"/>
        <v>0</v>
      </c>
    </row>
    <row r="426">
      <c r="A426" s="6" t="s">
        <v>1540</v>
      </c>
      <c r="B426" s="7" t="s">
        <v>19</v>
      </c>
      <c r="C426" s="7" t="s">
        <v>20</v>
      </c>
      <c r="D426" s="7" t="s">
        <v>32</v>
      </c>
      <c r="E426" s="8">
        <v>2110.0</v>
      </c>
      <c r="F426" s="8">
        <v>3071.0</v>
      </c>
      <c r="G426" s="9">
        <v>0.0285</v>
      </c>
      <c r="H426" s="10"/>
      <c r="I426" s="11"/>
      <c r="J426" s="7" t="s">
        <v>1541</v>
      </c>
      <c r="K426" s="11" t="s">
        <v>24</v>
      </c>
      <c r="L426" s="7"/>
      <c r="M426" s="11"/>
      <c r="N426" s="12" t="s">
        <v>1542</v>
      </c>
      <c r="O426" s="17">
        <f t="shared" si="61"/>
        <v>0</v>
      </c>
      <c r="P426" s="18">
        <f t="shared" si="62"/>
        <v>0</v>
      </c>
    </row>
    <row r="427" hidden="1">
      <c r="A427" s="6" t="s">
        <v>1543</v>
      </c>
      <c r="B427" s="7" t="s">
        <v>19</v>
      </c>
      <c r="C427" s="7" t="s">
        <v>20</v>
      </c>
      <c r="D427" s="7" t="s">
        <v>21</v>
      </c>
      <c r="E427" s="8">
        <v>2110.0</v>
      </c>
      <c r="F427" s="8">
        <v>3018.0</v>
      </c>
      <c r="G427" s="9">
        <v>0.0292</v>
      </c>
      <c r="H427" s="10"/>
      <c r="I427" s="11" t="s">
        <v>1544</v>
      </c>
      <c r="J427" s="7" t="s">
        <v>817</v>
      </c>
      <c r="K427" s="11" t="s">
        <v>24</v>
      </c>
      <c r="L427" s="7"/>
      <c r="M427" s="11"/>
      <c r="N427" s="12" t="s">
        <v>1545</v>
      </c>
      <c r="O427" s="2"/>
      <c r="P427" s="2"/>
    </row>
    <row r="428" hidden="1">
      <c r="A428" s="6" t="s">
        <v>1546</v>
      </c>
      <c r="B428" s="7" t="s">
        <v>40</v>
      </c>
      <c r="C428" s="7" t="s">
        <v>41</v>
      </c>
      <c r="D428" s="7" t="s">
        <v>21</v>
      </c>
      <c r="E428" s="8">
        <v>2100.0</v>
      </c>
      <c r="F428" s="8"/>
      <c r="G428" s="9">
        <v>0.00125</v>
      </c>
      <c r="H428" s="10">
        <v>1399.0</v>
      </c>
      <c r="I428" s="11" t="s">
        <v>1547</v>
      </c>
      <c r="J428" s="7" t="s">
        <v>1548</v>
      </c>
      <c r="K428" s="11" t="s">
        <v>24</v>
      </c>
      <c r="L428" s="7"/>
      <c r="M428" s="11"/>
      <c r="N428" s="12" t="s">
        <v>1549</v>
      </c>
      <c r="O428" s="2"/>
      <c r="P428" s="2"/>
    </row>
    <row r="429">
      <c r="A429" s="6" t="s">
        <v>1550</v>
      </c>
      <c r="B429" s="7" t="s">
        <v>19</v>
      </c>
      <c r="C429" s="7" t="s">
        <v>20</v>
      </c>
      <c r="D429" s="7" t="s">
        <v>32</v>
      </c>
      <c r="E429" s="8">
        <v>2090.0</v>
      </c>
      <c r="F429" s="8">
        <v>3687.0</v>
      </c>
      <c r="G429" s="9">
        <v>0.048</v>
      </c>
      <c r="H429" s="10"/>
      <c r="I429" s="11" t="s">
        <v>1551</v>
      </c>
      <c r="J429" s="7" t="s">
        <v>1552</v>
      </c>
      <c r="K429" s="11" t="s">
        <v>24</v>
      </c>
      <c r="L429" s="7"/>
      <c r="M429" s="11"/>
      <c r="N429" s="12" t="s">
        <v>1553</v>
      </c>
      <c r="O429" s="17">
        <f t="shared" ref="O429:O430" si="63">H429/F429</f>
        <v>0</v>
      </c>
      <c r="P429" s="18">
        <f t="shared" ref="P429:P430" si="64">(H429/F429)*1000</f>
        <v>0</v>
      </c>
    </row>
    <row r="430">
      <c r="A430" s="6" t="s">
        <v>1554</v>
      </c>
      <c r="B430" s="7" t="s">
        <v>19</v>
      </c>
      <c r="C430" s="7" t="s">
        <v>20</v>
      </c>
      <c r="D430" s="7" t="s">
        <v>32</v>
      </c>
      <c r="E430" s="8">
        <v>2090.0</v>
      </c>
      <c r="F430" s="8">
        <v>3480.0</v>
      </c>
      <c r="G430" s="9">
        <v>0.0607</v>
      </c>
      <c r="H430" s="10"/>
      <c r="I430" s="11"/>
      <c r="J430" s="7" t="s">
        <v>1555</v>
      </c>
      <c r="K430" s="11" t="s">
        <v>24</v>
      </c>
      <c r="L430" s="7"/>
      <c r="M430" s="11"/>
      <c r="N430" s="12" t="s">
        <v>1556</v>
      </c>
      <c r="O430" s="17">
        <f t="shared" si="63"/>
        <v>0</v>
      </c>
      <c r="P430" s="18">
        <f t="shared" si="64"/>
        <v>0</v>
      </c>
    </row>
    <row r="431" hidden="1">
      <c r="A431" s="6" t="s">
        <v>1557</v>
      </c>
      <c r="B431" s="7" t="s">
        <v>19</v>
      </c>
      <c r="C431" s="7" t="s">
        <v>20</v>
      </c>
      <c r="D431" s="7" t="s">
        <v>21</v>
      </c>
      <c r="E431" s="8">
        <v>2070.0</v>
      </c>
      <c r="F431" s="8">
        <v>32647.0</v>
      </c>
      <c r="G431" s="9">
        <v>0.0017</v>
      </c>
      <c r="H431" s="10"/>
      <c r="I431" s="11" t="s">
        <v>1558</v>
      </c>
      <c r="J431" s="7" t="s">
        <v>1559</v>
      </c>
      <c r="K431" s="11" t="s">
        <v>24</v>
      </c>
      <c r="L431" s="7"/>
      <c r="M431" s="11"/>
      <c r="N431" s="12" t="s">
        <v>1560</v>
      </c>
      <c r="O431" s="2"/>
      <c r="P431" s="2"/>
    </row>
    <row r="432">
      <c r="A432" s="6" t="s">
        <v>1561</v>
      </c>
      <c r="B432" s="7" t="s">
        <v>19</v>
      </c>
      <c r="C432" s="7" t="s">
        <v>20</v>
      </c>
      <c r="D432" s="7" t="s">
        <v>32</v>
      </c>
      <c r="E432" s="8">
        <v>2050.0</v>
      </c>
      <c r="F432" s="8">
        <v>2202.0</v>
      </c>
      <c r="G432" s="9">
        <v>0.0483</v>
      </c>
      <c r="H432" s="10"/>
      <c r="I432" s="11"/>
      <c r="J432" s="7" t="s">
        <v>1562</v>
      </c>
      <c r="K432" s="11" t="s">
        <v>24</v>
      </c>
      <c r="L432" s="7"/>
      <c r="M432" s="11"/>
      <c r="N432" s="12" t="s">
        <v>1563</v>
      </c>
      <c r="O432" s="17">
        <f>H432/F432</f>
        <v>0</v>
      </c>
      <c r="P432" s="18">
        <f>(H432/F432)*1000</f>
        <v>0</v>
      </c>
    </row>
    <row r="433" hidden="1">
      <c r="A433" s="6" t="s">
        <v>1564</v>
      </c>
      <c r="B433" s="7" t="s">
        <v>19</v>
      </c>
      <c r="C433" s="7" t="s">
        <v>20</v>
      </c>
      <c r="D433" s="7" t="s">
        <v>21</v>
      </c>
      <c r="E433" s="8">
        <v>2050.0</v>
      </c>
      <c r="F433" s="8">
        <v>4726.0</v>
      </c>
      <c r="G433" s="9">
        <v>0.0954</v>
      </c>
      <c r="H433" s="10"/>
      <c r="I433" s="11" t="s">
        <v>1565</v>
      </c>
      <c r="J433" s="7" t="s">
        <v>1566</v>
      </c>
      <c r="K433" s="11" t="s">
        <v>24</v>
      </c>
      <c r="L433" s="7"/>
      <c r="M433" s="11"/>
      <c r="N433" s="12" t="s">
        <v>1567</v>
      </c>
      <c r="O433" s="2"/>
      <c r="P433" s="2"/>
    </row>
    <row r="434" hidden="1">
      <c r="A434" s="6" t="s">
        <v>1568</v>
      </c>
      <c r="B434" s="7" t="s">
        <v>19</v>
      </c>
      <c r="C434" s="7" t="s">
        <v>20</v>
      </c>
      <c r="D434" s="7" t="s">
        <v>21</v>
      </c>
      <c r="E434" s="8">
        <v>2030.0</v>
      </c>
      <c r="F434" s="8">
        <v>2362.0</v>
      </c>
      <c r="G434" s="9">
        <v>0.041</v>
      </c>
      <c r="H434" s="10"/>
      <c r="I434" s="11" t="s">
        <v>1569</v>
      </c>
      <c r="J434" s="7" t="s">
        <v>1570</v>
      </c>
      <c r="K434" s="11" t="s">
        <v>24</v>
      </c>
      <c r="L434" s="7"/>
      <c r="M434" s="11"/>
      <c r="N434" s="12" t="s">
        <v>1571</v>
      </c>
      <c r="O434" s="2"/>
      <c r="P434" s="2"/>
    </row>
    <row r="435" hidden="1">
      <c r="A435" s="6" t="s">
        <v>1572</v>
      </c>
      <c r="B435" s="7" t="s">
        <v>40</v>
      </c>
      <c r="C435" s="7" t="s">
        <v>41</v>
      </c>
      <c r="D435" s="7" t="s">
        <v>21</v>
      </c>
      <c r="E435" s="8">
        <v>2000.0</v>
      </c>
      <c r="F435" s="8"/>
      <c r="G435" s="9">
        <v>0.00241</v>
      </c>
      <c r="H435" s="10">
        <v>420.0</v>
      </c>
      <c r="I435" s="11" t="s">
        <v>1573</v>
      </c>
      <c r="J435" s="7" t="s">
        <v>1574</v>
      </c>
      <c r="K435" s="11" t="s">
        <v>24</v>
      </c>
      <c r="L435" s="7"/>
      <c r="M435" s="11"/>
      <c r="N435" s="12" t="s">
        <v>1575</v>
      </c>
      <c r="O435" s="2"/>
      <c r="P435" s="2"/>
    </row>
    <row r="436" hidden="1">
      <c r="A436" s="6" t="s">
        <v>1576</v>
      </c>
      <c r="B436" s="7" t="s">
        <v>40</v>
      </c>
      <c r="C436" s="7" t="s">
        <v>41</v>
      </c>
      <c r="D436" s="7" t="s">
        <v>21</v>
      </c>
      <c r="E436" s="8">
        <v>2000.0</v>
      </c>
      <c r="F436" s="8"/>
      <c r="G436" s="9">
        <v>0.00179</v>
      </c>
      <c r="H436" s="10">
        <v>420.0</v>
      </c>
      <c r="I436" s="11" t="s">
        <v>1577</v>
      </c>
      <c r="J436" s="7" t="s">
        <v>1578</v>
      </c>
      <c r="K436" s="11" t="s">
        <v>24</v>
      </c>
      <c r="L436" s="7"/>
      <c r="M436" s="11"/>
      <c r="N436" s="12" t="s">
        <v>1579</v>
      </c>
      <c r="O436" s="2"/>
      <c r="P436" s="2"/>
    </row>
    <row r="437">
      <c r="A437" s="6" t="s">
        <v>1580</v>
      </c>
      <c r="B437" s="7" t="s">
        <v>19</v>
      </c>
      <c r="C437" s="7" t="s">
        <v>20</v>
      </c>
      <c r="D437" s="7" t="s">
        <v>32</v>
      </c>
      <c r="E437" s="8">
        <v>1990.0</v>
      </c>
      <c r="F437" s="8">
        <v>6790.0</v>
      </c>
      <c r="G437" s="9">
        <v>0.0183</v>
      </c>
      <c r="H437" s="10"/>
      <c r="I437" s="11"/>
      <c r="J437" s="7" t="s">
        <v>1581</v>
      </c>
      <c r="K437" s="11" t="s">
        <v>24</v>
      </c>
      <c r="L437" s="7"/>
      <c r="M437" s="11"/>
      <c r="N437" s="12" t="s">
        <v>1582</v>
      </c>
      <c r="O437" s="17">
        <f>H437/F437</f>
        <v>0</v>
      </c>
      <c r="P437" s="18">
        <f>(H437/F437)*1000</f>
        <v>0</v>
      </c>
    </row>
    <row r="438" hidden="1">
      <c r="A438" s="6" t="s">
        <v>1583</v>
      </c>
      <c r="B438" s="7" t="s">
        <v>19</v>
      </c>
      <c r="C438" s="7" t="s">
        <v>20</v>
      </c>
      <c r="D438" s="7" t="s">
        <v>21</v>
      </c>
      <c r="E438" s="8">
        <v>1980.0</v>
      </c>
      <c r="F438" s="8">
        <v>3206.0</v>
      </c>
      <c r="G438" s="9">
        <v>0.0132</v>
      </c>
      <c r="H438" s="10"/>
      <c r="I438" s="11" t="s">
        <v>1584</v>
      </c>
      <c r="J438" s="7" t="s">
        <v>1585</v>
      </c>
      <c r="K438" s="11" t="s">
        <v>24</v>
      </c>
      <c r="L438" s="7"/>
      <c r="M438" s="11"/>
      <c r="N438" s="12" t="s">
        <v>1586</v>
      </c>
      <c r="O438" s="2"/>
      <c r="P438" s="2"/>
    </row>
    <row r="439">
      <c r="A439" s="6" t="s">
        <v>1587</v>
      </c>
      <c r="B439" s="7" t="s">
        <v>19</v>
      </c>
      <c r="C439" s="7" t="s">
        <v>20</v>
      </c>
      <c r="D439" s="7" t="s">
        <v>32</v>
      </c>
      <c r="E439" s="8">
        <v>1960.0</v>
      </c>
      <c r="F439" s="8">
        <v>4449.0</v>
      </c>
      <c r="G439" s="9">
        <v>0.049</v>
      </c>
      <c r="H439" s="10"/>
      <c r="I439" s="11" t="s">
        <v>1588</v>
      </c>
      <c r="J439" s="7" t="s">
        <v>1589</v>
      </c>
      <c r="K439" s="11" t="s">
        <v>24</v>
      </c>
      <c r="L439" s="7"/>
      <c r="M439" s="11"/>
      <c r="N439" s="12" t="s">
        <v>1590</v>
      </c>
      <c r="O439" s="17">
        <f t="shared" ref="O439:O442" si="65">H439/F439</f>
        <v>0</v>
      </c>
      <c r="P439" s="18">
        <f t="shared" ref="P439:P442" si="66">(H439/F439)*1000</f>
        <v>0</v>
      </c>
    </row>
    <row r="440">
      <c r="A440" s="6" t="s">
        <v>1591</v>
      </c>
      <c r="B440" s="7" t="s">
        <v>19</v>
      </c>
      <c r="C440" s="7" t="s">
        <v>20</v>
      </c>
      <c r="D440" s="7" t="s">
        <v>32</v>
      </c>
      <c r="E440" s="8">
        <v>1950.0</v>
      </c>
      <c r="F440" s="8">
        <v>1745.0</v>
      </c>
      <c r="G440" s="9">
        <v>0.0358</v>
      </c>
      <c r="H440" s="10"/>
      <c r="I440" s="11"/>
      <c r="J440" s="7" t="s">
        <v>1592</v>
      </c>
      <c r="K440" s="11" t="s">
        <v>24</v>
      </c>
      <c r="L440" s="7"/>
      <c r="M440" s="11"/>
      <c r="N440" s="12" t="s">
        <v>1593</v>
      </c>
      <c r="O440" s="17">
        <f t="shared" si="65"/>
        <v>0</v>
      </c>
      <c r="P440" s="18">
        <f t="shared" si="66"/>
        <v>0</v>
      </c>
    </row>
    <row r="441">
      <c r="A441" s="6" t="s">
        <v>1594</v>
      </c>
      <c r="B441" s="7" t="s">
        <v>19</v>
      </c>
      <c r="C441" s="7" t="s">
        <v>20</v>
      </c>
      <c r="D441" s="7" t="s">
        <v>32</v>
      </c>
      <c r="E441" s="8">
        <v>1950.0</v>
      </c>
      <c r="F441" s="8">
        <v>2948.0</v>
      </c>
      <c r="G441" s="9">
        <v>0.0327</v>
      </c>
      <c r="H441" s="10"/>
      <c r="I441" s="11"/>
      <c r="J441" s="7" t="s">
        <v>1595</v>
      </c>
      <c r="K441" s="11" t="s">
        <v>24</v>
      </c>
      <c r="L441" s="7"/>
      <c r="M441" s="11"/>
      <c r="N441" s="12" t="s">
        <v>1596</v>
      </c>
      <c r="O441" s="17">
        <f t="shared" si="65"/>
        <v>0</v>
      </c>
      <c r="P441" s="18">
        <f t="shared" si="66"/>
        <v>0</v>
      </c>
    </row>
    <row r="442">
      <c r="A442" s="6" t="s">
        <v>1597</v>
      </c>
      <c r="B442" s="7" t="s">
        <v>19</v>
      </c>
      <c r="C442" s="7" t="s">
        <v>20</v>
      </c>
      <c r="D442" s="7" t="s">
        <v>32</v>
      </c>
      <c r="E442" s="8">
        <v>1910.0</v>
      </c>
      <c r="F442" s="8">
        <v>41988.0</v>
      </c>
      <c r="G442" s="9">
        <v>0.0558</v>
      </c>
      <c r="H442" s="10"/>
      <c r="I442" s="11"/>
      <c r="J442" s="7" t="s">
        <v>1598</v>
      </c>
      <c r="K442" s="11" t="s">
        <v>24</v>
      </c>
      <c r="L442" s="7"/>
      <c r="M442" s="11"/>
      <c r="N442" s="12" t="s">
        <v>1599</v>
      </c>
      <c r="O442" s="17">
        <f t="shared" si="65"/>
        <v>0</v>
      </c>
      <c r="P442" s="18">
        <f t="shared" si="66"/>
        <v>0</v>
      </c>
    </row>
    <row r="443" hidden="1">
      <c r="A443" s="6" t="s">
        <v>1600</v>
      </c>
      <c r="B443" s="7" t="s">
        <v>40</v>
      </c>
      <c r="C443" s="7" t="s">
        <v>41</v>
      </c>
      <c r="D443" s="7" t="s">
        <v>21</v>
      </c>
      <c r="E443" s="8">
        <v>1900.0</v>
      </c>
      <c r="F443" s="8"/>
      <c r="G443" s="9">
        <v>0.0</v>
      </c>
      <c r="H443" s="10">
        <v>6993.0</v>
      </c>
      <c r="I443" s="11" t="s">
        <v>1601</v>
      </c>
      <c r="J443" s="7" t="s">
        <v>1602</v>
      </c>
      <c r="K443" s="11" t="s">
        <v>24</v>
      </c>
      <c r="L443" s="7"/>
      <c r="M443" s="11"/>
      <c r="N443" s="12" t="s">
        <v>1603</v>
      </c>
      <c r="O443" s="2"/>
      <c r="P443" s="2"/>
    </row>
    <row r="444">
      <c r="A444" s="6" t="s">
        <v>1604</v>
      </c>
      <c r="B444" s="7" t="s">
        <v>19</v>
      </c>
      <c r="C444" s="7" t="s">
        <v>20</v>
      </c>
      <c r="D444" s="7" t="s">
        <v>32</v>
      </c>
      <c r="E444" s="8">
        <v>1880.0</v>
      </c>
      <c r="F444" s="8">
        <v>2182.0</v>
      </c>
      <c r="G444" s="9">
        <v>0.0376</v>
      </c>
      <c r="H444" s="10"/>
      <c r="I444" s="11"/>
      <c r="J444" s="7" t="s">
        <v>1316</v>
      </c>
      <c r="K444" s="11" t="s">
        <v>24</v>
      </c>
      <c r="L444" s="7"/>
      <c r="M444" s="11"/>
      <c r="N444" s="12" t="s">
        <v>1605</v>
      </c>
      <c r="O444" s="17">
        <f t="shared" ref="O444:O445" si="67">H444/F444</f>
        <v>0</v>
      </c>
      <c r="P444" s="18">
        <f t="shared" ref="P444:P445" si="68">(H444/F444)*1000</f>
        <v>0</v>
      </c>
    </row>
    <row r="445">
      <c r="A445" s="6" t="s">
        <v>1606</v>
      </c>
      <c r="B445" s="7" t="s">
        <v>19</v>
      </c>
      <c r="C445" s="7" t="s">
        <v>20</v>
      </c>
      <c r="D445" s="7" t="s">
        <v>32</v>
      </c>
      <c r="E445" s="8">
        <v>1850.0</v>
      </c>
      <c r="F445" s="8">
        <v>6696.0</v>
      </c>
      <c r="G445" s="9">
        <v>0.0249</v>
      </c>
      <c r="H445" s="10"/>
      <c r="I445" s="11"/>
      <c r="J445" s="7" t="s">
        <v>215</v>
      </c>
      <c r="K445" s="11" t="s">
        <v>24</v>
      </c>
      <c r="L445" s="7"/>
      <c r="M445" s="11"/>
      <c r="N445" s="12" t="s">
        <v>1607</v>
      </c>
      <c r="O445" s="17">
        <f t="shared" si="67"/>
        <v>0</v>
      </c>
      <c r="P445" s="18">
        <f t="shared" si="68"/>
        <v>0</v>
      </c>
    </row>
    <row r="446" hidden="1">
      <c r="A446" s="6" t="s">
        <v>1608</v>
      </c>
      <c r="B446" s="7" t="s">
        <v>19</v>
      </c>
      <c r="C446" s="7" t="s">
        <v>20</v>
      </c>
      <c r="D446" s="7" t="s">
        <v>21</v>
      </c>
      <c r="E446" s="8">
        <v>1850.0</v>
      </c>
      <c r="F446" s="8">
        <v>4418.0</v>
      </c>
      <c r="G446" s="9">
        <v>0.0081</v>
      </c>
      <c r="H446" s="10"/>
      <c r="I446" s="11"/>
      <c r="J446" s="7" t="s">
        <v>1273</v>
      </c>
      <c r="K446" s="11" t="s">
        <v>24</v>
      </c>
      <c r="L446" s="7"/>
      <c r="M446" s="11"/>
      <c r="N446" s="12" t="s">
        <v>1609</v>
      </c>
      <c r="O446" s="2"/>
      <c r="P446" s="2"/>
    </row>
    <row r="447" hidden="1">
      <c r="A447" s="6" t="s">
        <v>656</v>
      </c>
      <c r="B447" s="7" t="s">
        <v>19</v>
      </c>
      <c r="C447" s="7" t="s">
        <v>20</v>
      </c>
      <c r="D447" s="7" t="s">
        <v>21</v>
      </c>
      <c r="E447" s="8">
        <v>1840.0</v>
      </c>
      <c r="F447" s="8">
        <v>4055.0</v>
      </c>
      <c r="G447" s="9">
        <v>0.0199</v>
      </c>
      <c r="H447" s="10"/>
      <c r="I447" s="11"/>
      <c r="J447" s="7" t="s">
        <v>658</v>
      </c>
      <c r="K447" s="11" t="s">
        <v>24</v>
      </c>
      <c r="L447" s="7"/>
      <c r="M447" s="11"/>
      <c r="N447" s="12" t="s">
        <v>1610</v>
      </c>
      <c r="O447" s="2"/>
      <c r="P447" s="2"/>
    </row>
    <row r="448">
      <c r="A448" s="6" t="s">
        <v>1611</v>
      </c>
      <c r="B448" s="7" t="s">
        <v>19</v>
      </c>
      <c r="C448" s="7" t="s">
        <v>20</v>
      </c>
      <c r="D448" s="7" t="s">
        <v>32</v>
      </c>
      <c r="E448" s="8">
        <v>1810.0</v>
      </c>
      <c r="F448" s="8">
        <v>2055.0</v>
      </c>
      <c r="G448" s="9">
        <v>0.0087</v>
      </c>
      <c r="H448" s="10"/>
      <c r="I448" s="11" t="s">
        <v>1612</v>
      </c>
      <c r="J448" s="7" t="s">
        <v>1613</v>
      </c>
      <c r="K448" s="11" t="s">
        <v>24</v>
      </c>
      <c r="L448" s="7"/>
      <c r="M448" s="11"/>
      <c r="N448" s="12" t="s">
        <v>1614</v>
      </c>
      <c r="O448" s="17">
        <f>H448/F448</f>
        <v>0</v>
      </c>
      <c r="P448" s="18">
        <f>(H448/F448)*1000</f>
        <v>0</v>
      </c>
    </row>
    <row r="449" hidden="1">
      <c r="A449" s="6" t="s">
        <v>1615</v>
      </c>
      <c r="B449" s="7" t="s">
        <v>40</v>
      </c>
      <c r="C449" s="7" t="s">
        <v>41</v>
      </c>
      <c r="D449" s="7" t="s">
        <v>21</v>
      </c>
      <c r="E449" s="8">
        <v>1800.0</v>
      </c>
      <c r="F449" s="8"/>
      <c r="G449" s="9">
        <v>0.0</v>
      </c>
      <c r="H449" s="10">
        <v>4895.0</v>
      </c>
      <c r="I449" s="11" t="s">
        <v>1616</v>
      </c>
      <c r="J449" s="7" t="s">
        <v>1617</v>
      </c>
      <c r="K449" s="11" t="s">
        <v>24</v>
      </c>
      <c r="L449" s="7"/>
      <c r="M449" s="11"/>
      <c r="N449" s="12" t="s">
        <v>1618</v>
      </c>
      <c r="O449" s="2"/>
      <c r="P449" s="2"/>
    </row>
    <row r="450" hidden="1">
      <c r="A450" s="6" t="s">
        <v>1619</v>
      </c>
      <c r="B450" s="7" t="s">
        <v>19</v>
      </c>
      <c r="C450" s="7" t="s">
        <v>20</v>
      </c>
      <c r="D450" s="7" t="s">
        <v>21</v>
      </c>
      <c r="E450" s="8">
        <v>1800.0</v>
      </c>
      <c r="F450" s="8">
        <v>1724.0</v>
      </c>
      <c r="G450" s="9">
        <v>0.0298</v>
      </c>
      <c r="H450" s="10"/>
      <c r="I450" s="11"/>
      <c r="J450" s="7" t="s">
        <v>817</v>
      </c>
      <c r="K450" s="11" t="s">
        <v>24</v>
      </c>
      <c r="L450" s="7"/>
      <c r="M450" s="11"/>
      <c r="N450" s="12" t="s">
        <v>1620</v>
      </c>
      <c r="O450" s="2"/>
      <c r="P450" s="2"/>
    </row>
    <row r="451">
      <c r="A451" s="6" t="s">
        <v>1621</v>
      </c>
      <c r="B451" s="7" t="s">
        <v>19</v>
      </c>
      <c r="C451" s="7" t="s">
        <v>20</v>
      </c>
      <c r="D451" s="7" t="s">
        <v>32</v>
      </c>
      <c r="E451" s="8">
        <v>1760.0</v>
      </c>
      <c r="F451" s="8">
        <v>3401.0</v>
      </c>
      <c r="G451" s="9">
        <v>0.042</v>
      </c>
      <c r="H451" s="10"/>
      <c r="I451" s="11" t="s">
        <v>1622</v>
      </c>
      <c r="J451" s="7" t="s">
        <v>1623</v>
      </c>
      <c r="K451" s="11" t="s">
        <v>24</v>
      </c>
      <c r="L451" s="7"/>
      <c r="M451" s="11"/>
      <c r="N451" s="12" t="s">
        <v>1624</v>
      </c>
      <c r="O451" s="17">
        <f t="shared" ref="O451:O452" si="69">H451/F451</f>
        <v>0</v>
      </c>
      <c r="P451" s="18">
        <f t="shared" ref="P451:P452" si="70">(H451/F451)*1000</f>
        <v>0</v>
      </c>
    </row>
    <row r="452">
      <c r="A452" s="6" t="s">
        <v>1625</v>
      </c>
      <c r="B452" s="7" t="s">
        <v>19</v>
      </c>
      <c r="C452" s="7" t="s">
        <v>20</v>
      </c>
      <c r="D452" s="7" t="s">
        <v>32</v>
      </c>
      <c r="E452" s="8">
        <v>1750.0</v>
      </c>
      <c r="F452" s="8">
        <v>3485.0</v>
      </c>
      <c r="G452" s="9">
        <v>0.0217</v>
      </c>
      <c r="H452" s="10"/>
      <c r="I452" s="11"/>
      <c r="J452" s="7" t="s">
        <v>1316</v>
      </c>
      <c r="K452" s="11" t="s">
        <v>24</v>
      </c>
      <c r="L452" s="7"/>
      <c r="M452" s="11"/>
      <c r="N452" s="12" t="s">
        <v>1626</v>
      </c>
      <c r="O452" s="17">
        <f t="shared" si="69"/>
        <v>0</v>
      </c>
      <c r="P452" s="18">
        <f t="shared" si="70"/>
        <v>0</v>
      </c>
    </row>
    <row r="453" hidden="1">
      <c r="A453" s="6" t="s">
        <v>1627</v>
      </c>
      <c r="B453" s="7" t="s">
        <v>19</v>
      </c>
      <c r="C453" s="7" t="s">
        <v>20</v>
      </c>
      <c r="D453" s="7" t="s">
        <v>21</v>
      </c>
      <c r="E453" s="8">
        <v>1750.0</v>
      </c>
      <c r="F453" s="8">
        <v>3136.0</v>
      </c>
      <c r="G453" s="9">
        <v>0.0494</v>
      </c>
      <c r="H453" s="10"/>
      <c r="I453" s="11"/>
      <c r="J453" s="7" t="s">
        <v>1628</v>
      </c>
      <c r="K453" s="11" t="s">
        <v>24</v>
      </c>
      <c r="L453" s="7"/>
      <c r="M453" s="11"/>
      <c r="N453" s="12" t="s">
        <v>1629</v>
      </c>
      <c r="O453" s="2"/>
      <c r="P453" s="2"/>
    </row>
    <row r="454">
      <c r="A454" s="6" t="s">
        <v>1630</v>
      </c>
      <c r="B454" s="7" t="s">
        <v>19</v>
      </c>
      <c r="C454" s="7" t="s">
        <v>20</v>
      </c>
      <c r="D454" s="7" t="s">
        <v>32</v>
      </c>
      <c r="E454" s="8">
        <v>1730.0</v>
      </c>
      <c r="F454" s="8">
        <v>1655.0</v>
      </c>
      <c r="G454" s="9">
        <v>0.0602</v>
      </c>
      <c r="H454" s="10"/>
      <c r="I454" s="11" t="s">
        <v>1631</v>
      </c>
      <c r="J454" s="7" t="s">
        <v>1632</v>
      </c>
      <c r="K454" s="11" t="s">
        <v>24</v>
      </c>
      <c r="L454" s="7"/>
      <c r="M454" s="11"/>
      <c r="N454" s="12" t="s">
        <v>1633</v>
      </c>
      <c r="O454" s="17">
        <f>H454/F454</f>
        <v>0</v>
      </c>
      <c r="P454" s="18">
        <f>(H454/F454)*1000</f>
        <v>0</v>
      </c>
    </row>
    <row r="455" hidden="1">
      <c r="A455" s="6" t="s">
        <v>1634</v>
      </c>
      <c r="B455" s="7" t="s">
        <v>19</v>
      </c>
      <c r="C455" s="7" t="s">
        <v>20</v>
      </c>
      <c r="D455" s="7" t="s">
        <v>21</v>
      </c>
      <c r="E455" s="8">
        <v>1730.0</v>
      </c>
      <c r="F455" s="8">
        <v>2454.0</v>
      </c>
      <c r="G455" s="9">
        <v>0.0325</v>
      </c>
      <c r="H455" s="10"/>
      <c r="I455" s="11"/>
      <c r="J455" s="7" t="s">
        <v>1635</v>
      </c>
      <c r="K455" s="11" t="s">
        <v>24</v>
      </c>
      <c r="L455" s="7"/>
      <c r="M455" s="11"/>
      <c r="N455" s="12" t="s">
        <v>1636</v>
      </c>
      <c r="O455" s="2"/>
      <c r="P455" s="2"/>
    </row>
    <row r="456">
      <c r="A456" s="6" t="s">
        <v>1637</v>
      </c>
      <c r="B456" s="7" t="s">
        <v>19</v>
      </c>
      <c r="C456" s="7" t="s">
        <v>20</v>
      </c>
      <c r="D456" s="7" t="s">
        <v>32</v>
      </c>
      <c r="E456" s="8">
        <v>1710.0</v>
      </c>
      <c r="F456" s="8">
        <v>4990.0</v>
      </c>
      <c r="G456" s="9">
        <v>0.0265</v>
      </c>
      <c r="H456" s="10"/>
      <c r="I456" s="11"/>
      <c r="J456" s="7" t="s">
        <v>1638</v>
      </c>
      <c r="K456" s="11" t="s">
        <v>24</v>
      </c>
      <c r="L456" s="7"/>
      <c r="M456" s="11"/>
      <c r="N456" s="12" t="s">
        <v>1639</v>
      </c>
      <c r="O456" s="17">
        <f>H456/F456</f>
        <v>0</v>
      </c>
      <c r="P456" s="18">
        <f>(H456/F456)*1000</f>
        <v>0</v>
      </c>
    </row>
    <row r="457" hidden="1">
      <c r="A457" s="6" t="s">
        <v>1640</v>
      </c>
      <c r="B457" s="7" t="s">
        <v>40</v>
      </c>
      <c r="C457" s="7" t="s">
        <v>41</v>
      </c>
      <c r="D457" s="7" t="s">
        <v>21</v>
      </c>
      <c r="E457" s="8">
        <v>1700.0</v>
      </c>
      <c r="F457" s="8"/>
      <c r="G457" s="9">
        <v>0.00159</v>
      </c>
      <c r="H457" s="10">
        <v>559.0</v>
      </c>
      <c r="I457" s="11" t="s">
        <v>1641</v>
      </c>
      <c r="J457" s="7" t="s">
        <v>1642</v>
      </c>
      <c r="K457" s="11" t="s">
        <v>24</v>
      </c>
      <c r="L457" s="7"/>
      <c r="M457" s="11"/>
      <c r="N457" s="12" t="s">
        <v>1643</v>
      </c>
      <c r="O457" s="2"/>
      <c r="P457" s="2"/>
    </row>
    <row r="458" hidden="1">
      <c r="A458" s="6" t="s">
        <v>1644</v>
      </c>
      <c r="B458" s="7" t="s">
        <v>19</v>
      </c>
      <c r="C458" s="7" t="s">
        <v>20</v>
      </c>
      <c r="D458" s="7" t="s">
        <v>21</v>
      </c>
      <c r="E458" s="8">
        <v>1660.0</v>
      </c>
      <c r="F458" s="8">
        <v>789.0</v>
      </c>
      <c r="G458" s="9">
        <v>0.0837</v>
      </c>
      <c r="H458" s="10"/>
      <c r="I458" s="11" t="s">
        <v>1645</v>
      </c>
      <c r="J458" s="7" t="s">
        <v>1141</v>
      </c>
      <c r="K458" s="11" t="s">
        <v>24</v>
      </c>
      <c r="L458" s="7"/>
      <c r="M458" s="11"/>
      <c r="N458" s="12" t="s">
        <v>1646</v>
      </c>
      <c r="O458" s="2"/>
      <c r="P458" s="2"/>
    </row>
    <row r="459">
      <c r="A459" s="6" t="s">
        <v>1647</v>
      </c>
      <c r="B459" s="7" t="s">
        <v>19</v>
      </c>
      <c r="C459" s="7" t="s">
        <v>20</v>
      </c>
      <c r="D459" s="7" t="s">
        <v>32</v>
      </c>
      <c r="E459" s="8">
        <v>1650.0</v>
      </c>
      <c r="F459" s="8">
        <v>4210.0</v>
      </c>
      <c r="G459" s="9">
        <v>0.0296</v>
      </c>
      <c r="H459" s="10"/>
      <c r="I459" s="11" t="s">
        <v>1648</v>
      </c>
      <c r="J459" s="7" t="s">
        <v>1649</v>
      </c>
      <c r="K459" s="11" t="s">
        <v>24</v>
      </c>
      <c r="L459" s="7"/>
      <c r="M459" s="11"/>
      <c r="N459" s="12" t="s">
        <v>1650</v>
      </c>
      <c r="O459" s="17">
        <f t="shared" ref="O459:O460" si="71">H459/F459</f>
        <v>0</v>
      </c>
      <c r="P459" s="18">
        <f t="shared" ref="P459:P460" si="72">(H459/F459)*1000</f>
        <v>0</v>
      </c>
    </row>
    <row r="460">
      <c r="A460" s="6" t="s">
        <v>1651</v>
      </c>
      <c r="B460" s="7" t="s">
        <v>19</v>
      </c>
      <c r="C460" s="7" t="s">
        <v>20</v>
      </c>
      <c r="D460" s="7" t="s">
        <v>32</v>
      </c>
      <c r="E460" s="8">
        <v>1640.0</v>
      </c>
      <c r="F460" s="8">
        <v>901.0</v>
      </c>
      <c r="G460" s="9">
        <v>0.0501</v>
      </c>
      <c r="H460" s="10"/>
      <c r="I460" s="11" t="s">
        <v>1652</v>
      </c>
      <c r="J460" s="7" t="s">
        <v>1653</v>
      </c>
      <c r="K460" s="11" t="s">
        <v>24</v>
      </c>
      <c r="L460" s="7"/>
      <c r="M460" s="11"/>
      <c r="N460" s="12" t="s">
        <v>1654</v>
      </c>
      <c r="O460" s="17">
        <f t="shared" si="71"/>
        <v>0</v>
      </c>
      <c r="P460" s="18">
        <f t="shared" si="72"/>
        <v>0</v>
      </c>
    </row>
    <row r="461" hidden="1">
      <c r="A461" s="6" t="s">
        <v>1655</v>
      </c>
      <c r="B461" s="7" t="s">
        <v>19</v>
      </c>
      <c r="C461" s="7" t="s">
        <v>20</v>
      </c>
      <c r="D461" s="7" t="s">
        <v>21</v>
      </c>
      <c r="E461" s="8">
        <v>1620.0</v>
      </c>
      <c r="F461" s="8">
        <v>2728.0</v>
      </c>
      <c r="G461" s="9">
        <v>0.0156</v>
      </c>
      <c r="H461" s="10"/>
      <c r="I461" s="11"/>
      <c r="J461" s="7" t="s">
        <v>1656</v>
      </c>
      <c r="K461" s="11" t="s">
        <v>24</v>
      </c>
      <c r="L461" s="7"/>
      <c r="M461" s="11"/>
      <c r="N461" s="12" t="s">
        <v>1657</v>
      </c>
      <c r="O461" s="2"/>
      <c r="P461" s="2"/>
    </row>
    <row r="462" hidden="1">
      <c r="A462" s="6" t="s">
        <v>1658</v>
      </c>
      <c r="B462" s="7" t="s">
        <v>19</v>
      </c>
      <c r="C462" s="7" t="s">
        <v>20</v>
      </c>
      <c r="D462" s="7" t="s">
        <v>21</v>
      </c>
      <c r="E462" s="8">
        <v>1610.0</v>
      </c>
      <c r="F462" s="8">
        <v>3105.0</v>
      </c>
      <c r="G462" s="9">
        <v>0.0113</v>
      </c>
      <c r="H462" s="10"/>
      <c r="I462" s="11"/>
      <c r="J462" s="7" t="s">
        <v>1659</v>
      </c>
      <c r="K462" s="11" t="s">
        <v>24</v>
      </c>
      <c r="L462" s="7"/>
      <c r="M462" s="11"/>
      <c r="N462" s="12" t="s">
        <v>1660</v>
      </c>
      <c r="O462" s="2"/>
      <c r="P462" s="2"/>
    </row>
    <row r="463" hidden="1">
      <c r="A463" s="6" t="s">
        <v>1661</v>
      </c>
      <c r="B463" s="7" t="s">
        <v>40</v>
      </c>
      <c r="C463" s="7" t="s">
        <v>41</v>
      </c>
      <c r="D463" s="7" t="s">
        <v>21</v>
      </c>
      <c r="E463" s="8">
        <v>1600.0</v>
      </c>
      <c r="F463" s="8"/>
      <c r="G463" s="9">
        <v>0.0</v>
      </c>
      <c r="H463" s="10">
        <v>699.0</v>
      </c>
      <c r="I463" s="11" t="s">
        <v>1662</v>
      </c>
      <c r="J463" s="7" t="s">
        <v>1053</v>
      </c>
      <c r="K463" s="11" t="s">
        <v>24</v>
      </c>
      <c r="L463" s="7"/>
      <c r="M463" s="11"/>
      <c r="N463" s="12" t="s">
        <v>1663</v>
      </c>
      <c r="O463" s="2"/>
      <c r="P463" s="2"/>
    </row>
    <row r="464" hidden="1">
      <c r="A464" s="6" t="s">
        <v>1664</v>
      </c>
      <c r="B464" s="7" t="s">
        <v>19</v>
      </c>
      <c r="C464" s="7" t="s">
        <v>20</v>
      </c>
      <c r="D464" s="7" t="s">
        <v>21</v>
      </c>
      <c r="E464" s="8">
        <v>1590.0</v>
      </c>
      <c r="F464" s="8">
        <v>956.0</v>
      </c>
      <c r="G464" s="9">
        <v>0.0329</v>
      </c>
      <c r="H464" s="10"/>
      <c r="I464" s="11"/>
      <c r="J464" s="7" t="s">
        <v>1665</v>
      </c>
      <c r="K464" s="11" t="s">
        <v>24</v>
      </c>
      <c r="L464" s="7"/>
      <c r="M464" s="11"/>
      <c r="N464" s="12" t="s">
        <v>1666</v>
      </c>
      <c r="O464" s="2"/>
      <c r="P464" s="2"/>
    </row>
    <row r="465">
      <c r="A465" s="6" t="s">
        <v>1667</v>
      </c>
      <c r="B465" s="7" t="s">
        <v>19</v>
      </c>
      <c r="C465" s="7" t="s">
        <v>20</v>
      </c>
      <c r="D465" s="7" t="s">
        <v>32</v>
      </c>
      <c r="E465" s="8">
        <v>1570.0</v>
      </c>
      <c r="F465" s="8">
        <v>3596.0</v>
      </c>
      <c r="G465" s="9">
        <v>0.038</v>
      </c>
      <c r="H465" s="10"/>
      <c r="I465" s="11"/>
      <c r="J465" s="7" t="s">
        <v>1668</v>
      </c>
      <c r="K465" s="11" t="s">
        <v>24</v>
      </c>
      <c r="L465" s="7"/>
      <c r="M465" s="11"/>
      <c r="N465" s="12" t="s">
        <v>1669</v>
      </c>
      <c r="O465" s="17">
        <f>H465/F465</f>
        <v>0</v>
      </c>
      <c r="P465" s="18">
        <f>(H465/F465)*1000</f>
        <v>0</v>
      </c>
    </row>
    <row r="466" hidden="1">
      <c r="A466" s="6" t="s">
        <v>1670</v>
      </c>
      <c r="B466" s="7" t="s">
        <v>19</v>
      </c>
      <c r="C466" s="7" t="s">
        <v>20</v>
      </c>
      <c r="D466" s="7" t="s">
        <v>21</v>
      </c>
      <c r="E466" s="8">
        <v>1560.0</v>
      </c>
      <c r="F466" s="8">
        <v>9115.0</v>
      </c>
      <c r="G466" s="9">
        <v>0.0282</v>
      </c>
      <c r="H466" s="10"/>
      <c r="I466" s="11" t="s">
        <v>1671</v>
      </c>
      <c r="J466" s="7" t="s">
        <v>1672</v>
      </c>
      <c r="K466" s="11" t="s">
        <v>24</v>
      </c>
      <c r="L466" s="7"/>
      <c r="M466" s="11"/>
      <c r="N466" s="12" t="s">
        <v>1673</v>
      </c>
      <c r="O466" s="2"/>
      <c r="P466" s="2"/>
    </row>
    <row r="467">
      <c r="A467" s="6" t="s">
        <v>1674</v>
      </c>
      <c r="B467" s="7" t="s">
        <v>19</v>
      </c>
      <c r="C467" s="7" t="s">
        <v>20</v>
      </c>
      <c r="D467" s="7" t="s">
        <v>32</v>
      </c>
      <c r="E467" s="8">
        <v>1540.0</v>
      </c>
      <c r="F467" s="8">
        <v>1458.0</v>
      </c>
      <c r="G467" s="9">
        <v>0.0322</v>
      </c>
      <c r="H467" s="10"/>
      <c r="I467" s="11"/>
      <c r="J467" s="7" t="s">
        <v>1675</v>
      </c>
      <c r="K467" s="11" t="s">
        <v>24</v>
      </c>
      <c r="L467" s="7"/>
      <c r="M467" s="11"/>
      <c r="N467" s="12" t="s">
        <v>1676</v>
      </c>
      <c r="O467" s="17">
        <f>H467/F467</f>
        <v>0</v>
      </c>
      <c r="P467" s="18">
        <f>(H467/F467)*1000</f>
        <v>0</v>
      </c>
    </row>
    <row r="468" hidden="1">
      <c r="A468" s="6" t="s">
        <v>1677</v>
      </c>
      <c r="B468" s="7" t="s">
        <v>19</v>
      </c>
      <c r="C468" s="7" t="s">
        <v>20</v>
      </c>
      <c r="D468" s="7" t="s">
        <v>21</v>
      </c>
      <c r="E468" s="8">
        <v>1530.0</v>
      </c>
      <c r="F468" s="8">
        <v>3084.0</v>
      </c>
      <c r="G468" s="9">
        <v>0.0682</v>
      </c>
      <c r="H468" s="10"/>
      <c r="I468" s="11" t="s">
        <v>1678</v>
      </c>
      <c r="J468" s="7" t="s">
        <v>1679</v>
      </c>
      <c r="K468" s="11" t="s">
        <v>24</v>
      </c>
      <c r="L468" s="7"/>
      <c r="M468" s="11"/>
      <c r="N468" s="12" t="s">
        <v>1680</v>
      </c>
      <c r="O468" s="2"/>
      <c r="P468" s="2"/>
    </row>
    <row r="469" hidden="1">
      <c r="A469" s="6" t="s">
        <v>1681</v>
      </c>
      <c r="B469" s="7" t="s">
        <v>19</v>
      </c>
      <c r="C469" s="7" t="s">
        <v>20</v>
      </c>
      <c r="D469" s="7" t="s">
        <v>21</v>
      </c>
      <c r="E469" s="8">
        <v>1510.0</v>
      </c>
      <c r="F469" s="8">
        <v>1698.0</v>
      </c>
      <c r="G469" s="9">
        <v>0.0326</v>
      </c>
      <c r="H469" s="10"/>
      <c r="I469" s="11" t="s">
        <v>1682</v>
      </c>
      <c r="J469" s="7" t="s">
        <v>1683</v>
      </c>
      <c r="K469" s="11" t="s">
        <v>24</v>
      </c>
      <c r="L469" s="7"/>
      <c r="M469" s="11"/>
      <c r="N469" s="12" t="s">
        <v>1684</v>
      </c>
      <c r="O469" s="2"/>
      <c r="P469" s="2"/>
    </row>
    <row r="470" hidden="1">
      <c r="A470" s="6" t="s">
        <v>1685</v>
      </c>
      <c r="B470" s="7" t="s">
        <v>40</v>
      </c>
      <c r="C470" s="7" t="s">
        <v>41</v>
      </c>
      <c r="D470" s="7" t="s">
        <v>21</v>
      </c>
      <c r="E470" s="8">
        <v>1500.0</v>
      </c>
      <c r="F470" s="8"/>
      <c r="G470" s="9">
        <v>0.0</v>
      </c>
      <c r="H470" s="10">
        <v>6993.0</v>
      </c>
      <c r="I470" s="11" t="s">
        <v>1686</v>
      </c>
      <c r="J470" s="7" t="s">
        <v>1687</v>
      </c>
      <c r="K470" s="11" t="s">
        <v>24</v>
      </c>
      <c r="L470" s="7"/>
      <c r="M470" s="11"/>
      <c r="N470" s="12" t="s">
        <v>1688</v>
      </c>
      <c r="O470" s="2"/>
      <c r="P470" s="2"/>
    </row>
    <row r="471">
      <c r="A471" s="6" t="s">
        <v>1689</v>
      </c>
      <c r="B471" s="7" t="s">
        <v>19</v>
      </c>
      <c r="C471" s="7" t="s">
        <v>20</v>
      </c>
      <c r="D471" s="7" t="s">
        <v>32</v>
      </c>
      <c r="E471" s="8">
        <v>1500.0</v>
      </c>
      <c r="F471" s="8">
        <v>2023.0</v>
      </c>
      <c r="G471" s="9">
        <v>0.0253</v>
      </c>
      <c r="H471" s="10"/>
      <c r="I471" s="11" t="s">
        <v>1231</v>
      </c>
      <c r="J471" s="7" t="s">
        <v>455</v>
      </c>
      <c r="K471" s="11" t="s">
        <v>24</v>
      </c>
      <c r="L471" s="7"/>
      <c r="M471" s="11"/>
      <c r="N471" s="12" t="s">
        <v>1690</v>
      </c>
      <c r="O471" s="17">
        <f t="shared" ref="O471:O473" si="73">H471/F471</f>
        <v>0</v>
      </c>
      <c r="P471" s="18">
        <f t="shared" ref="P471:P473" si="74">(H471/F471)*1000</f>
        <v>0</v>
      </c>
    </row>
    <row r="472">
      <c r="A472" s="6" t="s">
        <v>1691</v>
      </c>
      <c r="B472" s="7" t="s">
        <v>19</v>
      </c>
      <c r="C472" s="7" t="s">
        <v>20</v>
      </c>
      <c r="D472" s="7" t="s">
        <v>32</v>
      </c>
      <c r="E472" s="8">
        <v>1450.0</v>
      </c>
      <c r="F472" s="8">
        <v>6758.0</v>
      </c>
      <c r="G472" s="9">
        <v>0.0321</v>
      </c>
      <c r="H472" s="10"/>
      <c r="I472" s="11" t="s">
        <v>1692</v>
      </c>
      <c r="J472" s="7" t="s">
        <v>1693</v>
      </c>
      <c r="K472" s="11" t="s">
        <v>24</v>
      </c>
      <c r="L472" s="7"/>
      <c r="M472" s="11"/>
      <c r="N472" s="12" t="s">
        <v>1694</v>
      </c>
      <c r="O472" s="17">
        <f t="shared" si="73"/>
        <v>0</v>
      </c>
      <c r="P472" s="18">
        <f t="shared" si="74"/>
        <v>0</v>
      </c>
    </row>
    <row r="473">
      <c r="A473" s="6" t="s">
        <v>1695</v>
      </c>
      <c r="B473" s="7" t="s">
        <v>19</v>
      </c>
      <c r="C473" s="7" t="s">
        <v>20</v>
      </c>
      <c r="D473" s="7" t="s">
        <v>32</v>
      </c>
      <c r="E473" s="8">
        <v>1420.0</v>
      </c>
      <c r="F473" s="8">
        <v>1760.0</v>
      </c>
      <c r="G473" s="9">
        <v>0.014</v>
      </c>
      <c r="H473" s="10"/>
      <c r="I473" s="11" t="s">
        <v>1696</v>
      </c>
      <c r="J473" s="7" t="s">
        <v>375</v>
      </c>
      <c r="K473" s="11" t="s">
        <v>24</v>
      </c>
      <c r="L473" s="7"/>
      <c r="M473" s="11"/>
      <c r="N473" s="12" t="s">
        <v>1697</v>
      </c>
      <c r="O473" s="17">
        <f t="shared" si="73"/>
        <v>0</v>
      </c>
      <c r="P473" s="18">
        <f t="shared" si="74"/>
        <v>0</v>
      </c>
    </row>
    <row r="474" hidden="1">
      <c r="A474" s="6" t="s">
        <v>1698</v>
      </c>
      <c r="B474" s="7" t="s">
        <v>19</v>
      </c>
      <c r="C474" s="7" t="s">
        <v>20</v>
      </c>
      <c r="D474" s="7" t="s">
        <v>21</v>
      </c>
      <c r="E474" s="8">
        <v>1420.0</v>
      </c>
      <c r="F474" s="8">
        <v>1331.0</v>
      </c>
      <c r="G474" s="9">
        <v>0.0622</v>
      </c>
      <c r="H474" s="10"/>
      <c r="I474" s="11" t="s">
        <v>1699</v>
      </c>
      <c r="J474" s="7" t="s">
        <v>1700</v>
      </c>
      <c r="K474" s="11" t="s">
        <v>24</v>
      </c>
      <c r="L474" s="7"/>
      <c r="M474" s="11"/>
      <c r="N474" s="12" t="s">
        <v>1701</v>
      </c>
      <c r="O474" s="2"/>
      <c r="P474" s="2"/>
    </row>
    <row r="475">
      <c r="A475" s="6" t="s">
        <v>1702</v>
      </c>
      <c r="B475" s="7" t="s">
        <v>19</v>
      </c>
      <c r="C475" s="7" t="s">
        <v>20</v>
      </c>
      <c r="D475" s="7" t="s">
        <v>32</v>
      </c>
      <c r="E475" s="8">
        <v>1410.0</v>
      </c>
      <c r="F475" s="8">
        <v>6003.0</v>
      </c>
      <c r="G475" s="9">
        <v>0.0201</v>
      </c>
      <c r="H475" s="10"/>
      <c r="I475" s="11"/>
      <c r="J475" s="7" t="s">
        <v>1703</v>
      </c>
      <c r="K475" s="11" t="s">
        <v>24</v>
      </c>
      <c r="L475" s="7"/>
      <c r="M475" s="11"/>
      <c r="N475" s="12" t="s">
        <v>1704</v>
      </c>
      <c r="O475" s="17">
        <f>H475/F475</f>
        <v>0</v>
      </c>
      <c r="P475" s="18">
        <f>(H475/F475)*1000</f>
        <v>0</v>
      </c>
    </row>
    <row r="476" hidden="1">
      <c r="A476" s="6" t="s">
        <v>1705</v>
      </c>
      <c r="B476" s="7" t="s">
        <v>19</v>
      </c>
      <c r="C476" s="7" t="s">
        <v>20</v>
      </c>
      <c r="D476" s="7" t="s">
        <v>21</v>
      </c>
      <c r="E476" s="8">
        <v>1410.0</v>
      </c>
      <c r="F476" s="8">
        <v>334.0</v>
      </c>
      <c r="G476" s="9">
        <v>0.0522</v>
      </c>
      <c r="H476" s="10"/>
      <c r="I476" s="11" t="s">
        <v>1706</v>
      </c>
      <c r="J476" s="7" t="s">
        <v>1707</v>
      </c>
      <c r="K476" s="11" t="s">
        <v>24</v>
      </c>
      <c r="L476" s="7"/>
      <c r="M476" s="11"/>
      <c r="N476" s="12" t="s">
        <v>1708</v>
      </c>
      <c r="O476" s="2"/>
      <c r="P476" s="2"/>
    </row>
    <row r="477">
      <c r="A477" s="6" t="s">
        <v>1709</v>
      </c>
      <c r="B477" s="7" t="s">
        <v>19</v>
      </c>
      <c r="C477" s="7" t="s">
        <v>20</v>
      </c>
      <c r="D477" s="7" t="s">
        <v>32</v>
      </c>
      <c r="E477" s="8">
        <v>1390.0</v>
      </c>
      <c r="F477" s="8">
        <v>2643.0</v>
      </c>
      <c r="G477" s="9">
        <v>0.0519</v>
      </c>
      <c r="H477" s="10"/>
      <c r="I477" s="11" t="s">
        <v>1710</v>
      </c>
      <c r="J477" s="7" t="s">
        <v>1711</v>
      </c>
      <c r="K477" s="11" t="s">
        <v>24</v>
      </c>
      <c r="L477" s="7"/>
      <c r="M477" s="11"/>
      <c r="N477" s="12" t="s">
        <v>1712</v>
      </c>
      <c r="O477" s="17">
        <f>H477/F477</f>
        <v>0</v>
      </c>
      <c r="P477" s="18">
        <f>(H477/F477)*1000</f>
        <v>0</v>
      </c>
    </row>
    <row r="478" hidden="1">
      <c r="A478" s="6" t="s">
        <v>1713</v>
      </c>
      <c r="B478" s="7" t="s">
        <v>19</v>
      </c>
      <c r="C478" s="7" t="s">
        <v>20</v>
      </c>
      <c r="D478" s="7" t="s">
        <v>21</v>
      </c>
      <c r="E478" s="8">
        <v>1390.0</v>
      </c>
      <c r="F478" s="8">
        <v>1282.0</v>
      </c>
      <c r="G478" s="9">
        <v>0.064</v>
      </c>
      <c r="H478" s="10"/>
      <c r="I478" s="11" t="s">
        <v>1714</v>
      </c>
      <c r="J478" s="7" t="s">
        <v>1715</v>
      </c>
      <c r="K478" s="11" t="s">
        <v>24</v>
      </c>
      <c r="L478" s="7"/>
      <c r="M478" s="11"/>
      <c r="N478" s="12" t="s">
        <v>1716</v>
      </c>
      <c r="O478" s="2"/>
      <c r="P478" s="2"/>
    </row>
    <row r="479">
      <c r="A479" s="6" t="s">
        <v>1717</v>
      </c>
      <c r="B479" s="7" t="s">
        <v>19</v>
      </c>
      <c r="C479" s="7" t="s">
        <v>20</v>
      </c>
      <c r="D479" s="7" t="s">
        <v>32</v>
      </c>
      <c r="E479" s="8">
        <v>1380.0</v>
      </c>
      <c r="F479" s="8">
        <v>2841.0</v>
      </c>
      <c r="G479" s="9">
        <v>0.0136</v>
      </c>
      <c r="H479" s="10"/>
      <c r="I479" s="11"/>
      <c r="J479" s="7" t="s">
        <v>215</v>
      </c>
      <c r="K479" s="11" t="s">
        <v>24</v>
      </c>
      <c r="L479" s="7"/>
      <c r="M479" s="11"/>
      <c r="N479" s="12" t="s">
        <v>1718</v>
      </c>
      <c r="O479" s="17">
        <f>H479/F479</f>
        <v>0</v>
      </c>
      <c r="P479" s="18">
        <f>(H479/F479)*1000</f>
        <v>0</v>
      </c>
    </row>
    <row r="480" hidden="1">
      <c r="A480" s="6" t="s">
        <v>1719</v>
      </c>
      <c r="B480" s="7" t="s">
        <v>19</v>
      </c>
      <c r="C480" s="7" t="s">
        <v>20</v>
      </c>
      <c r="D480" s="7" t="s">
        <v>21</v>
      </c>
      <c r="E480" s="8">
        <v>1370.0</v>
      </c>
      <c r="F480" s="8">
        <v>9558.0</v>
      </c>
      <c r="G480" s="9">
        <v>0.0045</v>
      </c>
      <c r="H480" s="10"/>
      <c r="I480" s="11"/>
      <c r="J480" s="7" t="s">
        <v>1720</v>
      </c>
      <c r="K480" s="11" t="s">
        <v>24</v>
      </c>
      <c r="L480" s="7"/>
      <c r="M480" s="11"/>
      <c r="N480" s="12" t="s">
        <v>1721</v>
      </c>
      <c r="O480" s="2"/>
      <c r="P480" s="2"/>
    </row>
    <row r="481">
      <c r="A481" s="6" t="s">
        <v>1722</v>
      </c>
      <c r="B481" s="7" t="s">
        <v>19</v>
      </c>
      <c r="C481" s="7" t="s">
        <v>20</v>
      </c>
      <c r="D481" s="7" t="s">
        <v>32</v>
      </c>
      <c r="E481" s="8">
        <v>1360.0</v>
      </c>
      <c r="F481" s="8">
        <v>1817.0</v>
      </c>
      <c r="G481" s="9">
        <v>0.0353</v>
      </c>
      <c r="H481" s="10"/>
      <c r="I481" s="11" t="s">
        <v>1723</v>
      </c>
      <c r="J481" s="7" t="s">
        <v>721</v>
      </c>
      <c r="K481" s="11" t="s">
        <v>24</v>
      </c>
      <c r="L481" s="7"/>
      <c r="M481" s="11"/>
      <c r="N481" s="12" t="s">
        <v>1724</v>
      </c>
      <c r="O481" s="17">
        <f>H481/F481</f>
        <v>0</v>
      </c>
      <c r="P481" s="18">
        <f>(H481/F481)*1000</f>
        <v>0</v>
      </c>
    </row>
    <row r="482" hidden="1">
      <c r="A482" s="6" t="s">
        <v>1725</v>
      </c>
      <c r="B482" s="7" t="s">
        <v>19</v>
      </c>
      <c r="C482" s="7" t="s">
        <v>20</v>
      </c>
      <c r="D482" s="7" t="s">
        <v>21</v>
      </c>
      <c r="E482" s="8">
        <v>1330.0</v>
      </c>
      <c r="F482" s="8">
        <v>9944.0</v>
      </c>
      <c r="G482" s="9">
        <v>0.0197</v>
      </c>
      <c r="H482" s="10"/>
      <c r="I482" s="11"/>
      <c r="J482" s="7" t="s">
        <v>1726</v>
      </c>
      <c r="K482" s="11" t="s">
        <v>24</v>
      </c>
      <c r="L482" s="7"/>
      <c r="M482" s="11"/>
      <c r="N482" s="12" t="s">
        <v>1727</v>
      </c>
      <c r="O482" s="2"/>
      <c r="P482" s="2"/>
    </row>
    <row r="483">
      <c r="A483" s="6" t="s">
        <v>1728</v>
      </c>
      <c r="B483" s="7" t="s">
        <v>19</v>
      </c>
      <c r="C483" s="7" t="s">
        <v>20</v>
      </c>
      <c r="D483" s="7" t="s">
        <v>32</v>
      </c>
      <c r="E483" s="8">
        <v>1310.0</v>
      </c>
      <c r="F483" s="8">
        <v>1708.0</v>
      </c>
      <c r="G483" s="9">
        <v>0.0485</v>
      </c>
      <c r="H483" s="10"/>
      <c r="I483" s="11" t="s">
        <v>1729</v>
      </c>
      <c r="J483" s="7" t="s">
        <v>1730</v>
      </c>
      <c r="K483" s="11" t="s">
        <v>24</v>
      </c>
      <c r="L483" s="7"/>
      <c r="M483" s="11"/>
      <c r="N483" s="12" t="s">
        <v>1731</v>
      </c>
      <c r="O483" s="17">
        <f t="shared" ref="O483:O484" si="75">H483/F483</f>
        <v>0</v>
      </c>
      <c r="P483" s="18">
        <f t="shared" ref="P483:P484" si="76">(H483/F483)*1000</f>
        <v>0</v>
      </c>
    </row>
    <row r="484">
      <c r="A484" s="6" t="s">
        <v>1732</v>
      </c>
      <c r="B484" s="7" t="s">
        <v>19</v>
      </c>
      <c r="C484" s="7" t="s">
        <v>20</v>
      </c>
      <c r="D484" s="7" t="s">
        <v>32</v>
      </c>
      <c r="E484" s="8">
        <v>1300.0</v>
      </c>
      <c r="F484" s="8">
        <v>4682.0</v>
      </c>
      <c r="G484" s="9">
        <v>0.0371</v>
      </c>
      <c r="H484" s="10"/>
      <c r="I484" s="11" t="s">
        <v>1733</v>
      </c>
      <c r="J484" s="7" t="s">
        <v>1734</v>
      </c>
      <c r="K484" s="11" t="s">
        <v>24</v>
      </c>
      <c r="L484" s="7"/>
      <c r="M484" s="11"/>
      <c r="N484" s="12" t="s">
        <v>1735</v>
      </c>
      <c r="O484" s="17">
        <f t="shared" si="75"/>
        <v>0</v>
      </c>
      <c r="P484" s="18">
        <f t="shared" si="76"/>
        <v>0</v>
      </c>
    </row>
    <row r="485" hidden="1">
      <c r="A485" s="6" t="s">
        <v>1736</v>
      </c>
      <c r="B485" s="7" t="s">
        <v>19</v>
      </c>
      <c r="C485" s="7" t="s">
        <v>20</v>
      </c>
      <c r="D485" s="7" t="s">
        <v>21</v>
      </c>
      <c r="E485" s="8">
        <v>1270.0</v>
      </c>
      <c r="F485" s="8">
        <v>4025.0</v>
      </c>
      <c r="G485" s="9">
        <v>0.0325</v>
      </c>
      <c r="H485" s="10"/>
      <c r="I485" s="11" t="s">
        <v>1737</v>
      </c>
      <c r="J485" s="7" t="s">
        <v>1738</v>
      </c>
      <c r="K485" s="11" t="s">
        <v>24</v>
      </c>
      <c r="L485" s="7"/>
      <c r="M485" s="11"/>
      <c r="N485" s="12" t="s">
        <v>1739</v>
      </c>
      <c r="O485" s="2"/>
      <c r="P485" s="2"/>
    </row>
    <row r="486">
      <c r="A486" s="6" t="s">
        <v>1740</v>
      </c>
      <c r="B486" s="7" t="s">
        <v>19</v>
      </c>
      <c r="C486" s="7" t="s">
        <v>20</v>
      </c>
      <c r="D486" s="7" t="s">
        <v>32</v>
      </c>
      <c r="E486" s="8">
        <v>1260.0</v>
      </c>
      <c r="F486" s="8">
        <v>2036.0</v>
      </c>
      <c r="G486" s="9">
        <v>0.0213</v>
      </c>
      <c r="H486" s="10"/>
      <c r="I486" s="11" t="s">
        <v>1741</v>
      </c>
      <c r="J486" s="7" t="s">
        <v>1742</v>
      </c>
      <c r="K486" s="11" t="s">
        <v>24</v>
      </c>
      <c r="L486" s="7"/>
      <c r="M486" s="11"/>
      <c r="N486" s="12" t="s">
        <v>1743</v>
      </c>
      <c r="O486" s="17">
        <f t="shared" ref="O486:O487" si="77">H486/F486</f>
        <v>0</v>
      </c>
      <c r="P486" s="18">
        <f t="shared" ref="P486:P487" si="78">(H486/F486)*1000</f>
        <v>0</v>
      </c>
    </row>
    <row r="487">
      <c r="A487" s="6" t="s">
        <v>1744</v>
      </c>
      <c r="B487" s="7" t="s">
        <v>19</v>
      </c>
      <c r="C487" s="7" t="s">
        <v>20</v>
      </c>
      <c r="D487" s="7" t="s">
        <v>32</v>
      </c>
      <c r="E487" s="8">
        <v>1240.0</v>
      </c>
      <c r="F487" s="8">
        <v>34416.0</v>
      </c>
      <c r="G487" s="9">
        <v>0.0364</v>
      </c>
      <c r="H487" s="10"/>
      <c r="I487" s="11"/>
      <c r="J487" s="7" t="s">
        <v>1745</v>
      </c>
      <c r="K487" s="11" t="s">
        <v>24</v>
      </c>
      <c r="L487" s="7"/>
      <c r="M487" s="11"/>
      <c r="N487" s="12" t="s">
        <v>1746</v>
      </c>
      <c r="O487" s="17">
        <f t="shared" si="77"/>
        <v>0</v>
      </c>
      <c r="P487" s="18">
        <f t="shared" si="78"/>
        <v>0</v>
      </c>
    </row>
    <row r="488" hidden="1">
      <c r="A488" s="6" t="s">
        <v>1747</v>
      </c>
      <c r="B488" s="7" t="s">
        <v>19</v>
      </c>
      <c r="C488" s="7" t="s">
        <v>20</v>
      </c>
      <c r="D488" s="7" t="s">
        <v>21</v>
      </c>
      <c r="E488" s="8">
        <v>1240.0</v>
      </c>
      <c r="F488" s="8">
        <v>1418.0</v>
      </c>
      <c r="G488" s="9">
        <v>0.0223</v>
      </c>
      <c r="H488" s="10"/>
      <c r="I488" s="11" t="s">
        <v>1748</v>
      </c>
      <c r="J488" s="7" t="s">
        <v>1749</v>
      </c>
      <c r="K488" s="11" t="s">
        <v>24</v>
      </c>
      <c r="L488" s="7"/>
      <c r="M488" s="11"/>
      <c r="N488" s="12" t="s">
        <v>1750</v>
      </c>
      <c r="O488" s="2"/>
      <c r="P488" s="2"/>
    </row>
    <row r="489" hidden="1">
      <c r="A489" s="6" t="s">
        <v>1751</v>
      </c>
      <c r="B489" s="7" t="s">
        <v>19</v>
      </c>
      <c r="C489" s="7" t="s">
        <v>20</v>
      </c>
      <c r="D489" s="7" t="s">
        <v>21</v>
      </c>
      <c r="E489" s="8">
        <v>1220.0</v>
      </c>
      <c r="F489" s="8">
        <v>1274.0</v>
      </c>
      <c r="G489" s="9">
        <v>0.0639</v>
      </c>
      <c r="H489" s="10"/>
      <c r="I489" s="11"/>
      <c r="J489" s="7" t="s">
        <v>817</v>
      </c>
      <c r="K489" s="11" t="s">
        <v>24</v>
      </c>
      <c r="L489" s="7"/>
      <c r="M489" s="11"/>
      <c r="N489" s="12" t="s">
        <v>1752</v>
      </c>
      <c r="O489" s="2"/>
      <c r="P489" s="2"/>
    </row>
    <row r="490">
      <c r="A490" s="6" t="s">
        <v>1753</v>
      </c>
      <c r="B490" s="7" t="s">
        <v>19</v>
      </c>
      <c r="C490" s="7" t="s">
        <v>20</v>
      </c>
      <c r="D490" s="7" t="s">
        <v>32</v>
      </c>
      <c r="E490" s="8">
        <v>1200.0</v>
      </c>
      <c r="F490" s="8">
        <v>2129.0</v>
      </c>
      <c r="G490" s="9">
        <v>0.0334</v>
      </c>
      <c r="H490" s="10"/>
      <c r="I490" s="11"/>
      <c r="J490" s="7" t="s">
        <v>215</v>
      </c>
      <c r="K490" s="11" t="s">
        <v>24</v>
      </c>
      <c r="L490" s="7"/>
      <c r="M490" s="11"/>
      <c r="N490" s="12" t="s">
        <v>1754</v>
      </c>
      <c r="O490" s="17">
        <f t="shared" ref="O490:O491" si="79">H490/F490</f>
        <v>0</v>
      </c>
      <c r="P490" s="18">
        <f t="shared" ref="P490:P491" si="80">(H490/F490)*1000</f>
        <v>0</v>
      </c>
    </row>
    <row r="491">
      <c r="A491" s="6" t="s">
        <v>1755</v>
      </c>
      <c r="B491" s="7" t="s">
        <v>19</v>
      </c>
      <c r="C491" s="7" t="s">
        <v>20</v>
      </c>
      <c r="D491" s="7" t="s">
        <v>32</v>
      </c>
      <c r="E491" s="8">
        <v>1180.0</v>
      </c>
      <c r="F491" s="8">
        <v>886.0</v>
      </c>
      <c r="G491" s="9">
        <v>0.0332</v>
      </c>
      <c r="H491" s="10"/>
      <c r="I491" s="11" t="s">
        <v>1756</v>
      </c>
      <c r="J491" s="7" t="s">
        <v>294</v>
      </c>
      <c r="K491" s="11" t="s">
        <v>24</v>
      </c>
      <c r="L491" s="7"/>
      <c r="M491" s="11"/>
      <c r="N491" s="12" t="s">
        <v>1757</v>
      </c>
      <c r="O491" s="17">
        <f t="shared" si="79"/>
        <v>0</v>
      </c>
      <c r="P491" s="18">
        <f t="shared" si="80"/>
        <v>0</v>
      </c>
    </row>
    <row r="492" hidden="1">
      <c r="A492" s="6" t="s">
        <v>1758</v>
      </c>
      <c r="B492" s="7" t="s">
        <v>19</v>
      </c>
      <c r="C492" s="7" t="s">
        <v>20</v>
      </c>
      <c r="D492" s="7" t="s">
        <v>21</v>
      </c>
      <c r="E492" s="8">
        <v>1170.0</v>
      </c>
      <c r="F492" s="8">
        <v>1728.0</v>
      </c>
      <c r="G492" s="9">
        <v>0.0191</v>
      </c>
      <c r="H492" s="10"/>
      <c r="I492" s="11" t="s">
        <v>1759</v>
      </c>
      <c r="J492" s="7" t="s">
        <v>1760</v>
      </c>
      <c r="K492" s="11" t="s">
        <v>24</v>
      </c>
      <c r="L492" s="7"/>
      <c r="M492" s="11"/>
      <c r="N492" s="12" t="s">
        <v>1761</v>
      </c>
      <c r="O492" s="2"/>
      <c r="P492" s="2"/>
    </row>
    <row r="493" hidden="1">
      <c r="A493" s="6" t="s">
        <v>1762</v>
      </c>
      <c r="B493" s="7" t="s">
        <v>19</v>
      </c>
      <c r="C493" s="7" t="s">
        <v>20</v>
      </c>
      <c r="D493" s="7" t="s">
        <v>21</v>
      </c>
      <c r="E493" s="8">
        <v>1160.0</v>
      </c>
      <c r="F493" s="8">
        <v>1745.0</v>
      </c>
      <c r="G493" s="9">
        <v>0.0312</v>
      </c>
      <c r="H493" s="10"/>
      <c r="I493" s="11"/>
      <c r="J493" s="7" t="s">
        <v>1763</v>
      </c>
      <c r="K493" s="11" t="s">
        <v>24</v>
      </c>
      <c r="L493" s="7"/>
      <c r="M493" s="11"/>
      <c r="N493" s="12" t="s">
        <v>1764</v>
      </c>
      <c r="O493" s="2"/>
      <c r="P493" s="2"/>
    </row>
    <row r="494">
      <c r="A494" s="6" t="s">
        <v>1765</v>
      </c>
      <c r="B494" s="7" t="s">
        <v>19</v>
      </c>
      <c r="C494" s="7" t="s">
        <v>20</v>
      </c>
      <c r="D494" s="7" t="s">
        <v>32</v>
      </c>
      <c r="E494" s="8">
        <v>1150.0</v>
      </c>
      <c r="F494" s="8">
        <v>31096.0</v>
      </c>
      <c r="G494" s="9">
        <v>0.0175</v>
      </c>
      <c r="H494" s="10"/>
      <c r="I494" s="11"/>
      <c r="J494" s="7" t="s">
        <v>375</v>
      </c>
      <c r="K494" s="11" t="s">
        <v>24</v>
      </c>
      <c r="L494" s="7"/>
      <c r="M494" s="11"/>
      <c r="N494" s="12" t="s">
        <v>1766</v>
      </c>
      <c r="O494" s="17">
        <f t="shared" ref="O494:O495" si="81">H494/F494</f>
        <v>0</v>
      </c>
      <c r="P494" s="18">
        <f t="shared" ref="P494:P495" si="82">(H494/F494)*1000</f>
        <v>0</v>
      </c>
    </row>
    <row r="495">
      <c r="A495" s="6" t="s">
        <v>1767</v>
      </c>
      <c r="B495" s="7" t="s">
        <v>19</v>
      </c>
      <c r="C495" s="7" t="s">
        <v>20</v>
      </c>
      <c r="D495" s="7" t="s">
        <v>32</v>
      </c>
      <c r="E495" s="8">
        <v>1130.0</v>
      </c>
      <c r="F495" s="8">
        <v>20789.0</v>
      </c>
      <c r="G495" s="9">
        <v>0.0136</v>
      </c>
      <c r="H495" s="10"/>
      <c r="I495" s="11"/>
      <c r="J495" s="7" t="s">
        <v>1768</v>
      </c>
      <c r="K495" s="11" t="s">
        <v>24</v>
      </c>
      <c r="L495" s="7"/>
      <c r="M495" s="11"/>
      <c r="N495" s="12" t="s">
        <v>1769</v>
      </c>
      <c r="O495" s="17">
        <f t="shared" si="81"/>
        <v>0</v>
      </c>
      <c r="P495" s="18">
        <f t="shared" si="82"/>
        <v>0</v>
      </c>
    </row>
    <row r="496" hidden="1">
      <c r="A496" s="6" t="s">
        <v>1770</v>
      </c>
      <c r="B496" s="7" t="s">
        <v>19</v>
      </c>
      <c r="C496" s="7" t="s">
        <v>20</v>
      </c>
      <c r="D496" s="7" t="s">
        <v>21</v>
      </c>
      <c r="E496" s="8">
        <v>1130.0</v>
      </c>
      <c r="F496" s="8">
        <v>1672.0</v>
      </c>
      <c r="G496" s="9">
        <v>0.0029</v>
      </c>
      <c r="H496" s="10"/>
      <c r="I496" s="11" t="s">
        <v>1771</v>
      </c>
      <c r="J496" s="7" t="s">
        <v>1772</v>
      </c>
      <c r="K496" s="11" t="s">
        <v>24</v>
      </c>
      <c r="L496" s="7"/>
      <c r="M496" s="11"/>
      <c r="N496" s="12" t="s">
        <v>1773</v>
      </c>
      <c r="O496" s="2"/>
      <c r="P496" s="2"/>
    </row>
    <row r="497">
      <c r="A497" s="6" t="s">
        <v>1774</v>
      </c>
      <c r="B497" s="7" t="s">
        <v>19</v>
      </c>
      <c r="C497" s="7" t="s">
        <v>20</v>
      </c>
      <c r="D497" s="7" t="s">
        <v>32</v>
      </c>
      <c r="E497" s="8">
        <v>1120.0</v>
      </c>
      <c r="F497" s="8">
        <v>1756.0</v>
      </c>
      <c r="G497" s="9">
        <v>0.0215</v>
      </c>
      <c r="H497" s="10"/>
      <c r="I497" s="11"/>
      <c r="J497" s="7" t="s">
        <v>1775</v>
      </c>
      <c r="K497" s="11" t="s">
        <v>24</v>
      </c>
      <c r="L497" s="7"/>
      <c r="M497" s="11"/>
      <c r="N497" s="12" t="s">
        <v>1776</v>
      </c>
      <c r="O497" s="17">
        <f t="shared" ref="O497:O500" si="83">H497/F497</f>
        <v>0</v>
      </c>
      <c r="P497" s="18">
        <f t="shared" ref="P497:P500" si="84">(H497/F497)*1000</f>
        <v>0</v>
      </c>
    </row>
    <row r="498">
      <c r="A498" s="6" t="s">
        <v>1777</v>
      </c>
      <c r="B498" s="7" t="s">
        <v>19</v>
      </c>
      <c r="C498" s="7" t="s">
        <v>20</v>
      </c>
      <c r="D498" s="7" t="s">
        <v>32</v>
      </c>
      <c r="E498" s="8">
        <v>1120.0</v>
      </c>
      <c r="F498" s="8">
        <v>2106.0</v>
      </c>
      <c r="G498" s="9">
        <v>0.0184</v>
      </c>
      <c r="H498" s="10"/>
      <c r="I498" s="11" t="s">
        <v>1778</v>
      </c>
      <c r="J498" s="7" t="s">
        <v>1779</v>
      </c>
      <c r="K498" s="11" t="s">
        <v>24</v>
      </c>
      <c r="L498" s="7"/>
      <c r="M498" s="11"/>
      <c r="N498" s="12" t="s">
        <v>1780</v>
      </c>
      <c r="O498" s="17">
        <f t="shared" si="83"/>
        <v>0</v>
      </c>
      <c r="P498" s="18">
        <f t="shared" si="84"/>
        <v>0</v>
      </c>
    </row>
    <row r="499">
      <c r="A499" s="6" t="s">
        <v>1781</v>
      </c>
      <c r="B499" s="7" t="s">
        <v>19</v>
      </c>
      <c r="C499" s="7" t="s">
        <v>20</v>
      </c>
      <c r="D499" s="7" t="s">
        <v>32</v>
      </c>
      <c r="E499" s="8">
        <v>1110.0</v>
      </c>
      <c r="F499" s="8">
        <v>1905.0</v>
      </c>
      <c r="G499" s="9">
        <v>0.0171</v>
      </c>
      <c r="H499" s="10"/>
      <c r="I499" s="11" t="s">
        <v>1782</v>
      </c>
      <c r="J499" s="7" t="s">
        <v>1783</v>
      </c>
      <c r="K499" s="11" t="s">
        <v>24</v>
      </c>
      <c r="L499" s="7"/>
      <c r="M499" s="11"/>
      <c r="N499" s="12" t="s">
        <v>1784</v>
      </c>
      <c r="O499" s="17">
        <f t="shared" si="83"/>
        <v>0</v>
      </c>
      <c r="P499" s="18">
        <f t="shared" si="84"/>
        <v>0</v>
      </c>
    </row>
    <row r="500">
      <c r="A500" s="6" t="s">
        <v>1785</v>
      </c>
      <c r="B500" s="7" t="s">
        <v>19</v>
      </c>
      <c r="C500" s="7" t="s">
        <v>20</v>
      </c>
      <c r="D500" s="7" t="s">
        <v>32</v>
      </c>
      <c r="E500" s="8">
        <v>1090.0</v>
      </c>
      <c r="F500" s="8">
        <v>2484.0</v>
      </c>
      <c r="G500" s="9">
        <v>0.0154</v>
      </c>
      <c r="H500" s="10"/>
      <c r="I500" s="11" t="s">
        <v>1786</v>
      </c>
      <c r="J500" s="7" t="s">
        <v>1787</v>
      </c>
      <c r="K500" s="11" t="s">
        <v>24</v>
      </c>
      <c r="L500" s="7"/>
      <c r="M500" s="11"/>
      <c r="N500" s="12" t="s">
        <v>1788</v>
      </c>
      <c r="O500" s="17">
        <f t="shared" si="83"/>
        <v>0</v>
      </c>
      <c r="P500" s="18">
        <f t="shared" si="84"/>
        <v>0</v>
      </c>
    </row>
    <row r="501" hidden="1">
      <c r="A501" s="6" t="s">
        <v>1789</v>
      </c>
      <c r="B501" s="7" t="s">
        <v>19</v>
      </c>
      <c r="C501" s="7" t="s">
        <v>20</v>
      </c>
      <c r="D501" s="7" t="s">
        <v>21</v>
      </c>
      <c r="E501" s="8">
        <v>1090.0</v>
      </c>
      <c r="F501" s="8">
        <v>2891.0</v>
      </c>
      <c r="G501" s="9">
        <v>0.0277</v>
      </c>
      <c r="H501" s="10"/>
      <c r="I501" s="11" t="s">
        <v>1790</v>
      </c>
      <c r="J501" s="7" t="s">
        <v>1791</v>
      </c>
      <c r="K501" s="11" t="s">
        <v>24</v>
      </c>
      <c r="L501" s="7"/>
      <c r="M501" s="11"/>
      <c r="N501" s="12" t="s">
        <v>1792</v>
      </c>
      <c r="O501" s="2"/>
      <c r="P501" s="2"/>
    </row>
    <row r="502" hidden="1">
      <c r="A502" s="6" t="s">
        <v>1793</v>
      </c>
      <c r="B502" s="7" t="s">
        <v>19</v>
      </c>
      <c r="C502" s="7" t="s">
        <v>20</v>
      </c>
      <c r="D502" s="7" t="s">
        <v>21</v>
      </c>
      <c r="E502" s="8">
        <v>1080.0</v>
      </c>
      <c r="F502" s="8">
        <v>1010.0</v>
      </c>
      <c r="G502" s="9">
        <v>0.0281</v>
      </c>
      <c r="H502" s="10"/>
      <c r="I502" s="11" t="s">
        <v>1794</v>
      </c>
      <c r="J502" s="7" t="s">
        <v>1795</v>
      </c>
      <c r="K502" s="11" t="s">
        <v>24</v>
      </c>
      <c r="L502" s="7"/>
      <c r="M502" s="11"/>
      <c r="N502" s="12" t="s">
        <v>1796</v>
      </c>
      <c r="O502" s="2"/>
      <c r="P502" s="2"/>
    </row>
    <row r="503">
      <c r="A503" s="6" t="s">
        <v>1797</v>
      </c>
      <c r="B503" s="7" t="s">
        <v>19</v>
      </c>
      <c r="C503" s="7" t="s">
        <v>20</v>
      </c>
      <c r="D503" s="7" t="s">
        <v>32</v>
      </c>
      <c r="E503" s="8">
        <v>1070.0</v>
      </c>
      <c r="F503" s="8">
        <v>2553.0</v>
      </c>
      <c r="G503" s="9">
        <v>0.0419</v>
      </c>
      <c r="H503" s="10"/>
      <c r="I503" s="11"/>
      <c r="J503" s="7" t="s">
        <v>1798</v>
      </c>
      <c r="K503" s="11" t="s">
        <v>24</v>
      </c>
      <c r="L503" s="7"/>
      <c r="M503" s="11"/>
      <c r="N503" s="12" t="s">
        <v>1799</v>
      </c>
      <c r="O503" s="17">
        <f t="shared" ref="O503:O505" si="85">H503/F503</f>
        <v>0</v>
      </c>
      <c r="P503" s="18">
        <f t="shared" ref="P503:P505" si="86">(H503/F503)*1000</f>
        <v>0</v>
      </c>
    </row>
    <row r="504">
      <c r="A504" s="6" t="s">
        <v>1800</v>
      </c>
      <c r="B504" s="7" t="s">
        <v>19</v>
      </c>
      <c r="C504" s="7" t="s">
        <v>20</v>
      </c>
      <c r="D504" s="7" t="s">
        <v>32</v>
      </c>
      <c r="E504" s="8">
        <v>1060.0</v>
      </c>
      <c r="F504" s="8">
        <v>6275.0</v>
      </c>
      <c r="G504" s="9">
        <v>0.0169</v>
      </c>
      <c r="H504" s="10"/>
      <c r="I504" s="11"/>
      <c r="J504" s="7" t="s">
        <v>1801</v>
      </c>
      <c r="K504" s="11" t="s">
        <v>24</v>
      </c>
      <c r="L504" s="7"/>
      <c r="M504" s="11"/>
      <c r="N504" s="12" t="s">
        <v>1802</v>
      </c>
      <c r="O504" s="17">
        <f t="shared" si="85"/>
        <v>0</v>
      </c>
      <c r="P504" s="18">
        <f t="shared" si="86"/>
        <v>0</v>
      </c>
    </row>
    <row r="505">
      <c r="A505" s="6" t="s">
        <v>1803</v>
      </c>
      <c r="B505" s="7" t="s">
        <v>19</v>
      </c>
      <c r="C505" s="7" t="s">
        <v>20</v>
      </c>
      <c r="D505" s="7" t="s">
        <v>32</v>
      </c>
      <c r="E505" s="8">
        <v>1050.0</v>
      </c>
      <c r="F505" s="8">
        <v>4756.0</v>
      </c>
      <c r="G505" s="9">
        <v>0.0162</v>
      </c>
      <c r="H505" s="10"/>
      <c r="I505" s="11"/>
      <c r="J505" s="7" t="s">
        <v>357</v>
      </c>
      <c r="K505" s="11" t="s">
        <v>24</v>
      </c>
      <c r="L505" s="7"/>
      <c r="M505" s="11"/>
      <c r="N505" s="12" t="s">
        <v>1804</v>
      </c>
      <c r="O505" s="17">
        <f t="shared" si="85"/>
        <v>0</v>
      </c>
      <c r="P505" s="18">
        <f t="shared" si="86"/>
        <v>0</v>
      </c>
    </row>
    <row r="506" hidden="1">
      <c r="A506" s="6" t="s">
        <v>1805</v>
      </c>
      <c r="B506" s="7" t="s">
        <v>19</v>
      </c>
      <c r="C506" s="7" t="s">
        <v>20</v>
      </c>
      <c r="D506" s="7" t="s">
        <v>21</v>
      </c>
      <c r="E506" s="8">
        <v>1040.0</v>
      </c>
      <c r="F506" s="8">
        <v>15010.0</v>
      </c>
      <c r="G506" s="9">
        <v>0.0151</v>
      </c>
      <c r="H506" s="10"/>
      <c r="I506" s="11"/>
      <c r="J506" s="7" t="s">
        <v>1806</v>
      </c>
      <c r="K506" s="11" t="s">
        <v>24</v>
      </c>
      <c r="L506" s="7"/>
      <c r="M506" s="11"/>
      <c r="N506" s="12" t="s">
        <v>1807</v>
      </c>
      <c r="O506" s="2"/>
      <c r="P506" s="2"/>
    </row>
    <row r="507">
      <c r="A507" s="6" t="s">
        <v>1808</v>
      </c>
      <c r="B507" s="7" t="s">
        <v>19</v>
      </c>
      <c r="C507" s="7" t="s">
        <v>20</v>
      </c>
      <c r="D507" s="7" t="s">
        <v>32</v>
      </c>
      <c r="E507" s="8">
        <v>1030.0</v>
      </c>
      <c r="F507" s="8">
        <v>7365.0</v>
      </c>
      <c r="G507" s="9">
        <v>0.012</v>
      </c>
      <c r="H507" s="10"/>
      <c r="I507" s="11"/>
      <c r="J507" s="7" t="s">
        <v>1809</v>
      </c>
      <c r="K507" s="11" t="s">
        <v>24</v>
      </c>
      <c r="L507" s="7"/>
      <c r="M507" s="11"/>
      <c r="N507" s="12" t="s">
        <v>1810</v>
      </c>
      <c r="O507" s="17">
        <f>H507/F507</f>
        <v>0</v>
      </c>
      <c r="P507" s="18">
        <f>(H507/F507)*1000</f>
        <v>0</v>
      </c>
    </row>
    <row r="508" hidden="1">
      <c r="A508" s="6" t="s">
        <v>1811</v>
      </c>
      <c r="B508" s="7" t="s">
        <v>19</v>
      </c>
      <c r="C508" s="7" t="s">
        <v>20</v>
      </c>
      <c r="D508" s="7" t="s">
        <v>21</v>
      </c>
      <c r="E508" s="8">
        <v>1010.0</v>
      </c>
      <c r="F508" s="8">
        <v>3179.0</v>
      </c>
      <c r="G508" s="9">
        <v>0.0278</v>
      </c>
      <c r="H508" s="10"/>
      <c r="I508" s="11" t="s">
        <v>1812</v>
      </c>
      <c r="J508" s="7" t="s">
        <v>760</v>
      </c>
      <c r="K508" s="11" t="s">
        <v>24</v>
      </c>
      <c r="L508" s="7"/>
      <c r="M508" s="11"/>
      <c r="N508" s="12" t="s">
        <v>1813</v>
      </c>
      <c r="O508" s="2"/>
      <c r="P508" s="2"/>
    </row>
    <row r="509">
      <c r="A509" s="6" t="s">
        <v>1814</v>
      </c>
      <c r="B509" s="7" t="s">
        <v>19</v>
      </c>
      <c r="C509" s="7" t="s">
        <v>20</v>
      </c>
      <c r="D509" s="7" t="s">
        <v>32</v>
      </c>
      <c r="E509" s="8">
        <v>1000.0</v>
      </c>
      <c r="F509" s="8">
        <v>2002.0</v>
      </c>
      <c r="G509" s="9">
        <v>0.0257</v>
      </c>
      <c r="H509" s="10"/>
      <c r="I509" s="11"/>
      <c r="J509" s="7" t="s">
        <v>1277</v>
      </c>
      <c r="K509" s="11" t="s">
        <v>24</v>
      </c>
      <c r="L509" s="7"/>
      <c r="M509" s="11"/>
      <c r="N509" s="12" t="s">
        <v>1815</v>
      </c>
      <c r="O509" s="17">
        <f>H509/F509</f>
        <v>0</v>
      </c>
      <c r="P509" s="18">
        <f>(H509/F509)*1000</f>
        <v>0</v>
      </c>
    </row>
    <row r="510" hidden="1">
      <c r="A510" s="6" t="s">
        <v>1816</v>
      </c>
      <c r="B510" s="7" t="s">
        <v>19</v>
      </c>
      <c r="C510" s="7" t="s">
        <v>20</v>
      </c>
      <c r="D510" s="7" t="s">
        <v>21</v>
      </c>
      <c r="E510" s="8">
        <v>996.0</v>
      </c>
      <c r="F510" s="8">
        <v>3065.0</v>
      </c>
      <c r="G510" s="9">
        <v>0.0205</v>
      </c>
      <c r="H510" s="10"/>
      <c r="I510" s="11"/>
      <c r="J510" s="7" t="s">
        <v>1817</v>
      </c>
      <c r="K510" s="11" t="s">
        <v>24</v>
      </c>
      <c r="L510" s="7"/>
      <c r="M510" s="11"/>
      <c r="N510" s="12" t="s">
        <v>1818</v>
      </c>
      <c r="O510" s="2"/>
      <c r="P510" s="2"/>
    </row>
    <row r="511">
      <c r="A511" s="6" t="s">
        <v>1819</v>
      </c>
      <c r="B511" s="7" t="s">
        <v>19</v>
      </c>
      <c r="C511" s="7" t="s">
        <v>20</v>
      </c>
      <c r="D511" s="7" t="s">
        <v>32</v>
      </c>
      <c r="E511" s="8">
        <v>979.0</v>
      </c>
      <c r="F511" s="8">
        <v>2221.0</v>
      </c>
      <c r="G511" s="9">
        <v>0.016</v>
      </c>
      <c r="H511" s="10"/>
      <c r="I511" s="11" t="s">
        <v>1820</v>
      </c>
      <c r="J511" s="7" t="s">
        <v>1821</v>
      </c>
      <c r="K511" s="11" t="s">
        <v>24</v>
      </c>
      <c r="L511" s="7"/>
      <c r="M511" s="11"/>
      <c r="N511" s="12" t="s">
        <v>1822</v>
      </c>
      <c r="O511" s="17">
        <f>H511/F511</f>
        <v>0</v>
      </c>
      <c r="P511" s="18">
        <f>(H511/F511)*1000</f>
        <v>0</v>
      </c>
    </row>
    <row r="512" hidden="1">
      <c r="A512" s="6" t="s">
        <v>1823</v>
      </c>
      <c r="B512" s="7" t="s">
        <v>19</v>
      </c>
      <c r="C512" s="7" t="s">
        <v>20</v>
      </c>
      <c r="D512" s="7" t="s">
        <v>21</v>
      </c>
      <c r="E512" s="8">
        <v>966.0</v>
      </c>
      <c r="F512" s="8">
        <v>3066.0</v>
      </c>
      <c r="G512" s="9">
        <v>0.042</v>
      </c>
      <c r="H512" s="10"/>
      <c r="I512" s="11" t="s">
        <v>1824</v>
      </c>
      <c r="J512" s="7" t="s">
        <v>1825</v>
      </c>
      <c r="K512" s="11" t="s">
        <v>24</v>
      </c>
      <c r="L512" s="7"/>
      <c r="M512" s="11"/>
      <c r="N512" s="12" t="s">
        <v>1826</v>
      </c>
      <c r="O512" s="2"/>
      <c r="P512" s="2"/>
    </row>
    <row r="513">
      <c r="A513" s="6" t="s">
        <v>1827</v>
      </c>
      <c r="B513" s="7" t="s">
        <v>19</v>
      </c>
      <c r="C513" s="7" t="s">
        <v>20</v>
      </c>
      <c r="D513" s="7" t="s">
        <v>32</v>
      </c>
      <c r="E513" s="8">
        <v>961.0</v>
      </c>
      <c r="F513" s="8">
        <v>2173.0</v>
      </c>
      <c r="G513" s="9">
        <v>0.0567</v>
      </c>
      <c r="H513" s="10"/>
      <c r="I513" s="11" t="s">
        <v>1828</v>
      </c>
      <c r="J513" s="7" t="s">
        <v>1829</v>
      </c>
      <c r="K513" s="11" t="s">
        <v>24</v>
      </c>
      <c r="L513" s="7"/>
      <c r="M513" s="11"/>
      <c r="N513" s="12" t="s">
        <v>1830</v>
      </c>
      <c r="O513" s="17">
        <f>H513/F513</f>
        <v>0</v>
      </c>
      <c r="P513" s="18">
        <f>(H513/F513)*1000</f>
        <v>0</v>
      </c>
    </row>
    <row r="514" hidden="1">
      <c r="A514" s="6" t="s">
        <v>1831</v>
      </c>
      <c r="B514" s="7" t="s">
        <v>19</v>
      </c>
      <c r="C514" s="7" t="s">
        <v>20</v>
      </c>
      <c r="D514" s="7" t="s">
        <v>21</v>
      </c>
      <c r="E514" s="8">
        <v>934.0</v>
      </c>
      <c r="F514" s="8">
        <v>1500.0</v>
      </c>
      <c r="G514" s="9">
        <v>0.0109</v>
      </c>
      <c r="H514" s="10"/>
      <c r="I514" s="11" t="s">
        <v>1832</v>
      </c>
      <c r="J514" s="7" t="s">
        <v>760</v>
      </c>
      <c r="K514" s="11" t="s">
        <v>24</v>
      </c>
      <c r="L514" s="7"/>
      <c r="M514" s="11"/>
      <c r="N514" s="12" t="s">
        <v>1833</v>
      </c>
      <c r="O514" s="2"/>
      <c r="P514" s="2"/>
    </row>
    <row r="515" hidden="1">
      <c r="A515" s="6" t="s">
        <v>1834</v>
      </c>
      <c r="B515" s="7" t="s">
        <v>19</v>
      </c>
      <c r="C515" s="7" t="s">
        <v>20</v>
      </c>
      <c r="D515" s="7" t="s">
        <v>21</v>
      </c>
      <c r="E515" s="8">
        <v>922.0</v>
      </c>
      <c r="F515" s="8">
        <v>10663.0</v>
      </c>
      <c r="G515" s="9">
        <v>9.0E-4</v>
      </c>
      <c r="H515" s="10"/>
      <c r="I515" s="11"/>
      <c r="J515" s="7" t="s">
        <v>1835</v>
      </c>
      <c r="K515" s="11" t="s">
        <v>24</v>
      </c>
      <c r="L515" s="7"/>
      <c r="M515" s="11"/>
      <c r="N515" s="12" t="s">
        <v>1836</v>
      </c>
      <c r="O515" s="2"/>
      <c r="P515" s="2"/>
    </row>
    <row r="516">
      <c r="A516" s="6" t="s">
        <v>1837</v>
      </c>
      <c r="B516" s="7" t="s">
        <v>19</v>
      </c>
      <c r="C516" s="7" t="s">
        <v>20</v>
      </c>
      <c r="D516" s="7" t="s">
        <v>32</v>
      </c>
      <c r="E516" s="8">
        <v>921.0</v>
      </c>
      <c r="F516" s="8">
        <v>28357.0</v>
      </c>
      <c r="G516" s="9">
        <v>0.0698</v>
      </c>
      <c r="H516" s="10"/>
      <c r="I516" s="11"/>
      <c r="J516" s="7" t="s">
        <v>215</v>
      </c>
      <c r="K516" s="11" t="s">
        <v>24</v>
      </c>
      <c r="L516" s="7"/>
      <c r="M516" s="11"/>
      <c r="N516" s="12" t="s">
        <v>1838</v>
      </c>
      <c r="O516" s="17">
        <f t="shared" ref="O516:O520" si="87">H516/F516</f>
        <v>0</v>
      </c>
      <c r="P516" s="18">
        <f t="shared" ref="P516:P520" si="88">(H516/F516)*1000</f>
        <v>0</v>
      </c>
    </row>
    <row r="517">
      <c r="A517" s="6" t="s">
        <v>1839</v>
      </c>
      <c r="B517" s="7" t="s">
        <v>19</v>
      </c>
      <c r="C517" s="7" t="s">
        <v>20</v>
      </c>
      <c r="D517" s="7" t="s">
        <v>32</v>
      </c>
      <c r="E517" s="8">
        <v>901.0</v>
      </c>
      <c r="F517" s="8">
        <v>2552.0</v>
      </c>
      <c r="G517" s="9">
        <v>0.0354</v>
      </c>
      <c r="H517" s="10"/>
      <c r="I517" s="11" t="s">
        <v>1840</v>
      </c>
      <c r="J517" s="7" t="s">
        <v>1841</v>
      </c>
      <c r="K517" s="11" t="s">
        <v>24</v>
      </c>
      <c r="L517" s="7"/>
      <c r="M517" s="11"/>
      <c r="N517" s="12" t="s">
        <v>1842</v>
      </c>
      <c r="O517" s="17">
        <f t="shared" si="87"/>
        <v>0</v>
      </c>
      <c r="P517" s="18">
        <f t="shared" si="88"/>
        <v>0</v>
      </c>
    </row>
    <row r="518">
      <c r="A518" s="6" t="s">
        <v>1843</v>
      </c>
      <c r="B518" s="7" t="s">
        <v>19</v>
      </c>
      <c r="C518" s="7" t="s">
        <v>20</v>
      </c>
      <c r="D518" s="7" t="s">
        <v>32</v>
      </c>
      <c r="E518" s="8">
        <v>872.0</v>
      </c>
      <c r="F518" s="8">
        <v>6610.0</v>
      </c>
      <c r="G518" s="9">
        <v>0.0074</v>
      </c>
      <c r="H518" s="10"/>
      <c r="I518" s="11"/>
      <c r="J518" s="7" t="s">
        <v>1844</v>
      </c>
      <c r="K518" s="11" t="s">
        <v>24</v>
      </c>
      <c r="L518" s="7"/>
      <c r="M518" s="11"/>
      <c r="N518" s="12" t="s">
        <v>1845</v>
      </c>
      <c r="O518" s="17">
        <f t="shared" si="87"/>
        <v>0</v>
      </c>
      <c r="P518" s="18">
        <f t="shared" si="88"/>
        <v>0</v>
      </c>
    </row>
    <row r="519">
      <c r="A519" s="6" t="s">
        <v>1846</v>
      </c>
      <c r="B519" s="7" t="s">
        <v>19</v>
      </c>
      <c r="C519" s="7" t="s">
        <v>20</v>
      </c>
      <c r="D519" s="7" t="s">
        <v>32</v>
      </c>
      <c r="E519" s="8">
        <v>864.0</v>
      </c>
      <c r="F519" s="8">
        <v>2789.0</v>
      </c>
      <c r="G519" s="9">
        <v>0.0195</v>
      </c>
      <c r="H519" s="10"/>
      <c r="I519" s="11"/>
      <c r="J519" s="7" t="s">
        <v>215</v>
      </c>
      <c r="K519" s="11" t="s">
        <v>24</v>
      </c>
      <c r="L519" s="7"/>
      <c r="M519" s="11"/>
      <c r="N519" s="12" t="s">
        <v>1847</v>
      </c>
      <c r="O519" s="17">
        <f t="shared" si="87"/>
        <v>0</v>
      </c>
      <c r="P519" s="18">
        <f t="shared" si="88"/>
        <v>0</v>
      </c>
    </row>
    <row r="520">
      <c r="A520" s="6" t="s">
        <v>1848</v>
      </c>
      <c r="B520" s="7" t="s">
        <v>19</v>
      </c>
      <c r="C520" s="7" t="s">
        <v>20</v>
      </c>
      <c r="D520" s="7" t="s">
        <v>32</v>
      </c>
      <c r="E520" s="8">
        <v>862.0</v>
      </c>
      <c r="F520" s="8">
        <v>4451.0</v>
      </c>
      <c r="G520" s="9">
        <v>0.0096</v>
      </c>
      <c r="H520" s="10"/>
      <c r="I520" s="11" t="s">
        <v>1849</v>
      </c>
      <c r="J520" s="7" t="s">
        <v>1850</v>
      </c>
      <c r="K520" s="11" t="s">
        <v>24</v>
      </c>
      <c r="L520" s="7"/>
      <c r="M520" s="11"/>
      <c r="N520" s="12" t="s">
        <v>1851</v>
      </c>
      <c r="O520" s="17">
        <f t="shared" si="87"/>
        <v>0</v>
      </c>
      <c r="P520" s="18">
        <f t="shared" si="88"/>
        <v>0</v>
      </c>
    </row>
    <row r="521" hidden="1">
      <c r="A521" s="6" t="s">
        <v>1852</v>
      </c>
      <c r="B521" s="7" t="s">
        <v>19</v>
      </c>
      <c r="C521" s="7" t="s">
        <v>20</v>
      </c>
      <c r="D521" s="7" t="s">
        <v>21</v>
      </c>
      <c r="E521" s="8">
        <v>859.0</v>
      </c>
      <c r="F521" s="8">
        <v>5969.0</v>
      </c>
      <c r="G521" s="9">
        <v>0.0051</v>
      </c>
      <c r="H521" s="10"/>
      <c r="I521" s="11"/>
      <c r="J521" s="7" t="s">
        <v>1853</v>
      </c>
      <c r="K521" s="11" t="s">
        <v>24</v>
      </c>
      <c r="L521" s="7"/>
      <c r="M521" s="11"/>
      <c r="N521" s="12" t="s">
        <v>1854</v>
      </c>
      <c r="O521" s="2"/>
      <c r="P521" s="2"/>
    </row>
    <row r="522">
      <c r="A522" s="6" t="s">
        <v>1855</v>
      </c>
      <c r="B522" s="7" t="s">
        <v>19</v>
      </c>
      <c r="C522" s="7" t="s">
        <v>20</v>
      </c>
      <c r="D522" s="7" t="s">
        <v>32</v>
      </c>
      <c r="E522" s="8">
        <v>852.0</v>
      </c>
      <c r="F522" s="8">
        <v>2257.0</v>
      </c>
      <c r="G522" s="9">
        <v>0.0417</v>
      </c>
      <c r="H522" s="10"/>
      <c r="I522" s="11"/>
      <c r="J522" s="7" t="s">
        <v>1856</v>
      </c>
      <c r="K522" s="11" t="s">
        <v>24</v>
      </c>
      <c r="L522" s="7"/>
      <c r="M522" s="11"/>
      <c r="N522" s="12" t="s">
        <v>1857</v>
      </c>
      <c r="O522" s="17">
        <f t="shared" ref="O522:O523" si="89">H522/F522</f>
        <v>0</v>
      </c>
      <c r="P522" s="18">
        <f t="shared" ref="P522:P523" si="90">(H522/F522)*1000</f>
        <v>0</v>
      </c>
    </row>
    <row r="523">
      <c r="A523" s="6" t="s">
        <v>1858</v>
      </c>
      <c r="B523" s="7" t="s">
        <v>19</v>
      </c>
      <c r="C523" s="7" t="s">
        <v>20</v>
      </c>
      <c r="D523" s="7" t="s">
        <v>32</v>
      </c>
      <c r="E523" s="8">
        <v>805.0</v>
      </c>
      <c r="F523" s="8">
        <v>2200.0</v>
      </c>
      <c r="G523" s="9">
        <v>0.0175</v>
      </c>
      <c r="H523" s="10"/>
      <c r="I523" s="11"/>
      <c r="J523" s="7" t="s">
        <v>1206</v>
      </c>
      <c r="K523" s="11" t="s">
        <v>24</v>
      </c>
      <c r="L523" s="7"/>
      <c r="M523" s="11"/>
      <c r="N523" s="12" t="s">
        <v>1859</v>
      </c>
      <c r="O523" s="17">
        <f t="shared" si="89"/>
        <v>0</v>
      </c>
      <c r="P523" s="18">
        <f t="shared" si="90"/>
        <v>0</v>
      </c>
    </row>
    <row r="524" hidden="1">
      <c r="A524" s="6" t="s">
        <v>1860</v>
      </c>
      <c r="B524" s="7" t="s">
        <v>19</v>
      </c>
      <c r="C524" s="7" t="s">
        <v>20</v>
      </c>
      <c r="D524" s="7" t="s">
        <v>21</v>
      </c>
      <c r="E524" s="8">
        <v>800.0</v>
      </c>
      <c r="F524" s="8">
        <v>2759.0</v>
      </c>
      <c r="G524" s="9">
        <v>0.0062</v>
      </c>
      <c r="H524" s="10"/>
      <c r="I524" s="11"/>
      <c r="J524" s="7" t="s">
        <v>979</v>
      </c>
      <c r="K524" s="11" t="s">
        <v>24</v>
      </c>
      <c r="L524" s="7"/>
      <c r="M524" s="11"/>
      <c r="N524" s="12" t="s">
        <v>1861</v>
      </c>
      <c r="O524" s="2"/>
      <c r="P524" s="2"/>
    </row>
    <row r="525">
      <c r="A525" s="6" t="s">
        <v>1862</v>
      </c>
      <c r="B525" s="7" t="s">
        <v>19</v>
      </c>
      <c r="C525" s="7" t="s">
        <v>20</v>
      </c>
      <c r="D525" s="7" t="s">
        <v>32</v>
      </c>
      <c r="E525" s="8">
        <v>786.0</v>
      </c>
      <c r="F525" s="8">
        <v>3411.0</v>
      </c>
      <c r="G525" s="9">
        <v>0.0499</v>
      </c>
      <c r="H525" s="10"/>
      <c r="I525" s="11" t="s">
        <v>1863</v>
      </c>
      <c r="J525" s="7" t="s">
        <v>549</v>
      </c>
      <c r="K525" s="11" t="s">
        <v>24</v>
      </c>
      <c r="L525" s="7"/>
      <c r="M525" s="11"/>
      <c r="N525" s="12" t="s">
        <v>1864</v>
      </c>
      <c r="O525" s="17">
        <f t="shared" ref="O525:O527" si="91">H525/F525</f>
        <v>0</v>
      </c>
      <c r="P525" s="18">
        <f t="shared" ref="P525:P527" si="92">(H525/F525)*1000</f>
        <v>0</v>
      </c>
    </row>
    <row r="526">
      <c r="A526" s="6" t="s">
        <v>1865</v>
      </c>
      <c r="B526" s="7" t="s">
        <v>19</v>
      </c>
      <c r="C526" s="7" t="s">
        <v>20</v>
      </c>
      <c r="D526" s="7" t="s">
        <v>32</v>
      </c>
      <c r="E526" s="8">
        <v>777.0</v>
      </c>
      <c r="F526" s="8">
        <v>5647.0</v>
      </c>
      <c r="G526" s="9">
        <v>0.0158</v>
      </c>
      <c r="H526" s="10"/>
      <c r="I526" s="11" t="s">
        <v>1866</v>
      </c>
      <c r="J526" s="7" t="s">
        <v>1867</v>
      </c>
      <c r="K526" s="11" t="s">
        <v>24</v>
      </c>
      <c r="L526" s="7"/>
      <c r="M526" s="11"/>
      <c r="N526" s="12" t="s">
        <v>1868</v>
      </c>
      <c r="O526" s="17">
        <f t="shared" si="91"/>
        <v>0</v>
      </c>
      <c r="P526" s="18">
        <f t="shared" si="92"/>
        <v>0</v>
      </c>
    </row>
    <row r="527">
      <c r="A527" s="6" t="s">
        <v>1869</v>
      </c>
      <c r="B527" s="7" t="s">
        <v>19</v>
      </c>
      <c r="C527" s="7" t="s">
        <v>20</v>
      </c>
      <c r="D527" s="7" t="s">
        <v>32</v>
      </c>
      <c r="E527" s="8">
        <v>762.0</v>
      </c>
      <c r="F527" s="8">
        <v>1680.0</v>
      </c>
      <c r="G527" s="9">
        <v>0.0623</v>
      </c>
      <c r="H527" s="10"/>
      <c r="I527" s="11"/>
      <c r="J527" s="7" t="s">
        <v>1870</v>
      </c>
      <c r="K527" s="11" t="s">
        <v>24</v>
      </c>
      <c r="L527" s="7"/>
      <c r="M527" s="11"/>
      <c r="N527" s="12" t="s">
        <v>1871</v>
      </c>
      <c r="O527" s="17">
        <f t="shared" si="91"/>
        <v>0</v>
      </c>
      <c r="P527" s="18">
        <f t="shared" si="92"/>
        <v>0</v>
      </c>
    </row>
    <row r="528" hidden="1">
      <c r="A528" s="6" t="s">
        <v>1872</v>
      </c>
      <c r="B528" s="7" t="s">
        <v>19</v>
      </c>
      <c r="C528" s="7" t="s">
        <v>20</v>
      </c>
      <c r="D528" s="7" t="s">
        <v>21</v>
      </c>
      <c r="E528" s="8">
        <v>762.0</v>
      </c>
      <c r="F528" s="8">
        <v>7635.0</v>
      </c>
      <c r="G528" s="9">
        <v>0.0335</v>
      </c>
      <c r="H528" s="10"/>
      <c r="I528" s="11"/>
      <c r="J528" s="7" t="s">
        <v>1053</v>
      </c>
      <c r="K528" s="11" t="s">
        <v>24</v>
      </c>
      <c r="L528" s="7"/>
      <c r="M528" s="11"/>
      <c r="N528" s="12" t="s">
        <v>1873</v>
      </c>
      <c r="O528" s="2"/>
      <c r="P528" s="2"/>
    </row>
    <row r="529">
      <c r="A529" s="6" t="s">
        <v>1874</v>
      </c>
      <c r="B529" s="7" t="s">
        <v>19</v>
      </c>
      <c r="C529" s="7" t="s">
        <v>20</v>
      </c>
      <c r="D529" s="7" t="s">
        <v>32</v>
      </c>
      <c r="E529" s="8">
        <v>741.0</v>
      </c>
      <c r="F529" s="8">
        <v>1825.0</v>
      </c>
      <c r="G529" s="9">
        <v>0.0897</v>
      </c>
      <c r="H529" s="10"/>
      <c r="I529" s="11"/>
      <c r="J529" s="7" t="s">
        <v>1875</v>
      </c>
      <c r="K529" s="11" t="s">
        <v>24</v>
      </c>
      <c r="L529" s="7"/>
      <c r="M529" s="11"/>
      <c r="N529" s="12" t="s">
        <v>1876</v>
      </c>
      <c r="O529" s="17">
        <f>H529/F529</f>
        <v>0</v>
      </c>
      <c r="P529" s="18">
        <f>(H529/F529)*1000</f>
        <v>0</v>
      </c>
    </row>
    <row r="530" hidden="1">
      <c r="A530" s="6" t="s">
        <v>1877</v>
      </c>
      <c r="B530" s="7" t="s">
        <v>19</v>
      </c>
      <c r="C530" s="7" t="s">
        <v>20</v>
      </c>
      <c r="D530" s="7" t="s">
        <v>21</v>
      </c>
      <c r="E530" s="8">
        <v>731.0</v>
      </c>
      <c r="F530" s="8">
        <v>5494.0</v>
      </c>
      <c r="G530" s="9">
        <v>0.0119</v>
      </c>
      <c r="H530" s="10"/>
      <c r="I530" s="11"/>
      <c r="J530" s="7" t="s">
        <v>1878</v>
      </c>
      <c r="K530" s="11" t="s">
        <v>24</v>
      </c>
      <c r="L530" s="7"/>
      <c r="M530" s="11"/>
      <c r="N530" s="12" t="s">
        <v>1879</v>
      </c>
      <c r="O530" s="2"/>
      <c r="P530" s="2"/>
    </row>
    <row r="531">
      <c r="A531" s="6" t="s">
        <v>1880</v>
      </c>
      <c r="B531" s="7" t="s">
        <v>19</v>
      </c>
      <c r="C531" s="7" t="s">
        <v>20</v>
      </c>
      <c r="D531" s="7" t="s">
        <v>32</v>
      </c>
      <c r="E531" s="8">
        <v>721.0</v>
      </c>
      <c r="F531" s="8">
        <v>4116.0</v>
      </c>
      <c r="G531" s="9">
        <v>0.0132</v>
      </c>
      <c r="H531" s="10"/>
      <c r="I531" s="11"/>
      <c r="J531" s="7" t="s">
        <v>1881</v>
      </c>
      <c r="K531" s="11" t="s">
        <v>24</v>
      </c>
      <c r="L531" s="7"/>
      <c r="M531" s="11"/>
      <c r="N531" s="12" t="s">
        <v>1882</v>
      </c>
      <c r="O531" s="17">
        <f t="shared" ref="O531:O532" si="93">H531/F531</f>
        <v>0</v>
      </c>
      <c r="P531" s="18">
        <f t="shared" ref="P531:P532" si="94">(H531/F531)*1000</f>
        <v>0</v>
      </c>
    </row>
    <row r="532">
      <c r="A532" s="6" t="s">
        <v>1883</v>
      </c>
      <c r="B532" s="7" t="s">
        <v>19</v>
      </c>
      <c r="C532" s="7" t="s">
        <v>20</v>
      </c>
      <c r="D532" s="7" t="s">
        <v>32</v>
      </c>
      <c r="E532" s="8">
        <v>713.0</v>
      </c>
      <c r="F532" s="8">
        <v>1117.0</v>
      </c>
      <c r="G532" s="9">
        <v>0.0918</v>
      </c>
      <c r="H532" s="10"/>
      <c r="I532" s="11" t="s">
        <v>1884</v>
      </c>
      <c r="J532" s="7" t="s">
        <v>1885</v>
      </c>
      <c r="K532" s="11" t="s">
        <v>24</v>
      </c>
      <c r="L532" s="7"/>
      <c r="M532" s="11"/>
      <c r="N532" s="12" t="s">
        <v>1886</v>
      </c>
      <c r="O532" s="17">
        <f t="shared" si="93"/>
        <v>0</v>
      </c>
      <c r="P532" s="18">
        <f t="shared" si="94"/>
        <v>0</v>
      </c>
    </row>
    <row r="533" hidden="1">
      <c r="A533" s="6" t="s">
        <v>1887</v>
      </c>
      <c r="B533" s="7" t="s">
        <v>19</v>
      </c>
      <c r="C533" s="7" t="s">
        <v>20</v>
      </c>
      <c r="D533" s="7" t="s">
        <v>21</v>
      </c>
      <c r="E533" s="8">
        <v>712.0</v>
      </c>
      <c r="F533" s="8">
        <v>6013.0</v>
      </c>
      <c r="G533" s="9">
        <v>0.0124</v>
      </c>
      <c r="H533" s="10"/>
      <c r="I533" s="11"/>
      <c r="J533" s="7" t="s">
        <v>1888</v>
      </c>
      <c r="K533" s="11" t="s">
        <v>24</v>
      </c>
      <c r="L533" s="7"/>
      <c r="M533" s="11"/>
      <c r="N533" s="12" t="s">
        <v>1889</v>
      </c>
      <c r="O533" s="2"/>
      <c r="P533" s="2"/>
    </row>
    <row r="534">
      <c r="A534" s="6" t="s">
        <v>1890</v>
      </c>
      <c r="B534" s="7" t="s">
        <v>19</v>
      </c>
      <c r="C534" s="7" t="s">
        <v>20</v>
      </c>
      <c r="D534" s="7" t="s">
        <v>32</v>
      </c>
      <c r="E534" s="8">
        <v>700.0</v>
      </c>
      <c r="F534" s="8">
        <v>1102.0</v>
      </c>
      <c r="G534" s="9">
        <v>0.0126</v>
      </c>
      <c r="H534" s="10"/>
      <c r="I534" s="11"/>
      <c r="J534" s="7" t="s">
        <v>1891</v>
      </c>
      <c r="K534" s="11" t="s">
        <v>24</v>
      </c>
      <c r="L534" s="7"/>
      <c r="M534" s="11"/>
      <c r="N534" s="12" t="s">
        <v>1892</v>
      </c>
      <c r="O534" s="17">
        <f t="shared" ref="O534:O535" si="95">H534/F534</f>
        <v>0</v>
      </c>
      <c r="P534" s="18">
        <f t="shared" ref="P534:P535" si="96">(H534/F534)*1000</f>
        <v>0</v>
      </c>
    </row>
    <row r="535">
      <c r="A535" s="6" t="s">
        <v>1893</v>
      </c>
      <c r="B535" s="7" t="s">
        <v>19</v>
      </c>
      <c r="C535" s="7" t="s">
        <v>20</v>
      </c>
      <c r="D535" s="7" t="s">
        <v>32</v>
      </c>
      <c r="E535" s="8">
        <v>697.0</v>
      </c>
      <c r="F535" s="8">
        <v>921.0</v>
      </c>
      <c r="G535" s="9">
        <v>0.0026</v>
      </c>
      <c r="H535" s="10"/>
      <c r="I535" s="11" t="s">
        <v>1894</v>
      </c>
      <c r="J535" s="7" t="s">
        <v>1895</v>
      </c>
      <c r="K535" s="11" t="s">
        <v>24</v>
      </c>
      <c r="L535" s="7"/>
      <c r="M535" s="11"/>
      <c r="N535" s="12" t="s">
        <v>1896</v>
      </c>
      <c r="O535" s="17">
        <f t="shared" si="95"/>
        <v>0</v>
      </c>
      <c r="P535" s="18">
        <f t="shared" si="96"/>
        <v>0</v>
      </c>
    </row>
    <row r="536" hidden="1">
      <c r="A536" s="6" t="s">
        <v>1897</v>
      </c>
      <c r="B536" s="7" t="s">
        <v>19</v>
      </c>
      <c r="C536" s="7" t="s">
        <v>20</v>
      </c>
      <c r="D536" s="7" t="s">
        <v>21</v>
      </c>
      <c r="E536" s="8">
        <v>693.0</v>
      </c>
      <c r="F536" s="8">
        <v>3980.0</v>
      </c>
      <c r="G536" s="9">
        <v>0.0184</v>
      </c>
      <c r="H536" s="10"/>
      <c r="I536" s="11"/>
      <c r="J536" s="7" t="s">
        <v>1898</v>
      </c>
      <c r="K536" s="11" t="s">
        <v>24</v>
      </c>
      <c r="L536" s="7"/>
      <c r="M536" s="11"/>
      <c r="N536" s="12" t="s">
        <v>1899</v>
      </c>
      <c r="O536" s="2"/>
      <c r="P536" s="2"/>
    </row>
    <row r="537" hidden="1">
      <c r="A537" s="6" t="s">
        <v>1900</v>
      </c>
      <c r="B537" s="7" t="s">
        <v>19</v>
      </c>
      <c r="C537" s="7" t="s">
        <v>20</v>
      </c>
      <c r="D537" s="7" t="s">
        <v>21</v>
      </c>
      <c r="E537" s="8">
        <v>692.0</v>
      </c>
      <c r="F537" s="8">
        <v>6304.0</v>
      </c>
      <c r="G537" s="9">
        <v>0.0184</v>
      </c>
      <c r="H537" s="10"/>
      <c r="I537" s="11"/>
      <c r="J537" s="7" t="s">
        <v>817</v>
      </c>
      <c r="K537" s="11" t="s">
        <v>24</v>
      </c>
      <c r="L537" s="7"/>
      <c r="M537" s="11"/>
      <c r="N537" s="12" t="s">
        <v>1901</v>
      </c>
      <c r="O537" s="2"/>
      <c r="P537" s="2"/>
    </row>
    <row r="538">
      <c r="A538" s="6" t="s">
        <v>1902</v>
      </c>
      <c r="B538" s="7" t="s">
        <v>19</v>
      </c>
      <c r="C538" s="7" t="s">
        <v>20</v>
      </c>
      <c r="D538" s="7" t="s">
        <v>32</v>
      </c>
      <c r="E538" s="8">
        <v>675.0</v>
      </c>
      <c r="F538" s="8">
        <v>601.0</v>
      </c>
      <c r="G538" s="9">
        <v>0.0279</v>
      </c>
      <c r="H538" s="10"/>
      <c r="I538" s="11"/>
      <c r="J538" s="7" t="s">
        <v>215</v>
      </c>
      <c r="K538" s="11" t="s">
        <v>24</v>
      </c>
      <c r="L538" s="7"/>
      <c r="M538" s="11"/>
      <c r="N538" s="12" t="s">
        <v>1903</v>
      </c>
      <c r="O538" s="17">
        <f t="shared" ref="O538:O539" si="97">H538/F538</f>
        <v>0</v>
      </c>
      <c r="P538" s="18">
        <f t="shared" ref="P538:P539" si="98">(H538/F538)*1000</f>
        <v>0</v>
      </c>
    </row>
    <row r="539">
      <c r="A539" s="6" t="s">
        <v>1904</v>
      </c>
      <c r="B539" s="7" t="s">
        <v>19</v>
      </c>
      <c r="C539" s="7" t="s">
        <v>20</v>
      </c>
      <c r="D539" s="7" t="s">
        <v>32</v>
      </c>
      <c r="E539" s="8">
        <v>673.0</v>
      </c>
      <c r="F539" s="8">
        <v>1739.0</v>
      </c>
      <c r="G539" s="9">
        <v>0.0126</v>
      </c>
      <c r="H539" s="10"/>
      <c r="I539" s="11"/>
      <c r="J539" s="7" t="s">
        <v>1905</v>
      </c>
      <c r="K539" s="11" t="s">
        <v>24</v>
      </c>
      <c r="L539" s="7"/>
      <c r="M539" s="11"/>
      <c r="N539" s="12" t="s">
        <v>1906</v>
      </c>
      <c r="O539" s="17">
        <f t="shared" si="97"/>
        <v>0</v>
      </c>
      <c r="P539" s="18">
        <f t="shared" si="98"/>
        <v>0</v>
      </c>
    </row>
    <row r="540" hidden="1">
      <c r="A540" s="6" t="s">
        <v>1907</v>
      </c>
      <c r="B540" s="7" t="s">
        <v>19</v>
      </c>
      <c r="C540" s="7" t="s">
        <v>20</v>
      </c>
      <c r="D540" s="7" t="s">
        <v>21</v>
      </c>
      <c r="E540" s="8">
        <v>653.0</v>
      </c>
      <c r="F540" s="8">
        <v>11016.0</v>
      </c>
      <c r="G540" s="9">
        <v>0.04</v>
      </c>
      <c r="H540" s="10"/>
      <c r="I540" s="11"/>
      <c r="J540" s="7" t="s">
        <v>1908</v>
      </c>
      <c r="K540" s="11" t="s">
        <v>24</v>
      </c>
      <c r="L540" s="7"/>
      <c r="M540" s="11"/>
      <c r="N540" s="12" t="s">
        <v>1909</v>
      </c>
      <c r="O540" s="2"/>
      <c r="P540" s="2"/>
    </row>
    <row r="541">
      <c r="A541" s="6" t="s">
        <v>1910</v>
      </c>
      <c r="B541" s="7" t="s">
        <v>19</v>
      </c>
      <c r="C541" s="7" t="s">
        <v>20</v>
      </c>
      <c r="D541" s="7" t="s">
        <v>32</v>
      </c>
      <c r="E541" s="8">
        <v>648.0</v>
      </c>
      <c r="F541" s="8">
        <v>9336.0</v>
      </c>
      <c r="G541" s="9">
        <v>0.0231</v>
      </c>
      <c r="H541" s="10"/>
      <c r="I541" s="11" t="s">
        <v>1911</v>
      </c>
      <c r="J541" s="7" t="s">
        <v>721</v>
      </c>
      <c r="K541" s="11" t="s">
        <v>24</v>
      </c>
      <c r="L541" s="7"/>
      <c r="M541" s="11"/>
      <c r="N541" s="12" t="s">
        <v>1912</v>
      </c>
      <c r="O541" s="17">
        <f t="shared" ref="O541:O542" si="99">H541/F541</f>
        <v>0</v>
      </c>
      <c r="P541" s="18">
        <f t="shared" ref="P541:P542" si="100">(H541/F541)*1000</f>
        <v>0</v>
      </c>
    </row>
    <row r="542">
      <c r="A542" s="6" t="s">
        <v>1913</v>
      </c>
      <c r="B542" s="7" t="s">
        <v>19</v>
      </c>
      <c r="C542" s="7" t="s">
        <v>20</v>
      </c>
      <c r="D542" s="7" t="s">
        <v>32</v>
      </c>
      <c r="E542" s="8">
        <v>641.0</v>
      </c>
      <c r="F542" s="8">
        <v>3085.0</v>
      </c>
      <c r="G542" s="9">
        <v>0.041</v>
      </c>
      <c r="H542" s="10"/>
      <c r="I542" s="11" t="s">
        <v>1914</v>
      </c>
      <c r="J542" s="7" t="s">
        <v>1915</v>
      </c>
      <c r="K542" s="11" t="s">
        <v>24</v>
      </c>
      <c r="L542" s="7"/>
      <c r="M542" s="11"/>
      <c r="N542" s="12" t="s">
        <v>1916</v>
      </c>
      <c r="O542" s="17">
        <f t="shared" si="99"/>
        <v>0</v>
      </c>
      <c r="P542" s="18">
        <f t="shared" si="100"/>
        <v>0</v>
      </c>
    </row>
    <row r="543" hidden="1">
      <c r="A543" s="6" t="s">
        <v>1917</v>
      </c>
      <c r="B543" s="7" t="s">
        <v>19</v>
      </c>
      <c r="C543" s="7" t="s">
        <v>20</v>
      </c>
      <c r="D543" s="7" t="s">
        <v>21</v>
      </c>
      <c r="E543" s="8">
        <v>639.0</v>
      </c>
      <c r="F543" s="8">
        <v>6196.0</v>
      </c>
      <c r="G543" s="9">
        <v>0.0324</v>
      </c>
      <c r="H543" s="10"/>
      <c r="I543" s="11" t="s">
        <v>1918</v>
      </c>
      <c r="J543" s="7" t="s">
        <v>1919</v>
      </c>
      <c r="K543" s="11" t="s">
        <v>24</v>
      </c>
      <c r="L543" s="7"/>
      <c r="M543" s="11"/>
      <c r="N543" s="12" t="s">
        <v>1920</v>
      </c>
      <c r="O543" s="2"/>
      <c r="P543" s="2"/>
    </row>
    <row r="544" hidden="1">
      <c r="A544" s="6" t="s">
        <v>1921</v>
      </c>
      <c r="B544" s="7" t="s">
        <v>19</v>
      </c>
      <c r="C544" s="7" t="s">
        <v>20</v>
      </c>
      <c r="D544" s="7" t="s">
        <v>21</v>
      </c>
      <c r="E544" s="8">
        <v>635.0</v>
      </c>
      <c r="F544" s="8">
        <v>1352.0</v>
      </c>
      <c r="G544" s="9">
        <v>0.0136</v>
      </c>
      <c r="H544" s="10"/>
      <c r="I544" s="11" t="s">
        <v>1922</v>
      </c>
      <c r="J544" s="7" t="s">
        <v>1923</v>
      </c>
      <c r="K544" s="11" t="s">
        <v>24</v>
      </c>
      <c r="L544" s="7"/>
      <c r="M544" s="11"/>
      <c r="N544" s="12" t="s">
        <v>1924</v>
      </c>
      <c r="O544" s="2"/>
      <c r="P544" s="2"/>
    </row>
    <row r="545" hidden="1">
      <c r="A545" s="6" t="s">
        <v>1925</v>
      </c>
      <c r="B545" s="7" t="s">
        <v>19</v>
      </c>
      <c r="C545" s="7" t="s">
        <v>20</v>
      </c>
      <c r="D545" s="7" t="s">
        <v>21</v>
      </c>
      <c r="E545" s="8">
        <v>627.0</v>
      </c>
      <c r="F545" s="8">
        <v>1001.0</v>
      </c>
      <c r="G545" s="9">
        <v>0.0112</v>
      </c>
      <c r="H545" s="10"/>
      <c r="I545" s="11" t="s">
        <v>1926</v>
      </c>
      <c r="J545" s="7" t="s">
        <v>1927</v>
      </c>
      <c r="K545" s="11" t="s">
        <v>24</v>
      </c>
      <c r="L545" s="7"/>
      <c r="M545" s="11"/>
      <c r="N545" s="12" t="s">
        <v>1928</v>
      </c>
      <c r="O545" s="2"/>
      <c r="P545" s="2"/>
    </row>
    <row r="546">
      <c r="A546" s="6" t="s">
        <v>1929</v>
      </c>
      <c r="B546" s="7" t="s">
        <v>19</v>
      </c>
      <c r="C546" s="7" t="s">
        <v>20</v>
      </c>
      <c r="D546" s="7" t="s">
        <v>32</v>
      </c>
      <c r="E546" s="8">
        <v>626.0</v>
      </c>
      <c r="F546" s="8">
        <v>1398.0</v>
      </c>
      <c r="G546" s="9">
        <v>0.0305</v>
      </c>
      <c r="H546" s="10"/>
      <c r="I546" s="11" t="s">
        <v>1930</v>
      </c>
      <c r="J546" s="7" t="s">
        <v>215</v>
      </c>
      <c r="K546" s="11" t="s">
        <v>24</v>
      </c>
      <c r="L546" s="7"/>
      <c r="M546" s="11"/>
      <c r="N546" s="12" t="s">
        <v>1931</v>
      </c>
      <c r="O546" s="17">
        <f t="shared" ref="O546:O547" si="101">H546/F546</f>
        <v>0</v>
      </c>
      <c r="P546" s="18">
        <f t="shared" ref="P546:P547" si="102">(H546/F546)*1000</f>
        <v>0</v>
      </c>
    </row>
    <row r="547">
      <c r="A547" s="6" t="s">
        <v>1932</v>
      </c>
      <c r="B547" s="7" t="s">
        <v>19</v>
      </c>
      <c r="C547" s="7" t="s">
        <v>20</v>
      </c>
      <c r="D547" s="7" t="s">
        <v>32</v>
      </c>
      <c r="E547" s="8">
        <v>618.0</v>
      </c>
      <c r="F547" s="8">
        <v>7600.0</v>
      </c>
      <c r="G547" s="9">
        <v>0.0118</v>
      </c>
      <c r="H547" s="10"/>
      <c r="I547" s="11" t="s">
        <v>1933</v>
      </c>
      <c r="J547" s="7" t="s">
        <v>1934</v>
      </c>
      <c r="K547" s="11" t="s">
        <v>24</v>
      </c>
      <c r="L547" s="7"/>
      <c r="M547" s="11"/>
      <c r="N547" s="12" t="s">
        <v>1935</v>
      </c>
      <c r="O547" s="17">
        <f t="shared" si="101"/>
        <v>0</v>
      </c>
      <c r="P547" s="18">
        <f t="shared" si="102"/>
        <v>0</v>
      </c>
    </row>
    <row r="548" hidden="1">
      <c r="A548" s="6" t="s">
        <v>1936</v>
      </c>
      <c r="B548" s="7" t="s">
        <v>19</v>
      </c>
      <c r="C548" s="7" t="s">
        <v>20</v>
      </c>
      <c r="D548" s="7" t="s">
        <v>21</v>
      </c>
      <c r="E548" s="8">
        <v>614.0</v>
      </c>
      <c r="F548" s="8">
        <v>754.0</v>
      </c>
      <c r="G548" s="9">
        <v>0.0602</v>
      </c>
      <c r="H548" s="10"/>
      <c r="I548" s="11"/>
      <c r="J548" s="7" t="s">
        <v>1937</v>
      </c>
      <c r="K548" s="11" t="s">
        <v>24</v>
      </c>
      <c r="L548" s="7"/>
      <c r="M548" s="11"/>
      <c r="N548" s="12" t="s">
        <v>1938</v>
      </c>
      <c r="O548" s="2"/>
      <c r="P548" s="2"/>
    </row>
    <row r="549">
      <c r="A549" s="6" t="s">
        <v>1939</v>
      </c>
      <c r="B549" s="7" t="s">
        <v>19</v>
      </c>
      <c r="C549" s="7" t="s">
        <v>20</v>
      </c>
      <c r="D549" s="7" t="s">
        <v>32</v>
      </c>
      <c r="E549" s="8">
        <v>598.0</v>
      </c>
      <c r="F549" s="8">
        <v>1337.0</v>
      </c>
      <c r="G549" s="9">
        <v>0.057</v>
      </c>
      <c r="H549" s="10"/>
      <c r="I549" s="11"/>
      <c r="J549" s="7" t="s">
        <v>1940</v>
      </c>
      <c r="K549" s="11" t="s">
        <v>24</v>
      </c>
      <c r="L549" s="7"/>
      <c r="M549" s="11"/>
      <c r="N549" s="12" t="s">
        <v>1941</v>
      </c>
      <c r="O549" s="17">
        <f>H549/F549</f>
        <v>0</v>
      </c>
      <c r="P549" s="18">
        <f>(H549/F549)*1000</f>
        <v>0</v>
      </c>
    </row>
    <row r="550" hidden="1">
      <c r="A550" s="6" t="s">
        <v>1942</v>
      </c>
      <c r="B550" s="7" t="s">
        <v>19</v>
      </c>
      <c r="C550" s="7" t="s">
        <v>20</v>
      </c>
      <c r="D550" s="7" t="s">
        <v>21</v>
      </c>
      <c r="E550" s="8">
        <v>593.0</v>
      </c>
      <c r="F550" s="8">
        <v>2325.0</v>
      </c>
      <c r="G550" s="9">
        <v>0.0228</v>
      </c>
      <c r="H550" s="10"/>
      <c r="I550" s="11" t="s">
        <v>1943</v>
      </c>
      <c r="J550" s="7" t="s">
        <v>1944</v>
      </c>
      <c r="K550" s="11" t="s">
        <v>24</v>
      </c>
      <c r="L550" s="7"/>
      <c r="M550" s="11"/>
      <c r="N550" s="12" t="s">
        <v>1945</v>
      </c>
      <c r="O550" s="2"/>
      <c r="P550" s="2"/>
    </row>
    <row r="551" hidden="1">
      <c r="A551" s="6" t="s">
        <v>1946</v>
      </c>
      <c r="B551" s="7" t="s">
        <v>19</v>
      </c>
      <c r="C551" s="7" t="s">
        <v>20</v>
      </c>
      <c r="D551" s="7" t="s">
        <v>21</v>
      </c>
      <c r="E551" s="8">
        <v>579.0</v>
      </c>
      <c r="F551" s="8">
        <v>1087.0</v>
      </c>
      <c r="G551" s="9">
        <v>0.014</v>
      </c>
      <c r="H551" s="10"/>
      <c r="I551" s="11"/>
      <c r="J551" s="7" t="s">
        <v>1715</v>
      </c>
      <c r="K551" s="11" t="s">
        <v>24</v>
      </c>
      <c r="L551" s="7"/>
      <c r="M551" s="11"/>
      <c r="N551" s="12" t="s">
        <v>1947</v>
      </c>
      <c r="O551" s="2"/>
      <c r="P551" s="2"/>
    </row>
    <row r="552">
      <c r="A552" s="6" t="s">
        <v>1948</v>
      </c>
      <c r="B552" s="7" t="s">
        <v>19</v>
      </c>
      <c r="C552" s="7" t="s">
        <v>20</v>
      </c>
      <c r="D552" s="7" t="s">
        <v>32</v>
      </c>
      <c r="E552" s="8">
        <v>577.0</v>
      </c>
      <c r="F552" s="8">
        <v>2097.0</v>
      </c>
      <c r="G552" s="9">
        <v>0.0178</v>
      </c>
      <c r="H552" s="10"/>
      <c r="I552" s="11"/>
      <c r="J552" s="7" t="s">
        <v>215</v>
      </c>
      <c r="K552" s="11" t="s">
        <v>24</v>
      </c>
      <c r="L552" s="7"/>
      <c r="M552" s="11"/>
      <c r="N552" s="12" t="s">
        <v>1949</v>
      </c>
      <c r="O552" s="17">
        <f>H552/F552</f>
        <v>0</v>
      </c>
      <c r="P552" s="18">
        <f>(H552/F552)*1000</f>
        <v>0</v>
      </c>
    </row>
    <row r="553" hidden="1">
      <c r="A553" s="6" t="s">
        <v>1950</v>
      </c>
      <c r="B553" s="7" t="s">
        <v>19</v>
      </c>
      <c r="C553" s="7" t="s">
        <v>20</v>
      </c>
      <c r="D553" s="7" t="s">
        <v>21</v>
      </c>
      <c r="E553" s="8">
        <v>577.0</v>
      </c>
      <c r="F553" s="8">
        <v>918.0</v>
      </c>
      <c r="G553" s="9">
        <v>0.0541</v>
      </c>
      <c r="H553" s="10"/>
      <c r="I553" s="11"/>
      <c r="J553" s="7" t="s">
        <v>1715</v>
      </c>
      <c r="K553" s="11" t="s">
        <v>24</v>
      </c>
      <c r="L553" s="7"/>
      <c r="M553" s="11"/>
      <c r="N553" s="12" t="s">
        <v>1951</v>
      </c>
      <c r="O553" s="2"/>
      <c r="P553" s="2"/>
    </row>
    <row r="554">
      <c r="A554" s="6" t="s">
        <v>1952</v>
      </c>
      <c r="B554" s="7" t="s">
        <v>19</v>
      </c>
      <c r="C554" s="7" t="s">
        <v>20</v>
      </c>
      <c r="D554" s="7" t="s">
        <v>32</v>
      </c>
      <c r="E554" s="8">
        <v>563.0</v>
      </c>
      <c r="F554" s="8">
        <v>1476.0</v>
      </c>
      <c r="G554" s="9">
        <v>0.0202</v>
      </c>
      <c r="H554" s="10"/>
      <c r="I554" s="11"/>
      <c r="J554" s="7" t="s">
        <v>1953</v>
      </c>
      <c r="K554" s="11" t="s">
        <v>24</v>
      </c>
      <c r="L554" s="7"/>
      <c r="M554" s="11"/>
      <c r="N554" s="12" t="s">
        <v>1954</v>
      </c>
      <c r="O554" s="17">
        <f t="shared" ref="O554:O556" si="103">H554/F554</f>
        <v>0</v>
      </c>
      <c r="P554" s="18">
        <f t="shared" ref="P554:P556" si="104">(H554/F554)*1000</f>
        <v>0</v>
      </c>
    </row>
    <row r="555">
      <c r="A555" s="6" t="s">
        <v>1955</v>
      </c>
      <c r="B555" s="7" t="s">
        <v>19</v>
      </c>
      <c r="C555" s="7" t="s">
        <v>20</v>
      </c>
      <c r="D555" s="7" t="s">
        <v>32</v>
      </c>
      <c r="E555" s="8">
        <v>560.0</v>
      </c>
      <c r="F555" s="8">
        <v>840.0</v>
      </c>
      <c r="G555" s="9">
        <v>0.0246</v>
      </c>
      <c r="H555" s="10"/>
      <c r="I555" s="11"/>
      <c r="J555" s="7" t="s">
        <v>1956</v>
      </c>
      <c r="K555" s="11" t="s">
        <v>24</v>
      </c>
      <c r="L555" s="7"/>
      <c r="M555" s="11"/>
      <c r="N555" s="12" t="s">
        <v>1957</v>
      </c>
      <c r="O555" s="17">
        <f t="shared" si="103"/>
        <v>0</v>
      </c>
      <c r="P555" s="18">
        <f t="shared" si="104"/>
        <v>0</v>
      </c>
    </row>
    <row r="556">
      <c r="A556" s="6" t="s">
        <v>1958</v>
      </c>
      <c r="B556" s="7" t="s">
        <v>19</v>
      </c>
      <c r="C556" s="7" t="s">
        <v>20</v>
      </c>
      <c r="D556" s="7" t="s">
        <v>32</v>
      </c>
      <c r="E556" s="8">
        <v>559.0</v>
      </c>
      <c r="F556" s="8">
        <v>11263.0</v>
      </c>
      <c r="G556" s="9">
        <v>0.0057</v>
      </c>
      <c r="H556" s="10"/>
      <c r="I556" s="11"/>
      <c r="J556" s="7" t="s">
        <v>1089</v>
      </c>
      <c r="K556" s="11" t="s">
        <v>24</v>
      </c>
      <c r="L556" s="7"/>
      <c r="M556" s="11"/>
      <c r="N556" s="12" t="s">
        <v>1959</v>
      </c>
      <c r="O556" s="17">
        <f t="shared" si="103"/>
        <v>0</v>
      </c>
      <c r="P556" s="18">
        <f t="shared" si="104"/>
        <v>0</v>
      </c>
    </row>
    <row r="557" hidden="1">
      <c r="A557" s="6" t="s">
        <v>1960</v>
      </c>
      <c r="B557" s="7" t="s">
        <v>19</v>
      </c>
      <c r="C557" s="7" t="s">
        <v>20</v>
      </c>
      <c r="D557" s="7" t="s">
        <v>21</v>
      </c>
      <c r="E557" s="8">
        <v>549.0</v>
      </c>
      <c r="F557" s="8">
        <v>1233.0</v>
      </c>
      <c r="G557" s="9">
        <v>0.0104</v>
      </c>
      <c r="H557" s="10"/>
      <c r="I557" s="11"/>
      <c r="J557" s="7" t="s">
        <v>760</v>
      </c>
      <c r="K557" s="11" t="s">
        <v>24</v>
      </c>
      <c r="L557" s="7"/>
      <c r="M557" s="11"/>
      <c r="N557" s="12" t="s">
        <v>1961</v>
      </c>
      <c r="O557" s="2"/>
      <c r="P557" s="2"/>
    </row>
    <row r="558" hidden="1">
      <c r="A558" s="6" t="s">
        <v>1962</v>
      </c>
      <c r="B558" s="7" t="s">
        <v>19</v>
      </c>
      <c r="C558" s="7" t="s">
        <v>20</v>
      </c>
      <c r="D558" s="7" t="s">
        <v>21</v>
      </c>
      <c r="E558" s="8">
        <v>541.0</v>
      </c>
      <c r="F558" s="8">
        <v>1799.0</v>
      </c>
      <c r="G558" s="9">
        <v>0.0126</v>
      </c>
      <c r="H558" s="10"/>
      <c r="I558" s="11" t="s">
        <v>1963</v>
      </c>
      <c r="J558" s="7" t="s">
        <v>1964</v>
      </c>
      <c r="K558" s="11" t="s">
        <v>24</v>
      </c>
      <c r="L558" s="7"/>
      <c r="M558" s="11"/>
      <c r="N558" s="12" t="s">
        <v>1965</v>
      </c>
      <c r="O558" s="2"/>
      <c r="P558" s="2"/>
    </row>
    <row r="559">
      <c r="A559" s="49" t="s">
        <v>1966</v>
      </c>
      <c r="B559" s="7" t="s">
        <v>19</v>
      </c>
      <c r="C559" s="7" t="s">
        <v>20</v>
      </c>
      <c r="D559" s="7" t="s">
        <v>32</v>
      </c>
      <c r="E559" s="8">
        <v>533.0</v>
      </c>
      <c r="F559" s="8">
        <v>4973.0</v>
      </c>
      <c r="G559" s="9">
        <v>0.0083</v>
      </c>
      <c r="H559" s="10"/>
      <c r="I559" s="11" t="s">
        <v>1967</v>
      </c>
      <c r="J559" s="7" t="s">
        <v>1968</v>
      </c>
      <c r="K559" s="11" t="s">
        <v>24</v>
      </c>
      <c r="L559" s="7"/>
      <c r="M559" s="47" t="s">
        <v>290</v>
      </c>
      <c r="N559" s="12" t="s">
        <v>1969</v>
      </c>
      <c r="O559" s="17">
        <f>H559/F559</f>
        <v>0</v>
      </c>
      <c r="P559" s="18">
        <f>(H559/F559)*1000</f>
        <v>0</v>
      </c>
    </row>
    <row r="560" hidden="1">
      <c r="A560" s="6" t="s">
        <v>1970</v>
      </c>
      <c r="B560" s="7" t="s">
        <v>19</v>
      </c>
      <c r="C560" s="7" t="s">
        <v>20</v>
      </c>
      <c r="D560" s="7" t="s">
        <v>21</v>
      </c>
      <c r="E560" s="8">
        <v>504.0</v>
      </c>
      <c r="F560" s="8">
        <v>2058.0</v>
      </c>
      <c r="G560" s="9">
        <v>0.0247</v>
      </c>
      <c r="H560" s="10"/>
      <c r="I560" s="11" t="s">
        <v>1971</v>
      </c>
      <c r="J560" s="7" t="s">
        <v>1972</v>
      </c>
      <c r="K560" s="11" t="s">
        <v>24</v>
      </c>
      <c r="L560" s="7"/>
      <c r="M560" s="11"/>
      <c r="N560" s="12" t="s">
        <v>1973</v>
      </c>
      <c r="O560" s="2"/>
      <c r="P560" s="2"/>
    </row>
    <row r="561">
      <c r="A561" s="61" t="s">
        <v>1974</v>
      </c>
      <c r="B561" s="7" t="s">
        <v>19</v>
      </c>
      <c r="C561" s="7" t="s">
        <v>20</v>
      </c>
      <c r="D561" s="7" t="s">
        <v>32</v>
      </c>
      <c r="E561" s="8">
        <v>501.0</v>
      </c>
      <c r="F561" s="8">
        <v>4010.0</v>
      </c>
      <c r="G561" s="9">
        <v>0.0142</v>
      </c>
      <c r="H561" s="10"/>
      <c r="I561" s="19" t="s">
        <v>1975</v>
      </c>
      <c r="J561" s="7" t="s">
        <v>1976</v>
      </c>
      <c r="K561" s="11" t="s">
        <v>24</v>
      </c>
      <c r="L561" s="7"/>
      <c r="M561" s="47" t="s">
        <v>290</v>
      </c>
      <c r="N561" s="12" t="s">
        <v>1977</v>
      </c>
      <c r="O561" s="17">
        <f t="shared" ref="O561:O572" si="105">H561/F561</f>
        <v>0</v>
      </c>
      <c r="P561" s="18">
        <f t="shared" ref="P561:P572" si="106">(H561/F561)*1000</f>
        <v>0</v>
      </c>
    </row>
    <row r="562">
      <c r="A562" s="62" t="s">
        <v>1978</v>
      </c>
      <c r="B562" s="13" t="s">
        <v>1979</v>
      </c>
      <c r="C562" s="63" t="s">
        <v>41</v>
      </c>
      <c r="D562" s="7" t="s">
        <v>32</v>
      </c>
      <c r="E562" s="64">
        <v>33000.0</v>
      </c>
      <c r="F562" s="64">
        <v>7000.0</v>
      </c>
      <c r="G562" s="65">
        <v>0.2</v>
      </c>
      <c r="H562" s="66">
        <v>10699.0</v>
      </c>
      <c r="I562" s="67"/>
      <c r="J562" s="67"/>
      <c r="K562" s="11" t="s">
        <v>24</v>
      </c>
      <c r="L562" s="67"/>
      <c r="M562" s="67"/>
      <c r="N562" s="24" t="s">
        <v>1980</v>
      </c>
      <c r="O562" s="17">
        <f t="shared" si="105"/>
        <v>1.528428571</v>
      </c>
      <c r="P562" s="18">
        <f t="shared" si="106"/>
        <v>1528.428571</v>
      </c>
    </row>
    <row r="563">
      <c r="A563" s="24" t="s">
        <v>1981</v>
      </c>
      <c r="B563" s="13" t="s">
        <v>1979</v>
      </c>
      <c r="C563" s="68" t="s">
        <v>41</v>
      </c>
      <c r="D563" s="7" t="s">
        <v>32</v>
      </c>
      <c r="E563" s="69">
        <v>7000.0</v>
      </c>
      <c r="F563" s="69">
        <v>4100.0</v>
      </c>
      <c r="G563" s="2"/>
      <c r="H563" s="66">
        <v>3888.0</v>
      </c>
      <c r="I563" s="2"/>
      <c r="J563" s="2"/>
      <c r="K563" s="11" t="s">
        <v>24</v>
      </c>
      <c r="L563" s="2"/>
      <c r="M563" s="2"/>
      <c r="N563" s="24" t="s">
        <v>1982</v>
      </c>
      <c r="O563" s="17">
        <f t="shared" si="105"/>
        <v>0.9482926829</v>
      </c>
      <c r="P563" s="18">
        <f t="shared" si="106"/>
        <v>948.2926829</v>
      </c>
    </row>
    <row r="564">
      <c r="A564" s="24" t="s">
        <v>1983</v>
      </c>
      <c r="B564" s="13" t="s">
        <v>1979</v>
      </c>
      <c r="C564" s="68" t="s">
        <v>41</v>
      </c>
      <c r="D564" s="7" t="s">
        <v>32</v>
      </c>
      <c r="E564" s="69">
        <v>5000.0</v>
      </c>
      <c r="F564" s="69">
        <v>2100.0</v>
      </c>
      <c r="G564" s="2"/>
      <c r="H564" s="66">
        <v>3146.0</v>
      </c>
      <c r="I564" s="2"/>
      <c r="J564" s="2"/>
      <c r="K564" s="11" t="s">
        <v>24</v>
      </c>
      <c r="L564" s="2"/>
      <c r="M564" s="2"/>
      <c r="N564" s="24" t="s">
        <v>1984</v>
      </c>
      <c r="O564" s="17">
        <f t="shared" si="105"/>
        <v>1.498095238</v>
      </c>
      <c r="P564" s="18">
        <f t="shared" si="106"/>
        <v>1498.095238</v>
      </c>
    </row>
    <row r="565">
      <c r="A565" s="24" t="s">
        <v>1985</v>
      </c>
      <c r="B565" s="13" t="s">
        <v>1979</v>
      </c>
      <c r="C565" s="68" t="s">
        <v>41</v>
      </c>
      <c r="D565" s="7" t="s">
        <v>32</v>
      </c>
      <c r="E565" s="69">
        <v>5800.0</v>
      </c>
      <c r="F565" s="69">
        <v>4700.0</v>
      </c>
      <c r="G565" s="2"/>
      <c r="H565" s="70">
        <v>8811.0</v>
      </c>
      <c r="I565" s="2"/>
      <c r="J565" s="2"/>
      <c r="K565" s="11" t="s">
        <v>24</v>
      </c>
      <c r="L565" s="2"/>
      <c r="M565" s="2"/>
      <c r="N565" s="24" t="s">
        <v>1986</v>
      </c>
      <c r="O565" s="17">
        <f t="shared" si="105"/>
        <v>1.874680851</v>
      </c>
      <c r="P565" s="18">
        <f t="shared" si="106"/>
        <v>1874.680851</v>
      </c>
    </row>
    <row r="566">
      <c r="A566" s="24" t="s">
        <v>1987</v>
      </c>
      <c r="B566" s="13" t="s">
        <v>1979</v>
      </c>
      <c r="C566" s="68" t="s">
        <v>41</v>
      </c>
      <c r="D566" s="7" t="s">
        <v>32</v>
      </c>
      <c r="E566" s="71">
        <v>71500.0</v>
      </c>
      <c r="F566" s="71">
        <v>13500.0</v>
      </c>
      <c r="G566" s="2"/>
      <c r="H566" s="72">
        <v>11328.0</v>
      </c>
      <c r="I566" s="2"/>
      <c r="J566" s="2"/>
      <c r="K566" s="11" t="s">
        <v>24</v>
      </c>
      <c r="L566" s="2"/>
      <c r="M566" s="2"/>
      <c r="N566" s="24" t="s">
        <v>1988</v>
      </c>
      <c r="O566" s="17">
        <f t="shared" si="105"/>
        <v>0.8391111111</v>
      </c>
      <c r="P566" s="18">
        <f t="shared" si="106"/>
        <v>839.1111111</v>
      </c>
    </row>
    <row r="567">
      <c r="A567" s="24" t="s">
        <v>32</v>
      </c>
      <c r="B567" s="13" t="s">
        <v>1979</v>
      </c>
      <c r="C567" s="68" t="s">
        <v>41</v>
      </c>
      <c r="D567" s="7" t="s">
        <v>32</v>
      </c>
      <c r="E567" s="69">
        <v>25900.0</v>
      </c>
      <c r="F567" s="69">
        <v>4900.0</v>
      </c>
      <c r="G567" s="2"/>
      <c r="H567" s="73">
        <v>3216.0</v>
      </c>
      <c r="I567" s="2"/>
      <c r="J567" s="2"/>
      <c r="K567" s="11" t="s">
        <v>24</v>
      </c>
      <c r="L567" s="2"/>
      <c r="M567" s="2"/>
      <c r="N567" s="24" t="s">
        <v>1989</v>
      </c>
      <c r="O567" s="17">
        <f t="shared" si="105"/>
        <v>0.6563265306</v>
      </c>
      <c r="P567" s="18">
        <f t="shared" si="106"/>
        <v>656.3265306</v>
      </c>
    </row>
    <row r="568">
      <c r="A568" s="62" t="s">
        <v>1990</v>
      </c>
      <c r="B568" s="13" t="s">
        <v>40</v>
      </c>
      <c r="C568" s="68" t="s">
        <v>41</v>
      </c>
      <c r="D568" s="7" t="s">
        <v>32</v>
      </c>
      <c r="E568" s="69">
        <v>8699.0</v>
      </c>
      <c r="F568" s="69">
        <v>1400.0</v>
      </c>
      <c r="G568" s="2"/>
      <c r="H568" s="73">
        <v>755.0</v>
      </c>
      <c r="I568" s="2"/>
      <c r="J568" s="2"/>
      <c r="K568" s="11" t="s">
        <v>24</v>
      </c>
      <c r="L568" s="2"/>
      <c r="M568" s="2"/>
      <c r="N568" s="24" t="s">
        <v>1991</v>
      </c>
      <c r="O568" s="17">
        <f t="shared" si="105"/>
        <v>0.5392857143</v>
      </c>
      <c r="P568" s="18">
        <f t="shared" si="106"/>
        <v>539.2857143</v>
      </c>
    </row>
    <row r="569">
      <c r="A569" s="24" t="s">
        <v>1992</v>
      </c>
      <c r="B569" s="13" t="s">
        <v>40</v>
      </c>
      <c r="C569" s="68" t="s">
        <v>41</v>
      </c>
      <c r="D569" s="7" t="s">
        <v>32</v>
      </c>
      <c r="E569" s="69">
        <v>15300.0</v>
      </c>
      <c r="F569" s="69">
        <v>4900.0</v>
      </c>
      <c r="G569" s="2"/>
      <c r="H569" s="73">
        <v>2097.0</v>
      </c>
      <c r="I569" s="2"/>
      <c r="J569" s="2"/>
      <c r="K569" s="11" t="s">
        <v>24</v>
      </c>
      <c r="L569" s="2"/>
      <c r="M569" s="2"/>
      <c r="N569" s="24" t="s">
        <v>1993</v>
      </c>
      <c r="O569" s="17">
        <f t="shared" si="105"/>
        <v>0.4279591837</v>
      </c>
      <c r="P569" s="18">
        <f t="shared" si="106"/>
        <v>427.9591837</v>
      </c>
    </row>
    <row r="570">
      <c r="A570" s="24" t="s">
        <v>1994</v>
      </c>
      <c r="B570" s="13" t="s">
        <v>40</v>
      </c>
      <c r="C570" s="68" t="s">
        <v>41</v>
      </c>
      <c r="D570" s="7" t="s">
        <v>32</v>
      </c>
      <c r="E570" s="74">
        <v>1900.0</v>
      </c>
      <c r="F570" s="74">
        <v>500.0</v>
      </c>
      <c r="G570" s="74"/>
      <c r="H570" s="75">
        <v>1398.0</v>
      </c>
      <c r="I570" s="74"/>
      <c r="J570" s="74"/>
      <c r="K570" s="11" t="s">
        <v>24</v>
      </c>
      <c r="L570" s="74"/>
      <c r="M570" s="74"/>
      <c r="N570" s="24" t="s">
        <v>1995</v>
      </c>
      <c r="O570" s="17">
        <f t="shared" si="105"/>
        <v>2.796</v>
      </c>
      <c r="P570" s="18">
        <f t="shared" si="106"/>
        <v>2796</v>
      </c>
    </row>
    <row r="571">
      <c r="A571" s="24" t="s">
        <v>1996</v>
      </c>
      <c r="B571" s="13" t="s">
        <v>40</v>
      </c>
      <c r="C571" s="68" t="s">
        <v>41</v>
      </c>
      <c r="D571" s="7" t="s">
        <v>32</v>
      </c>
      <c r="E571" s="26">
        <v>35500.0</v>
      </c>
      <c r="F571" s="76">
        <v>6800.0</v>
      </c>
      <c r="G571" s="2"/>
      <c r="H571" s="73">
        <v>11328.0</v>
      </c>
      <c r="I571" s="2"/>
      <c r="J571" s="2"/>
      <c r="K571" s="11" t="s">
        <v>24</v>
      </c>
      <c r="L571" s="2"/>
      <c r="M571" s="2"/>
      <c r="N571" s="24" t="s">
        <v>1997</v>
      </c>
      <c r="O571" s="17">
        <f t="shared" si="105"/>
        <v>1.665882353</v>
      </c>
      <c r="P571" s="18">
        <f t="shared" si="106"/>
        <v>1665.882353</v>
      </c>
    </row>
    <row r="572">
      <c r="A572" s="62" t="s">
        <v>1998</v>
      </c>
      <c r="B572" s="13" t="s">
        <v>61</v>
      </c>
      <c r="C572" s="7" t="s">
        <v>1999</v>
      </c>
      <c r="D572" s="7" t="s">
        <v>32</v>
      </c>
      <c r="E572" s="26">
        <v>84300.0</v>
      </c>
      <c r="F572" s="76">
        <v>200000.0</v>
      </c>
      <c r="G572" s="2"/>
      <c r="H572" s="77">
        <v>30000.0</v>
      </c>
      <c r="I572" s="2"/>
      <c r="J572" s="2"/>
      <c r="K572" s="11" t="s">
        <v>24</v>
      </c>
      <c r="L572" s="2" t="s">
        <v>56</v>
      </c>
      <c r="M572" s="2"/>
      <c r="N572" s="62" t="s">
        <v>1998</v>
      </c>
      <c r="O572" s="17">
        <f t="shared" si="105"/>
        <v>0.15</v>
      </c>
      <c r="P572" s="18">
        <f t="shared" si="106"/>
        <v>150</v>
      </c>
    </row>
    <row r="573">
      <c r="A573" s="20" t="s">
        <v>2000</v>
      </c>
      <c r="B573" s="13" t="s">
        <v>31</v>
      </c>
      <c r="C573" s="7"/>
      <c r="D573" s="13" t="s">
        <v>32</v>
      </c>
      <c r="E573" s="78">
        <v>60500.0</v>
      </c>
      <c r="F573" s="78">
        <v>50000.0</v>
      </c>
      <c r="G573" s="2"/>
      <c r="H573" s="77">
        <v>20000.0</v>
      </c>
      <c r="I573" s="2"/>
      <c r="J573" s="2"/>
      <c r="K573" s="11"/>
      <c r="L573" s="2"/>
      <c r="M573" s="2"/>
      <c r="N573" s="79"/>
      <c r="O573" s="17"/>
      <c r="P573" s="18"/>
    </row>
    <row r="574">
      <c r="A574" s="24" t="s">
        <v>2001</v>
      </c>
      <c r="B574" s="13" t="s">
        <v>1979</v>
      </c>
      <c r="C574" s="7" t="s">
        <v>1999</v>
      </c>
      <c r="D574" s="7" t="s">
        <v>32</v>
      </c>
      <c r="E574" s="78">
        <v>2600.0</v>
      </c>
      <c r="F574" s="78">
        <v>1600.0</v>
      </c>
      <c r="G574" s="2"/>
      <c r="H574" s="77">
        <v>0.0</v>
      </c>
      <c r="I574" s="2"/>
      <c r="J574" s="2"/>
      <c r="K574" s="11" t="s">
        <v>24</v>
      </c>
      <c r="L574" s="2" t="s">
        <v>56</v>
      </c>
      <c r="M574" s="2"/>
      <c r="N574" s="24" t="s">
        <v>2001</v>
      </c>
      <c r="O574" s="17">
        <f t="shared" ref="O574:O623" si="107">H574/F574</f>
        <v>0</v>
      </c>
      <c r="P574" s="18">
        <f t="shared" ref="P574:P627" si="108">(H574/F574)*1000</f>
        <v>0</v>
      </c>
    </row>
    <row r="575">
      <c r="A575" s="80" t="s">
        <v>2002</v>
      </c>
      <c r="B575" s="13" t="s">
        <v>61</v>
      </c>
      <c r="C575" s="2"/>
      <c r="D575" s="7" t="s">
        <v>32</v>
      </c>
      <c r="E575" s="2"/>
      <c r="F575" s="2"/>
      <c r="G575" s="2"/>
      <c r="H575" s="73"/>
      <c r="I575" s="2"/>
      <c r="J575" s="2"/>
      <c r="K575" s="11" t="s">
        <v>24</v>
      </c>
      <c r="L575" s="2" t="s">
        <v>56</v>
      </c>
      <c r="M575" s="2"/>
      <c r="N575" s="81" t="s">
        <v>2003</v>
      </c>
      <c r="O575" s="17" t="str">
        <f t="shared" si="107"/>
        <v>#DIV/0!</v>
      </c>
      <c r="P575" s="18" t="str">
        <f t="shared" si="108"/>
        <v>#DIV/0!</v>
      </c>
    </row>
    <row r="576">
      <c r="A576" s="82" t="s">
        <v>2004</v>
      </c>
      <c r="B576" s="13" t="s">
        <v>61</v>
      </c>
      <c r="C576" s="2"/>
      <c r="D576" s="7" t="s">
        <v>32</v>
      </c>
      <c r="E576" s="2"/>
      <c r="F576" s="2"/>
      <c r="G576" s="2"/>
      <c r="H576" s="73"/>
      <c r="I576" s="2"/>
      <c r="J576" s="2"/>
      <c r="K576" s="11" t="s">
        <v>24</v>
      </c>
      <c r="L576" s="2"/>
      <c r="M576" s="2"/>
      <c r="N576" s="81" t="s">
        <v>2005</v>
      </c>
      <c r="O576" s="17" t="str">
        <f t="shared" si="107"/>
        <v>#DIV/0!</v>
      </c>
      <c r="P576" s="18" t="str">
        <f t="shared" si="108"/>
        <v>#DIV/0!</v>
      </c>
    </row>
    <row r="577">
      <c r="A577" s="20" t="s">
        <v>2006</v>
      </c>
      <c r="B577" s="13" t="s">
        <v>1979</v>
      </c>
      <c r="C577" s="68" t="s">
        <v>41</v>
      </c>
      <c r="D577" s="7" t="s">
        <v>32</v>
      </c>
      <c r="E577" s="78">
        <v>12300.0</v>
      </c>
      <c r="F577" s="78">
        <v>7300.0</v>
      </c>
      <c r="G577" s="2"/>
      <c r="H577" s="78">
        <v>6933.0</v>
      </c>
      <c r="I577" s="2"/>
      <c r="J577" s="2"/>
      <c r="K577" s="11" t="s">
        <v>24</v>
      </c>
      <c r="L577" s="2"/>
      <c r="M577" s="2"/>
      <c r="N577" s="20" t="s">
        <v>2007</v>
      </c>
      <c r="O577" s="17">
        <f t="shared" si="107"/>
        <v>0.9497260274</v>
      </c>
      <c r="P577" s="18">
        <f t="shared" si="108"/>
        <v>949.7260274</v>
      </c>
    </row>
    <row r="578">
      <c r="A578" s="20" t="s">
        <v>2008</v>
      </c>
      <c r="B578" s="13" t="s">
        <v>40</v>
      </c>
      <c r="C578" s="13" t="s">
        <v>2009</v>
      </c>
      <c r="D578" s="7" t="s">
        <v>32</v>
      </c>
      <c r="E578" s="78">
        <v>103750.0</v>
      </c>
      <c r="F578" s="78">
        <v>50000.0</v>
      </c>
      <c r="G578" s="2"/>
      <c r="H578" s="78">
        <v>30000.0</v>
      </c>
      <c r="I578" s="2"/>
      <c r="J578" s="2"/>
      <c r="K578" s="11" t="s">
        <v>24</v>
      </c>
      <c r="L578" s="2"/>
      <c r="M578" s="2"/>
      <c r="N578" s="20" t="s">
        <v>2010</v>
      </c>
      <c r="O578" s="17">
        <f t="shared" si="107"/>
        <v>0.6</v>
      </c>
      <c r="P578" s="18">
        <f t="shared" si="108"/>
        <v>600</v>
      </c>
    </row>
    <row r="579">
      <c r="A579" s="20" t="s">
        <v>2011</v>
      </c>
      <c r="B579" s="13" t="s">
        <v>1979</v>
      </c>
      <c r="C579" s="7" t="s">
        <v>1999</v>
      </c>
      <c r="D579" s="7" t="s">
        <v>32</v>
      </c>
      <c r="E579" s="78">
        <v>16912.0</v>
      </c>
      <c r="F579" s="78">
        <v>15000.0</v>
      </c>
      <c r="G579" s="2"/>
      <c r="H579" s="78">
        <v>15000.0</v>
      </c>
      <c r="I579" s="2"/>
      <c r="J579" s="2"/>
      <c r="K579" s="11" t="s">
        <v>24</v>
      </c>
      <c r="L579" s="2"/>
      <c r="M579" s="2"/>
      <c r="N579" s="20" t="s">
        <v>2012</v>
      </c>
      <c r="O579" s="17">
        <f t="shared" si="107"/>
        <v>1</v>
      </c>
      <c r="P579" s="18">
        <f t="shared" si="108"/>
        <v>1000</v>
      </c>
    </row>
    <row r="580">
      <c r="A580" s="20" t="s">
        <v>2006</v>
      </c>
      <c r="B580" s="13" t="s">
        <v>1979</v>
      </c>
      <c r="C580" s="68" t="s">
        <v>41</v>
      </c>
      <c r="D580" s="7" t="s">
        <v>32</v>
      </c>
      <c r="E580" s="78">
        <v>12300.0</v>
      </c>
      <c r="F580" s="78">
        <v>7400.0</v>
      </c>
      <c r="G580" s="2"/>
      <c r="H580" s="78">
        <v>6993.0</v>
      </c>
      <c r="I580" s="2"/>
      <c r="J580" s="2"/>
      <c r="K580" s="11" t="s">
        <v>24</v>
      </c>
      <c r="L580" s="2"/>
      <c r="M580" s="2"/>
      <c r="N580" s="83" t="s">
        <v>2007</v>
      </c>
      <c r="O580" s="17">
        <f t="shared" si="107"/>
        <v>0.945</v>
      </c>
      <c r="P580" s="18">
        <f t="shared" si="108"/>
        <v>945</v>
      </c>
    </row>
    <row r="581">
      <c r="A581" s="20" t="s">
        <v>2013</v>
      </c>
      <c r="B581" s="13" t="s">
        <v>1979</v>
      </c>
      <c r="C581" s="68" t="s">
        <v>41</v>
      </c>
      <c r="D581" s="7" t="s">
        <v>32</v>
      </c>
      <c r="E581" s="78">
        <v>1900.0</v>
      </c>
      <c r="F581" s="78">
        <v>750.0</v>
      </c>
      <c r="G581" s="2"/>
      <c r="H581" s="78">
        <v>630.0</v>
      </c>
      <c r="I581" s="2"/>
      <c r="J581" s="2"/>
      <c r="K581" s="11" t="s">
        <v>24</v>
      </c>
      <c r="L581" s="2"/>
      <c r="M581" s="2"/>
      <c r="N581" s="20" t="s">
        <v>2014</v>
      </c>
      <c r="O581" s="17">
        <f t="shared" si="107"/>
        <v>0.84</v>
      </c>
      <c r="P581" s="18">
        <f t="shared" si="108"/>
        <v>840</v>
      </c>
    </row>
    <row r="582">
      <c r="A582" s="20" t="s">
        <v>2015</v>
      </c>
      <c r="B582" s="13" t="s">
        <v>40</v>
      </c>
      <c r="C582" s="68" t="s">
        <v>41</v>
      </c>
      <c r="D582" s="7" t="s">
        <v>32</v>
      </c>
      <c r="E582" s="78">
        <v>22400.0</v>
      </c>
      <c r="F582" s="78">
        <v>1200.0</v>
      </c>
      <c r="G582" s="2"/>
      <c r="H582" s="78">
        <v>1818.0</v>
      </c>
      <c r="I582" s="2"/>
      <c r="J582" s="2"/>
      <c r="K582" s="11" t="s">
        <v>24</v>
      </c>
      <c r="L582" s="2"/>
      <c r="M582" s="2"/>
      <c r="N582" s="83" t="s">
        <v>2016</v>
      </c>
      <c r="O582" s="17">
        <f t="shared" si="107"/>
        <v>1.515</v>
      </c>
      <c r="P582" s="18">
        <f t="shared" si="108"/>
        <v>1515</v>
      </c>
    </row>
    <row r="583">
      <c r="A583" s="20" t="s">
        <v>2017</v>
      </c>
      <c r="B583" s="13" t="s">
        <v>1979</v>
      </c>
      <c r="C583" s="68" t="s">
        <v>41</v>
      </c>
      <c r="D583" s="7" t="s">
        <v>32</v>
      </c>
      <c r="E583" s="78">
        <v>4000.0</v>
      </c>
      <c r="F583" s="78">
        <v>600.0</v>
      </c>
      <c r="G583" s="2"/>
      <c r="H583" s="78">
        <v>420.0</v>
      </c>
      <c r="I583" s="2"/>
      <c r="J583" s="2"/>
      <c r="K583" s="11" t="s">
        <v>24</v>
      </c>
      <c r="L583" s="2"/>
      <c r="M583" s="2"/>
      <c r="N583" s="20" t="s">
        <v>2018</v>
      </c>
      <c r="O583" s="17">
        <f t="shared" si="107"/>
        <v>0.7</v>
      </c>
      <c r="P583" s="18">
        <f t="shared" si="108"/>
        <v>700</v>
      </c>
    </row>
    <row r="584">
      <c r="A584" s="20" t="s">
        <v>2019</v>
      </c>
      <c r="B584" s="13" t="s">
        <v>1979</v>
      </c>
      <c r="C584" s="68" t="s">
        <v>41</v>
      </c>
      <c r="D584" s="7" t="s">
        <v>32</v>
      </c>
      <c r="E584" s="78">
        <v>3300.0</v>
      </c>
      <c r="F584" s="78">
        <v>854.0</v>
      </c>
      <c r="G584" s="2"/>
      <c r="H584" s="78">
        <v>560.0</v>
      </c>
      <c r="I584" s="2"/>
      <c r="J584" s="2"/>
      <c r="K584" s="11" t="s">
        <v>24</v>
      </c>
      <c r="L584" s="2"/>
      <c r="M584" s="2"/>
      <c r="N584" s="20" t="s">
        <v>2020</v>
      </c>
      <c r="O584" s="17">
        <f t="shared" si="107"/>
        <v>0.6557377049</v>
      </c>
      <c r="P584" s="18">
        <f t="shared" si="108"/>
        <v>655.7377049</v>
      </c>
    </row>
    <row r="585">
      <c r="A585" s="20" t="s">
        <v>2021</v>
      </c>
      <c r="B585" s="13" t="s">
        <v>1979</v>
      </c>
      <c r="C585" s="68" t="s">
        <v>41</v>
      </c>
      <c r="D585" s="7" t="s">
        <v>32</v>
      </c>
      <c r="E585" s="78">
        <v>7800.0</v>
      </c>
      <c r="F585" s="78">
        <v>1800.0</v>
      </c>
      <c r="G585" s="2"/>
      <c r="H585" s="78">
        <v>3356.0</v>
      </c>
      <c r="I585" s="2"/>
      <c r="J585" s="2"/>
      <c r="K585" s="11" t="s">
        <v>24</v>
      </c>
      <c r="L585" s="2"/>
      <c r="M585" s="2"/>
      <c r="N585" s="83" t="s">
        <v>2022</v>
      </c>
      <c r="O585" s="17">
        <f t="shared" si="107"/>
        <v>1.864444444</v>
      </c>
      <c r="P585" s="18">
        <f t="shared" si="108"/>
        <v>1864.444444</v>
      </c>
    </row>
    <row r="586">
      <c r="A586" s="20" t="s">
        <v>2023</v>
      </c>
      <c r="B586" s="13" t="s">
        <v>1979</v>
      </c>
      <c r="C586" s="68" t="s">
        <v>41</v>
      </c>
      <c r="D586" s="7" t="s">
        <v>32</v>
      </c>
      <c r="E586" s="78">
        <v>4000.0</v>
      </c>
      <c r="F586" s="78">
        <v>381.0</v>
      </c>
      <c r="G586" s="2"/>
      <c r="H586" s="78">
        <v>560.0</v>
      </c>
      <c r="I586" s="2"/>
      <c r="J586" s="2"/>
      <c r="K586" s="11" t="s">
        <v>24</v>
      </c>
      <c r="L586" s="2"/>
      <c r="M586" s="2"/>
      <c r="N586" s="83" t="s">
        <v>2024</v>
      </c>
      <c r="O586" s="17">
        <f t="shared" si="107"/>
        <v>1.469816273</v>
      </c>
      <c r="P586" s="18">
        <f t="shared" si="108"/>
        <v>1469.816273</v>
      </c>
    </row>
    <row r="587">
      <c r="A587" s="20" t="s">
        <v>2025</v>
      </c>
      <c r="B587" s="13" t="s">
        <v>1979</v>
      </c>
      <c r="C587" s="68" t="s">
        <v>41</v>
      </c>
      <c r="D587" s="7" t="s">
        <v>32</v>
      </c>
      <c r="E587" s="78">
        <v>5900.0</v>
      </c>
      <c r="F587" s="78">
        <v>1600.0</v>
      </c>
      <c r="G587" s="2"/>
      <c r="H587" s="78">
        <v>1258.0</v>
      </c>
      <c r="I587" s="2"/>
      <c r="J587" s="2"/>
      <c r="K587" s="11" t="s">
        <v>24</v>
      </c>
      <c r="L587" s="2"/>
      <c r="M587" s="2"/>
      <c r="N587" s="84" t="s">
        <v>2026</v>
      </c>
      <c r="O587" s="17">
        <f t="shared" si="107"/>
        <v>0.78625</v>
      </c>
      <c r="P587" s="18">
        <f t="shared" si="108"/>
        <v>786.25</v>
      </c>
    </row>
    <row r="588">
      <c r="A588" s="20" t="s">
        <v>2027</v>
      </c>
      <c r="B588" s="13" t="s">
        <v>1979</v>
      </c>
      <c r="C588" s="68" t="s">
        <v>41</v>
      </c>
      <c r="D588" s="7" t="s">
        <v>32</v>
      </c>
      <c r="E588" s="78">
        <v>453.0</v>
      </c>
      <c r="F588" s="78">
        <v>251.0</v>
      </c>
      <c r="G588" s="2"/>
      <c r="H588" s="78">
        <v>350.0</v>
      </c>
      <c r="I588" s="2"/>
      <c r="J588" s="2"/>
      <c r="K588" s="11" t="s">
        <v>24</v>
      </c>
      <c r="L588" s="2"/>
      <c r="M588" s="2"/>
      <c r="N588" s="20" t="s">
        <v>2028</v>
      </c>
      <c r="O588" s="17">
        <f t="shared" si="107"/>
        <v>1.394422311</v>
      </c>
      <c r="P588" s="18">
        <f t="shared" si="108"/>
        <v>1394.422311</v>
      </c>
    </row>
    <row r="589">
      <c r="A589" s="20" t="s">
        <v>2029</v>
      </c>
      <c r="B589" s="13" t="s">
        <v>1979</v>
      </c>
      <c r="C589" s="68" t="s">
        <v>41</v>
      </c>
      <c r="D589" s="7" t="s">
        <v>32</v>
      </c>
      <c r="E589" s="78">
        <v>1200.0</v>
      </c>
      <c r="F589" s="78">
        <v>271.0</v>
      </c>
      <c r="G589" s="2"/>
      <c r="H589" s="78">
        <v>532.0</v>
      </c>
      <c r="I589" s="2"/>
      <c r="J589" s="2"/>
      <c r="K589" s="11" t="s">
        <v>24</v>
      </c>
      <c r="L589" s="2"/>
      <c r="M589" s="2"/>
      <c r="N589" s="20" t="s">
        <v>2030</v>
      </c>
      <c r="O589" s="17">
        <f t="shared" si="107"/>
        <v>1.963099631</v>
      </c>
      <c r="P589" s="18">
        <f t="shared" si="108"/>
        <v>1963.099631</v>
      </c>
    </row>
    <row r="590">
      <c r="A590" s="20" t="s">
        <v>2031</v>
      </c>
      <c r="B590" s="13" t="s">
        <v>1979</v>
      </c>
      <c r="C590" s="68" t="s">
        <v>41</v>
      </c>
      <c r="D590" s="7" t="s">
        <v>32</v>
      </c>
      <c r="E590" s="78">
        <v>2800.0</v>
      </c>
      <c r="F590" s="78">
        <v>1300.0</v>
      </c>
      <c r="G590" s="2"/>
      <c r="H590" s="78">
        <v>979.0</v>
      </c>
      <c r="I590" s="2"/>
      <c r="J590" s="2"/>
      <c r="K590" s="11" t="s">
        <v>24</v>
      </c>
      <c r="L590" s="2"/>
      <c r="M590" s="2"/>
      <c r="N590" s="20" t="s">
        <v>2032</v>
      </c>
      <c r="O590" s="17">
        <f t="shared" si="107"/>
        <v>0.7530769231</v>
      </c>
      <c r="P590" s="18">
        <f t="shared" si="108"/>
        <v>753.0769231</v>
      </c>
    </row>
    <row r="591">
      <c r="A591" s="20" t="s">
        <v>2033</v>
      </c>
      <c r="B591" s="13" t="s">
        <v>40</v>
      </c>
      <c r="C591" s="68" t="s">
        <v>41</v>
      </c>
      <c r="D591" s="7" t="s">
        <v>32</v>
      </c>
      <c r="E591" s="78">
        <v>2700.0</v>
      </c>
      <c r="F591" s="78">
        <v>402.0</v>
      </c>
      <c r="G591" s="2"/>
      <c r="H591" s="78">
        <v>420.0</v>
      </c>
      <c r="I591" s="2"/>
      <c r="J591" s="2"/>
      <c r="K591" s="11" t="s">
        <v>24</v>
      </c>
      <c r="L591" s="2"/>
      <c r="M591" s="2"/>
      <c r="N591" s="20" t="s">
        <v>2034</v>
      </c>
      <c r="O591" s="17">
        <f t="shared" si="107"/>
        <v>1.044776119</v>
      </c>
      <c r="P591" s="18">
        <f t="shared" si="108"/>
        <v>1044.776119</v>
      </c>
    </row>
    <row r="592">
      <c r="A592" s="20" t="s">
        <v>2035</v>
      </c>
      <c r="B592" s="13" t="s">
        <v>1979</v>
      </c>
      <c r="C592" s="68" t="s">
        <v>41</v>
      </c>
      <c r="D592" s="7" t="s">
        <v>32</v>
      </c>
      <c r="E592" s="78">
        <v>3900.0</v>
      </c>
      <c r="F592" s="78">
        <v>1300.0</v>
      </c>
      <c r="G592" s="2"/>
      <c r="H592" s="78">
        <v>700.0</v>
      </c>
      <c r="I592" s="2"/>
      <c r="J592" s="2"/>
      <c r="K592" s="11" t="s">
        <v>24</v>
      </c>
      <c r="L592" s="2"/>
      <c r="M592" s="2"/>
      <c r="N592" s="20" t="s">
        <v>2036</v>
      </c>
      <c r="O592" s="17">
        <f t="shared" si="107"/>
        <v>0.5384615385</v>
      </c>
      <c r="P592" s="18">
        <f t="shared" si="108"/>
        <v>538.4615385</v>
      </c>
    </row>
    <row r="593">
      <c r="A593" s="20" t="s">
        <v>2037</v>
      </c>
      <c r="B593" s="13" t="s">
        <v>40</v>
      </c>
      <c r="C593" s="68" t="s">
        <v>41</v>
      </c>
      <c r="D593" s="7" t="s">
        <v>32</v>
      </c>
      <c r="E593" s="78">
        <v>7200.0</v>
      </c>
      <c r="F593" s="78">
        <v>446.0</v>
      </c>
      <c r="G593" s="2"/>
      <c r="H593" s="78">
        <v>700.0</v>
      </c>
      <c r="I593" s="2"/>
      <c r="J593" s="2"/>
      <c r="K593" s="11" t="s">
        <v>24</v>
      </c>
      <c r="L593" s="2"/>
      <c r="M593" s="2"/>
      <c r="N593" s="20" t="s">
        <v>2038</v>
      </c>
      <c r="O593" s="17">
        <f t="shared" si="107"/>
        <v>1.569506726</v>
      </c>
      <c r="P593" s="18">
        <f t="shared" si="108"/>
        <v>1569.506726</v>
      </c>
    </row>
    <row r="594">
      <c r="A594" s="20" t="s">
        <v>2039</v>
      </c>
      <c r="B594" s="13" t="s">
        <v>1979</v>
      </c>
      <c r="C594" s="68" t="s">
        <v>41</v>
      </c>
      <c r="D594" s="7" t="s">
        <v>32</v>
      </c>
      <c r="E594" s="78">
        <v>1600.0</v>
      </c>
      <c r="F594" s="78">
        <v>430.0</v>
      </c>
      <c r="G594" s="2"/>
      <c r="H594" s="78">
        <v>294.0</v>
      </c>
      <c r="I594" s="2"/>
      <c r="J594" s="2"/>
      <c r="K594" s="11" t="s">
        <v>24</v>
      </c>
      <c r="L594" s="2"/>
      <c r="M594" s="2"/>
      <c r="N594" s="20" t="s">
        <v>2040</v>
      </c>
      <c r="O594" s="17">
        <f t="shared" si="107"/>
        <v>0.6837209302</v>
      </c>
      <c r="P594" s="18">
        <f t="shared" si="108"/>
        <v>683.7209302</v>
      </c>
    </row>
    <row r="595">
      <c r="A595" s="20" t="s">
        <v>32</v>
      </c>
      <c r="B595" s="13" t="s">
        <v>1979</v>
      </c>
      <c r="C595" s="68" t="s">
        <v>41</v>
      </c>
      <c r="D595" s="7" t="s">
        <v>32</v>
      </c>
      <c r="E595" s="78">
        <v>12100.0</v>
      </c>
      <c r="F595" s="78">
        <v>3800.0</v>
      </c>
      <c r="G595" s="2"/>
      <c r="H595" s="78">
        <v>3500.0</v>
      </c>
      <c r="I595" s="2"/>
      <c r="J595" s="2"/>
      <c r="K595" s="11" t="s">
        <v>24</v>
      </c>
      <c r="L595" s="2"/>
      <c r="M595" s="2"/>
      <c r="N595" s="20" t="s">
        <v>2041</v>
      </c>
      <c r="O595" s="17">
        <f t="shared" si="107"/>
        <v>0.9210526316</v>
      </c>
      <c r="P595" s="18">
        <f t="shared" si="108"/>
        <v>921.0526316</v>
      </c>
    </row>
    <row r="596">
      <c r="A596" s="20" t="s">
        <v>2042</v>
      </c>
      <c r="B596" s="13" t="s">
        <v>31</v>
      </c>
      <c r="C596" s="68" t="s">
        <v>41</v>
      </c>
      <c r="D596" s="7" t="s">
        <v>32</v>
      </c>
      <c r="E596" s="2"/>
      <c r="F596" s="2"/>
      <c r="G596" s="2"/>
      <c r="H596" s="2"/>
      <c r="I596" s="2"/>
      <c r="J596" s="2"/>
      <c r="K596" s="11" t="s">
        <v>24</v>
      </c>
      <c r="L596" s="2"/>
      <c r="M596" s="2"/>
      <c r="N596" s="2"/>
      <c r="O596" s="17" t="str">
        <f t="shared" si="107"/>
        <v>#DIV/0!</v>
      </c>
      <c r="P596" s="18" t="str">
        <f t="shared" si="108"/>
        <v>#DIV/0!</v>
      </c>
    </row>
    <row r="597">
      <c r="A597" s="20" t="s">
        <v>2043</v>
      </c>
      <c r="B597" s="7" t="s">
        <v>19</v>
      </c>
      <c r="C597" s="7" t="s">
        <v>20</v>
      </c>
      <c r="D597" s="7" t="s">
        <v>32</v>
      </c>
      <c r="E597" s="78">
        <v>479000.0</v>
      </c>
      <c r="F597" s="78">
        <v>20000.0</v>
      </c>
      <c r="G597" s="2"/>
      <c r="H597" s="78">
        <v>13750.0</v>
      </c>
      <c r="I597" s="2"/>
      <c r="J597" s="2"/>
      <c r="K597" s="11" t="s">
        <v>24</v>
      </c>
      <c r="L597" s="2"/>
      <c r="M597" s="2"/>
      <c r="N597" s="20" t="s">
        <v>2043</v>
      </c>
      <c r="O597" s="17">
        <f t="shared" si="107"/>
        <v>0.6875</v>
      </c>
      <c r="P597" s="18">
        <f t="shared" si="108"/>
        <v>687.5</v>
      </c>
    </row>
    <row r="598">
      <c r="A598" s="20" t="s">
        <v>2044</v>
      </c>
      <c r="B598" s="13" t="s">
        <v>670</v>
      </c>
      <c r="C598" s="7" t="s">
        <v>20</v>
      </c>
      <c r="D598" s="7" t="s">
        <v>32</v>
      </c>
      <c r="E598" s="78">
        <v>6400.0</v>
      </c>
      <c r="F598" s="78">
        <v>7000.0</v>
      </c>
      <c r="G598" s="2"/>
      <c r="H598" s="78">
        <v>7500.0</v>
      </c>
      <c r="I598" s="2"/>
      <c r="J598" s="2"/>
      <c r="K598" s="11" t="s">
        <v>24</v>
      </c>
      <c r="L598" s="2"/>
      <c r="M598" s="2"/>
      <c r="N598" s="20" t="s">
        <v>2045</v>
      </c>
      <c r="O598" s="17">
        <f t="shared" si="107"/>
        <v>1.071428571</v>
      </c>
      <c r="P598" s="18">
        <f t="shared" si="108"/>
        <v>1071.428571</v>
      </c>
    </row>
    <row r="599">
      <c r="A599" s="20" t="s">
        <v>2046</v>
      </c>
      <c r="B599" s="13" t="s">
        <v>31</v>
      </c>
      <c r="C599" s="13" t="s">
        <v>135</v>
      </c>
      <c r="D599" s="7" t="s">
        <v>32</v>
      </c>
      <c r="E599" s="78">
        <v>41300.0</v>
      </c>
      <c r="F599" s="78">
        <v>15000.0</v>
      </c>
      <c r="G599" s="2"/>
      <c r="H599" s="78">
        <v>13750.0</v>
      </c>
      <c r="I599" s="2"/>
      <c r="J599" s="2"/>
      <c r="K599" s="11" t="s">
        <v>24</v>
      </c>
      <c r="L599" s="2"/>
      <c r="M599" s="2"/>
      <c r="N599" s="83" t="s">
        <v>2047</v>
      </c>
      <c r="O599" s="17">
        <f t="shared" si="107"/>
        <v>0.9166666667</v>
      </c>
      <c r="P599" s="18">
        <f t="shared" si="108"/>
        <v>916.6666667</v>
      </c>
    </row>
    <row r="600">
      <c r="A600" s="20" t="s">
        <v>2048</v>
      </c>
      <c r="B600" s="7" t="s">
        <v>19</v>
      </c>
      <c r="C600" s="7" t="s">
        <v>20</v>
      </c>
      <c r="D600" s="7" t="s">
        <v>32</v>
      </c>
      <c r="E600" s="78">
        <v>229000.0</v>
      </c>
      <c r="F600" s="78">
        <v>600000.0</v>
      </c>
      <c r="G600" s="2"/>
      <c r="H600" s="78">
        <v>150000.0</v>
      </c>
      <c r="I600" s="2"/>
      <c r="J600" s="2"/>
      <c r="K600" s="11" t="s">
        <v>24</v>
      </c>
      <c r="L600" s="2"/>
      <c r="M600" s="2"/>
      <c r="N600" s="85" t="s">
        <v>2049</v>
      </c>
      <c r="O600" s="17">
        <f t="shared" si="107"/>
        <v>0.25</v>
      </c>
      <c r="P600" s="18">
        <f t="shared" si="108"/>
        <v>250</v>
      </c>
    </row>
    <row r="601">
      <c r="A601" s="20" t="s">
        <v>2050</v>
      </c>
      <c r="B601" s="13" t="s">
        <v>31</v>
      </c>
      <c r="C601" s="13" t="s">
        <v>135</v>
      </c>
      <c r="D601" s="7" t="s">
        <v>32</v>
      </c>
      <c r="E601" s="78">
        <v>61000.0</v>
      </c>
      <c r="F601" s="78">
        <v>100000.0</v>
      </c>
      <c r="G601" s="2"/>
      <c r="H601" s="78">
        <v>65000.0</v>
      </c>
      <c r="I601" s="2"/>
      <c r="J601" s="2"/>
      <c r="K601" s="11" t="s">
        <v>24</v>
      </c>
      <c r="L601" s="2"/>
      <c r="M601" s="2"/>
      <c r="N601" s="20" t="s">
        <v>2051</v>
      </c>
      <c r="O601" s="17">
        <f t="shared" si="107"/>
        <v>0.65</v>
      </c>
      <c r="P601" s="18">
        <f t="shared" si="108"/>
        <v>650</v>
      </c>
    </row>
    <row r="602">
      <c r="A602" s="20" t="s">
        <v>2052</v>
      </c>
      <c r="B602" s="13" t="s">
        <v>31</v>
      </c>
      <c r="C602" s="13" t="s">
        <v>135</v>
      </c>
      <c r="D602" s="7" t="s">
        <v>32</v>
      </c>
      <c r="E602" s="78">
        <v>245000.0</v>
      </c>
      <c r="F602" s="78">
        <v>70000.0</v>
      </c>
      <c r="G602" s="2"/>
      <c r="H602" s="2"/>
      <c r="I602" s="2"/>
      <c r="J602" s="2"/>
      <c r="K602" s="11" t="s">
        <v>24</v>
      </c>
      <c r="L602" s="2"/>
      <c r="M602" s="2"/>
      <c r="N602" s="83" t="s">
        <v>2053</v>
      </c>
      <c r="O602" s="17">
        <f t="shared" si="107"/>
        <v>0</v>
      </c>
      <c r="P602" s="18">
        <f t="shared" si="108"/>
        <v>0</v>
      </c>
    </row>
    <row r="603">
      <c r="A603" s="20" t="s">
        <v>2054</v>
      </c>
      <c r="B603" s="13" t="s">
        <v>61</v>
      </c>
      <c r="C603" s="13" t="s">
        <v>2055</v>
      </c>
      <c r="D603" s="7" t="s">
        <v>32</v>
      </c>
      <c r="E603" s="78">
        <v>5100000.0</v>
      </c>
      <c r="F603" s="78">
        <v>200000.0</v>
      </c>
      <c r="G603" s="2"/>
      <c r="H603" s="2"/>
      <c r="I603" s="2"/>
      <c r="J603" s="2"/>
      <c r="K603" s="11" t="s">
        <v>24</v>
      </c>
      <c r="L603" s="2"/>
      <c r="M603" s="2"/>
      <c r="N603" s="2"/>
      <c r="O603" s="17">
        <f t="shared" si="107"/>
        <v>0</v>
      </c>
      <c r="P603" s="18">
        <f t="shared" si="108"/>
        <v>0</v>
      </c>
    </row>
    <row r="604">
      <c r="A604" s="20" t="s">
        <v>2056</v>
      </c>
      <c r="B604" s="13" t="s">
        <v>31</v>
      </c>
      <c r="C604" s="13" t="s">
        <v>135</v>
      </c>
      <c r="D604" s="7" t="s">
        <v>32</v>
      </c>
      <c r="E604" s="78">
        <v>27100.0</v>
      </c>
      <c r="F604" s="78">
        <v>20000.0</v>
      </c>
      <c r="G604" s="2"/>
      <c r="H604" s="78">
        <v>13000.0</v>
      </c>
      <c r="I604" s="2"/>
      <c r="J604" s="2"/>
      <c r="K604" s="11" t="s">
        <v>24</v>
      </c>
      <c r="L604" s="2"/>
      <c r="M604" s="2"/>
      <c r="N604" s="20" t="s">
        <v>2057</v>
      </c>
      <c r="O604" s="17">
        <f t="shared" si="107"/>
        <v>0.65</v>
      </c>
      <c r="P604" s="18">
        <f t="shared" si="108"/>
        <v>650</v>
      </c>
    </row>
    <row r="605">
      <c r="A605" s="20" t="s">
        <v>2058</v>
      </c>
      <c r="B605" s="13" t="s">
        <v>670</v>
      </c>
      <c r="C605" s="13" t="s">
        <v>2059</v>
      </c>
      <c r="D605" s="7" t="s">
        <v>32</v>
      </c>
      <c r="E605" s="78">
        <v>890.0</v>
      </c>
      <c r="F605" s="78">
        <v>3000.0</v>
      </c>
      <c r="G605" s="2"/>
      <c r="H605" s="78">
        <v>0.0</v>
      </c>
      <c r="I605" s="2"/>
      <c r="J605" s="2"/>
      <c r="K605" s="11" t="s">
        <v>24</v>
      </c>
      <c r="L605" s="2"/>
      <c r="M605" s="2"/>
      <c r="N605" s="20" t="s">
        <v>2060</v>
      </c>
      <c r="O605" s="17">
        <f t="shared" si="107"/>
        <v>0</v>
      </c>
      <c r="P605" s="18">
        <f t="shared" si="108"/>
        <v>0</v>
      </c>
    </row>
    <row r="606">
      <c r="A606" s="20" t="s">
        <v>2061</v>
      </c>
      <c r="B606" s="13" t="s">
        <v>31</v>
      </c>
      <c r="C606" s="13" t="s">
        <v>135</v>
      </c>
      <c r="D606" s="7" t="s">
        <v>32</v>
      </c>
      <c r="E606" s="78">
        <v>7800.0</v>
      </c>
      <c r="F606" s="78">
        <v>50000.0</v>
      </c>
      <c r="G606" s="2"/>
      <c r="H606" s="78">
        <v>40000.0</v>
      </c>
      <c r="I606" s="2"/>
      <c r="J606" s="2"/>
      <c r="K606" s="11" t="s">
        <v>24</v>
      </c>
      <c r="L606" s="2"/>
      <c r="M606" s="2"/>
      <c r="N606" s="20" t="s">
        <v>2061</v>
      </c>
      <c r="O606" s="17">
        <f t="shared" si="107"/>
        <v>0.8</v>
      </c>
      <c r="P606" s="18">
        <f t="shared" si="108"/>
        <v>800</v>
      </c>
    </row>
    <row r="607">
      <c r="A607" s="20" t="s">
        <v>2062</v>
      </c>
      <c r="B607" s="13" t="s">
        <v>40</v>
      </c>
      <c r="C607" s="68" t="s">
        <v>41</v>
      </c>
      <c r="D607" s="7" t="s">
        <v>32</v>
      </c>
      <c r="E607" s="78">
        <v>12400.0</v>
      </c>
      <c r="F607" s="78">
        <v>940.0</v>
      </c>
      <c r="G607" s="2"/>
      <c r="H607" s="78">
        <v>891.0</v>
      </c>
      <c r="I607" s="2"/>
      <c r="J607" s="2"/>
      <c r="K607" s="11" t="s">
        <v>24</v>
      </c>
      <c r="L607" s="2"/>
      <c r="M607" s="2"/>
      <c r="N607" s="20" t="s">
        <v>2063</v>
      </c>
      <c r="O607" s="17">
        <f t="shared" si="107"/>
        <v>0.9478723404</v>
      </c>
      <c r="P607" s="18">
        <f t="shared" si="108"/>
        <v>947.8723404</v>
      </c>
    </row>
    <row r="608">
      <c r="A608" s="20" t="s">
        <v>2064</v>
      </c>
      <c r="B608" s="13" t="s">
        <v>1979</v>
      </c>
      <c r="C608" s="68" t="s">
        <v>41</v>
      </c>
      <c r="D608" s="7" t="s">
        <v>32</v>
      </c>
      <c r="E608" s="78">
        <v>1600.0</v>
      </c>
      <c r="F608" s="78">
        <v>419.0</v>
      </c>
      <c r="G608" s="2"/>
      <c r="H608" s="78">
        <v>392.0</v>
      </c>
      <c r="I608" s="2"/>
      <c r="J608" s="2"/>
      <c r="K608" s="11" t="s">
        <v>24</v>
      </c>
      <c r="L608" s="2"/>
      <c r="M608" s="2"/>
      <c r="N608" s="20" t="s">
        <v>2065</v>
      </c>
      <c r="O608" s="17">
        <f t="shared" si="107"/>
        <v>0.9355608592</v>
      </c>
      <c r="P608" s="18">
        <f t="shared" si="108"/>
        <v>935.5608592</v>
      </c>
    </row>
    <row r="609">
      <c r="A609" s="20" t="s">
        <v>2066</v>
      </c>
      <c r="B609" s="13" t="s">
        <v>1979</v>
      </c>
      <c r="C609" s="68" t="s">
        <v>41</v>
      </c>
      <c r="D609" s="7" t="s">
        <v>32</v>
      </c>
      <c r="E609" s="78">
        <v>1100.0</v>
      </c>
      <c r="F609" s="78">
        <v>567.0</v>
      </c>
      <c r="G609" s="2"/>
      <c r="H609" s="78">
        <v>490.0</v>
      </c>
      <c r="I609" s="2"/>
      <c r="J609" s="2"/>
      <c r="K609" s="11" t="s">
        <v>24</v>
      </c>
      <c r="L609" s="2"/>
      <c r="M609" s="2"/>
      <c r="N609" s="83" t="s">
        <v>2067</v>
      </c>
      <c r="O609" s="17">
        <f t="shared" si="107"/>
        <v>0.8641975309</v>
      </c>
      <c r="P609" s="18">
        <f t="shared" si="108"/>
        <v>864.1975309</v>
      </c>
    </row>
    <row r="610">
      <c r="A610" s="20" t="s">
        <v>2068</v>
      </c>
      <c r="B610" s="13" t="s">
        <v>1979</v>
      </c>
      <c r="C610" s="68" t="s">
        <v>41</v>
      </c>
      <c r="D610" s="7" t="s">
        <v>32</v>
      </c>
      <c r="E610" s="78">
        <v>1200.0</v>
      </c>
      <c r="F610" s="78">
        <v>712.0</v>
      </c>
      <c r="G610" s="2"/>
      <c r="H610" s="78">
        <v>1258.0</v>
      </c>
      <c r="I610" s="2"/>
      <c r="J610" s="2"/>
      <c r="K610" s="11" t="s">
        <v>24</v>
      </c>
      <c r="L610" s="2"/>
      <c r="M610" s="2"/>
      <c r="N610" s="20" t="s">
        <v>2069</v>
      </c>
      <c r="O610" s="17">
        <f t="shared" si="107"/>
        <v>1.766853933</v>
      </c>
      <c r="P610" s="18">
        <f t="shared" si="108"/>
        <v>1766.853933</v>
      </c>
    </row>
    <row r="611">
      <c r="A611" s="20" t="s">
        <v>2070</v>
      </c>
      <c r="B611" s="13" t="s">
        <v>40</v>
      </c>
      <c r="C611" s="68" t="s">
        <v>41</v>
      </c>
      <c r="D611" s="7" t="s">
        <v>32</v>
      </c>
      <c r="E611" s="78">
        <v>9100.0</v>
      </c>
      <c r="F611" s="78">
        <v>312.0</v>
      </c>
      <c r="G611" s="2"/>
      <c r="H611" s="78">
        <v>307.0</v>
      </c>
      <c r="I611" s="2"/>
      <c r="J611" s="2"/>
      <c r="K611" s="11" t="s">
        <v>24</v>
      </c>
      <c r="L611" s="2"/>
      <c r="M611" s="2"/>
      <c r="N611" s="20" t="s">
        <v>2071</v>
      </c>
      <c r="O611" s="17">
        <f t="shared" si="107"/>
        <v>0.983974359</v>
      </c>
      <c r="P611" s="18">
        <f t="shared" si="108"/>
        <v>983.974359</v>
      </c>
    </row>
    <row r="612">
      <c r="A612" s="20" t="s">
        <v>2072</v>
      </c>
      <c r="B612" s="13" t="s">
        <v>1979</v>
      </c>
      <c r="C612" s="68" t="s">
        <v>41</v>
      </c>
      <c r="D612" s="7" t="s">
        <v>32</v>
      </c>
      <c r="E612" s="78">
        <v>5400.0</v>
      </c>
      <c r="F612" s="78">
        <v>1600.0</v>
      </c>
      <c r="G612" s="2"/>
      <c r="H612" s="78">
        <v>1608.0</v>
      </c>
      <c r="I612" s="2"/>
      <c r="J612" s="2"/>
      <c r="K612" s="11" t="s">
        <v>24</v>
      </c>
      <c r="L612" s="2"/>
      <c r="M612" s="2"/>
      <c r="N612" s="84" t="s">
        <v>2073</v>
      </c>
      <c r="O612" s="17">
        <f t="shared" si="107"/>
        <v>1.005</v>
      </c>
      <c r="P612" s="18">
        <f t="shared" si="108"/>
        <v>1005</v>
      </c>
    </row>
    <row r="613">
      <c r="A613" s="20" t="s">
        <v>2074</v>
      </c>
      <c r="B613" s="13" t="s">
        <v>1979</v>
      </c>
      <c r="C613" s="68" t="s">
        <v>41</v>
      </c>
      <c r="D613" s="13" t="s">
        <v>21</v>
      </c>
      <c r="E613" s="78">
        <v>5500.0</v>
      </c>
      <c r="F613" s="78">
        <v>867.0</v>
      </c>
      <c r="G613" s="2"/>
      <c r="H613" s="78">
        <v>560.0</v>
      </c>
      <c r="I613" s="2"/>
      <c r="J613" s="2"/>
      <c r="K613" s="11" t="s">
        <v>24</v>
      </c>
      <c r="L613" s="2"/>
      <c r="M613" s="2"/>
      <c r="N613" s="20" t="s">
        <v>2075</v>
      </c>
      <c r="O613" s="17">
        <f t="shared" si="107"/>
        <v>0.645905421</v>
      </c>
      <c r="P613" s="18">
        <f t="shared" si="108"/>
        <v>645.905421</v>
      </c>
    </row>
    <row r="614">
      <c r="A614" s="20" t="s">
        <v>2076</v>
      </c>
      <c r="B614" s="13" t="s">
        <v>1979</v>
      </c>
      <c r="C614" s="68" t="s">
        <v>41</v>
      </c>
      <c r="D614" s="13" t="s">
        <v>2077</v>
      </c>
      <c r="E614" s="78">
        <v>2800.0</v>
      </c>
      <c r="F614" s="78">
        <v>506.0</v>
      </c>
      <c r="G614" s="2"/>
      <c r="H614" s="78">
        <v>545.0</v>
      </c>
      <c r="I614" s="2"/>
      <c r="J614" s="2"/>
      <c r="K614" s="11" t="s">
        <v>24</v>
      </c>
      <c r="L614" s="2"/>
      <c r="M614" s="2"/>
      <c r="N614" s="20" t="s">
        <v>2078</v>
      </c>
      <c r="O614" s="17">
        <f t="shared" si="107"/>
        <v>1.077075099</v>
      </c>
      <c r="P614" s="18">
        <f t="shared" si="108"/>
        <v>1077.075099</v>
      </c>
    </row>
    <row r="615">
      <c r="A615" s="20" t="s">
        <v>2079</v>
      </c>
      <c r="B615" s="13" t="s">
        <v>1979</v>
      </c>
      <c r="C615" s="68" t="s">
        <v>41</v>
      </c>
      <c r="D615" s="13" t="s">
        <v>2077</v>
      </c>
      <c r="E615" s="78">
        <v>5100.0</v>
      </c>
      <c r="F615" s="78">
        <v>475.0</v>
      </c>
      <c r="G615" s="2"/>
      <c r="H615" s="78">
        <v>293.0</v>
      </c>
      <c r="I615" s="2"/>
      <c r="J615" s="2"/>
      <c r="K615" s="11" t="s">
        <v>24</v>
      </c>
      <c r="L615" s="2"/>
      <c r="M615" s="2"/>
      <c r="N615" s="84" t="s">
        <v>2080</v>
      </c>
      <c r="O615" s="17">
        <f t="shared" si="107"/>
        <v>0.6168421053</v>
      </c>
      <c r="P615" s="18">
        <f t="shared" si="108"/>
        <v>616.8421053</v>
      </c>
    </row>
    <row r="616">
      <c r="A616" s="20" t="s">
        <v>2081</v>
      </c>
      <c r="B616" s="13" t="s">
        <v>1979</v>
      </c>
      <c r="C616" s="68" t="s">
        <v>41</v>
      </c>
      <c r="D616" s="13" t="s">
        <v>2077</v>
      </c>
      <c r="E616" s="78">
        <v>3600.0</v>
      </c>
      <c r="F616" s="78">
        <v>537.0</v>
      </c>
      <c r="G616" s="2"/>
      <c r="H616" s="78">
        <v>700.0</v>
      </c>
      <c r="I616" s="2"/>
      <c r="J616" s="2"/>
      <c r="K616" s="11" t="s">
        <v>24</v>
      </c>
      <c r="L616" s="2"/>
      <c r="M616" s="2"/>
      <c r="N616" s="20" t="s">
        <v>2082</v>
      </c>
      <c r="O616" s="17">
        <f t="shared" si="107"/>
        <v>1.303538175</v>
      </c>
      <c r="P616" s="18">
        <f t="shared" si="108"/>
        <v>1303.538175</v>
      </c>
    </row>
    <row r="617">
      <c r="A617" s="20" t="s">
        <v>2083</v>
      </c>
      <c r="B617" s="13" t="s">
        <v>1979</v>
      </c>
      <c r="C617" s="68" t="s">
        <v>41</v>
      </c>
      <c r="D617" s="13" t="s">
        <v>2084</v>
      </c>
      <c r="E617" s="78">
        <v>2800.0</v>
      </c>
      <c r="F617" s="78">
        <v>661.0</v>
      </c>
      <c r="G617" s="2"/>
      <c r="H617" s="78">
        <v>489.0</v>
      </c>
      <c r="I617" s="2"/>
      <c r="J617" s="2"/>
      <c r="K617" s="11" t="s">
        <v>24</v>
      </c>
      <c r="L617" s="2"/>
      <c r="M617" s="2"/>
      <c r="N617" s="20" t="s">
        <v>2085</v>
      </c>
      <c r="O617" s="17">
        <f t="shared" si="107"/>
        <v>0.7397881997</v>
      </c>
      <c r="P617" s="18">
        <f t="shared" si="108"/>
        <v>739.7881997</v>
      </c>
    </row>
    <row r="618">
      <c r="A618" s="20" t="s">
        <v>2086</v>
      </c>
      <c r="B618" s="13" t="s">
        <v>1979</v>
      </c>
      <c r="C618" s="68" t="s">
        <v>41</v>
      </c>
      <c r="D618" s="7" t="s">
        <v>32</v>
      </c>
      <c r="E618" s="78">
        <v>2900.0</v>
      </c>
      <c r="F618" s="78">
        <v>1100.0</v>
      </c>
      <c r="G618" s="2"/>
      <c r="H618" s="78">
        <v>4195.0</v>
      </c>
      <c r="I618" s="2"/>
      <c r="J618" s="2"/>
      <c r="K618" s="11" t="s">
        <v>24</v>
      </c>
      <c r="L618" s="2"/>
      <c r="M618" s="2"/>
      <c r="N618" s="83" t="s">
        <v>2087</v>
      </c>
      <c r="O618" s="17">
        <f t="shared" si="107"/>
        <v>3.813636364</v>
      </c>
      <c r="P618" s="18">
        <f t="shared" si="108"/>
        <v>3813.636364</v>
      </c>
    </row>
    <row r="619">
      <c r="A619" s="20" t="s">
        <v>2088</v>
      </c>
      <c r="B619" s="13" t="s">
        <v>1979</v>
      </c>
      <c r="C619" s="68" t="s">
        <v>41</v>
      </c>
      <c r="D619" s="7" t="s">
        <v>32</v>
      </c>
      <c r="E619" s="78">
        <v>4200.0</v>
      </c>
      <c r="F619" s="78">
        <v>1100.0</v>
      </c>
      <c r="G619" s="2"/>
      <c r="H619" s="78">
        <v>980.0</v>
      </c>
      <c r="I619" s="2"/>
      <c r="J619" s="2"/>
      <c r="K619" s="11" t="s">
        <v>24</v>
      </c>
      <c r="L619" s="2"/>
      <c r="M619" s="2"/>
      <c r="N619" s="20" t="s">
        <v>2089</v>
      </c>
      <c r="O619" s="17">
        <f t="shared" si="107"/>
        <v>0.8909090909</v>
      </c>
      <c r="P619" s="18">
        <f t="shared" si="108"/>
        <v>890.9090909</v>
      </c>
    </row>
    <row r="620">
      <c r="A620" s="20" t="s">
        <v>2090</v>
      </c>
      <c r="B620" s="13" t="s">
        <v>40</v>
      </c>
      <c r="C620" s="68" t="s">
        <v>41</v>
      </c>
      <c r="D620" s="7" t="s">
        <v>32</v>
      </c>
      <c r="E620" s="78">
        <v>3200.0</v>
      </c>
      <c r="F620" s="78">
        <v>450.0</v>
      </c>
      <c r="G620" s="2"/>
      <c r="H620" s="78">
        <v>419.0</v>
      </c>
      <c r="I620" s="2"/>
      <c r="J620" s="2"/>
      <c r="K620" s="11" t="s">
        <v>24</v>
      </c>
      <c r="L620" s="2"/>
      <c r="M620" s="2"/>
      <c r="N620" s="20" t="s">
        <v>2091</v>
      </c>
      <c r="O620" s="17">
        <f t="shared" si="107"/>
        <v>0.9311111111</v>
      </c>
      <c r="P620" s="18">
        <f t="shared" si="108"/>
        <v>931.1111111</v>
      </c>
    </row>
    <row r="621">
      <c r="A621" s="20" t="s">
        <v>2092</v>
      </c>
      <c r="B621" s="13" t="s">
        <v>1979</v>
      </c>
      <c r="C621" s="68" t="s">
        <v>41</v>
      </c>
      <c r="D621" s="7" t="s">
        <v>32</v>
      </c>
      <c r="E621" s="78">
        <v>5300.0</v>
      </c>
      <c r="F621" s="78">
        <v>1000.0</v>
      </c>
      <c r="G621" s="2"/>
      <c r="H621" s="78">
        <v>980.0</v>
      </c>
      <c r="I621" s="2"/>
      <c r="J621" s="2"/>
      <c r="K621" s="11" t="s">
        <v>24</v>
      </c>
      <c r="L621" s="2"/>
      <c r="M621" s="2"/>
      <c r="N621" s="20" t="s">
        <v>2093</v>
      </c>
      <c r="O621" s="17">
        <f t="shared" si="107"/>
        <v>0.98</v>
      </c>
      <c r="P621" s="18">
        <f t="shared" si="108"/>
        <v>980</v>
      </c>
    </row>
    <row r="622">
      <c r="A622" s="20" t="s">
        <v>2094</v>
      </c>
      <c r="B622" s="13" t="s">
        <v>1979</v>
      </c>
      <c r="C622" s="68" t="s">
        <v>41</v>
      </c>
      <c r="D622" s="13" t="s">
        <v>2077</v>
      </c>
      <c r="E622" s="78">
        <v>2800.0</v>
      </c>
      <c r="F622" s="78">
        <v>430.0</v>
      </c>
      <c r="G622" s="2"/>
      <c r="H622" s="78">
        <v>700.0</v>
      </c>
      <c r="I622" s="2"/>
      <c r="J622" s="2"/>
      <c r="K622" s="11" t="s">
        <v>24</v>
      </c>
      <c r="L622" s="2"/>
      <c r="M622" s="2"/>
      <c r="N622" s="20" t="s">
        <v>2095</v>
      </c>
      <c r="O622" s="17">
        <f t="shared" si="107"/>
        <v>1.627906977</v>
      </c>
      <c r="P622" s="18">
        <f t="shared" si="108"/>
        <v>1627.906977</v>
      </c>
    </row>
    <row r="623">
      <c r="A623" s="20" t="s">
        <v>2096</v>
      </c>
      <c r="B623" s="13" t="s">
        <v>40</v>
      </c>
      <c r="C623" s="68" t="s">
        <v>41</v>
      </c>
      <c r="D623" s="7" t="s">
        <v>32</v>
      </c>
      <c r="E623" s="78">
        <v>3000.0</v>
      </c>
      <c r="F623" s="78">
        <v>217.0</v>
      </c>
      <c r="G623" s="2"/>
      <c r="H623" s="78">
        <v>700.0</v>
      </c>
      <c r="I623" s="2"/>
      <c r="J623" s="2"/>
      <c r="K623" s="11" t="s">
        <v>24</v>
      </c>
      <c r="L623" s="2"/>
      <c r="M623" s="2"/>
      <c r="N623" s="20" t="s">
        <v>2097</v>
      </c>
      <c r="O623" s="17">
        <f t="shared" si="107"/>
        <v>3.225806452</v>
      </c>
      <c r="P623" s="18">
        <f t="shared" si="108"/>
        <v>3225.806452</v>
      </c>
    </row>
    <row r="624" ht="17.25" customHeight="1">
      <c r="A624" s="20" t="s">
        <v>2098</v>
      </c>
      <c r="B624" s="13" t="s">
        <v>1979</v>
      </c>
      <c r="C624" s="68" t="s">
        <v>41</v>
      </c>
      <c r="D624" s="7" t="s">
        <v>32</v>
      </c>
      <c r="E624" s="78">
        <v>761.0</v>
      </c>
      <c r="F624" s="78">
        <v>318.0</v>
      </c>
      <c r="G624" s="2"/>
      <c r="H624" s="78">
        <v>348.0</v>
      </c>
      <c r="I624" s="2"/>
      <c r="J624" s="2"/>
      <c r="K624" s="11" t="s">
        <v>24</v>
      </c>
      <c r="L624" s="2"/>
      <c r="M624" s="2"/>
      <c r="N624" s="20" t="s">
        <v>2099</v>
      </c>
      <c r="O624" s="17">
        <f t="shared" ref="O624:O628" si="109">H624/$F$624</f>
        <v>1.094339623</v>
      </c>
      <c r="P624" s="18">
        <f t="shared" si="108"/>
        <v>1094.339623</v>
      </c>
    </row>
    <row r="625">
      <c r="A625" s="20" t="s">
        <v>2100</v>
      </c>
      <c r="B625" s="13" t="s">
        <v>40</v>
      </c>
      <c r="C625" s="68" t="s">
        <v>41</v>
      </c>
      <c r="D625" s="7" t="s">
        <v>32</v>
      </c>
      <c r="E625" s="78">
        <v>7900.0</v>
      </c>
      <c r="F625" s="78">
        <v>3500.0</v>
      </c>
      <c r="G625" s="2"/>
      <c r="H625" s="78">
        <v>2800.0</v>
      </c>
      <c r="I625" s="2"/>
      <c r="J625" s="2"/>
      <c r="K625" s="11" t="s">
        <v>24</v>
      </c>
      <c r="L625" s="2"/>
      <c r="M625" s="2"/>
      <c r="N625" s="20" t="s">
        <v>2101</v>
      </c>
      <c r="O625" s="17">
        <f t="shared" si="109"/>
        <v>8.805031447</v>
      </c>
      <c r="P625" s="18">
        <f t="shared" si="108"/>
        <v>800</v>
      </c>
    </row>
    <row r="626">
      <c r="A626" s="20" t="s">
        <v>2102</v>
      </c>
      <c r="B626" s="13" t="s">
        <v>40</v>
      </c>
      <c r="C626" s="68" t="s">
        <v>41</v>
      </c>
      <c r="D626" s="7" t="s">
        <v>32</v>
      </c>
      <c r="E626" s="78">
        <v>1300.0</v>
      </c>
      <c r="F626" s="78">
        <v>800.0</v>
      </c>
      <c r="G626" s="2"/>
      <c r="H626" s="78">
        <v>2097.0</v>
      </c>
      <c r="I626" s="2"/>
      <c r="J626" s="2"/>
      <c r="K626" s="11" t="s">
        <v>24</v>
      </c>
      <c r="L626" s="2"/>
      <c r="M626" s="2"/>
      <c r="N626" s="20" t="s">
        <v>2103</v>
      </c>
      <c r="O626" s="17">
        <f t="shared" si="109"/>
        <v>6.594339623</v>
      </c>
      <c r="P626" s="18">
        <f t="shared" si="108"/>
        <v>2621.25</v>
      </c>
    </row>
    <row r="627">
      <c r="A627" s="20" t="s">
        <v>2104</v>
      </c>
      <c r="B627" s="13" t="s">
        <v>1979</v>
      </c>
      <c r="C627" s="68" t="s">
        <v>41</v>
      </c>
      <c r="D627" s="7" t="s">
        <v>32</v>
      </c>
      <c r="E627" s="78">
        <v>19200.0</v>
      </c>
      <c r="F627" s="78">
        <v>4200.0</v>
      </c>
      <c r="G627" s="2"/>
      <c r="H627" s="78">
        <v>4195.0</v>
      </c>
      <c r="I627" s="2"/>
      <c r="J627" s="2"/>
      <c r="K627" s="11" t="s">
        <v>24</v>
      </c>
      <c r="L627" s="2"/>
      <c r="M627" s="2"/>
      <c r="N627" s="20" t="s">
        <v>2105</v>
      </c>
      <c r="O627" s="17">
        <f t="shared" si="109"/>
        <v>13.1918239</v>
      </c>
      <c r="P627" s="18">
        <f t="shared" si="108"/>
        <v>998.8095238</v>
      </c>
    </row>
    <row r="628">
      <c r="A628" s="20" t="s">
        <v>32</v>
      </c>
      <c r="B628" s="13" t="s">
        <v>1979</v>
      </c>
      <c r="C628" s="68" t="s">
        <v>41</v>
      </c>
      <c r="D628" s="7" t="s">
        <v>32</v>
      </c>
      <c r="E628" s="78">
        <v>10400.0</v>
      </c>
      <c r="F628" s="78">
        <v>1800.0</v>
      </c>
      <c r="G628" s="2"/>
      <c r="H628" s="78">
        <v>2237.0</v>
      </c>
      <c r="I628" s="2"/>
      <c r="J628" s="2"/>
      <c r="K628" s="11" t="s">
        <v>24</v>
      </c>
      <c r="L628" s="2"/>
      <c r="M628" s="2"/>
      <c r="N628" s="20" t="s">
        <v>2106</v>
      </c>
      <c r="O628" s="17">
        <f t="shared" si="109"/>
        <v>7.034591195</v>
      </c>
      <c r="P628" s="2"/>
    </row>
    <row r="629">
      <c r="A629" s="20" t="s">
        <v>2107</v>
      </c>
      <c r="B629" s="13" t="s">
        <v>1979</v>
      </c>
      <c r="C629" s="68" t="s">
        <v>41</v>
      </c>
      <c r="D629" s="7" t="s">
        <v>32</v>
      </c>
      <c r="E629" s="78">
        <v>4000.0</v>
      </c>
      <c r="F629" s="78">
        <v>700.0</v>
      </c>
      <c r="G629" s="2"/>
      <c r="H629" s="78">
        <v>688.0</v>
      </c>
      <c r="I629" s="2"/>
      <c r="J629" s="2"/>
      <c r="K629" s="11" t="s">
        <v>24</v>
      </c>
      <c r="L629" s="2"/>
      <c r="M629" s="2"/>
      <c r="N629" s="20" t="s">
        <v>2108</v>
      </c>
      <c r="O629" s="2"/>
      <c r="P629" s="2"/>
    </row>
    <row r="630" ht="21.75" customHeight="1">
      <c r="A630" s="20" t="s">
        <v>2109</v>
      </c>
      <c r="B630" s="13" t="s">
        <v>1979</v>
      </c>
      <c r="C630" s="68" t="s">
        <v>41</v>
      </c>
      <c r="D630" s="7" t="s">
        <v>32</v>
      </c>
      <c r="E630" s="78">
        <v>25200.0</v>
      </c>
      <c r="F630" s="78">
        <v>5300.0</v>
      </c>
      <c r="G630" s="2"/>
      <c r="H630" s="78">
        <v>6293.0</v>
      </c>
      <c r="I630" s="2"/>
      <c r="J630" s="2"/>
      <c r="K630" s="11" t="s">
        <v>24</v>
      </c>
      <c r="L630" s="2"/>
      <c r="M630" s="2"/>
      <c r="N630" s="20" t="s">
        <v>2110</v>
      </c>
      <c r="O630" s="2"/>
      <c r="P630" s="2"/>
    </row>
    <row r="631">
      <c r="A631" s="20" t="s">
        <v>2111</v>
      </c>
      <c r="B631" s="13" t="s">
        <v>40</v>
      </c>
      <c r="C631" s="68" t="s">
        <v>41</v>
      </c>
      <c r="D631" s="7" t="s">
        <v>32</v>
      </c>
      <c r="E631" s="78">
        <v>2899.0</v>
      </c>
      <c r="F631" s="78">
        <v>788.0</v>
      </c>
      <c r="G631" s="2"/>
      <c r="H631" s="78">
        <v>1118.0</v>
      </c>
      <c r="I631" s="2"/>
      <c r="J631" s="2"/>
      <c r="K631" s="11" t="s">
        <v>24</v>
      </c>
      <c r="L631" s="2"/>
      <c r="M631" s="2"/>
      <c r="N631" s="20" t="s">
        <v>2112</v>
      </c>
      <c r="O631" s="2"/>
      <c r="P631" s="2"/>
    </row>
    <row r="632">
      <c r="A632" s="20" t="s">
        <v>2113</v>
      </c>
      <c r="B632" s="13" t="s">
        <v>40</v>
      </c>
      <c r="C632" s="68" t="s">
        <v>41</v>
      </c>
      <c r="D632" s="7" t="s">
        <v>32</v>
      </c>
      <c r="E632" s="78">
        <v>2500.0</v>
      </c>
      <c r="F632" s="78">
        <v>1201.0</v>
      </c>
      <c r="G632" s="2"/>
      <c r="H632" s="78">
        <v>699.0</v>
      </c>
      <c r="I632" s="2"/>
      <c r="J632" s="2"/>
      <c r="K632" s="11" t="s">
        <v>24</v>
      </c>
      <c r="L632" s="2"/>
      <c r="M632" s="2"/>
      <c r="N632" s="2"/>
      <c r="O632" s="2"/>
      <c r="P632" s="2"/>
    </row>
    <row r="633">
      <c r="A633" s="20" t="s">
        <v>2114</v>
      </c>
      <c r="B633" s="13" t="s">
        <v>31</v>
      </c>
      <c r="C633" s="2"/>
      <c r="D633" s="13" t="s">
        <v>21</v>
      </c>
      <c r="E633" s="78">
        <v>63600.0</v>
      </c>
      <c r="F633" s="78">
        <v>16000.0</v>
      </c>
      <c r="G633" s="2"/>
      <c r="H633" s="78">
        <v>16000.0</v>
      </c>
      <c r="I633" s="2"/>
      <c r="J633" s="2"/>
      <c r="K633" s="11" t="s">
        <v>24</v>
      </c>
      <c r="L633" s="2"/>
      <c r="M633" s="2"/>
      <c r="N633" s="20" t="s">
        <v>2114</v>
      </c>
      <c r="O633" s="2"/>
      <c r="P633" s="2"/>
    </row>
    <row r="634">
      <c r="A634" s="20" t="s">
        <v>2115</v>
      </c>
      <c r="B634" s="13" t="s">
        <v>1979</v>
      </c>
      <c r="C634" s="2"/>
      <c r="D634" s="13" t="s">
        <v>21</v>
      </c>
      <c r="E634" s="78">
        <v>3890.0</v>
      </c>
      <c r="F634" s="78">
        <v>3000.0</v>
      </c>
      <c r="G634" s="2"/>
      <c r="H634" s="78">
        <v>6000.0</v>
      </c>
      <c r="I634" s="2"/>
      <c r="J634" s="2"/>
      <c r="K634" s="11" t="s">
        <v>24</v>
      </c>
      <c r="L634" s="2"/>
      <c r="M634" s="2"/>
      <c r="N634" s="83" t="s">
        <v>2115</v>
      </c>
      <c r="O634" s="2"/>
      <c r="P634" s="2"/>
    </row>
    <row r="635">
      <c r="A635" s="20" t="s">
        <v>2116</v>
      </c>
      <c r="B635" s="13" t="s">
        <v>1979</v>
      </c>
      <c r="C635" s="2"/>
      <c r="D635" s="13" t="s">
        <v>21</v>
      </c>
      <c r="E635" s="78">
        <v>66200.0</v>
      </c>
      <c r="F635" s="78">
        <v>10900.0</v>
      </c>
      <c r="G635" s="2"/>
      <c r="H635" s="78">
        <v>10560.0</v>
      </c>
      <c r="I635" s="2"/>
      <c r="J635" s="2"/>
      <c r="K635" s="11" t="s">
        <v>24</v>
      </c>
      <c r="L635" s="2"/>
      <c r="M635" s="2"/>
      <c r="N635" s="20" t="s">
        <v>2117</v>
      </c>
      <c r="O635" s="2"/>
      <c r="P635" s="2"/>
    </row>
    <row r="636">
      <c r="A636" s="20" t="s">
        <v>2118</v>
      </c>
      <c r="B636" s="13" t="s">
        <v>1979</v>
      </c>
      <c r="C636" s="2"/>
      <c r="D636" s="13" t="s">
        <v>21</v>
      </c>
      <c r="E636" s="78">
        <v>25400.0</v>
      </c>
      <c r="F636" s="78">
        <v>9300.0</v>
      </c>
      <c r="G636" s="2"/>
      <c r="H636" s="78">
        <v>11189.0</v>
      </c>
      <c r="I636" s="2"/>
      <c r="J636" s="2"/>
      <c r="K636" s="11" t="s">
        <v>24</v>
      </c>
      <c r="L636" s="2"/>
      <c r="M636" s="2"/>
      <c r="N636" s="20" t="s">
        <v>2119</v>
      </c>
      <c r="O636" s="2"/>
      <c r="P636" s="2"/>
    </row>
    <row r="637">
      <c r="A637" s="20" t="s">
        <v>2120</v>
      </c>
      <c r="B637" s="13" t="s">
        <v>1979</v>
      </c>
      <c r="C637" s="2"/>
      <c r="D637" s="13" t="s">
        <v>21</v>
      </c>
      <c r="E637" s="78">
        <v>13300.0</v>
      </c>
      <c r="F637" s="78">
        <v>3000.0</v>
      </c>
      <c r="G637" s="2"/>
      <c r="H637" s="78">
        <v>3217.0</v>
      </c>
      <c r="I637" s="2"/>
      <c r="J637" s="2"/>
      <c r="K637" s="11" t="s">
        <v>24</v>
      </c>
      <c r="L637" s="2"/>
      <c r="M637" s="2"/>
      <c r="N637" s="20" t="s">
        <v>2121</v>
      </c>
      <c r="O637" s="2"/>
      <c r="P637" s="2"/>
    </row>
    <row r="638">
      <c r="A638" s="20" t="s">
        <v>2122</v>
      </c>
      <c r="B638" s="13" t="s">
        <v>40</v>
      </c>
      <c r="C638" s="2"/>
      <c r="D638" s="13" t="s">
        <v>21</v>
      </c>
      <c r="E638" s="78">
        <v>50200.0</v>
      </c>
      <c r="F638" s="78">
        <v>3800.0</v>
      </c>
      <c r="G638" s="2"/>
      <c r="H638" s="78">
        <v>11889.0</v>
      </c>
      <c r="I638" s="2"/>
      <c r="J638" s="2"/>
      <c r="K638" s="11" t="s">
        <v>24</v>
      </c>
      <c r="L638" s="2"/>
      <c r="M638" s="2"/>
      <c r="N638" s="20" t="s">
        <v>2123</v>
      </c>
      <c r="O638" s="2"/>
      <c r="P638" s="2"/>
    </row>
    <row r="639">
      <c r="A639" s="86" t="s">
        <v>2124</v>
      </c>
      <c r="B639" s="87" t="s">
        <v>1979</v>
      </c>
      <c r="C639" s="88"/>
      <c r="D639" s="87" t="s">
        <v>21</v>
      </c>
      <c r="E639" s="89">
        <v>3300.0</v>
      </c>
      <c r="F639" s="89">
        <v>2200.0</v>
      </c>
      <c r="G639" s="88"/>
      <c r="H639" s="89">
        <v>3497.0</v>
      </c>
      <c r="I639" s="2"/>
      <c r="J639" s="2"/>
      <c r="K639" s="11" t="s">
        <v>24</v>
      </c>
      <c r="L639" s="2"/>
      <c r="M639" s="2"/>
      <c r="N639" s="20" t="s">
        <v>2125</v>
      </c>
      <c r="O639" s="2"/>
      <c r="P639" s="2"/>
    </row>
    <row r="640">
      <c r="A640" s="86" t="s">
        <v>2126</v>
      </c>
      <c r="B640" s="87" t="s">
        <v>61</v>
      </c>
      <c r="C640" s="88"/>
      <c r="D640" s="87" t="s">
        <v>32</v>
      </c>
      <c r="E640" s="89">
        <v>2000000.0</v>
      </c>
      <c r="F640" s="89">
        <v>50000.0</v>
      </c>
      <c r="G640" s="88"/>
      <c r="H640" s="89">
        <v>0.0</v>
      </c>
      <c r="I640" s="2"/>
      <c r="J640" s="2"/>
      <c r="K640" s="11" t="s">
        <v>24</v>
      </c>
      <c r="L640" s="2"/>
      <c r="M640" s="2"/>
      <c r="N640" s="83" t="s">
        <v>2127</v>
      </c>
      <c r="O640" s="2"/>
      <c r="P640" s="2"/>
    </row>
    <row r="641">
      <c r="A641" s="86" t="s">
        <v>2128</v>
      </c>
      <c r="B641" s="87" t="s">
        <v>40</v>
      </c>
      <c r="C641" s="88"/>
      <c r="D641" s="87" t="s">
        <v>32</v>
      </c>
      <c r="E641" s="89">
        <v>19000.0</v>
      </c>
      <c r="F641" s="89">
        <v>14000.0</v>
      </c>
      <c r="G641" s="88"/>
      <c r="H641" s="89">
        <v>0.0</v>
      </c>
      <c r="I641" s="2"/>
      <c r="J641" s="2"/>
      <c r="K641" s="11" t="s">
        <v>24</v>
      </c>
      <c r="L641" s="2"/>
      <c r="M641" s="2"/>
      <c r="N641" s="20" t="s">
        <v>2129</v>
      </c>
      <c r="O641" s="2"/>
      <c r="P641" s="2"/>
    </row>
    <row r="642">
      <c r="A642" s="86" t="s">
        <v>2130</v>
      </c>
      <c r="B642" s="87" t="s">
        <v>61</v>
      </c>
      <c r="C642" s="88"/>
      <c r="D642" s="87" t="s">
        <v>32</v>
      </c>
      <c r="E642" s="89">
        <v>11700.0</v>
      </c>
      <c r="F642" s="89">
        <v>70000.0</v>
      </c>
      <c r="G642" s="88"/>
      <c r="H642" s="89">
        <v>7000.0</v>
      </c>
      <c r="I642" s="2"/>
      <c r="J642" s="2"/>
      <c r="K642" s="11" t="s">
        <v>24</v>
      </c>
      <c r="L642" s="2"/>
      <c r="M642" s="2"/>
      <c r="N642" s="20" t="s">
        <v>2130</v>
      </c>
      <c r="O642" s="2"/>
      <c r="P642" s="2"/>
    </row>
    <row r="643">
      <c r="A643" s="86" t="s">
        <v>2131</v>
      </c>
      <c r="B643" s="87" t="s">
        <v>31</v>
      </c>
      <c r="C643" s="88"/>
      <c r="D643" s="87" t="s">
        <v>32</v>
      </c>
      <c r="E643" s="89">
        <v>3700.0</v>
      </c>
      <c r="F643" s="89">
        <v>5000.0</v>
      </c>
      <c r="G643" s="88"/>
      <c r="H643" s="89">
        <v>3000.0</v>
      </c>
      <c r="I643" s="2"/>
      <c r="J643" s="2"/>
      <c r="K643" s="11" t="s">
        <v>24</v>
      </c>
      <c r="L643" s="2"/>
      <c r="M643" s="2"/>
      <c r="N643" s="85" t="s">
        <v>2132</v>
      </c>
      <c r="O643" s="2"/>
      <c r="P643" s="2"/>
    </row>
    <row r="644">
      <c r="A644" s="90" t="s">
        <v>2133</v>
      </c>
      <c r="B644" s="87" t="s">
        <v>19</v>
      </c>
      <c r="C644" s="88"/>
      <c r="D644" s="87" t="s">
        <v>32</v>
      </c>
      <c r="E644" s="89">
        <v>3000.0</v>
      </c>
      <c r="F644" s="89">
        <v>10000.0</v>
      </c>
      <c r="G644" s="88"/>
      <c r="H644" s="89">
        <v>5000.0</v>
      </c>
      <c r="I644" s="2"/>
      <c r="J644" s="2"/>
      <c r="K644" s="11" t="s">
        <v>24</v>
      </c>
      <c r="L644" s="2"/>
      <c r="M644" s="2"/>
      <c r="N644" s="85" t="s">
        <v>2134</v>
      </c>
      <c r="O644" s="2"/>
      <c r="P644" s="2"/>
    </row>
    <row r="645">
      <c r="A645" s="86" t="s">
        <v>2135</v>
      </c>
      <c r="B645" s="87" t="s">
        <v>61</v>
      </c>
      <c r="C645" s="88"/>
      <c r="D645" s="87" t="s">
        <v>32</v>
      </c>
      <c r="E645" s="89">
        <v>106800.0</v>
      </c>
      <c r="F645" s="89">
        <v>200000.0</v>
      </c>
      <c r="G645" s="88"/>
      <c r="H645" s="89">
        <v>50000.0</v>
      </c>
      <c r="I645" s="2"/>
      <c r="J645" s="2"/>
      <c r="K645" s="11" t="s">
        <v>24</v>
      </c>
      <c r="L645" s="2"/>
      <c r="M645" s="2"/>
      <c r="N645" s="20" t="s">
        <v>2135</v>
      </c>
      <c r="O645" s="2"/>
      <c r="P645" s="2"/>
    </row>
    <row r="646">
      <c r="A646" s="86" t="s">
        <v>2136</v>
      </c>
      <c r="B646" s="87" t="s">
        <v>19</v>
      </c>
      <c r="C646" s="88"/>
      <c r="D646" s="87" t="s">
        <v>32</v>
      </c>
      <c r="E646" s="89">
        <v>9500.0</v>
      </c>
      <c r="F646" s="89">
        <v>15000.0</v>
      </c>
      <c r="G646" s="88"/>
      <c r="H646" s="89">
        <v>15000.0</v>
      </c>
      <c r="I646" s="2"/>
      <c r="J646" s="2"/>
      <c r="K646" s="11" t="s">
        <v>24</v>
      </c>
      <c r="L646" s="2"/>
      <c r="M646" s="2"/>
      <c r="N646" s="20" t="s">
        <v>2136</v>
      </c>
      <c r="O646" s="2"/>
      <c r="P646" s="2"/>
    </row>
    <row r="647">
      <c r="A647" s="86" t="s">
        <v>2137</v>
      </c>
      <c r="B647" s="87" t="s">
        <v>31</v>
      </c>
      <c r="C647" s="88"/>
      <c r="D647" s="87" t="s">
        <v>32</v>
      </c>
      <c r="E647" s="89">
        <v>23700.0</v>
      </c>
      <c r="F647" s="89">
        <v>50000.0</v>
      </c>
      <c r="G647" s="88"/>
      <c r="H647" s="89">
        <v>37000.0</v>
      </c>
      <c r="I647" s="2"/>
      <c r="J647" s="2"/>
      <c r="K647" s="11" t="s">
        <v>24</v>
      </c>
      <c r="L647" s="2"/>
      <c r="M647" s="2"/>
      <c r="N647" s="20" t="s">
        <v>2137</v>
      </c>
      <c r="O647" s="2"/>
      <c r="P647" s="2"/>
    </row>
    <row r="648" ht="24.0" customHeight="1">
      <c r="A648" s="91" t="s">
        <v>2138</v>
      </c>
      <c r="B648" s="87" t="s">
        <v>19</v>
      </c>
      <c r="C648" s="92" t="s">
        <v>2139</v>
      </c>
      <c r="D648" s="87" t="s">
        <v>32</v>
      </c>
      <c r="E648" s="93">
        <v>305000.0</v>
      </c>
      <c r="F648" s="93">
        <v>100000.0</v>
      </c>
      <c r="G648" s="88"/>
      <c r="H648" s="89">
        <v>26824.0</v>
      </c>
      <c r="I648" s="2"/>
      <c r="J648" s="2"/>
      <c r="K648" s="11" t="s">
        <v>24</v>
      </c>
      <c r="L648" s="2"/>
      <c r="M648" s="2"/>
      <c r="N648" s="94" t="s">
        <v>2140</v>
      </c>
      <c r="O648" s="2"/>
      <c r="P648" s="2"/>
    </row>
    <row r="649">
      <c r="A649" s="91" t="s">
        <v>2141</v>
      </c>
      <c r="B649" s="87" t="s">
        <v>40</v>
      </c>
      <c r="C649" s="92" t="s">
        <v>2139</v>
      </c>
      <c r="D649" s="87" t="s">
        <v>32</v>
      </c>
      <c r="E649" s="93">
        <v>4900.0</v>
      </c>
      <c r="F649" s="93">
        <v>2500.0</v>
      </c>
      <c r="G649" s="88"/>
      <c r="H649" s="89">
        <v>5000.0</v>
      </c>
      <c r="I649" s="2"/>
      <c r="J649" s="2"/>
      <c r="K649" s="11" t="s">
        <v>24</v>
      </c>
      <c r="L649" s="2"/>
      <c r="M649" s="2"/>
      <c r="N649" s="94" t="s">
        <v>2142</v>
      </c>
      <c r="O649" s="2"/>
      <c r="P649" s="2"/>
    </row>
    <row r="650">
      <c r="A650" s="95" t="s">
        <v>2143</v>
      </c>
      <c r="B650" s="87" t="s">
        <v>61</v>
      </c>
      <c r="C650" s="88"/>
      <c r="D650" s="87" t="s">
        <v>32</v>
      </c>
      <c r="E650" s="96">
        <v>178000.0</v>
      </c>
      <c r="F650" s="96">
        <v>150000.0</v>
      </c>
      <c r="G650" s="88"/>
      <c r="H650" s="89">
        <v>37200.0</v>
      </c>
      <c r="I650" s="2"/>
      <c r="J650" s="2"/>
      <c r="K650" s="11" t="s">
        <v>24</v>
      </c>
      <c r="L650" s="2"/>
      <c r="M650" s="2"/>
      <c r="N650" s="97" t="s">
        <v>2143</v>
      </c>
      <c r="O650" s="2"/>
      <c r="P650" s="2"/>
    </row>
    <row r="651">
      <c r="A651" s="95" t="s">
        <v>2144</v>
      </c>
      <c r="B651" s="87" t="s">
        <v>31</v>
      </c>
      <c r="C651" s="88"/>
      <c r="D651" s="87" t="s">
        <v>32</v>
      </c>
      <c r="E651" s="96">
        <v>9700.0</v>
      </c>
      <c r="F651" s="96">
        <v>30000.0</v>
      </c>
      <c r="G651" s="88"/>
      <c r="H651" s="89">
        <v>19000.0</v>
      </c>
      <c r="I651" s="2"/>
      <c r="J651" s="2"/>
      <c r="K651" s="11" t="s">
        <v>24</v>
      </c>
      <c r="L651" s="2"/>
      <c r="M651" s="2"/>
      <c r="N651" s="97" t="s">
        <v>2144</v>
      </c>
      <c r="O651" s="2"/>
      <c r="P651" s="2"/>
    </row>
    <row r="652">
      <c r="A652" s="95" t="s">
        <v>2145</v>
      </c>
      <c r="B652" s="87" t="s">
        <v>31</v>
      </c>
      <c r="C652" s="88"/>
      <c r="D652" s="87" t="s">
        <v>32</v>
      </c>
      <c r="E652" s="96">
        <v>18700.0</v>
      </c>
      <c r="F652" s="96">
        <v>40000.0</v>
      </c>
      <c r="G652" s="88"/>
      <c r="H652" s="89">
        <v>27000.0</v>
      </c>
      <c r="I652" s="2"/>
      <c r="J652" s="2"/>
      <c r="K652" s="11" t="s">
        <v>24</v>
      </c>
      <c r="L652" s="2"/>
      <c r="M652" s="2"/>
      <c r="N652" s="97" t="s">
        <v>2145</v>
      </c>
      <c r="O652" s="2"/>
      <c r="P652" s="2"/>
    </row>
    <row r="653">
      <c r="A653" s="95" t="s">
        <v>2146</v>
      </c>
      <c r="B653" s="87" t="s">
        <v>61</v>
      </c>
      <c r="C653" s="88"/>
      <c r="D653" s="87" t="s">
        <v>32</v>
      </c>
      <c r="E653" s="96">
        <v>40700.0</v>
      </c>
      <c r="F653" s="96">
        <v>100000.0</v>
      </c>
      <c r="G653" s="88"/>
      <c r="H653" s="89">
        <v>30000.0</v>
      </c>
      <c r="I653" s="2"/>
      <c r="J653" s="2"/>
      <c r="K653" s="11" t="s">
        <v>24</v>
      </c>
      <c r="L653" s="2"/>
      <c r="M653" s="2"/>
      <c r="N653" s="97" t="s">
        <v>2146</v>
      </c>
      <c r="O653" s="2"/>
      <c r="P653" s="2"/>
    </row>
    <row r="654">
      <c r="A654" s="95" t="s">
        <v>2147</v>
      </c>
      <c r="B654" s="87" t="s">
        <v>1979</v>
      </c>
      <c r="C654" s="88"/>
      <c r="D654" s="87" t="s">
        <v>32</v>
      </c>
      <c r="E654" s="96">
        <v>7220.0</v>
      </c>
      <c r="F654" s="96">
        <v>5000.0</v>
      </c>
      <c r="G654" s="88"/>
      <c r="H654" s="89">
        <v>3000.0</v>
      </c>
      <c r="I654" s="2"/>
      <c r="J654" s="2"/>
      <c r="K654" s="11" t="s">
        <v>24</v>
      </c>
      <c r="L654" s="2"/>
      <c r="M654" s="2"/>
      <c r="N654" s="97" t="s">
        <v>2147</v>
      </c>
      <c r="O654" s="2"/>
      <c r="P654" s="2"/>
    </row>
    <row r="655">
      <c r="A655" s="95" t="s">
        <v>2148</v>
      </c>
      <c r="B655" s="87" t="s">
        <v>31</v>
      </c>
      <c r="C655" s="88"/>
      <c r="D655" s="87" t="s">
        <v>32</v>
      </c>
      <c r="E655" s="92" t="s">
        <v>2139</v>
      </c>
      <c r="F655" s="92" t="s">
        <v>2139</v>
      </c>
      <c r="G655" s="88"/>
      <c r="H655" s="88"/>
      <c r="I655" s="2"/>
      <c r="J655" s="2"/>
      <c r="K655" s="11" t="s">
        <v>24</v>
      </c>
      <c r="L655" s="2"/>
      <c r="M655" s="2"/>
      <c r="N655" s="97" t="s">
        <v>2148</v>
      </c>
      <c r="O655" s="2"/>
      <c r="P655" s="2"/>
    </row>
    <row r="656">
      <c r="A656" s="86" t="s">
        <v>2149</v>
      </c>
      <c r="B656" s="87" t="s">
        <v>19</v>
      </c>
      <c r="C656" s="88"/>
      <c r="D656" s="87" t="s">
        <v>32</v>
      </c>
      <c r="E656" s="88"/>
      <c r="F656" s="88"/>
      <c r="G656" s="88"/>
      <c r="H656" s="88"/>
      <c r="I656" s="2"/>
      <c r="J656" s="2"/>
      <c r="K656" s="11" t="s">
        <v>24</v>
      </c>
      <c r="L656" s="2"/>
      <c r="M656" s="2"/>
      <c r="N656" s="20" t="s">
        <v>2149</v>
      </c>
      <c r="O656" s="2"/>
      <c r="P656" s="2"/>
    </row>
    <row r="657">
      <c r="A657" s="20" t="s">
        <v>2150</v>
      </c>
      <c r="B657" s="87" t="s">
        <v>31</v>
      </c>
      <c r="C657" s="2"/>
      <c r="D657" s="87" t="s">
        <v>21</v>
      </c>
      <c r="E657" s="78">
        <v>137000.0</v>
      </c>
      <c r="F657" s="78">
        <v>25000.0</v>
      </c>
      <c r="G657" s="2"/>
      <c r="H657" s="78">
        <v>25000.0</v>
      </c>
      <c r="I657" s="2"/>
      <c r="J657" s="2"/>
      <c r="K657" s="47" t="s">
        <v>24</v>
      </c>
      <c r="L657" s="2"/>
      <c r="M657" s="2"/>
      <c r="N657" s="20" t="s">
        <v>2151</v>
      </c>
      <c r="O657" s="2"/>
      <c r="P657" s="2"/>
    </row>
    <row r="658">
      <c r="A658" s="20" t="s">
        <v>2152</v>
      </c>
      <c r="B658" s="87" t="s">
        <v>31</v>
      </c>
      <c r="C658" s="2"/>
      <c r="D658" s="87" t="s">
        <v>32</v>
      </c>
      <c r="E658" s="78">
        <v>72000.0</v>
      </c>
      <c r="F658" s="78">
        <v>20000.0</v>
      </c>
      <c r="G658" s="2"/>
      <c r="H658" s="78">
        <v>0.0</v>
      </c>
      <c r="I658" s="2"/>
      <c r="J658" s="2"/>
      <c r="K658" s="47" t="s">
        <v>24</v>
      </c>
      <c r="L658" s="2"/>
      <c r="M658" s="2"/>
      <c r="N658" s="83" t="s">
        <v>2152</v>
      </c>
      <c r="O658" s="2"/>
      <c r="P658" s="2"/>
    </row>
    <row r="659">
      <c r="A659" s="20" t="s">
        <v>2153</v>
      </c>
      <c r="B659" s="87" t="s">
        <v>1979</v>
      </c>
      <c r="C659" s="2"/>
      <c r="D659" s="87" t="s">
        <v>32</v>
      </c>
      <c r="E659" s="78">
        <v>3600.0</v>
      </c>
      <c r="F659" s="78">
        <v>1500.0</v>
      </c>
      <c r="G659" s="2"/>
      <c r="H659" s="78">
        <v>0.0</v>
      </c>
      <c r="I659" s="2"/>
      <c r="J659" s="2"/>
      <c r="K659" s="47" t="s">
        <v>24</v>
      </c>
      <c r="L659" s="2"/>
      <c r="M659" s="2"/>
      <c r="N659" s="20" t="s">
        <v>2154</v>
      </c>
      <c r="O659" s="2"/>
      <c r="P659" s="2"/>
    </row>
    <row r="660">
      <c r="A660" s="20" t="s">
        <v>2155</v>
      </c>
      <c r="B660" s="87" t="s">
        <v>40</v>
      </c>
      <c r="C660" s="2"/>
      <c r="D660" s="87" t="s">
        <v>32</v>
      </c>
      <c r="E660" s="78">
        <v>152000.0</v>
      </c>
      <c r="F660" s="78">
        <v>15000.0</v>
      </c>
      <c r="G660" s="2"/>
      <c r="H660" s="78">
        <v>20979.0</v>
      </c>
      <c r="I660" s="2"/>
      <c r="J660" s="2"/>
      <c r="K660" s="47" t="s">
        <v>24</v>
      </c>
      <c r="L660" s="2"/>
      <c r="M660" s="2"/>
      <c r="N660" s="20" t="s">
        <v>2156</v>
      </c>
      <c r="O660" s="2"/>
      <c r="P660" s="2"/>
    </row>
    <row r="661">
      <c r="A661" s="20" t="s">
        <v>2157</v>
      </c>
      <c r="B661" s="87" t="s">
        <v>1979</v>
      </c>
      <c r="C661" s="2"/>
      <c r="D661" s="87" t="s">
        <v>21</v>
      </c>
      <c r="E661" s="78">
        <v>58400.0</v>
      </c>
      <c r="F661" s="78">
        <v>15000.0</v>
      </c>
      <c r="G661" s="2"/>
      <c r="H661" s="78">
        <v>19580.0</v>
      </c>
      <c r="I661" s="2"/>
      <c r="J661" s="2"/>
      <c r="K661" s="47" t="s">
        <v>24</v>
      </c>
      <c r="L661" s="2"/>
      <c r="M661" s="2"/>
      <c r="N661" s="83" t="s">
        <v>2158</v>
      </c>
      <c r="O661" s="2"/>
      <c r="P661" s="2"/>
    </row>
    <row r="662">
      <c r="A662" s="20" t="s">
        <v>2159</v>
      </c>
      <c r="B662" s="87" t="s">
        <v>1979</v>
      </c>
      <c r="C662" s="2"/>
      <c r="D662" s="87" t="s">
        <v>21</v>
      </c>
      <c r="E662" s="78">
        <v>29300.0</v>
      </c>
      <c r="F662" s="78">
        <v>2800.0</v>
      </c>
      <c r="G662" s="2"/>
      <c r="H662" s="78">
        <v>2097.0</v>
      </c>
      <c r="I662" s="2"/>
      <c r="J662" s="2"/>
      <c r="K662" s="47" t="s">
        <v>24</v>
      </c>
      <c r="L662" s="2"/>
      <c r="M662" s="2"/>
      <c r="N662" s="20" t="s">
        <v>2160</v>
      </c>
      <c r="O662" s="2"/>
      <c r="P662" s="2"/>
    </row>
    <row r="663">
      <c r="A663" s="20" t="s">
        <v>2161</v>
      </c>
      <c r="B663" s="87" t="s">
        <v>1979</v>
      </c>
      <c r="C663" s="2"/>
      <c r="D663" s="87" t="s">
        <v>21</v>
      </c>
      <c r="E663" s="78">
        <v>30100.0</v>
      </c>
      <c r="F663" s="78">
        <v>4500.0</v>
      </c>
      <c r="G663" s="2"/>
      <c r="H663" s="78">
        <v>4195.0</v>
      </c>
      <c r="I663" s="2"/>
      <c r="J663" s="2"/>
      <c r="K663" s="47" t="s">
        <v>24</v>
      </c>
      <c r="L663" s="2"/>
      <c r="M663" s="2"/>
      <c r="N663" s="98" t="s">
        <v>2162</v>
      </c>
      <c r="O663" s="2"/>
      <c r="P663" s="2"/>
    </row>
    <row r="664">
      <c r="A664" s="20" t="s">
        <v>963</v>
      </c>
      <c r="B664" s="87" t="s">
        <v>1979</v>
      </c>
      <c r="C664" s="2"/>
      <c r="D664" s="87" t="s">
        <v>21</v>
      </c>
      <c r="E664" s="78">
        <v>27600.0</v>
      </c>
      <c r="F664" s="78">
        <v>6000.0</v>
      </c>
      <c r="G664" s="2"/>
      <c r="H664" s="78">
        <v>8391.0</v>
      </c>
      <c r="I664" s="2"/>
      <c r="J664" s="2"/>
      <c r="K664" s="47" t="s">
        <v>24</v>
      </c>
      <c r="L664" s="2"/>
      <c r="M664" s="2"/>
      <c r="N664" s="20" t="s">
        <v>2163</v>
      </c>
      <c r="O664" s="2"/>
      <c r="P664" s="2"/>
    </row>
    <row r="665">
      <c r="A665" s="20" t="s">
        <v>2164</v>
      </c>
      <c r="B665" s="87" t="s">
        <v>1979</v>
      </c>
      <c r="C665" s="2"/>
      <c r="D665" s="87" t="s">
        <v>21</v>
      </c>
      <c r="E665" s="78">
        <v>4200.0</v>
      </c>
      <c r="F665" s="78">
        <v>900.0</v>
      </c>
      <c r="G665" s="2"/>
      <c r="H665" s="78">
        <v>907.0</v>
      </c>
      <c r="I665" s="2"/>
      <c r="J665" s="2"/>
      <c r="K665" s="47" t="s">
        <v>24</v>
      </c>
      <c r="L665" s="2"/>
      <c r="M665" s="2"/>
      <c r="N665" s="20" t="s">
        <v>2165</v>
      </c>
      <c r="O665" s="2"/>
      <c r="P665" s="2"/>
    </row>
    <row r="666">
      <c r="A666" s="20" t="s">
        <v>2166</v>
      </c>
      <c r="B666" s="87" t="s">
        <v>40</v>
      </c>
      <c r="C666" s="2"/>
      <c r="D666" s="87" t="s">
        <v>21</v>
      </c>
      <c r="E666" s="78">
        <v>286000.0</v>
      </c>
      <c r="F666" s="78">
        <v>4500.0</v>
      </c>
      <c r="G666" s="2"/>
      <c r="H666" s="78">
        <v>2097.0</v>
      </c>
      <c r="I666" s="2"/>
      <c r="J666" s="2"/>
      <c r="K666" s="47" t="s">
        <v>24</v>
      </c>
      <c r="L666" s="2"/>
      <c r="M666" s="2"/>
      <c r="N666" s="98" t="s">
        <v>2167</v>
      </c>
      <c r="O666" s="2"/>
      <c r="P666" s="2"/>
    </row>
    <row r="667">
      <c r="A667" s="85" t="s">
        <v>2168</v>
      </c>
      <c r="B667" s="87" t="s">
        <v>1979</v>
      </c>
      <c r="C667" s="2"/>
      <c r="D667" s="87" t="s">
        <v>32</v>
      </c>
      <c r="E667" s="78">
        <v>2000.0</v>
      </c>
      <c r="F667" s="78">
        <v>200.0</v>
      </c>
      <c r="G667" s="2"/>
      <c r="H667" s="78">
        <v>0.0</v>
      </c>
      <c r="I667" s="2"/>
      <c r="J667" s="2"/>
      <c r="K667" s="47" t="s">
        <v>24</v>
      </c>
      <c r="L667" s="2"/>
      <c r="M667" s="2"/>
      <c r="N667" s="83" t="s">
        <v>2169</v>
      </c>
      <c r="O667" s="2"/>
      <c r="P667" s="2"/>
    </row>
    <row r="668">
      <c r="A668" s="20" t="s">
        <v>2170</v>
      </c>
      <c r="B668" s="87" t="s">
        <v>61</v>
      </c>
      <c r="C668" s="2"/>
      <c r="D668" s="87" t="s">
        <v>32</v>
      </c>
      <c r="E668" s="78"/>
      <c r="F668" s="78"/>
      <c r="G668" s="2"/>
      <c r="H668" s="78"/>
      <c r="I668" s="2"/>
      <c r="J668" s="2"/>
      <c r="K668" s="47"/>
      <c r="L668" s="2"/>
      <c r="M668" s="2"/>
      <c r="N668" s="20" t="s">
        <v>2171</v>
      </c>
      <c r="O668" s="2"/>
      <c r="P668" s="2"/>
    </row>
    <row r="669">
      <c r="A669" s="20" t="s">
        <v>2172</v>
      </c>
      <c r="B669" s="87" t="s">
        <v>40</v>
      </c>
      <c r="C669" s="2"/>
      <c r="D669" s="87" t="s">
        <v>32</v>
      </c>
      <c r="E669" s="78">
        <v>1900.0</v>
      </c>
      <c r="F669" s="78">
        <v>1400.0</v>
      </c>
      <c r="G669" s="2"/>
      <c r="H669" s="78">
        <v>4000.0</v>
      </c>
      <c r="I669" s="2"/>
      <c r="J669" s="2"/>
      <c r="K669" s="47"/>
      <c r="L669" s="2"/>
      <c r="M669" s="2"/>
      <c r="N669" s="20" t="s">
        <v>2173</v>
      </c>
      <c r="O669" s="2"/>
      <c r="P669" s="2"/>
    </row>
    <row r="670">
      <c r="A670" s="20" t="s">
        <v>2174</v>
      </c>
      <c r="B670" s="87" t="s">
        <v>31</v>
      </c>
      <c r="C670" s="2"/>
      <c r="D670" s="87" t="s">
        <v>32</v>
      </c>
      <c r="E670" s="78">
        <v>28000.0</v>
      </c>
      <c r="F670" s="78">
        <v>25000.0</v>
      </c>
      <c r="G670" s="2"/>
      <c r="H670" s="78">
        <v>26000.0</v>
      </c>
      <c r="I670" s="2"/>
      <c r="J670" s="2"/>
      <c r="K670" s="47" t="s">
        <v>24</v>
      </c>
      <c r="L670" s="2"/>
      <c r="M670" s="2"/>
      <c r="N670" s="78" t="s">
        <v>2175</v>
      </c>
      <c r="O670" s="2"/>
      <c r="P670" s="2"/>
    </row>
    <row r="671">
      <c r="A671" s="20" t="s">
        <v>2176</v>
      </c>
      <c r="B671" s="87" t="s">
        <v>670</v>
      </c>
      <c r="C671" s="2"/>
      <c r="D671" s="87" t="s">
        <v>32</v>
      </c>
      <c r="E671" s="78"/>
      <c r="F671" s="78"/>
      <c r="G671" s="2"/>
      <c r="H671" s="78"/>
      <c r="I671" s="2"/>
      <c r="J671" s="2"/>
      <c r="K671" s="47"/>
      <c r="L671" s="2"/>
      <c r="M671" s="2"/>
      <c r="N671" s="99" t="s">
        <v>2177</v>
      </c>
      <c r="O671" s="2"/>
      <c r="P671" s="2"/>
    </row>
    <row r="672">
      <c r="A672" s="20" t="s">
        <v>2178</v>
      </c>
      <c r="B672" s="87" t="s">
        <v>40</v>
      </c>
      <c r="C672" s="2"/>
      <c r="D672" s="87" t="s">
        <v>32</v>
      </c>
      <c r="E672" s="78">
        <v>10890.0</v>
      </c>
      <c r="F672" s="78">
        <v>4000.0</v>
      </c>
      <c r="G672" s="2"/>
      <c r="H672" s="78">
        <v>5000.0</v>
      </c>
      <c r="I672" s="2"/>
      <c r="J672" s="2"/>
      <c r="K672" s="47" t="s">
        <v>24</v>
      </c>
      <c r="L672" s="2"/>
      <c r="M672" s="2"/>
      <c r="N672" s="100" t="s">
        <v>2179</v>
      </c>
      <c r="O672" s="2"/>
      <c r="P672" s="2"/>
    </row>
    <row r="673">
      <c r="A673" s="99" t="s">
        <v>2180</v>
      </c>
      <c r="B673" s="87" t="s">
        <v>1979</v>
      </c>
      <c r="C673" s="2"/>
      <c r="D673" s="87" t="s">
        <v>32</v>
      </c>
      <c r="E673" s="78">
        <v>5900.0</v>
      </c>
      <c r="F673" s="78">
        <v>4900.0</v>
      </c>
      <c r="G673" s="2"/>
      <c r="H673" s="78">
        <v>10000.0</v>
      </c>
      <c r="I673" s="2"/>
      <c r="J673" s="2"/>
      <c r="K673" s="47" t="s">
        <v>24</v>
      </c>
      <c r="L673" s="2"/>
      <c r="M673" s="2"/>
      <c r="N673" s="20" t="s">
        <v>2181</v>
      </c>
      <c r="O673" s="2"/>
      <c r="P673" s="2"/>
    </row>
    <row r="674">
      <c r="A674" s="20" t="s">
        <v>2182</v>
      </c>
      <c r="B674" s="87" t="s">
        <v>31</v>
      </c>
      <c r="C674" s="2"/>
      <c r="D674" s="87" t="s">
        <v>32</v>
      </c>
      <c r="E674" s="78">
        <v>52000.0</v>
      </c>
      <c r="F674" s="78">
        <v>43000.0</v>
      </c>
      <c r="G674" s="2"/>
      <c r="H674" s="78">
        <v>20000.0</v>
      </c>
      <c r="I674" s="2"/>
      <c r="J674" s="2"/>
      <c r="K674" s="47" t="s">
        <v>24</v>
      </c>
      <c r="L674" s="2"/>
      <c r="M674" s="2"/>
      <c r="N674" s="20" t="s">
        <v>2183</v>
      </c>
      <c r="O674" s="2"/>
      <c r="P674" s="2"/>
    </row>
    <row r="675">
      <c r="A675" s="20" t="s">
        <v>2184</v>
      </c>
      <c r="B675" s="87" t="s">
        <v>31</v>
      </c>
      <c r="C675" s="2"/>
      <c r="D675" s="87" t="s">
        <v>32</v>
      </c>
      <c r="E675" s="78">
        <v>10200.0</v>
      </c>
      <c r="F675" s="78">
        <v>20000.0</v>
      </c>
      <c r="G675" s="2"/>
      <c r="H675" s="78"/>
      <c r="I675" s="2"/>
      <c r="J675" s="2"/>
      <c r="K675" s="47" t="s">
        <v>24</v>
      </c>
      <c r="L675" s="2"/>
      <c r="M675" s="2"/>
      <c r="N675" s="20" t="s">
        <v>2185</v>
      </c>
      <c r="O675" s="2"/>
      <c r="P675" s="2"/>
    </row>
    <row r="676">
      <c r="A676" s="20" t="s">
        <v>2186</v>
      </c>
      <c r="B676" s="87" t="s">
        <v>31</v>
      </c>
      <c r="C676" s="2"/>
      <c r="D676" s="87" t="s">
        <v>32</v>
      </c>
      <c r="E676" s="78">
        <v>9700.0</v>
      </c>
      <c r="F676" s="78">
        <v>15000.0</v>
      </c>
      <c r="G676" s="2"/>
      <c r="H676" s="78">
        <v>15000.0</v>
      </c>
      <c r="I676" s="2"/>
      <c r="J676" s="2"/>
      <c r="K676" s="47" t="s">
        <v>24</v>
      </c>
      <c r="L676" s="2"/>
      <c r="M676" s="2"/>
      <c r="N676" s="20" t="s">
        <v>2187</v>
      </c>
      <c r="O676" s="2"/>
      <c r="P676" s="2"/>
    </row>
    <row r="677">
      <c r="A677" s="20" t="s">
        <v>2188</v>
      </c>
      <c r="B677" s="87" t="s">
        <v>40</v>
      </c>
      <c r="C677" s="2"/>
      <c r="D677" s="87" t="s">
        <v>32</v>
      </c>
      <c r="E677" s="78">
        <v>11300.0</v>
      </c>
      <c r="F677" s="78">
        <v>3600.0</v>
      </c>
      <c r="G677" s="2"/>
      <c r="H677" s="78">
        <v>1398.0</v>
      </c>
      <c r="I677" s="2"/>
      <c r="J677" s="2"/>
      <c r="K677" s="47" t="s">
        <v>24</v>
      </c>
      <c r="L677" s="2"/>
      <c r="M677" s="2"/>
      <c r="N677" s="20" t="s">
        <v>2189</v>
      </c>
      <c r="O677" s="2"/>
      <c r="P677" s="2"/>
    </row>
    <row r="678">
      <c r="A678" s="20" t="s">
        <v>2190</v>
      </c>
      <c r="B678" s="87" t="s">
        <v>40</v>
      </c>
      <c r="C678" s="2"/>
      <c r="D678" s="87" t="s">
        <v>32</v>
      </c>
      <c r="E678" s="78">
        <v>3400.0</v>
      </c>
      <c r="F678" s="78">
        <v>900.0</v>
      </c>
      <c r="G678" s="2"/>
      <c r="H678" s="78">
        <v>839.0</v>
      </c>
      <c r="I678" s="2"/>
      <c r="J678" s="2"/>
      <c r="K678" s="47" t="s">
        <v>24</v>
      </c>
      <c r="L678" s="2"/>
      <c r="M678" s="2"/>
      <c r="N678" s="20" t="s">
        <v>2191</v>
      </c>
      <c r="O678" s="2"/>
      <c r="P678" s="2"/>
    </row>
    <row r="679">
      <c r="A679" s="20" t="s">
        <v>2192</v>
      </c>
      <c r="B679" s="87" t="s">
        <v>1979</v>
      </c>
      <c r="C679" s="2"/>
      <c r="D679" s="87" t="s">
        <v>32</v>
      </c>
      <c r="E679" s="78">
        <v>6933.0</v>
      </c>
      <c r="F679" s="78">
        <v>1000.0</v>
      </c>
      <c r="G679" s="2"/>
      <c r="H679" s="78">
        <v>314.0</v>
      </c>
      <c r="I679" s="2"/>
      <c r="J679" s="2"/>
      <c r="K679" s="47" t="s">
        <v>24</v>
      </c>
      <c r="L679" s="2"/>
      <c r="M679" s="2"/>
      <c r="N679" s="20" t="s">
        <v>2193</v>
      </c>
      <c r="O679" s="2"/>
      <c r="P679" s="2"/>
    </row>
    <row r="680">
      <c r="A680" s="20" t="s">
        <v>2194</v>
      </c>
      <c r="B680" s="87" t="s">
        <v>1979</v>
      </c>
      <c r="C680" s="2"/>
      <c r="D680" s="87" t="s">
        <v>32</v>
      </c>
      <c r="E680" s="78">
        <v>2204.0</v>
      </c>
      <c r="F680" s="78">
        <v>700.0</v>
      </c>
      <c r="G680" s="2"/>
      <c r="H680" s="78">
        <v>587.0</v>
      </c>
      <c r="I680" s="2"/>
      <c r="J680" s="2"/>
      <c r="K680" s="47" t="s">
        <v>24</v>
      </c>
      <c r="L680" s="2"/>
      <c r="M680" s="2"/>
      <c r="N680" s="83" t="s">
        <v>2195</v>
      </c>
      <c r="O680" s="2"/>
      <c r="P680" s="2"/>
    </row>
    <row r="681">
      <c r="A681" s="20" t="s">
        <v>2196</v>
      </c>
      <c r="B681" s="87" t="s">
        <v>31</v>
      </c>
      <c r="C681" s="2"/>
      <c r="D681" s="87" t="s">
        <v>32</v>
      </c>
      <c r="E681" s="78">
        <v>32100.0</v>
      </c>
      <c r="F681" s="78">
        <v>16000.0</v>
      </c>
      <c r="G681" s="2"/>
      <c r="H681" s="78">
        <v>15000.0</v>
      </c>
      <c r="I681" s="2"/>
      <c r="J681" s="2"/>
      <c r="K681" s="47" t="s">
        <v>24</v>
      </c>
      <c r="L681" s="2"/>
      <c r="M681" s="2"/>
      <c r="N681" s="83" t="s">
        <v>2197</v>
      </c>
      <c r="O681" s="2"/>
      <c r="P681" s="2"/>
    </row>
    <row r="682">
      <c r="A682" s="20" t="s">
        <v>2198</v>
      </c>
      <c r="B682" s="87" t="s">
        <v>31</v>
      </c>
      <c r="C682" s="2"/>
      <c r="D682" s="87" t="s">
        <v>32</v>
      </c>
      <c r="E682" s="78">
        <v>38200.0</v>
      </c>
      <c r="F682" s="78">
        <v>14029.0</v>
      </c>
      <c r="G682" s="2"/>
      <c r="H682" s="78">
        <v>15000.0</v>
      </c>
      <c r="I682" s="2"/>
      <c r="J682" s="2"/>
      <c r="K682" s="47" t="s">
        <v>24</v>
      </c>
      <c r="L682" s="2"/>
      <c r="M682" s="2"/>
      <c r="N682" s="20" t="s">
        <v>2199</v>
      </c>
      <c r="O682" s="2"/>
      <c r="P682" s="2"/>
    </row>
    <row r="683">
      <c r="A683" s="20" t="s">
        <v>2200</v>
      </c>
      <c r="B683" s="87" t="s">
        <v>40</v>
      </c>
      <c r="C683" s="2"/>
      <c r="D683" s="87" t="s">
        <v>32</v>
      </c>
      <c r="E683" s="78">
        <v>32890.0</v>
      </c>
      <c r="F683" s="78">
        <v>8902.0</v>
      </c>
      <c r="G683" s="2"/>
      <c r="H683" s="78">
        <v>15000.0</v>
      </c>
      <c r="I683" s="2"/>
      <c r="J683" s="2"/>
      <c r="K683" s="47" t="s">
        <v>24</v>
      </c>
      <c r="L683" s="2"/>
      <c r="M683" s="2"/>
      <c r="N683" s="20" t="s">
        <v>2200</v>
      </c>
      <c r="O683" s="2"/>
      <c r="P683" s="2"/>
    </row>
    <row r="684">
      <c r="A684" s="20" t="s">
        <v>2201</v>
      </c>
      <c r="B684" s="87" t="s">
        <v>1979</v>
      </c>
      <c r="C684" s="2"/>
      <c r="D684" s="87" t="s">
        <v>32</v>
      </c>
      <c r="E684" s="78">
        <v>9000.0</v>
      </c>
      <c r="F684" s="78">
        <v>4500.0</v>
      </c>
      <c r="G684" s="2"/>
      <c r="H684" s="78">
        <v>2937.0</v>
      </c>
      <c r="I684" s="2"/>
      <c r="J684" s="2"/>
      <c r="K684" s="47" t="s">
        <v>24</v>
      </c>
      <c r="L684" s="2"/>
      <c r="M684" s="2"/>
      <c r="N684" s="20" t="s">
        <v>2202</v>
      </c>
      <c r="O684" s="2"/>
      <c r="P684" s="2"/>
    </row>
    <row r="685">
      <c r="A685" s="20" t="s">
        <v>2203</v>
      </c>
      <c r="B685" s="87" t="s">
        <v>40</v>
      </c>
      <c r="C685" s="2"/>
      <c r="D685" s="87" t="s">
        <v>32</v>
      </c>
      <c r="E685" s="78">
        <v>11565.0</v>
      </c>
      <c r="F685" s="78">
        <v>2000.0</v>
      </c>
      <c r="G685" s="2"/>
      <c r="H685" s="78">
        <v>352.0</v>
      </c>
      <c r="I685" s="2"/>
      <c r="J685" s="2"/>
      <c r="K685" s="47" t="s">
        <v>24</v>
      </c>
      <c r="L685" s="2"/>
      <c r="M685" s="2"/>
      <c r="N685" s="20" t="s">
        <v>2204</v>
      </c>
      <c r="O685" s="2"/>
      <c r="P685" s="2"/>
    </row>
    <row r="686">
      <c r="A686" s="20" t="s">
        <v>2205</v>
      </c>
      <c r="B686" s="87" t="s">
        <v>40</v>
      </c>
      <c r="C686" s="2"/>
      <c r="D686" s="87" t="s">
        <v>32</v>
      </c>
      <c r="E686" s="78">
        <v>22564.0</v>
      </c>
      <c r="F686" s="78">
        <v>13980.0</v>
      </c>
      <c r="G686" s="2"/>
      <c r="H686" s="78">
        <v>17120.0</v>
      </c>
      <c r="I686" s="2"/>
      <c r="J686" s="2"/>
      <c r="K686" s="47" t="s">
        <v>24</v>
      </c>
      <c r="L686" s="2"/>
      <c r="M686" s="2"/>
      <c r="N686" s="78" t="s">
        <v>2206</v>
      </c>
      <c r="O686" s="2"/>
      <c r="P686" s="2"/>
    </row>
    <row r="687">
      <c r="A687" s="20" t="s">
        <v>2207</v>
      </c>
      <c r="B687" s="87" t="s">
        <v>40</v>
      </c>
      <c r="C687" s="2"/>
      <c r="D687" s="87" t="s">
        <v>32</v>
      </c>
      <c r="E687" s="78">
        <v>15100.0</v>
      </c>
      <c r="F687" s="78">
        <v>11000.0</v>
      </c>
      <c r="G687" s="2"/>
      <c r="H687" s="78">
        <v>15000.0</v>
      </c>
      <c r="I687" s="2"/>
      <c r="J687" s="2"/>
      <c r="K687" s="47" t="s">
        <v>24</v>
      </c>
      <c r="L687" s="2"/>
      <c r="M687" s="2"/>
      <c r="N687" s="83" t="s">
        <v>2208</v>
      </c>
      <c r="O687" s="2"/>
      <c r="P687" s="2"/>
    </row>
    <row r="688">
      <c r="A688" s="20" t="s">
        <v>2209</v>
      </c>
      <c r="B688" s="87" t="s">
        <v>40</v>
      </c>
      <c r="C688" s="2"/>
      <c r="D688" s="87" t="s">
        <v>32</v>
      </c>
      <c r="E688" s="78">
        <v>34057.0</v>
      </c>
      <c r="F688" s="78">
        <v>20000.0</v>
      </c>
      <c r="G688" s="2"/>
      <c r="H688" s="78">
        <v>15000.0</v>
      </c>
      <c r="I688" s="2"/>
      <c r="J688" s="2"/>
      <c r="K688" s="47" t="s">
        <v>24</v>
      </c>
      <c r="L688" s="2"/>
      <c r="M688" s="2"/>
      <c r="N688" s="20" t="s">
        <v>2210</v>
      </c>
      <c r="O688" s="2"/>
      <c r="P688" s="2"/>
    </row>
    <row r="689">
      <c r="A689" s="20" t="s">
        <v>2211</v>
      </c>
      <c r="B689" s="87" t="s">
        <v>31</v>
      </c>
      <c r="C689" s="2"/>
      <c r="D689" s="87" t="s">
        <v>32</v>
      </c>
      <c r="E689" s="78">
        <v>27700.0</v>
      </c>
      <c r="F689" s="78">
        <v>60000.0</v>
      </c>
      <c r="G689" s="2"/>
      <c r="H689" s="78">
        <v>20000.0</v>
      </c>
      <c r="I689" s="2"/>
      <c r="J689" s="2"/>
      <c r="K689" s="47" t="s">
        <v>24</v>
      </c>
      <c r="L689" s="2"/>
      <c r="M689" s="2"/>
      <c r="N689" s="20" t="s">
        <v>2212</v>
      </c>
      <c r="O689" s="2"/>
      <c r="P689" s="2"/>
    </row>
    <row r="690">
      <c r="A690" s="20" t="s">
        <v>2213</v>
      </c>
      <c r="B690" s="87" t="s">
        <v>1979</v>
      </c>
      <c r="C690" s="2"/>
      <c r="D690" s="87" t="s">
        <v>32</v>
      </c>
      <c r="E690" s="78">
        <v>3300.0</v>
      </c>
      <c r="F690" s="78">
        <v>1000.0</v>
      </c>
      <c r="G690" s="2"/>
      <c r="H690" s="78">
        <v>594.0</v>
      </c>
      <c r="I690" s="2"/>
      <c r="J690" s="2"/>
      <c r="K690" s="47" t="s">
        <v>24</v>
      </c>
      <c r="L690" s="2"/>
      <c r="M690" s="2"/>
      <c r="N690" s="84" t="s">
        <v>2214</v>
      </c>
      <c r="O690" s="2"/>
      <c r="P690" s="2"/>
    </row>
    <row r="691">
      <c r="A691" s="20" t="s">
        <v>2215</v>
      </c>
      <c r="B691" s="87" t="s">
        <v>1979</v>
      </c>
      <c r="C691" s="2"/>
      <c r="D691" s="87" t="s">
        <v>32</v>
      </c>
      <c r="E691" s="78">
        <v>9500.0</v>
      </c>
      <c r="F691" s="78">
        <v>1800.0</v>
      </c>
      <c r="G691" s="2"/>
      <c r="H691" s="78">
        <v>1118.0</v>
      </c>
      <c r="I691" s="2"/>
      <c r="J691" s="2"/>
      <c r="K691" s="47" t="s">
        <v>24</v>
      </c>
      <c r="L691" s="2"/>
      <c r="M691" s="2"/>
      <c r="N691" s="20" t="s">
        <v>2216</v>
      </c>
      <c r="O691" s="2"/>
      <c r="P691" s="2"/>
    </row>
    <row r="692">
      <c r="A692" s="20" t="s">
        <v>2217</v>
      </c>
      <c r="B692" s="87" t="s">
        <v>1979</v>
      </c>
      <c r="C692" s="2"/>
      <c r="D692" s="87" t="s">
        <v>32</v>
      </c>
      <c r="E692" s="78">
        <v>3100.0</v>
      </c>
      <c r="F692" s="78">
        <v>1500.0</v>
      </c>
      <c r="G692" s="2"/>
      <c r="H692" s="78">
        <v>1888.0</v>
      </c>
      <c r="I692" s="2"/>
      <c r="J692" s="2"/>
      <c r="K692" s="47" t="s">
        <v>24</v>
      </c>
      <c r="L692" s="2"/>
      <c r="M692" s="2"/>
      <c r="N692" s="20" t="s">
        <v>2218</v>
      </c>
      <c r="O692" s="2"/>
      <c r="P692" s="2"/>
    </row>
    <row r="693">
      <c r="A693" s="20" t="s">
        <v>2219</v>
      </c>
      <c r="B693" s="87" t="s">
        <v>1979</v>
      </c>
      <c r="C693" s="2"/>
      <c r="D693" s="87" t="s">
        <v>32</v>
      </c>
      <c r="E693" s="78">
        <v>7600.0</v>
      </c>
      <c r="F693" s="78">
        <v>1100.0</v>
      </c>
      <c r="G693" s="2"/>
      <c r="H693" s="78">
        <v>2797.0</v>
      </c>
      <c r="I693" s="2"/>
      <c r="J693" s="2"/>
      <c r="K693" s="47" t="s">
        <v>24</v>
      </c>
      <c r="L693" s="2"/>
      <c r="M693" s="2"/>
      <c r="N693" s="20" t="s">
        <v>2220</v>
      </c>
      <c r="O693" s="2"/>
      <c r="P693" s="2"/>
    </row>
    <row r="694">
      <c r="A694" s="20" t="s">
        <v>2221</v>
      </c>
      <c r="B694" s="87" t="s">
        <v>1979</v>
      </c>
      <c r="C694" s="2"/>
      <c r="D694" s="87" t="s">
        <v>32</v>
      </c>
      <c r="E694" s="78">
        <v>586.0</v>
      </c>
      <c r="F694" s="78">
        <v>222.0</v>
      </c>
      <c r="G694" s="2"/>
      <c r="H694" s="78">
        <v>293.0</v>
      </c>
      <c r="I694" s="2"/>
      <c r="J694" s="2"/>
      <c r="K694" s="47" t="s">
        <v>24</v>
      </c>
      <c r="L694" s="2"/>
      <c r="M694" s="2"/>
      <c r="N694" s="84" t="s">
        <v>2222</v>
      </c>
      <c r="O694" s="2"/>
      <c r="P694" s="2"/>
    </row>
    <row r="695">
      <c r="A695" s="20" t="s">
        <v>2223</v>
      </c>
      <c r="B695" s="87" t="s">
        <v>1979</v>
      </c>
      <c r="C695" s="2"/>
      <c r="D695" s="87" t="s">
        <v>32</v>
      </c>
      <c r="E695" s="78">
        <v>2800.0</v>
      </c>
      <c r="F695" s="78">
        <v>759.0</v>
      </c>
      <c r="G695" s="2"/>
      <c r="H695" s="78">
        <v>377.0</v>
      </c>
      <c r="I695" s="2"/>
      <c r="J695" s="2"/>
      <c r="K695" s="47" t="s">
        <v>24</v>
      </c>
      <c r="L695" s="2"/>
      <c r="M695" s="2"/>
      <c r="N695" s="20" t="s">
        <v>2224</v>
      </c>
      <c r="O695" s="2"/>
      <c r="P695" s="2"/>
    </row>
    <row r="696">
      <c r="A696" s="20" t="s">
        <v>2225</v>
      </c>
      <c r="B696" s="87" t="s">
        <v>1979</v>
      </c>
      <c r="C696" s="2"/>
      <c r="D696" s="87" t="s">
        <v>32</v>
      </c>
      <c r="E696" s="78">
        <v>1800.0</v>
      </c>
      <c r="F696" s="78">
        <v>1100.0</v>
      </c>
      <c r="G696" s="2"/>
      <c r="H696" s="78">
        <v>1069.0</v>
      </c>
      <c r="I696" s="2"/>
      <c r="J696" s="2"/>
      <c r="K696" s="47" t="s">
        <v>24</v>
      </c>
      <c r="L696" s="2"/>
      <c r="M696" s="2"/>
      <c r="N696" s="84" t="s">
        <v>2226</v>
      </c>
      <c r="O696" s="2"/>
      <c r="P696" s="2"/>
    </row>
    <row r="697">
      <c r="A697" s="20" t="s">
        <v>2227</v>
      </c>
      <c r="B697" s="87" t="s">
        <v>40</v>
      </c>
      <c r="C697" s="2"/>
      <c r="D697" s="87" t="s">
        <v>32</v>
      </c>
      <c r="E697" s="78">
        <v>18082.0</v>
      </c>
      <c r="F697" s="78">
        <v>16900.0</v>
      </c>
      <c r="G697" s="2"/>
      <c r="H697" s="78">
        <v>16500.0</v>
      </c>
      <c r="I697" s="2"/>
      <c r="J697" s="2"/>
      <c r="K697" s="47" t="s">
        <v>24</v>
      </c>
      <c r="L697" s="2"/>
      <c r="M697" s="2"/>
      <c r="N697" s="20" t="s">
        <v>2228</v>
      </c>
      <c r="O697" s="2"/>
      <c r="P697" s="2"/>
    </row>
    <row r="698">
      <c r="A698" s="20" t="s">
        <v>2229</v>
      </c>
      <c r="B698" s="87" t="s">
        <v>1979</v>
      </c>
      <c r="C698" s="2"/>
      <c r="D698" s="87" t="s">
        <v>32</v>
      </c>
      <c r="E698" s="78">
        <v>25500.0</v>
      </c>
      <c r="F698" s="78">
        <v>4195.0</v>
      </c>
      <c r="G698" s="2"/>
      <c r="H698" s="78">
        <v>4195.0</v>
      </c>
      <c r="I698" s="2"/>
      <c r="J698" s="2"/>
      <c r="K698" s="47" t="s">
        <v>24</v>
      </c>
      <c r="L698" s="2"/>
      <c r="M698" s="2"/>
      <c r="N698" s="20" t="s">
        <v>2230</v>
      </c>
      <c r="O698" s="2"/>
      <c r="P698" s="2"/>
    </row>
    <row r="699">
      <c r="A699" s="20" t="s">
        <v>2231</v>
      </c>
      <c r="B699" s="87" t="s">
        <v>1979</v>
      </c>
      <c r="C699" s="2"/>
      <c r="D699" s="87" t="s">
        <v>32</v>
      </c>
      <c r="E699" s="78">
        <v>6800.0</v>
      </c>
      <c r="F699" s="78">
        <v>4900.0</v>
      </c>
      <c r="G699" s="2"/>
      <c r="H699" s="78">
        <v>1538.0</v>
      </c>
      <c r="I699" s="2"/>
      <c r="J699" s="2"/>
      <c r="K699" s="47" t="s">
        <v>24</v>
      </c>
      <c r="L699" s="2"/>
      <c r="M699" s="2"/>
      <c r="N699" s="20" t="s">
        <v>2232</v>
      </c>
      <c r="O699" s="2"/>
      <c r="P699" s="2"/>
    </row>
    <row r="700">
      <c r="A700" s="20" t="s">
        <v>2233</v>
      </c>
      <c r="B700" s="87" t="s">
        <v>1979</v>
      </c>
      <c r="C700" s="2"/>
      <c r="D700" s="87" t="s">
        <v>32</v>
      </c>
      <c r="E700" s="78">
        <v>8900.0</v>
      </c>
      <c r="F700" s="78">
        <v>5700.0</v>
      </c>
      <c r="G700" s="2"/>
      <c r="H700" s="78">
        <v>1398.0</v>
      </c>
      <c r="I700" s="2"/>
      <c r="J700" s="2"/>
      <c r="K700" s="47" t="s">
        <v>24</v>
      </c>
      <c r="L700" s="2"/>
      <c r="M700" s="2"/>
      <c r="N700" s="20" t="s">
        <v>2234</v>
      </c>
      <c r="O700" s="2"/>
      <c r="P700" s="2"/>
    </row>
    <row r="701">
      <c r="A701" s="20" t="s">
        <v>2235</v>
      </c>
      <c r="B701" s="87" t="s">
        <v>1979</v>
      </c>
      <c r="C701" s="2"/>
      <c r="D701" s="87" t="s">
        <v>32</v>
      </c>
      <c r="E701" s="78">
        <v>12800.0</v>
      </c>
      <c r="F701" s="78">
        <v>5800.0</v>
      </c>
      <c r="G701" s="2"/>
      <c r="H701" s="78">
        <v>5594.0</v>
      </c>
      <c r="I701" s="2"/>
      <c r="J701" s="2"/>
      <c r="K701" s="47" t="s">
        <v>24</v>
      </c>
      <c r="L701" s="2"/>
      <c r="M701" s="2"/>
      <c r="N701" s="20" t="s">
        <v>2236</v>
      </c>
      <c r="O701" s="2"/>
      <c r="P701" s="2"/>
    </row>
    <row r="702">
      <c r="A702" s="20" t="s">
        <v>2237</v>
      </c>
      <c r="B702" s="87" t="s">
        <v>1979</v>
      </c>
      <c r="C702" s="2"/>
      <c r="D702" s="87" t="s">
        <v>32</v>
      </c>
      <c r="E702" s="78">
        <v>39200.0</v>
      </c>
      <c r="F702" s="78">
        <v>8300.0</v>
      </c>
      <c r="G702" s="2"/>
      <c r="H702" s="78">
        <v>5734.0</v>
      </c>
      <c r="I702" s="2"/>
      <c r="J702" s="2"/>
      <c r="K702" s="47" t="s">
        <v>24</v>
      </c>
      <c r="L702" s="2"/>
      <c r="M702" s="2"/>
      <c r="N702" s="20" t="s">
        <v>2238</v>
      </c>
      <c r="O702" s="2"/>
      <c r="P702" s="2"/>
    </row>
    <row r="703">
      <c r="A703" s="20" t="s">
        <v>2239</v>
      </c>
      <c r="B703" s="87" t="s">
        <v>1979</v>
      </c>
      <c r="C703" s="2"/>
      <c r="D703" s="87" t="s">
        <v>32</v>
      </c>
      <c r="E703" s="78">
        <v>13700.0</v>
      </c>
      <c r="F703" s="78">
        <v>4700.0</v>
      </c>
      <c r="G703" s="2"/>
      <c r="H703" s="78">
        <v>1328.0</v>
      </c>
      <c r="I703" s="2"/>
      <c r="J703" s="2"/>
      <c r="K703" s="47" t="s">
        <v>24</v>
      </c>
      <c r="L703" s="2"/>
      <c r="M703" s="2"/>
      <c r="N703" s="20" t="s">
        <v>2240</v>
      </c>
      <c r="O703" s="2"/>
      <c r="P703" s="2"/>
    </row>
    <row r="704">
      <c r="A704" s="20" t="s">
        <v>2241</v>
      </c>
      <c r="B704" s="87" t="s">
        <v>1979</v>
      </c>
      <c r="C704" s="2"/>
      <c r="D704" s="87" t="s">
        <v>32</v>
      </c>
      <c r="E704" s="78">
        <v>6000.0</v>
      </c>
      <c r="F704" s="78">
        <v>2200.0</v>
      </c>
      <c r="G704" s="2"/>
      <c r="H704" s="78">
        <v>2237.0</v>
      </c>
      <c r="I704" s="2"/>
      <c r="J704" s="2"/>
      <c r="K704" s="47" t="s">
        <v>24</v>
      </c>
      <c r="L704" s="2"/>
      <c r="M704" s="2"/>
      <c r="N704" s="20" t="s">
        <v>2242</v>
      </c>
      <c r="O704" s="2"/>
      <c r="P704" s="2"/>
    </row>
    <row r="705">
      <c r="A705" s="20" t="s">
        <v>2243</v>
      </c>
      <c r="B705" s="87" t="s">
        <v>1979</v>
      </c>
      <c r="C705" s="2"/>
      <c r="D705" s="87" t="s">
        <v>32</v>
      </c>
      <c r="E705" s="78">
        <v>7200.0</v>
      </c>
      <c r="F705" s="78">
        <v>1800.0</v>
      </c>
      <c r="G705" s="2"/>
      <c r="H705" s="78">
        <v>1118.0</v>
      </c>
      <c r="I705" s="2"/>
      <c r="J705" s="2"/>
      <c r="K705" s="47" t="s">
        <v>24</v>
      </c>
      <c r="L705" s="2"/>
      <c r="M705" s="2"/>
      <c r="N705" s="83" t="s">
        <v>2244</v>
      </c>
      <c r="O705" s="2"/>
      <c r="P705" s="2"/>
    </row>
    <row r="706">
      <c r="A706" s="20" t="s">
        <v>2245</v>
      </c>
      <c r="B706" s="87" t="s">
        <v>1979</v>
      </c>
      <c r="C706" s="2"/>
      <c r="D706" s="87" t="s">
        <v>32</v>
      </c>
      <c r="E706" s="78">
        <v>4100.0</v>
      </c>
      <c r="F706" s="78">
        <v>2700.0</v>
      </c>
      <c r="G706" s="2"/>
      <c r="H706" s="78">
        <v>2797.0</v>
      </c>
      <c r="I706" s="2"/>
      <c r="J706" s="2"/>
      <c r="K706" s="47" t="s">
        <v>24</v>
      </c>
      <c r="L706" s="2"/>
      <c r="M706" s="2"/>
      <c r="N706" s="20" t="s">
        <v>2246</v>
      </c>
      <c r="O706" s="2"/>
      <c r="P706" s="2"/>
    </row>
    <row r="707">
      <c r="A707" s="20" t="s">
        <v>2247</v>
      </c>
      <c r="B707" s="87" t="s">
        <v>31</v>
      </c>
      <c r="C707" s="2"/>
      <c r="D707" s="87" t="s">
        <v>32</v>
      </c>
      <c r="E707" s="78">
        <v>33800.0</v>
      </c>
      <c r="F707" s="78">
        <v>100000.0</v>
      </c>
      <c r="G707" s="2"/>
      <c r="H707" s="78">
        <v>38300.0</v>
      </c>
      <c r="I707" s="2"/>
      <c r="J707" s="2"/>
      <c r="K707" s="47" t="s">
        <v>24</v>
      </c>
      <c r="L707" s="2"/>
      <c r="M707" s="2"/>
      <c r="N707" s="20" t="s">
        <v>2137</v>
      </c>
      <c r="O707" s="2"/>
      <c r="P707" s="2"/>
    </row>
    <row r="708">
      <c r="A708" s="20" t="s">
        <v>2248</v>
      </c>
      <c r="B708" s="87" t="s">
        <v>1979</v>
      </c>
      <c r="C708" s="2"/>
      <c r="D708" s="87" t="s">
        <v>32</v>
      </c>
      <c r="E708" s="78">
        <v>22200.0</v>
      </c>
      <c r="F708" s="78">
        <v>6700.0</v>
      </c>
      <c r="G708" s="2"/>
      <c r="H708" s="78">
        <v>2657.0</v>
      </c>
      <c r="I708" s="2"/>
      <c r="J708" s="2"/>
      <c r="K708" s="47" t="s">
        <v>24</v>
      </c>
      <c r="L708" s="2"/>
      <c r="M708" s="2"/>
      <c r="N708" s="20" t="s">
        <v>2249</v>
      </c>
      <c r="O708" s="2"/>
      <c r="P708" s="2"/>
    </row>
    <row r="709">
      <c r="A709" s="20" t="s">
        <v>2250</v>
      </c>
      <c r="B709" s="87" t="s">
        <v>1979</v>
      </c>
      <c r="C709" s="2"/>
      <c r="D709" s="87" t="s">
        <v>32</v>
      </c>
      <c r="E709" s="78">
        <v>22100.0</v>
      </c>
      <c r="F709" s="78">
        <v>6800.0</v>
      </c>
      <c r="G709" s="2"/>
      <c r="H709" s="78">
        <v>4600.0</v>
      </c>
      <c r="I709" s="2"/>
      <c r="J709" s="2"/>
      <c r="K709" s="47" t="s">
        <v>24</v>
      </c>
      <c r="L709" s="2"/>
      <c r="M709" s="2"/>
      <c r="N709" s="20" t="s">
        <v>2251</v>
      </c>
      <c r="O709" s="2"/>
      <c r="P709" s="2"/>
    </row>
    <row r="710">
      <c r="A710" s="20" t="s">
        <v>2252</v>
      </c>
      <c r="B710" s="87" t="s">
        <v>1979</v>
      </c>
      <c r="C710" s="2"/>
      <c r="D710" s="87" t="s">
        <v>32</v>
      </c>
      <c r="E710" s="78">
        <v>12800.0</v>
      </c>
      <c r="F710" s="78">
        <v>7400.0</v>
      </c>
      <c r="G710" s="2"/>
      <c r="H710" s="78">
        <v>5594.0</v>
      </c>
      <c r="I710" s="2"/>
      <c r="J710" s="2"/>
      <c r="K710" s="47" t="s">
        <v>24</v>
      </c>
      <c r="L710" s="2"/>
      <c r="M710" s="2"/>
      <c r="N710" s="20" t="s">
        <v>2253</v>
      </c>
      <c r="O710" s="2"/>
      <c r="P710" s="2"/>
    </row>
    <row r="711">
      <c r="A711" s="20" t="s">
        <v>2254</v>
      </c>
      <c r="B711" s="87" t="s">
        <v>1979</v>
      </c>
      <c r="C711" s="2"/>
      <c r="D711" s="87" t="s">
        <v>32</v>
      </c>
      <c r="E711" s="78">
        <v>6000.0</v>
      </c>
      <c r="F711" s="78">
        <v>2800.0</v>
      </c>
      <c r="G711" s="2"/>
      <c r="H711" s="78">
        <v>839.0</v>
      </c>
      <c r="I711" s="2"/>
      <c r="J711" s="2"/>
      <c r="K711" s="47" t="s">
        <v>24</v>
      </c>
      <c r="L711" s="2"/>
      <c r="M711" s="2"/>
      <c r="N711" s="20" t="s">
        <v>2253</v>
      </c>
      <c r="O711" s="2"/>
      <c r="P711" s="2"/>
    </row>
    <row r="712">
      <c r="A712" s="20" t="s">
        <v>2255</v>
      </c>
      <c r="B712" s="87" t="s">
        <v>1979</v>
      </c>
      <c r="C712" s="2"/>
      <c r="D712" s="87" t="s">
        <v>32</v>
      </c>
      <c r="E712" s="78">
        <v>5200.0</v>
      </c>
      <c r="F712" s="78">
        <v>2100.0</v>
      </c>
      <c r="G712" s="2"/>
      <c r="H712" s="78">
        <v>629.0</v>
      </c>
      <c r="I712" s="2"/>
      <c r="J712" s="2"/>
      <c r="K712" s="47" t="s">
        <v>24</v>
      </c>
      <c r="L712" s="2"/>
      <c r="M712" s="2"/>
      <c r="N712" s="83" t="s">
        <v>2256</v>
      </c>
      <c r="O712" s="2"/>
      <c r="P712" s="2"/>
    </row>
    <row r="713">
      <c r="A713" s="20" t="s">
        <v>2257</v>
      </c>
      <c r="B713" s="87" t="s">
        <v>61</v>
      </c>
      <c r="C713" s="2"/>
      <c r="D713" s="87" t="s">
        <v>32</v>
      </c>
      <c r="E713" s="78">
        <v>66100.0</v>
      </c>
      <c r="F713" s="78">
        <v>70000.0</v>
      </c>
      <c r="G713" s="2"/>
      <c r="H713" s="78">
        <v>40000.0</v>
      </c>
      <c r="I713" s="2"/>
      <c r="J713" s="2"/>
      <c r="K713" s="47" t="s">
        <v>24</v>
      </c>
      <c r="L713" s="2"/>
      <c r="M713" s="2"/>
      <c r="N713" s="20" t="s">
        <v>2258</v>
      </c>
      <c r="O713" s="2"/>
      <c r="P713" s="2"/>
    </row>
    <row r="714">
      <c r="A714" s="20" t="s">
        <v>2259</v>
      </c>
      <c r="B714" s="87" t="s">
        <v>31</v>
      </c>
      <c r="C714" s="2"/>
      <c r="D714" s="87" t="s">
        <v>32</v>
      </c>
      <c r="E714" s="78">
        <v>4900.0</v>
      </c>
      <c r="F714" s="78">
        <v>20000.0</v>
      </c>
      <c r="G714" s="2"/>
      <c r="H714" s="78">
        <v>12000.0</v>
      </c>
      <c r="I714" s="2"/>
      <c r="J714" s="2"/>
      <c r="K714" s="47" t="s">
        <v>24</v>
      </c>
      <c r="L714" s="2"/>
      <c r="M714" s="2"/>
      <c r="N714" s="20" t="s">
        <v>2260</v>
      </c>
      <c r="O714" s="2"/>
      <c r="P714" s="2"/>
    </row>
    <row r="715">
      <c r="A715" s="20" t="s">
        <v>2261</v>
      </c>
      <c r="B715" s="87" t="s">
        <v>61</v>
      </c>
      <c r="C715" s="2"/>
      <c r="D715" s="87" t="s">
        <v>32</v>
      </c>
      <c r="E715" s="78">
        <v>161000.0</v>
      </c>
      <c r="F715" s="78">
        <v>50000.0</v>
      </c>
      <c r="G715" s="2"/>
      <c r="H715" s="78">
        <v>30000.0</v>
      </c>
      <c r="I715" s="2"/>
      <c r="J715" s="2"/>
      <c r="K715" s="47" t="s">
        <v>24</v>
      </c>
      <c r="L715" s="2"/>
      <c r="M715" s="2"/>
      <c r="N715" s="20" t="s">
        <v>2262</v>
      </c>
      <c r="O715" s="2"/>
      <c r="P715" s="2"/>
    </row>
    <row r="716">
      <c r="A716" s="20" t="s">
        <v>2263</v>
      </c>
      <c r="B716" s="87" t="s">
        <v>19</v>
      </c>
      <c r="C716" s="2"/>
      <c r="D716" s="87" t="s">
        <v>32</v>
      </c>
      <c r="E716" s="78">
        <v>1960.0</v>
      </c>
      <c r="F716" s="78">
        <v>15000.0</v>
      </c>
      <c r="G716" s="2"/>
      <c r="H716" s="78">
        <v>5000.0</v>
      </c>
      <c r="I716" s="2"/>
      <c r="J716" s="2"/>
      <c r="K716" s="47" t="s">
        <v>24</v>
      </c>
      <c r="L716" s="2"/>
      <c r="M716" s="2"/>
      <c r="N716" s="20" t="s">
        <v>2264</v>
      </c>
      <c r="O716" s="2"/>
      <c r="P716" s="2"/>
    </row>
    <row r="717" ht="19.5" customHeight="1">
      <c r="A717" s="101" t="s">
        <v>2265</v>
      </c>
      <c r="B717" s="87" t="s">
        <v>61</v>
      </c>
      <c r="C717" s="2"/>
      <c r="D717" s="87" t="s">
        <v>32</v>
      </c>
      <c r="E717" s="78">
        <v>82200.0</v>
      </c>
      <c r="F717" s="78">
        <v>100000.0</v>
      </c>
      <c r="G717" s="2"/>
      <c r="H717" s="78">
        <v>30000.0</v>
      </c>
      <c r="I717" s="2"/>
      <c r="J717" s="2"/>
      <c r="K717" s="47" t="s">
        <v>24</v>
      </c>
      <c r="L717" s="2"/>
      <c r="M717" s="2"/>
      <c r="N717" s="83" t="s">
        <v>2266</v>
      </c>
      <c r="O717" s="2"/>
      <c r="P717" s="2"/>
    </row>
    <row r="718" ht="19.5" customHeight="1">
      <c r="A718" s="101" t="s">
        <v>2267</v>
      </c>
      <c r="B718" s="87" t="s">
        <v>19</v>
      </c>
      <c r="C718" s="2"/>
      <c r="D718" s="87" t="s">
        <v>32</v>
      </c>
      <c r="E718" s="78">
        <v>50400.0</v>
      </c>
      <c r="F718" s="78">
        <v>80000.0</v>
      </c>
      <c r="G718" s="2"/>
      <c r="H718" s="78">
        <v>20000.0</v>
      </c>
      <c r="I718" s="2"/>
      <c r="J718" s="2"/>
      <c r="K718" s="47" t="s">
        <v>24</v>
      </c>
      <c r="L718" s="2"/>
      <c r="M718" s="2"/>
      <c r="N718" s="83" t="s">
        <v>2268</v>
      </c>
      <c r="O718" s="2"/>
      <c r="P718" s="2"/>
    </row>
    <row r="719">
      <c r="A719" s="20" t="s">
        <v>2269</v>
      </c>
      <c r="B719" s="87" t="s">
        <v>31</v>
      </c>
      <c r="C719" s="2"/>
      <c r="D719" s="87" t="s">
        <v>32</v>
      </c>
      <c r="E719" s="78">
        <v>202000.0</v>
      </c>
      <c r="F719" s="78">
        <v>185000.0</v>
      </c>
      <c r="G719" s="2"/>
      <c r="H719" s="78">
        <v>25000.0</v>
      </c>
      <c r="I719" s="2"/>
      <c r="J719" s="2"/>
      <c r="K719" s="47" t="s">
        <v>24</v>
      </c>
      <c r="L719" s="2"/>
      <c r="M719" s="2"/>
      <c r="N719" s="20" t="s">
        <v>2270</v>
      </c>
      <c r="O719" s="2"/>
      <c r="P719" s="2"/>
    </row>
    <row r="720">
      <c r="A720" s="20" t="s">
        <v>2271</v>
      </c>
      <c r="B720" s="87" t="s">
        <v>31</v>
      </c>
      <c r="C720" s="2"/>
      <c r="D720" s="87" t="s">
        <v>32</v>
      </c>
      <c r="E720" s="78">
        <v>15900.0</v>
      </c>
      <c r="F720" s="78">
        <v>25000.0</v>
      </c>
      <c r="G720" s="2"/>
      <c r="H720" s="78">
        <v>21400.0</v>
      </c>
      <c r="I720" s="2"/>
      <c r="J720" s="2"/>
      <c r="K720" s="47" t="s">
        <v>24</v>
      </c>
      <c r="L720" s="2"/>
      <c r="M720" s="2"/>
      <c r="N720" s="20" t="s">
        <v>2272</v>
      </c>
      <c r="O720" s="2"/>
      <c r="P720" s="2"/>
    </row>
    <row r="721">
      <c r="A721" s="20" t="s">
        <v>2273</v>
      </c>
      <c r="B721" s="87" t="s">
        <v>31</v>
      </c>
      <c r="C721" s="2"/>
      <c r="D721" s="87" t="s">
        <v>32</v>
      </c>
      <c r="E721" s="78">
        <v>11200.0</v>
      </c>
      <c r="F721" s="78">
        <v>42000.0</v>
      </c>
      <c r="G721" s="2"/>
      <c r="H721" s="78">
        <v>15000.0</v>
      </c>
      <c r="I721" s="2"/>
      <c r="J721" s="2"/>
      <c r="K721" s="47" t="s">
        <v>24</v>
      </c>
      <c r="L721" s="2"/>
      <c r="M721" s="2"/>
      <c r="N721" s="20" t="s">
        <v>2274</v>
      </c>
      <c r="O721" s="2"/>
      <c r="P721" s="2"/>
    </row>
    <row r="722">
      <c r="A722" s="102" t="s">
        <v>2275</v>
      </c>
      <c r="B722" s="87" t="s">
        <v>61</v>
      </c>
      <c r="C722" s="2"/>
      <c r="D722" s="87" t="s">
        <v>32</v>
      </c>
      <c r="E722" s="78">
        <v>203000.0</v>
      </c>
      <c r="F722" s="78">
        <v>60000.0</v>
      </c>
      <c r="G722" s="2"/>
      <c r="H722" s="78">
        <v>20000.0</v>
      </c>
      <c r="I722" s="2"/>
      <c r="J722" s="2"/>
      <c r="K722" s="47" t="s">
        <v>24</v>
      </c>
      <c r="L722" s="2"/>
      <c r="M722" s="2"/>
      <c r="N722" s="103" t="s">
        <v>2276</v>
      </c>
      <c r="O722" s="2"/>
      <c r="P722" s="2"/>
    </row>
    <row r="723">
      <c r="A723" s="20" t="s">
        <v>2277</v>
      </c>
      <c r="B723" s="87" t="s">
        <v>19</v>
      </c>
      <c r="C723" s="2"/>
      <c r="D723" s="87" t="s">
        <v>32</v>
      </c>
      <c r="E723" s="78">
        <v>19300.0</v>
      </c>
      <c r="F723" s="78">
        <v>20000.0</v>
      </c>
      <c r="G723" s="2"/>
      <c r="H723" s="78">
        <v>5000.0</v>
      </c>
      <c r="I723" s="2"/>
      <c r="J723" s="2"/>
      <c r="K723" s="47" t="s">
        <v>24</v>
      </c>
      <c r="L723" s="2"/>
      <c r="M723" s="2"/>
      <c r="N723" s="20" t="s">
        <v>2278</v>
      </c>
      <c r="O723" s="2"/>
      <c r="P723" s="2"/>
    </row>
    <row r="724">
      <c r="A724" s="20" t="s">
        <v>2279</v>
      </c>
      <c r="B724" s="87" t="s">
        <v>31</v>
      </c>
      <c r="C724" s="2"/>
      <c r="D724" s="87" t="s">
        <v>32</v>
      </c>
      <c r="E724" s="78">
        <v>6500.0</v>
      </c>
      <c r="F724" s="78">
        <v>10000.0</v>
      </c>
      <c r="G724" s="2"/>
      <c r="H724" s="78">
        <v>5000.0</v>
      </c>
      <c r="I724" s="2"/>
      <c r="J724" s="2"/>
      <c r="K724" s="47" t="s">
        <v>24</v>
      </c>
      <c r="L724" s="2"/>
      <c r="M724" s="2"/>
      <c r="N724" s="20" t="s">
        <v>2280</v>
      </c>
      <c r="O724" s="2"/>
      <c r="P724" s="2"/>
    </row>
    <row r="725">
      <c r="A725" s="20" t="s">
        <v>2281</v>
      </c>
      <c r="B725" s="87" t="s">
        <v>61</v>
      </c>
      <c r="C725" s="2"/>
      <c r="D725" s="87" t="s">
        <v>32</v>
      </c>
      <c r="E725" s="78">
        <v>17000.0</v>
      </c>
      <c r="F725" s="78">
        <v>40000.0</v>
      </c>
      <c r="G725" s="2"/>
      <c r="H725" s="78">
        <v>25000.0</v>
      </c>
      <c r="I725" s="2"/>
      <c r="J725" s="2"/>
      <c r="K725" s="47" t="s">
        <v>24</v>
      </c>
      <c r="L725" s="2"/>
      <c r="M725" s="2"/>
      <c r="N725" s="85" t="s">
        <v>2282</v>
      </c>
      <c r="O725" s="2"/>
      <c r="P725" s="2"/>
    </row>
    <row r="726">
      <c r="A726" s="20" t="s">
        <v>2283</v>
      </c>
      <c r="B726" s="87" t="s">
        <v>19</v>
      </c>
      <c r="C726" s="2"/>
      <c r="D726" s="87" t="s">
        <v>32</v>
      </c>
      <c r="E726" s="78">
        <v>3900.0</v>
      </c>
      <c r="F726" s="78">
        <v>25000.0</v>
      </c>
      <c r="G726" s="2"/>
      <c r="H726" s="78">
        <v>10000.0</v>
      </c>
      <c r="I726" s="2"/>
      <c r="J726" s="2"/>
      <c r="K726" s="47" t="s">
        <v>24</v>
      </c>
      <c r="L726" s="2"/>
      <c r="M726" s="2"/>
      <c r="N726" s="20" t="s">
        <v>2284</v>
      </c>
      <c r="O726" s="2"/>
      <c r="P726" s="2"/>
    </row>
    <row r="727" ht="36.0" customHeight="1">
      <c r="A727" s="20" t="s">
        <v>2285</v>
      </c>
      <c r="B727" s="87" t="s">
        <v>1979</v>
      </c>
      <c r="C727" s="2"/>
      <c r="D727" s="87" t="s">
        <v>32</v>
      </c>
      <c r="E727" s="78">
        <v>24300.0</v>
      </c>
      <c r="F727" s="78">
        <v>2700.0</v>
      </c>
      <c r="G727" s="2"/>
      <c r="H727" s="78">
        <v>1888.0</v>
      </c>
      <c r="I727" s="2"/>
      <c r="J727" s="2"/>
      <c r="K727" s="47" t="s">
        <v>24</v>
      </c>
      <c r="L727" s="2"/>
      <c r="M727" s="2"/>
      <c r="N727" s="104" t="s">
        <v>2286</v>
      </c>
      <c r="O727" s="2"/>
      <c r="P727" s="2"/>
    </row>
    <row r="728">
      <c r="A728" s="20" t="s">
        <v>2287</v>
      </c>
      <c r="B728" s="87" t="s">
        <v>1979</v>
      </c>
      <c r="C728" s="2"/>
      <c r="D728" s="87" t="s">
        <v>32</v>
      </c>
      <c r="E728" s="78">
        <v>11000.0</v>
      </c>
      <c r="F728" s="78">
        <v>1900.0</v>
      </c>
      <c r="G728" s="2"/>
      <c r="H728" s="78">
        <v>1678.0</v>
      </c>
      <c r="I728" s="2"/>
      <c r="J728" s="2"/>
      <c r="K728" s="47" t="s">
        <v>24</v>
      </c>
      <c r="L728" s="2"/>
      <c r="M728" s="2"/>
      <c r="N728" s="105" t="s">
        <v>2288</v>
      </c>
      <c r="O728" s="2"/>
      <c r="P728" s="2"/>
    </row>
    <row r="729">
      <c r="A729" s="20" t="s">
        <v>2289</v>
      </c>
      <c r="B729" s="87" t="s">
        <v>1979</v>
      </c>
      <c r="C729" s="2"/>
      <c r="D729" s="87" t="s">
        <v>32</v>
      </c>
      <c r="E729" s="78">
        <v>21800.0</v>
      </c>
      <c r="F729" s="78">
        <v>3300.0</v>
      </c>
      <c r="G729" s="2"/>
      <c r="H729" s="78">
        <v>3496.0</v>
      </c>
      <c r="I729" s="2"/>
      <c r="J729" s="2"/>
      <c r="K729" s="47" t="s">
        <v>24</v>
      </c>
      <c r="L729" s="2"/>
      <c r="M729" s="2"/>
      <c r="N729" s="83" t="s">
        <v>2290</v>
      </c>
      <c r="O729" s="2"/>
      <c r="P729" s="2"/>
    </row>
    <row r="730">
      <c r="A730" s="20" t="s">
        <v>2291</v>
      </c>
      <c r="B730" s="87" t="s">
        <v>1979</v>
      </c>
      <c r="C730" s="2"/>
      <c r="D730" s="87" t="s">
        <v>32</v>
      </c>
      <c r="E730" s="78">
        <v>15200.0</v>
      </c>
      <c r="F730" s="78">
        <v>1300.0</v>
      </c>
      <c r="G730" s="2"/>
      <c r="H730" s="78">
        <v>1398.0</v>
      </c>
      <c r="I730" s="2"/>
      <c r="J730" s="2"/>
      <c r="K730" s="47" t="s">
        <v>24</v>
      </c>
      <c r="L730" s="2"/>
      <c r="M730" s="2"/>
      <c r="N730" s="83" t="s">
        <v>2292</v>
      </c>
      <c r="O730" s="2"/>
      <c r="P730" s="2"/>
    </row>
    <row r="731">
      <c r="A731" s="20" t="s">
        <v>2293</v>
      </c>
      <c r="B731" s="87" t="s">
        <v>40</v>
      </c>
      <c r="C731" s="2"/>
      <c r="D731" s="87" t="s">
        <v>32</v>
      </c>
      <c r="E731" s="78">
        <v>2777.0</v>
      </c>
      <c r="F731" s="78">
        <v>1600.0</v>
      </c>
      <c r="G731" s="2"/>
      <c r="H731" s="78">
        <v>433.0</v>
      </c>
      <c r="I731" s="2"/>
      <c r="J731" s="2"/>
      <c r="K731" s="47" t="s">
        <v>24</v>
      </c>
      <c r="L731" s="2"/>
      <c r="M731" s="2"/>
      <c r="N731" s="2"/>
      <c r="O731" s="2"/>
      <c r="P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47" t="s">
        <v>24</v>
      </c>
      <c r="L732" s="2"/>
      <c r="M732" s="2"/>
      <c r="N732" s="2"/>
      <c r="O732" s="2"/>
      <c r="P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</sheetData>
  <autoFilter ref="$A$4:$X$561">
    <filterColumn colId="3">
      <filters>
        <filter val="Рыбалка"/>
      </filters>
    </filterColumn>
  </autoFilter>
  <conditionalFormatting sqref="O93">
    <cfRule type="expression" dxfId="0" priority="1">
      <formula>AND($H19="Вышло",$G19="")</formula>
    </cfRule>
  </conditionalFormatting>
  <conditionalFormatting sqref="O93">
    <cfRule type="expression" dxfId="1" priority="2">
      <formula>AND($H19="Вышло",N($Y19)=0,N($U19)=0)</formula>
    </cfRule>
  </conditionalFormatting>
  <conditionalFormatting sqref="O93">
    <cfRule type="expression" dxfId="0" priority="3">
      <formula>AND($H19="Вышло",$G19="")</formula>
    </cfRule>
  </conditionalFormatting>
  <conditionalFormatting sqref="O93">
    <cfRule type="expression" dxfId="2" priority="4">
      <formula>AND($H19="Вышло",N($Y19)=0,N($U19)=0)</formula>
    </cfRule>
  </conditionalFormatting>
  <conditionalFormatting sqref="O93">
    <cfRule type="expression" dxfId="0" priority="5">
      <formula>AND($H19="Вышло",$G19="")</formula>
    </cfRule>
  </conditionalFormatting>
  <conditionalFormatting sqref="O93">
    <cfRule type="expression" dxfId="2" priority="6">
      <formula>AND($H19="Вышло",N($Y19)=0,N($U19)=0)</formula>
    </cfRule>
  </conditionalFormatting>
  <conditionalFormatting sqref="O93">
    <cfRule type="expression" dxfId="0" priority="7">
      <formula>AND($H19="Вышло",$G19="")</formula>
    </cfRule>
  </conditionalFormatting>
  <conditionalFormatting sqref="O93">
    <cfRule type="expression" dxfId="2" priority="8">
      <formula>AND($H19="Вышло",N($Y19)=0,N($U19)=0)</formula>
    </cfRule>
  </conditionalFormatting>
  <conditionalFormatting sqref="O92:P92">
    <cfRule type="expression" dxfId="0" priority="9">
      <formula>AND($H15="Вышло",$G15="")</formula>
    </cfRule>
  </conditionalFormatting>
  <conditionalFormatting sqref="O92:P92">
    <cfRule type="expression" dxfId="1" priority="10">
      <formula>AND($H15="Вышло",N($Y15)=0,N($U15)=0)</formula>
    </cfRule>
  </conditionalFormatting>
  <conditionalFormatting sqref="O92:P92">
    <cfRule type="expression" dxfId="0" priority="11">
      <formula>AND($H15="Вышло",$G15="")</formula>
    </cfRule>
  </conditionalFormatting>
  <conditionalFormatting sqref="O92:P92">
    <cfRule type="expression" dxfId="2" priority="12">
      <formula>AND($H15="Вышло",N($Y15)=0,N($U15)=0)</formula>
    </cfRule>
  </conditionalFormatting>
  <conditionalFormatting sqref="O92:P92">
    <cfRule type="expression" dxfId="0" priority="13">
      <formula>AND($H15="Вышло",$G15="")</formula>
    </cfRule>
  </conditionalFormatting>
  <conditionalFormatting sqref="O92:P92">
    <cfRule type="expression" dxfId="2" priority="14">
      <formula>AND($H15="Вышло",N($Y15)=0,N($U15)=0)</formula>
    </cfRule>
  </conditionalFormatting>
  <conditionalFormatting sqref="O92:P92">
    <cfRule type="expression" dxfId="0" priority="15">
      <formula>AND($H15="Вышло",$G15="")</formula>
    </cfRule>
  </conditionalFormatting>
  <conditionalFormatting sqref="O92:P92">
    <cfRule type="expression" dxfId="2" priority="16">
      <formula>AND($H15="Вышло",N($Y15)=0,N($U15)=0)</formula>
    </cfRule>
  </conditionalFormatting>
  <conditionalFormatting sqref="O172:P172 O174:O180 P174:P176">
    <cfRule type="expression" dxfId="2" priority="17">
      <formula>AND($H10="Вышло",N($Y10)=0,N($U10)=0)</formula>
    </cfRule>
  </conditionalFormatting>
  <conditionalFormatting sqref="O172:P172 O174:O180 P174:P176">
    <cfRule type="expression" dxfId="0" priority="18">
      <formula>AND($H10="Вышло",$G10="")</formula>
    </cfRule>
  </conditionalFormatting>
  <conditionalFormatting sqref="O172:P172 O174:O180 P174:P176">
    <cfRule type="expression" dxfId="2" priority="19">
      <formula>AND($H10="Вышло",N($Y10)=0,N($U10)=0)</formula>
    </cfRule>
  </conditionalFormatting>
  <conditionalFormatting sqref="O172:P172 O174:O180 P174:P176">
    <cfRule type="expression" dxfId="0" priority="20">
      <formula>AND($H10="Вышло",$G10="")</formula>
    </cfRule>
  </conditionalFormatting>
  <conditionalFormatting sqref="O172:P172 O174:O180 P174:P176">
    <cfRule type="expression" dxfId="2" priority="21">
      <formula>AND($H10="Вышло",N($Y10)=0,N($U10)=0)</formula>
    </cfRule>
  </conditionalFormatting>
  <conditionalFormatting sqref="O172:P172 O174:O180 P174:P176">
    <cfRule type="expression" dxfId="0" priority="22">
      <formula>AND($H10="Вышло",$G10="")</formula>
    </cfRule>
  </conditionalFormatting>
  <conditionalFormatting sqref="O172:P172 O174:O180 P174:P176">
    <cfRule type="expression" dxfId="1" priority="23">
      <formula>AND($H10="Вышло",N($Y10)=0,N($U10)=0)</formula>
    </cfRule>
  </conditionalFormatting>
  <conditionalFormatting sqref="O172:P172 O174:O180 P174:P176">
    <cfRule type="expression" dxfId="0" priority="24">
      <formula>AND($H10="Вышло",$G10="")</formula>
    </cfRule>
  </conditionalFormatting>
  <conditionalFormatting sqref="O7:O8 P7:P46 O12:O61 P49 P52:P58 O67:P67 O71:P118 O152:P152 O154:P154 O156:P156 O158:P158 O161:P161 O166:P166 O173:P176 O178:P178 O188:P188 O190:P190 O194:P197 O199:P201 O204:P204 O206:P206 O210:P210 O213:P213 O215:P215 O218:P218 O220:P220 O223:P223 O226:P226 O236:P237 O239:P239 O241:P241 O244:P244 O246:P246 O250:P250 O255:P255 O257:P258 O261:P261 O263:P264 O266:P266 O269:P269 O272:P272 O275:P275 O277:P277 O280:P280 O283:P283 O285:P285 O287:P287 O289:P292 O295:P295 O297:P297 O301:P301 O303:P303 O308:P308 O311:P312 O316:P316 O320:P321 O324:P325 O327:P327 O331:P334 O343:P343 O345:P346 O349:P350 O356:P357 O359:P359 O361:P362 O364:P364 O367:P367 O377:P379 O381:P382 O385:P386 O388:P388 O391:P391 O393:P393 O395:P398 O401:P401 O406:P406 O409:P409 O411:P411 O413:P413 O417:P417 O422:P426 O429:P430 O432:P432 O437:P437 O439:P442 O444:P445 O448:P448 O451:P452 O454:P454 O456:P456 O459:P460 O465:P465 O467:P467 O471:P473 O475:P475 O477:P477 O479:P479 O481:P481 O483:P484 O486:P487 O490:P491 O494:P495 O497:P500 O503:P505 O507:P507 O509:P509 O511:P511 O513:P513 O516:P520 O522:P523 O525:P527 O529:P529 O531:P532 O534:P535 O538:P539 O541:P542 O546:P547 O549:P549 O552:P552 O554:P556 O559:P559 O561:O628 P561:P627 H563:H564">
    <cfRule type="expression" dxfId="0" priority="25">
      <formula>AND(#REF!="Вышло",#REF!="")</formula>
    </cfRule>
  </conditionalFormatting>
  <conditionalFormatting sqref="O7:O8 P7:P46 O12:O61 P49 P52:P58 O67:P67 O71:P118 O152:P152 O154:P154 O156:P156 O158:P158 O161:P161 O166:P166 O173:P176 O178:P178 O188:P188 O190:P190 O194:P197 O199:P201 O204:P204 O206:P206 O210:P210 O213:P213 O215:P215 O218:P218 O220:P220 O223:P223 O226:P226 O236:P237 O239:P239 O241:P241 O244:P244 O246:P246 O250:P250 O255:P255 O257:P258 O261:P261 O263:P264 O266:P266 O269:P269 O272:P272 O275:P275 O277:P277 O280:P280 O283:P283 O285:P285 O287:P287 O289:P292 O295:P295 O297:P297 O301:P301 O303:P303 O308:P308 O311:P312 O316:P316 O320:P321 O324:P325 O327:P327 O331:P334 O343:P343 O345:P346 O349:P350 O356:P357 O359:P359 O361:P362 O364:P364 O367:P367 O377:P379 O381:P382 O385:P386 O388:P388 O391:P391 O393:P393 O395:P398 O401:P401 O406:P406 O409:P409 O411:P411 O413:P413 O417:P417 O422:P426 O429:P430 O432:P432 O437:P437 O439:P442 O444:P445 O448:P448 O451:P452 O454:P454 O456:P456 O459:P460 O465:P465 O467:P467 O471:P473 O475:P475 O477:P477 O479:P479 O481:P481 O483:P484 O486:P487 O490:P491 O494:P495 O497:P500 O503:P505 O507:P507 O509:P509 O511:P511 O513:P513 O516:P520 O522:P523 O525:P527 O529:P529 O531:P532 O534:P535 O538:P539 O541:P542 O546:P547 O549:P549 O552:P552 O554:P556 O559:P559 O561:O628 P561:P627 H563:H564">
    <cfRule type="expression" dxfId="1" priority="26">
      <formula>AND(#REF!="Вышло",N(#REF!)=0,N(#REF!)=0)</formula>
    </cfRule>
  </conditionalFormatting>
  <conditionalFormatting sqref="O7:O8 P7:P46 O12:O61 P49 P52:P58 O67:P67 O71:P118 O152:P152 O154:P154 O156:P156 O158:P158 O161:P161 O166:P166 O173:P176 O178:P178 O188:P188 O190:P190 O194:P197 O199:P201 O204:P204 O206:P206 O210:P210 O213:P213 O215:P215 O218:P218 O220:P220 O223:P223 O226:P226 O236:P237 O239:P239 O241:P241 O244:P244 O246:P246 O250:P250 O255:P255 O257:P258 O261:P261 O263:P264 O266:P266 O269:P269 O272:P272 O275:P275 O277:P277 O280:P280 O283:P283 O285:P285 O287:P287 O289:P292 O295:P295 O297:P297 O301:P301 O303:P303 O308:P308 O311:P312 O316:P316 O320:P321 O324:P325 O327:P327 O331:P334 O343:P343 O345:P346 O349:P350 O356:P357 O359:P359 O361:P362 O364:P364 O367:P367 O377:P379 O381:P382 O385:P386 O388:P388 O391:P391 O393:P393 O395:P398 O401:P401 O406:P406 O409:P409 O411:P411 O413:P413 O417:P417 O422:P426 O429:P430 O432:P432 O437:P437 O439:P442 O444:P445 O448:P448 O451:P452 O454:P454 O456:P456 O459:P460 O465:P465 O467:P467 O471:P473 O475:P475 O477:P477 O479:P479 O481:P481 O483:P484 O486:P487 O490:P491 O494:P495 O497:P500 O503:P505 O507:P507 O509:P509 O511:P511 O513:P513 O516:P520 O522:P523 O525:P527 O529:P529 O531:P532 O534:P535 O538:P539 O541:P542 O546:P547 O549:P549 O552:P552 O554:P556 O559:P559 O561:O628 P561:P627 H563:H564">
    <cfRule type="expression" dxfId="0" priority="27">
      <formula>AND(#REF!="Вышло",#REF!="")</formula>
    </cfRule>
  </conditionalFormatting>
  <conditionalFormatting sqref="O7:O8 P7:P46 O12:O61 P49 P52:P58 O67:P67 O71:P118 O152:P152 O154:P154 O156:P156 O158:P158 O161:P161 O166:P166 O173:P176 O178:P178 O188:P188 O190:P190 O194:P197 O199:P201 O204:P204 O206:P206 O210:P210 O213:P213 O215:P215 O218:P218 O220:P220 O223:P223 O226:P226 O236:P237 O239:P239 O241:P241 O244:P244 O246:P246 O250:P250 O255:P255 O257:P258 O261:P261 O263:P264 O266:P266 O269:P269 O272:P272 O275:P275 O277:P277 O280:P280 O283:P283 O285:P285 O287:P287 O289:P292 O295:P295 O297:P297 O301:P301 O303:P303 O308:P308 O311:P312 O316:P316 O320:P321 O324:P325 O327:P327 O331:P334 O343:P343 O345:P346 O349:P350 O356:P357 O359:P359 O361:P362 O364:P364 O367:P367 O377:P379 O381:P382 O385:P386 O388:P388 O391:P391 O393:P393 O395:P398 O401:P401 O406:P406 O409:P409 O411:P411 O413:P413 O417:P417 O422:P426 O429:P430 O432:P432 O437:P437 O439:P442 O444:P445 O448:P448 O451:P452 O454:P454 O456:P456 O459:P460 O465:P465 O467:P467 O471:P473 O475:P475 O477:P477 O479:P479 O481:P481 O483:P484 O486:P487 O490:P491 O494:P495 O497:P500 O503:P505 O507:P507 O509:P509 O511:P511 O513:P513 O516:P520 O522:P523 O525:P527 O529:P529 O531:P532 O534:P535 O538:P539 O541:P542 O546:P547 O549:P549 O552:P552 O554:P556 O559:P559 O561:O628 P561:P627 H563:H564">
    <cfRule type="expression" dxfId="2" priority="28">
      <formula>AND(#REF!="Вышло",N(#REF!)=0,N(#REF!)=0)</formula>
    </cfRule>
  </conditionalFormatting>
  <conditionalFormatting sqref="O7:O8 P7:P46 O12:O61 P49 P52:P58 O67:P67 O71:P118 O152:P152 O154:P154 O156:P156 O158:P158 O161:P161 O166:P166 O173:P176 O178:P178 O188:P188 O190:P190 O194:P197 O199:P201 O204:P204 O206:P206 O210:P210 O213:P213 O215:P215 O218:P218 O220:P220 O223:P223 O226:P226 O236:P237 O239:P239 O241:P241 O244:P244 O246:P246 O250:P250 O255:P255 O257:P258 O261:P261 O263:P264 O266:P266 O269:P269 O272:P272 O275:P275 O277:P277 O280:P280 O283:P283 O285:P285 O287:P287 O289:P292 O295:P295 O297:P297 O301:P301 O303:P303 O308:P308 O311:P312 O316:P316 O320:P321 O324:P325 O327:P327 O331:P334 O343:P343 O345:P346 O349:P350 O356:P357 O359:P359 O361:P362 O364:P364 O367:P367 O377:P379 O381:P382 O385:P386 O388:P388 O391:P391 O393:P393 O395:P398 O401:P401 O406:P406 O409:P409 O411:P411 O413:P413 O417:P417 O422:P426 O429:P430 O432:P432 O437:P437 O439:P442 O444:P445 O448:P448 O451:P452 O454:P454 O456:P456 O459:P460 O465:P465 O467:P467 O471:P473 O475:P475 O477:P477 O479:P479 O481:P481 O483:P484 O486:P487 O490:P491 O494:P495 O497:P500 O503:P505 O507:P507 O509:P509 O511:P511 O513:P513 O516:P520 O522:P523 O525:P527 O529:P529 O531:P532 O534:P535 O538:P539 O541:P542 O546:P547 O549:P549 O552:P552 O554:P556 O559:P559 O561:O628 P561:P627 H563:H564">
    <cfRule type="expression" dxfId="0" priority="29">
      <formula>AND(#REF!="Вышло",#REF!="")</formula>
    </cfRule>
  </conditionalFormatting>
  <conditionalFormatting sqref="O7:O8 P7:P46 O12:O61 P49 P52:P58 O67:P67 O71:P118 O152:P152 O154:P154 O156:P156 O158:P158 O161:P161 O166:P166 O173:P176 O178:P178 O188:P188 O190:P190 O194:P197 O199:P201 O204:P204 O206:P206 O210:P210 O213:P213 O215:P215 O218:P218 O220:P220 O223:P223 O226:P226 O236:P237 O239:P239 O241:P241 O244:P244 O246:P246 O250:P250 O255:P255 O257:P258 O261:P261 O263:P264 O266:P266 O269:P269 O272:P272 O275:P275 O277:P277 O280:P280 O283:P283 O285:P285 O287:P287 O289:P292 O295:P295 O297:P297 O301:P301 O303:P303 O308:P308 O311:P312 O316:P316 O320:P321 O324:P325 O327:P327 O331:P334 O343:P343 O345:P346 O349:P350 O356:P357 O359:P359 O361:P362 O364:P364 O367:P367 O377:P379 O381:P382 O385:P386 O388:P388 O391:P391 O393:P393 O395:P398 O401:P401 O406:P406 O409:P409 O411:P411 O413:P413 O417:P417 O422:P426 O429:P430 O432:P432 O437:P437 O439:P442 O444:P445 O448:P448 O451:P452 O454:P454 O456:P456 O459:P460 O465:P465 O467:P467 O471:P473 O475:P475 O477:P477 O479:P479 O481:P481 O483:P484 O486:P487 O490:P491 O494:P495 O497:P500 O503:P505 O507:P507 O509:P509 O511:P511 O513:P513 O516:P520 O522:P523 O525:P527 O529:P529 O531:P532 O534:P535 O538:P539 O541:P542 O546:P547 O549:P549 O552:P552 O554:P556 O559:P559 O561:O628 P561:P627 H563:H564">
    <cfRule type="expression" dxfId="2" priority="30">
      <formula>AND(#REF!="Вышло",N(#REF!)=0,N(#REF!)=0)</formula>
    </cfRule>
  </conditionalFormatting>
  <conditionalFormatting sqref="O7:O8 P7:P46 O12:O61 P49 P52:P58 O67:P67 O71:P118 O152:P152 O154:P154 O156:P156 O158:P158 O161:P161 O166:P166 O173:P176 O178:P178 O188:P188 O190:P190 O194:P197 O199:P201 O204:P204 O206:P206 O210:P210 O213:P213 O215:P215 O218:P218 O220:P220 O223:P223 O226:P226 O236:P237 O239:P239 O241:P241 O244:P244 O246:P246 O250:P250 O255:P255 O257:P258 O261:P261 O263:P264 O266:P266 O269:P269 O272:P272 O275:P275 O277:P277 O280:P280 O283:P283 O285:P285 O287:P287 O289:P292 O295:P295 O297:P297 O301:P301 O303:P303 O308:P308 O311:P312 O316:P316 O320:P321 O324:P325 O327:P327 O331:P334 O343:P343 O345:P346 O349:P350 O356:P357 O359:P359 O361:P362 O364:P364 O367:P367 O377:P379 O381:P382 O385:P386 O388:P388 O391:P391 O393:P393 O395:P398 O401:P401 O406:P406 O409:P409 O411:P411 O413:P413 O417:P417 O422:P426 O429:P430 O432:P432 O437:P437 O439:P442 O444:P445 O448:P448 O451:P452 O454:P454 O456:P456 O459:P460 O465:P465 O467:P467 O471:P473 O475:P475 O477:P477 O479:P479 O481:P481 O483:P484 O486:P487 O490:P491 O494:P495 O497:P500 O503:P505 O507:P507 O509:P509 O511:P511 O513:P513 O516:P520 O522:P523 O525:P527 O529:P529 O531:P532 O534:P535 O538:P539 O541:P542 O546:P547 O549:P549 O552:P552 O554:P556 O559:P559 O561:O628 P561:P627 H563:H564">
    <cfRule type="expression" dxfId="0" priority="31">
      <formula>AND(#REF!="Вышло",#REF!="")</formula>
    </cfRule>
  </conditionalFormatting>
  <conditionalFormatting sqref="O7:O8 P7:P46 O12:O61 P49 P52:P58 O67:P67 O71:P118 O152:P152 O154:P154 O156:P156 O158:P158 O161:P161 O166:P166 O173:P176 O178:P178 O188:P188 O190:P190 O194:P197 O199:P201 O204:P204 O206:P206 O210:P210 O213:P213 O215:P215 O218:P218 O220:P220 O223:P223 O226:P226 O236:P237 O239:P239 O241:P241 O244:P244 O246:P246 O250:P250 O255:P255 O257:P258 O261:P261 O263:P264 O266:P266 O269:P269 O272:P272 O275:P275 O277:P277 O280:P280 O283:P283 O285:P285 O287:P287 O289:P292 O295:P295 O297:P297 O301:P301 O303:P303 O308:P308 O311:P312 O316:P316 O320:P321 O324:P325 O327:P327 O331:P334 O343:P343 O345:P346 O349:P350 O356:P357 O359:P359 O361:P362 O364:P364 O367:P367 O377:P379 O381:P382 O385:P386 O388:P388 O391:P391 O393:P393 O395:P398 O401:P401 O406:P406 O409:P409 O411:P411 O413:P413 O417:P417 O422:P426 O429:P430 O432:P432 O437:P437 O439:P442 O444:P445 O448:P448 O451:P452 O454:P454 O456:P456 O459:P460 O465:P465 O467:P467 O471:P473 O475:P475 O477:P477 O479:P479 O481:P481 O483:P484 O486:P487 O490:P491 O494:P495 O497:P500 O503:P505 O507:P507 O509:P509 O511:P511 O513:P513 O516:P520 O522:P523 O525:P527 O529:P529 O531:P532 O534:P535 O538:P539 O541:P542 O546:P547 O549:P549 O552:P552 O554:P556 O559:P559 O561:O628 P561:P627 H563:H564">
    <cfRule type="expression" dxfId="2" priority="32">
      <formula>AND(#REF!="Вышло",N(#REF!)=0,N(#REF!)=0)</formula>
    </cfRule>
  </conditionalFormatting>
  <conditionalFormatting sqref="H562:H564">
    <cfRule type="expression" dxfId="0" priority="33">
      <formula>AND($I562="Вышло",$H562="")</formula>
    </cfRule>
  </conditionalFormatting>
  <conditionalFormatting sqref="H562:H564">
    <cfRule type="expression" dxfId="2" priority="34">
      <formula>AND($I562="Вышло",N($Z562)=0,N($V562)=0)</formula>
    </cfRule>
  </conditionalFormatting>
  <conditionalFormatting sqref="R2:R12 R17 R19:R171 R173:R408">
    <cfRule type="expression" dxfId="3" priority="35">
      <formula>$R2="Высокий"</formula>
    </cfRule>
  </conditionalFormatting>
  <conditionalFormatting sqref="R2:R12 R17 R19:R171 R173:R408">
    <cfRule type="expression" dxfId="2" priority="36">
      <formula>$R2="Средний"</formula>
    </cfRule>
  </conditionalFormatting>
  <conditionalFormatting sqref="R2:R12 R17 R19:R171 R173:R408">
    <cfRule type="expression" dxfId="0" priority="37">
      <formula>$R2="Низкий"</formula>
    </cfRule>
  </conditionalFormatting>
  <conditionalFormatting sqref="O2:O3 O5:O6 O9:O11 O19 O22:O31 O35:O38 O44:O45 O47:O48 O50:O51 O54:O55 O59:O66 O68:O70 O99:O100 O102:O103 O106:O108 O113 O119:O151 O153 O155 O157 O159:O160 O162:O165 O167:O171 O177 O179:O187 O189 O191:O193 O198 O202:O203 O205 O207:O209 O211:O212 O214 O216:O217 O219 O221:O222 O224:O225 O227:O235 O238 O240 O242:O243 O245 O247:O249 O251:O254 O256 O259:O260 O262 O265 O267:O268 O270:O271 O273:O274 O276 O278:O279 O281:O282 O284 O286 O288 O293:O294 O296 O298:O300 O302 O304:O307 O309:O310 O313:O315 O317:O319 O322:O323 O326 O328:O330 O335:O342 O344 O347:O348 O351:O355 O358 O360 O363 O365:O366 O368:O376 O380 O383:O384 O387 O389:O390 O392 O394 O399:O400 O402:O405 O407:O408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2:P3 P5:P6 P9:P11 P19 P22:P31 P35:P38 P44:P45 P47:P48 P50:P51 P54:P55 P59:P66 P68:P70 P99:P100 P102:P103 P106:P108 P113 P119:P151 P153 P155 P157 P159:P160 P162:P165 P167:P171 P177 P179:P187 P189 P191:P193 P198 P202:P203 P205 P207:P209 P211:P212 P214 P216:P217 P219 P221:P222 P224:P225 P227:P235 P238 P240 P242:P243 P245 P247:P249 P251:P254 P256 P259:P260 P262 P265 P267:P268 P270:P271 P273:P274 P276 P278:P279 P281:P282 P284 P286 P288 P293:P294 P296 P298:P300 P302 P304:P307 P309:P310 P313:P315 P317:P319 P322:P323 P326 P328:P330 P335:P342 P344 P347:P348 P351:P355 P358 P360 P363 P365:P366 P368:P376 P380 P383:P384 P387 P389:P390 P392 P394 P399:P400 P402:P405 P407:P408">
    <cfRule type="colorScale" priority="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7:O8 P7:P46 O12:O61 P49 P52:P58 O67:P67 O71:P118 O152:P152 O154:P154 O156:P156 O158:P158 O161:P161 O166:P166 O172:O180 P172:P176 P178 O188:P188 O190:P190 O194:P197 O199:P201 O204:P204 O206:P206 O210:P210 O213:P213 O215:P215 O218:P218 O220:P220 O223:P223 O226:P226 O236:P237 O239:P239 O241:P241 O244:P244 O246:P246 O250:P250 O255:P255 O257:P258 O261:P261 O263:P264 O266:P266 O269:P269 O272:P272 O275:P275 O277:P277 O280:P280 O283:P283 O285:P285 O287:P287 O289:P292 O295:P295 O297:P297 O301:P301 O303:P303 O308:P308 O311:P312 O316:P316 O320:P321 O324:P325 O327:P327 O331:P334 O343:P343 O345:P346 O349:P350 O356:P357 O359:P359 O361:P362 O364:P364 O367:P367 O377:P379 O381:P382 O385:P386 O388:P388 O391:P391 O393:P393 O395:P398 O401:P401 O406:P406 O409:P409 O411:P411 O413:P413 O417:P417 O422:P426 O429:P430 O432:P432 O437:P437 O439:P442 O444:P445 O448:P448 O451:P452 O454:P454 O456:P456 O459:P460 O465:P465 O467:P467 O471:P473 O475:P475 O477:P477 O479:P479 O481:P481 O483:P484 O486:P487 O490:P491 O494:P495 O497:P500 O503:P505 O507:P507 O509:P509 O511:P511 O513:P513 O516:P520 O522:P523 O525:P527 O529:P529 O531:P532 O534:P535 O538:P539 O541:P542 O546:P547 O549:P549 O552:P552 O554:P556 O559:P559 O561:O628 P561:P627">
    <cfRule type="colorScale" priority="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16 R18">
    <cfRule type="expression" dxfId="4" priority="41">
      <formula>$R16="Высокий"</formula>
    </cfRule>
  </conditionalFormatting>
  <conditionalFormatting sqref="R16 R18">
    <cfRule type="expression" dxfId="5" priority="42">
      <formula>$R16="Средний"</formula>
    </cfRule>
  </conditionalFormatting>
  <conditionalFormatting sqref="R16 R18">
    <cfRule type="expression" dxfId="6" priority="43">
      <formula>$R16="Низкий"</formula>
    </cfRule>
  </conditionalFormatting>
  <dataValidations>
    <dataValidation type="list" allowBlank="1" sqref="D2:D6 D9:D11 D19 D22:D31 D35:D38 D44:D45 D47:D48 D50:D51 D54:D55 D59:D66 D68:D70 D119:D151 D153 D155 D157 D159:D160 D162:D165 D167:D170">
      <formula1>nm_тематики</formula1>
    </dataValidation>
    <dataValidation type="list" allowBlank="1" sqref="D7:D8 D12:D18 D20:D21 D32:D34 D39:D43 D46 D49 D52:D53 D56:D58 D67 D71:D118 D152 D154 D156 D158 D161 D166 D171:D409 D411 D413 D417 D422:D426 D429:D430 D432 D437 D439:D442 D444:D445 D448 D451:D452 D454 D456 D459:D460 D465 D467 D471:D473 D475 D477 D479 D481 D483:D484 D486:D487 D490:D491 D494:D495 D497:D500 D503:D505 D507 D509 D511 D513 D516:D520 D522:D523 D525:D527 D529 D531:D532 D534:D535 D538:D539 D541:D542 D546:D547 D549 D552 D554:D556 D559 D561:D731">
      <formula1>"Рыбалка,Сад-огород,скидки,городские"</formula1>
    </dataValidation>
    <dataValidation type="list" allowBlank="1" sqref="B2:B6 B9:B11 B19 B22:B31 B35:B38 B44:B45 B47:B48 B50:B51 B54:B55 B59:B66 B68:B70 B119:B151 B153 B155 B157 B159:B160 B162:B165 B167:B170">
      <formula1>nm_площадки</formula1>
    </dataValidation>
    <dataValidation type="list" allowBlank="1" sqref="K57 K83 K87 K89:K116 K171 K177:K408">
      <formula1>"Анна,Менеджер 2"</formula1>
    </dataValidation>
    <dataValidation type="list" allowBlank="1" sqref="B7:B8 B12:B18 B20:B21 B32:B34 B39:B43 B46 B49 B52:B53 B56:B58 B67 B71:B118 B152 B154 B156 B158 B161 B166 B171:B409 B411 B413 B417 B422:B426 B429:B430 B432 B437 B439:B442 B444:B445 B448 B451:B452 B454 B456 B459:B460 B465 B467 B471:B473 B475 B477 B479 B481 B483:B484 B486:B487 B490:B491 B494:B495 B497:B500 B503:B505 B507 B509 B511 B513 B516:B520 B522:B523 B525:B527 B529 B531:B532 B534:B535 B538:B539 B541:B542 B546:B547 B549 B552 B554:B556 B559 B561:B731">
      <formula1>"Telegram,YouTube,MAX,VK,TikTok,Rutube,Instagram,Дзен"</formula1>
    </dataValidation>
    <dataValidation type="list" allowBlank="1" sqref="K2:K12 K17:K56 K58:K82 K84:K86 K88 K117:K170 K173:K176">
      <formula1>nm_отв</formula1>
    </dataValidation>
  </dataValidations>
  <hyperlinks>
    <hyperlink r:id="rId1" ref="A5"/>
    <hyperlink r:id="rId2" ref="A6"/>
    <hyperlink r:id="rId3" ref="A7"/>
    <hyperlink r:id="rId4" ref="N7"/>
    <hyperlink r:id="rId5" ref="A8"/>
    <hyperlink r:id="rId6" ref="I8"/>
    <hyperlink r:id="rId7" ref="A9"/>
    <hyperlink r:id="rId8" ref="A10"/>
    <hyperlink r:id="rId9" ref="A11"/>
    <hyperlink r:id="rId10" ref="A12"/>
    <hyperlink r:id="rId11" ref="A13"/>
    <hyperlink r:id="rId12" ref="A14"/>
    <hyperlink r:id="rId13" ref="N14"/>
    <hyperlink r:id="rId14" ref="A15"/>
    <hyperlink r:id="rId15" ref="N15"/>
    <hyperlink r:id="rId16" ref="A16"/>
    <hyperlink r:id="rId17" ref="N16"/>
    <hyperlink r:id="rId18" ref="A17"/>
    <hyperlink r:id="rId19" ref="I17"/>
    <hyperlink r:id="rId20" ref="A18"/>
    <hyperlink r:id="rId21" ref="A19"/>
    <hyperlink r:id="rId22" ref="A20"/>
    <hyperlink r:id="rId23" ref="I20"/>
    <hyperlink r:id="rId24" ref="A21"/>
    <hyperlink r:id="rId25" ref="A22"/>
    <hyperlink r:id="rId26" ref="A23"/>
    <hyperlink r:id="rId27" ref="A24"/>
    <hyperlink r:id="rId28" ref="A25"/>
    <hyperlink r:id="rId29" ref="A26"/>
    <hyperlink r:id="rId30" ref="A27"/>
    <hyperlink r:id="rId31" ref="A28"/>
    <hyperlink r:id="rId32" ref="A29"/>
    <hyperlink r:id="rId33" ref="A30"/>
    <hyperlink r:id="rId34" ref="A31"/>
    <hyperlink r:id="rId35" ref="A32"/>
    <hyperlink r:id="rId36" ref="A33"/>
    <hyperlink r:id="rId37" ref="N33"/>
    <hyperlink r:id="rId38" ref="A34"/>
    <hyperlink r:id="rId39" ref="A35"/>
    <hyperlink r:id="rId40" ref="A36"/>
    <hyperlink r:id="rId41" ref="A37"/>
    <hyperlink r:id="rId42" ref="A38"/>
    <hyperlink r:id="rId43" ref="A39"/>
    <hyperlink r:id="rId44" ref="A40"/>
    <hyperlink r:id="rId45" ref="A41"/>
    <hyperlink r:id="rId46" ref="A42"/>
    <hyperlink r:id="rId47" ref="A43"/>
    <hyperlink r:id="rId48" ref="A44"/>
    <hyperlink r:id="rId49" ref="A45"/>
    <hyperlink r:id="rId50" ref="A46"/>
    <hyperlink r:id="rId51" ref="A47"/>
    <hyperlink r:id="rId52" ref="A48"/>
    <hyperlink r:id="rId53" ref="A49"/>
    <hyperlink r:id="rId54" ref="A50"/>
    <hyperlink r:id="rId55" ref="A51"/>
    <hyperlink r:id="rId56" ref="A52"/>
    <hyperlink r:id="rId57" ref="A53"/>
    <hyperlink r:id="rId58" ref="A54"/>
    <hyperlink r:id="rId59" ref="A55"/>
    <hyperlink r:id="rId60" ref="A56"/>
    <hyperlink r:id="rId61" ref="I56"/>
    <hyperlink r:id="rId62" ref="A57"/>
    <hyperlink r:id="rId63" ref="A58"/>
    <hyperlink r:id="rId64" ref="I58"/>
    <hyperlink r:id="rId65" ref="A59"/>
    <hyperlink r:id="rId66" ref="A60"/>
    <hyperlink r:id="rId67" ref="A61"/>
    <hyperlink r:id="rId68" ref="A62"/>
    <hyperlink r:id="rId69" ref="A63"/>
    <hyperlink r:id="rId70" ref="A64"/>
    <hyperlink r:id="rId71" ref="A65"/>
    <hyperlink r:id="rId72" ref="A66"/>
    <hyperlink r:id="rId73" ref="A67"/>
    <hyperlink r:id="rId74" ref="A68"/>
    <hyperlink r:id="rId75" ref="A69"/>
    <hyperlink r:id="rId76" ref="A70"/>
    <hyperlink r:id="rId77" ref="A71"/>
    <hyperlink r:id="rId78" ref="A72"/>
    <hyperlink r:id="rId79" ref="A73"/>
    <hyperlink r:id="rId80" ref="A74"/>
    <hyperlink r:id="rId81" ref="A75"/>
    <hyperlink r:id="rId82" ref="A76"/>
    <hyperlink r:id="rId83" ref="A77"/>
    <hyperlink r:id="rId84" ref="A78"/>
    <hyperlink r:id="rId85" ref="A79"/>
    <hyperlink r:id="rId86" ref="I79"/>
    <hyperlink r:id="rId87" ref="A80"/>
    <hyperlink r:id="rId88" ref="I80"/>
    <hyperlink r:id="rId89" ref="A81"/>
    <hyperlink r:id="rId90" ref="I81"/>
    <hyperlink r:id="rId91" ref="A82"/>
    <hyperlink r:id="rId92" ref="A83"/>
    <hyperlink r:id="rId93" ref="A84"/>
    <hyperlink r:id="rId94" ref="A85"/>
    <hyperlink r:id="rId95" ref="A86"/>
    <hyperlink r:id="rId96" ref="A87"/>
    <hyperlink r:id="rId97" ref="A88"/>
    <hyperlink r:id="rId98" ref="A89"/>
    <hyperlink r:id="rId99" ref="A90"/>
    <hyperlink r:id="rId100" ref="A91"/>
    <hyperlink r:id="rId101" ref="A92"/>
    <hyperlink r:id="rId102" ref="A93"/>
    <hyperlink r:id="rId103" ref="A94"/>
    <hyperlink r:id="rId104" ref="A95"/>
    <hyperlink r:id="rId105" ref="A96"/>
    <hyperlink r:id="rId106" ref="A97"/>
    <hyperlink r:id="rId107" ref="A98"/>
    <hyperlink r:id="rId108" ref="A99"/>
    <hyperlink r:id="rId109" ref="A100"/>
    <hyperlink r:id="rId110" ref="A101"/>
    <hyperlink r:id="rId111" ref="A102"/>
    <hyperlink r:id="rId112" ref="A103"/>
    <hyperlink r:id="rId113" ref="A104"/>
    <hyperlink r:id="rId114" ref="A105"/>
    <hyperlink r:id="rId115" ref="A106"/>
    <hyperlink r:id="rId116" ref="A107"/>
    <hyperlink r:id="rId117" ref="A108"/>
    <hyperlink r:id="rId118" ref="A109"/>
    <hyperlink r:id="rId119" ref="A110"/>
    <hyperlink r:id="rId120" ref="A111"/>
    <hyperlink r:id="rId121" ref="A112"/>
    <hyperlink r:id="rId122" ref="A113"/>
    <hyperlink r:id="rId123" ref="A114"/>
    <hyperlink r:id="rId124" location="11332" ref="I114"/>
    <hyperlink r:id="rId125" ref="A115"/>
    <hyperlink r:id="rId126" ref="A116"/>
    <hyperlink r:id="rId127" ref="A117"/>
    <hyperlink r:id="rId128" ref="I117"/>
    <hyperlink r:id="rId129" ref="A118"/>
    <hyperlink r:id="rId130" ref="A119"/>
    <hyperlink r:id="rId131" ref="A120"/>
    <hyperlink r:id="rId132" ref="A121"/>
    <hyperlink r:id="rId133" ref="A122"/>
    <hyperlink r:id="rId134" ref="A123"/>
    <hyperlink r:id="rId135" ref="A124"/>
    <hyperlink r:id="rId136" ref="A125"/>
    <hyperlink r:id="rId137" ref="A126"/>
    <hyperlink r:id="rId138" ref="A127"/>
    <hyperlink r:id="rId139" ref="A128"/>
    <hyperlink r:id="rId140" ref="A129"/>
    <hyperlink r:id="rId141" ref="A130"/>
    <hyperlink r:id="rId142" ref="A131"/>
    <hyperlink r:id="rId143" ref="A132"/>
    <hyperlink r:id="rId144" ref="A133"/>
    <hyperlink r:id="rId145" ref="A134"/>
    <hyperlink r:id="rId146" ref="A135"/>
    <hyperlink r:id="rId147" ref="A136"/>
    <hyperlink r:id="rId148" ref="A137"/>
    <hyperlink r:id="rId149" ref="A138"/>
    <hyperlink r:id="rId150" ref="A139"/>
    <hyperlink r:id="rId151" ref="A140"/>
    <hyperlink r:id="rId152" ref="A141"/>
    <hyperlink r:id="rId153" ref="A142"/>
    <hyperlink r:id="rId154" ref="A143"/>
    <hyperlink r:id="rId155" ref="A144"/>
    <hyperlink r:id="rId156" ref="A145"/>
    <hyperlink r:id="rId157" ref="A146"/>
    <hyperlink r:id="rId158" ref="A147"/>
    <hyperlink r:id="rId159" ref="A148"/>
    <hyperlink r:id="rId160" ref="A149"/>
    <hyperlink r:id="rId161" ref="A150"/>
    <hyperlink r:id="rId162" ref="A151"/>
    <hyperlink r:id="rId163" ref="A152"/>
    <hyperlink r:id="rId164" ref="I152"/>
    <hyperlink r:id="rId165" ref="A153"/>
    <hyperlink r:id="rId166" ref="A154"/>
    <hyperlink r:id="rId167" ref="I154"/>
    <hyperlink r:id="rId168" ref="A155"/>
    <hyperlink r:id="rId169" ref="A156"/>
    <hyperlink r:id="rId170" ref="A157"/>
    <hyperlink r:id="rId171" ref="A158"/>
    <hyperlink r:id="rId172" ref="A159"/>
    <hyperlink r:id="rId173" ref="A160"/>
    <hyperlink r:id="rId174" ref="A161"/>
    <hyperlink r:id="rId175" ref="A162"/>
    <hyperlink r:id="rId176" ref="A163"/>
    <hyperlink r:id="rId177" ref="A164"/>
    <hyperlink r:id="rId178" ref="A165"/>
    <hyperlink r:id="rId179" ref="A166"/>
    <hyperlink r:id="rId180" ref="A167"/>
    <hyperlink r:id="rId181" ref="A168"/>
    <hyperlink r:id="rId182" ref="A169"/>
    <hyperlink r:id="rId183" ref="A170"/>
    <hyperlink r:id="rId184" ref="A171"/>
    <hyperlink r:id="rId185" ref="A172"/>
    <hyperlink r:id="rId186" ref="A173"/>
    <hyperlink r:id="rId187" ref="I173"/>
    <hyperlink r:id="rId188" ref="A174"/>
    <hyperlink r:id="rId189" ref="A176"/>
    <hyperlink r:id="rId190" ref="A177"/>
    <hyperlink r:id="rId191" ref="A178"/>
    <hyperlink r:id="rId192" ref="A179"/>
    <hyperlink r:id="rId193" ref="A180"/>
    <hyperlink r:id="rId194" ref="A181"/>
    <hyperlink r:id="rId195" ref="A182"/>
    <hyperlink r:id="rId196" ref="A183"/>
    <hyperlink r:id="rId197" ref="A184"/>
    <hyperlink r:id="rId198" ref="A185"/>
    <hyperlink r:id="rId199" ref="A186"/>
    <hyperlink r:id="rId200" ref="A187"/>
    <hyperlink r:id="rId201" ref="A188"/>
    <hyperlink r:id="rId202" ref="A189"/>
    <hyperlink r:id="rId203" ref="A190"/>
    <hyperlink r:id="rId204" ref="A191"/>
    <hyperlink r:id="rId205" ref="A192"/>
    <hyperlink r:id="rId206" ref="A193"/>
    <hyperlink r:id="rId207" ref="A194"/>
    <hyperlink r:id="rId208" ref="A195"/>
    <hyperlink r:id="rId209" ref="A196"/>
    <hyperlink r:id="rId210" ref="A197"/>
    <hyperlink r:id="rId211" ref="I197"/>
    <hyperlink r:id="rId212" ref="A198"/>
    <hyperlink r:id="rId213" ref="A199"/>
    <hyperlink r:id="rId214" ref="A200"/>
    <hyperlink r:id="rId215" ref="A201"/>
    <hyperlink r:id="rId216" ref="L201"/>
    <hyperlink r:id="rId217" ref="A202"/>
    <hyperlink r:id="rId218" ref="A203"/>
    <hyperlink r:id="rId219" ref="A204"/>
    <hyperlink r:id="rId220" ref="A205"/>
    <hyperlink r:id="rId221" ref="A206"/>
    <hyperlink r:id="rId222" ref="A207"/>
    <hyperlink r:id="rId223" ref="A208"/>
    <hyperlink r:id="rId224" ref="A209"/>
    <hyperlink r:id="rId225" ref="A210"/>
    <hyperlink r:id="rId226" ref="A211"/>
    <hyperlink r:id="rId227" ref="A212"/>
    <hyperlink r:id="rId228" ref="A213"/>
    <hyperlink r:id="rId229" ref="A214"/>
    <hyperlink r:id="rId230" ref="A215"/>
    <hyperlink r:id="rId231" ref="A216"/>
    <hyperlink r:id="rId232" ref="A217"/>
    <hyperlink r:id="rId233" ref="A218"/>
    <hyperlink r:id="rId234" ref="A219"/>
    <hyperlink r:id="rId235" ref="A220"/>
    <hyperlink r:id="rId236" ref="A221"/>
    <hyperlink r:id="rId237" ref="A222"/>
    <hyperlink r:id="rId238" ref="A223"/>
    <hyperlink r:id="rId239" ref="A224"/>
    <hyperlink r:id="rId240" ref="A225"/>
    <hyperlink r:id="rId241" ref="A226"/>
    <hyperlink r:id="rId242" ref="A227"/>
    <hyperlink r:id="rId243" ref="A228"/>
    <hyperlink r:id="rId244" ref="A229"/>
    <hyperlink r:id="rId245" ref="A230"/>
    <hyperlink r:id="rId246" ref="A231"/>
    <hyperlink r:id="rId247" ref="A232"/>
    <hyperlink r:id="rId248" ref="A233"/>
    <hyperlink r:id="rId249" ref="A234"/>
    <hyperlink r:id="rId250" ref="A235"/>
    <hyperlink r:id="rId251" ref="A236"/>
    <hyperlink r:id="rId252" ref="A237"/>
    <hyperlink r:id="rId253" ref="A238"/>
    <hyperlink r:id="rId254" ref="A239"/>
    <hyperlink r:id="rId255" ref="A240"/>
    <hyperlink r:id="rId256" ref="A241"/>
    <hyperlink r:id="rId257" ref="A242"/>
    <hyperlink r:id="rId258" ref="A243"/>
    <hyperlink r:id="rId259" ref="A244"/>
    <hyperlink r:id="rId260" ref="A245"/>
    <hyperlink r:id="rId261" ref="A246"/>
    <hyperlink r:id="rId262" ref="A247"/>
    <hyperlink r:id="rId263" ref="A248"/>
    <hyperlink r:id="rId264" ref="A249"/>
    <hyperlink r:id="rId265" ref="A250"/>
    <hyperlink r:id="rId266" ref="A251"/>
    <hyperlink r:id="rId267" ref="A252"/>
    <hyperlink r:id="rId268" ref="A253"/>
    <hyperlink r:id="rId269" ref="A254"/>
    <hyperlink r:id="rId270" ref="A255"/>
    <hyperlink r:id="rId271" ref="A256"/>
    <hyperlink r:id="rId272" ref="A257"/>
    <hyperlink r:id="rId273" ref="A258"/>
    <hyperlink r:id="rId274" ref="A259"/>
    <hyperlink r:id="rId275" ref="A260"/>
    <hyperlink r:id="rId276" ref="A261"/>
    <hyperlink r:id="rId277" ref="A262"/>
    <hyperlink r:id="rId278" ref="A263"/>
    <hyperlink r:id="rId279" ref="A264"/>
    <hyperlink r:id="rId280" ref="A265"/>
    <hyperlink r:id="rId281" ref="A266"/>
    <hyperlink r:id="rId282" ref="A267"/>
    <hyperlink r:id="rId283" ref="A268"/>
    <hyperlink r:id="rId284" ref="A269"/>
    <hyperlink r:id="rId285" ref="A270"/>
    <hyperlink r:id="rId286" ref="A271"/>
    <hyperlink r:id="rId287" ref="A272"/>
    <hyperlink r:id="rId288" ref="A273"/>
    <hyperlink r:id="rId289" ref="A274"/>
    <hyperlink r:id="rId290" ref="A275"/>
    <hyperlink r:id="rId291" ref="A276"/>
    <hyperlink r:id="rId292" ref="A277"/>
    <hyperlink r:id="rId293" ref="A278"/>
    <hyperlink r:id="rId294" ref="A279"/>
    <hyperlink r:id="rId295" ref="A280"/>
    <hyperlink r:id="rId296" ref="A281"/>
    <hyperlink r:id="rId297" ref="A282"/>
    <hyperlink r:id="rId298" ref="A283"/>
    <hyperlink r:id="rId299" ref="A284"/>
    <hyperlink r:id="rId300" ref="A285"/>
    <hyperlink r:id="rId301" ref="A286"/>
    <hyperlink r:id="rId302" ref="A287"/>
    <hyperlink r:id="rId303" ref="A288"/>
    <hyperlink r:id="rId304" ref="A289"/>
    <hyperlink r:id="rId305" ref="A290"/>
    <hyperlink r:id="rId306" ref="A291"/>
    <hyperlink r:id="rId307" ref="A292"/>
    <hyperlink r:id="rId308" ref="A293"/>
    <hyperlink r:id="rId309" ref="A294"/>
    <hyperlink r:id="rId310" ref="A295"/>
    <hyperlink r:id="rId311" ref="A296"/>
    <hyperlink r:id="rId312" ref="A297"/>
    <hyperlink r:id="rId313" ref="A298"/>
    <hyperlink r:id="rId314" ref="A299"/>
    <hyperlink r:id="rId315" ref="A300"/>
    <hyperlink r:id="rId316" ref="A301"/>
    <hyperlink r:id="rId317" ref="A302"/>
    <hyperlink r:id="rId318" ref="A303"/>
    <hyperlink r:id="rId319" ref="A304"/>
    <hyperlink r:id="rId320" ref="A305"/>
    <hyperlink r:id="rId321" ref="A306"/>
    <hyperlink r:id="rId322" ref="A307"/>
    <hyperlink r:id="rId323" ref="A308"/>
    <hyperlink r:id="rId324" ref="A309"/>
    <hyperlink r:id="rId325" ref="A310"/>
    <hyperlink r:id="rId326" ref="A311"/>
    <hyperlink r:id="rId327" ref="A312"/>
    <hyperlink r:id="rId328" ref="A313"/>
    <hyperlink r:id="rId329" ref="A314"/>
    <hyperlink r:id="rId330" ref="A315"/>
    <hyperlink r:id="rId331" ref="A316"/>
    <hyperlink r:id="rId332" ref="A317"/>
    <hyperlink r:id="rId333" ref="A318"/>
    <hyperlink r:id="rId334" ref="A319"/>
    <hyperlink r:id="rId335" ref="A320"/>
    <hyperlink r:id="rId336" ref="A321"/>
    <hyperlink r:id="rId337" ref="A322"/>
    <hyperlink r:id="rId338" ref="A323"/>
    <hyperlink r:id="rId339" ref="A324"/>
    <hyperlink r:id="rId340" ref="A325"/>
    <hyperlink r:id="rId341" ref="A326"/>
    <hyperlink r:id="rId342" ref="A327"/>
    <hyperlink r:id="rId343" ref="A328"/>
    <hyperlink r:id="rId344" ref="A329"/>
    <hyperlink r:id="rId345" ref="A330"/>
    <hyperlink r:id="rId346" ref="A331"/>
    <hyperlink r:id="rId347" ref="A332"/>
    <hyperlink r:id="rId348" ref="A333"/>
    <hyperlink r:id="rId349" ref="A334"/>
    <hyperlink r:id="rId350" ref="A335"/>
    <hyperlink r:id="rId351" ref="A336"/>
    <hyperlink r:id="rId352" ref="A337"/>
    <hyperlink r:id="rId353" ref="A338"/>
    <hyperlink r:id="rId354" ref="A339"/>
    <hyperlink r:id="rId355" ref="A340"/>
    <hyperlink r:id="rId356" ref="A341"/>
    <hyperlink r:id="rId357" ref="A342"/>
    <hyperlink r:id="rId358" ref="A343"/>
    <hyperlink r:id="rId359" ref="A344"/>
    <hyperlink r:id="rId360" ref="A345"/>
    <hyperlink r:id="rId361" ref="A346"/>
    <hyperlink r:id="rId362" ref="A347"/>
    <hyperlink r:id="rId363" ref="A348"/>
    <hyperlink r:id="rId364" ref="A349"/>
    <hyperlink r:id="rId365" ref="A350"/>
    <hyperlink r:id="rId366" ref="A351"/>
    <hyperlink r:id="rId367" ref="A352"/>
    <hyperlink r:id="rId368" ref="A353"/>
    <hyperlink r:id="rId369" ref="A354"/>
    <hyperlink r:id="rId370" ref="A355"/>
    <hyperlink r:id="rId371" ref="A356"/>
    <hyperlink r:id="rId372" ref="A357"/>
    <hyperlink r:id="rId373" ref="A358"/>
    <hyperlink r:id="rId374" ref="A359"/>
    <hyperlink r:id="rId375" ref="A360"/>
    <hyperlink r:id="rId376" ref="A361"/>
    <hyperlink r:id="rId377" ref="A362"/>
    <hyperlink r:id="rId378" ref="A363"/>
    <hyperlink r:id="rId379" ref="A364"/>
    <hyperlink r:id="rId380" ref="A365"/>
    <hyperlink r:id="rId381" ref="A366"/>
    <hyperlink r:id="rId382" ref="A367"/>
    <hyperlink r:id="rId383" ref="A368"/>
    <hyperlink r:id="rId384" ref="A369"/>
    <hyperlink r:id="rId385" ref="A370"/>
    <hyperlink r:id="rId386" ref="A371"/>
    <hyperlink r:id="rId387" ref="A372"/>
    <hyperlink r:id="rId388" ref="A373"/>
    <hyperlink r:id="rId389" ref="A374"/>
    <hyperlink r:id="rId390" ref="A375"/>
    <hyperlink r:id="rId391" ref="A376"/>
    <hyperlink r:id="rId392" ref="A377"/>
    <hyperlink r:id="rId393" ref="A378"/>
    <hyperlink r:id="rId394" ref="A379"/>
    <hyperlink r:id="rId395" ref="A380"/>
    <hyperlink r:id="rId396" ref="A381"/>
    <hyperlink r:id="rId397" ref="A382"/>
    <hyperlink r:id="rId398" ref="A383"/>
    <hyperlink r:id="rId399" ref="A384"/>
    <hyperlink r:id="rId400" ref="A385"/>
    <hyperlink r:id="rId401" ref="A386"/>
    <hyperlink r:id="rId402" ref="A387"/>
    <hyperlink r:id="rId403" ref="A388"/>
    <hyperlink r:id="rId404" ref="A389"/>
    <hyperlink r:id="rId405" ref="A390"/>
    <hyperlink r:id="rId406" ref="A391"/>
    <hyperlink r:id="rId407" ref="A392"/>
    <hyperlink r:id="rId408" ref="A393"/>
    <hyperlink r:id="rId409" ref="A394"/>
    <hyperlink r:id="rId410" ref="A395"/>
    <hyperlink r:id="rId411" ref="A396"/>
    <hyperlink r:id="rId412" ref="A397"/>
    <hyperlink r:id="rId413" ref="A398"/>
    <hyperlink r:id="rId414" ref="A399"/>
    <hyperlink r:id="rId415" ref="A400"/>
    <hyperlink r:id="rId416" ref="A401"/>
    <hyperlink r:id="rId417" ref="A402"/>
    <hyperlink r:id="rId418" ref="A403"/>
    <hyperlink r:id="rId419" ref="A404"/>
    <hyperlink r:id="rId420" ref="A405"/>
    <hyperlink r:id="rId421" ref="A406"/>
    <hyperlink r:id="rId422" ref="A407"/>
    <hyperlink r:id="rId423" ref="A408"/>
    <hyperlink r:id="rId424" ref="A409"/>
    <hyperlink r:id="rId425" ref="A410"/>
    <hyperlink r:id="rId426" ref="A411"/>
    <hyperlink r:id="rId427" ref="A412"/>
    <hyperlink r:id="rId428" ref="A413"/>
    <hyperlink r:id="rId429" ref="A414"/>
    <hyperlink r:id="rId430" ref="A415"/>
    <hyperlink r:id="rId431" ref="A416"/>
    <hyperlink r:id="rId432" ref="A417"/>
    <hyperlink r:id="rId433" ref="A418"/>
    <hyperlink r:id="rId434" ref="A419"/>
    <hyperlink r:id="rId435" ref="A420"/>
    <hyperlink r:id="rId436" ref="A421"/>
    <hyperlink r:id="rId437" ref="A422"/>
    <hyperlink r:id="rId438" ref="A423"/>
    <hyperlink r:id="rId439" ref="A424"/>
    <hyperlink r:id="rId440" ref="A425"/>
    <hyperlink r:id="rId441" ref="A426"/>
    <hyperlink r:id="rId442" ref="A427"/>
    <hyperlink r:id="rId443" ref="A428"/>
    <hyperlink r:id="rId444" ref="A429"/>
    <hyperlink r:id="rId445" ref="A430"/>
    <hyperlink r:id="rId446" ref="A431"/>
    <hyperlink r:id="rId447" ref="A432"/>
    <hyperlink r:id="rId448" ref="A433"/>
    <hyperlink r:id="rId449" ref="A434"/>
    <hyperlink r:id="rId450" ref="A435"/>
    <hyperlink r:id="rId451" ref="A436"/>
    <hyperlink r:id="rId452" ref="A437"/>
    <hyperlink r:id="rId453" ref="A438"/>
    <hyperlink r:id="rId454" ref="A439"/>
    <hyperlink r:id="rId455" ref="A440"/>
    <hyperlink r:id="rId456" ref="A441"/>
    <hyperlink r:id="rId457" ref="A442"/>
    <hyperlink r:id="rId458" ref="A443"/>
    <hyperlink r:id="rId459" ref="A444"/>
    <hyperlink r:id="rId460" ref="A445"/>
    <hyperlink r:id="rId461" ref="A446"/>
    <hyperlink r:id="rId462" ref="A447"/>
    <hyperlink r:id="rId463" ref="A448"/>
    <hyperlink r:id="rId464" ref="A449"/>
    <hyperlink r:id="rId465" ref="A450"/>
    <hyperlink r:id="rId466" ref="A451"/>
    <hyperlink r:id="rId467" ref="A452"/>
    <hyperlink r:id="rId468" ref="A453"/>
    <hyperlink r:id="rId469" ref="A454"/>
    <hyperlink r:id="rId470" ref="A455"/>
    <hyperlink r:id="rId471" ref="A456"/>
    <hyperlink r:id="rId472" ref="A457"/>
    <hyperlink r:id="rId473" ref="A458"/>
    <hyperlink r:id="rId474" ref="A459"/>
    <hyperlink r:id="rId475" ref="A460"/>
    <hyperlink r:id="rId476" ref="A461"/>
    <hyperlink r:id="rId477" ref="A462"/>
    <hyperlink r:id="rId478" ref="A463"/>
    <hyperlink r:id="rId479" ref="A464"/>
    <hyperlink r:id="rId480" ref="A465"/>
    <hyperlink r:id="rId481" ref="A466"/>
    <hyperlink r:id="rId482" ref="A467"/>
    <hyperlink r:id="rId483" ref="A468"/>
    <hyperlink r:id="rId484" ref="A469"/>
    <hyperlink r:id="rId485" ref="A470"/>
    <hyperlink r:id="rId486" ref="A471"/>
    <hyperlink r:id="rId487" ref="A472"/>
    <hyperlink r:id="rId488" ref="A473"/>
    <hyperlink r:id="rId489" ref="A474"/>
    <hyperlink r:id="rId490" ref="A475"/>
    <hyperlink r:id="rId491" ref="A476"/>
    <hyperlink r:id="rId492" ref="A477"/>
    <hyperlink r:id="rId493" ref="A478"/>
    <hyperlink r:id="rId494" ref="A479"/>
    <hyperlink r:id="rId495" ref="A480"/>
    <hyperlink r:id="rId496" ref="A481"/>
    <hyperlink r:id="rId497" ref="A482"/>
    <hyperlink r:id="rId498" ref="A483"/>
    <hyperlink r:id="rId499" ref="A484"/>
    <hyperlink r:id="rId500" ref="A485"/>
    <hyperlink r:id="rId501" ref="A486"/>
    <hyperlink r:id="rId502" ref="A487"/>
    <hyperlink r:id="rId503" ref="A488"/>
    <hyperlink r:id="rId504" ref="A489"/>
    <hyperlink r:id="rId505" ref="A490"/>
    <hyperlink r:id="rId506" ref="A491"/>
    <hyperlink r:id="rId507" ref="A492"/>
    <hyperlink r:id="rId508" ref="A493"/>
    <hyperlink r:id="rId509" ref="A494"/>
    <hyperlink r:id="rId510" ref="A495"/>
    <hyperlink r:id="rId511" ref="A496"/>
    <hyperlink r:id="rId512" ref="A497"/>
    <hyperlink r:id="rId513" ref="A498"/>
    <hyperlink r:id="rId514" ref="A499"/>
    <hyperlink r:id="rId515" ref="A500"/>
    <hyperlink r:id="rId516" ref="A501"/>
    <hyperlink r:id="rId517" ref="A502"/>
    <hyperlink r:id="rId518" ref="A503"/>
    <hyperlink r:id="rId519" ref="A504"/>
    <hyperlink r:id="rId520" ref="A505"/>
    <hyperlink r:id="rId521" ref="A506"/>
    <hyperlink r:id="rId522" ref="A507"/>
    <hyperlink r:id="rId523" ref="A508"/>
    <hyperlink r:id="rId524" ref="A509"/>
    <hyperlink r:id="rId525" ref="A510"/>
    <hyperlink r:id="rId526" ref="A511"/>
    <hyperlink r:id="rId527" ref="A512"/>
    <hyperlink r:id="rId528" ref="A513"/>
    <hyperlink r:id="rId529" ref="A514"/>
    <hyperlink r:id="rId530" ref="A515"/>
    <hyperlink r:id="rId531" ref="A516"/>
    <hyperlink r:id="rId532" ref="A517"/>
    <hyperlink r:id="rId533" ref="A518"/>
    <hyperlink r:id="rId534" ref="A519"/>
    <hyperlink r:id="rId535" ref="A520"/>
    <hyperlink r:id="rId536" ref="A521"/>
    <hyperlink r:id="rId537" ref="A522"/>
    <hyperlink r:id="rId538" ref="A523"/>
    <hyperlink r:id="rId539" ref="A524"/>
    <hyperlink r:id="rId540" ref="A525"/>
    <hyperlink r:id="rId541" ref="A526"/>
    <hyperlink r:id="rId542" ref="A527"/>
    <hyperlink r:id="rId543" ref="A528"/>
    <hyperlink r:id="rId544" ref="A529"/>
    <hyperlink r:id="rId545" ref="A530"/>
    <hyperlink r:id="rId546" ref="A531"/>
    <hyperlink r:id="rId547" ref="A532"/>
    <hyperlink r:id="rId548" ref="A533"/>
    <hyperlink r:id="rId549" ref="A534"/>
    <hyperlink r:id="rId550" ref="A535"/>
    <hyperlink r:id="rId551" ref="A536"/>
    <hyperlink r:id="rId552" ref="A537"/>
    <hyperlink r:id="rId553" ref="A538"/>
    <hyperlink r:id="rId554" ref="A539"/>
    <hyperlink r:id="rId555" ref="A540"/>
    <hyperlink r:id="rId556" ref="A541"/>
    <hyperlink r:id="rId557" ref="A542"/>
    <hyperlink r:id="rId558" ref="A543"/>
    <hyperlink r:id="rId559" ref="A544"/>
    <hyperlink r:id="rId560" ref="A545"/>
    <hyperlink r:id="rId561" ref="A546"/>
    <hyperlink r:id="rId562" ref="A547"/>
    <hyperlink r:id="rId563" ref="A548"/>
    <hyperlink r:id="rId564" ref="A549"/>
    <hyperlink r:id="rId565" ref="A550"/>
    <hyperlink r:id="rId566" ref="A551"/>
    <hyperlink r:id="rId567" ref="A552"/>
    <hyperlink r:id="rId568" ref="A553"/>
    <hyperlink r:id="rId569" ref="A554"/>
    <hyperlink r:id="rId570" ref="A555"/>
    <hyperlink r:id="rId571" ref="A556"/>
    <hyperlink r:id="rId572" ref="A557"/>
    <hyperlink r:id="rId573" ref="A558"/>
    <hyperlink r:id="rId574" ref="A559"/>
    <hyperlink r:id="rId575" ref="A560"/>
    <hyperlink r:id="rId576" ref="A561"/>
    <hyperlink r:id="rId577" ref="I561"/>
    <hyperlink r:id="rId578" ref="A562"/>
    <hyperlink r:id="rId579" ref="N562"/>
    <hyperlink r:id="rId580" ref="A563"/>
    <hyperlink r:id="rId581" ref="N563"/>
    <hyperlink r:id="rId582" ref="A564"/>
    <hyperlink r:id="rId583" ref="N564"/>
    <hyperlink r:id="rId584" ref="A565"/>
    <hyperlink r:id="rId585" ref="N565"/>
    <hyperlink r:id="rId586" ref="A566"/>
    <hyperlink r:id="rId587" ref="N566"/>
    <hyperlink r:id="rId588" ref="A567"/>
    <hyperlink r:id="rId589" ref="N567"/>
    <hyperlink r:id="rId590" ref="A568"/>
    <hyperlink r:id="rId591" ref="N568"/>
    <hyperlink r:id="rId592" ref="A569"/>
    <hyperlink r:id="rId593" ref="N569"/>
    <hyperlink r:id="rId594" ref="A570"/>
    <hyperlink r:id="rId595" ref="N570"/>
    <hyperlink r:id="rId596" ref="A571"/>
    <hyperlink r:id="rId597" ref="N571"/>
    <hyperlink r:id="rId598" ref="A572"/>
    <hyperlink r:id="rId599" ref="N572"/>
    <hyperlink r:id="rId600" ref="A573"/>
    <hyperlink r:id="rId601" ref="A574"/>
    <hyperlink r:id="rId602" ref="N574"/>
    <hyperlink r:id="rId603" ref="A575"/>
    <hyperlink r:id="rId604" ref="N575"/>
    <hyperlink r:id="rId605" ref="A576"/>
    <hyperlink r:id="rId606" ref="N576"/>
    <hyperlink r:id="rId607" ref="A577"/>
    <hyperlink r:id="rId608" ref="N577"/>
    <hyperlink r:id="rId609" ref="A578"/>
    <hyperlink r:id="rId610" ref="N578"/>
    <hyperlink r:id="rId611" ref="A579"/>
    <hyperlink r:id="rId612" ref="N579"/>
    <hyperlink r:id="rId613" ref="A580"/>
    <hyperlink r:id="rId614" ref="N580"/>
    <hyperlink r:id="rId615" ref="A581"/>
    <hyperlink r:id="rId616" ref="N581"/>
    <hyperlink r:id="rId617" ref="A582"/>
    <hyperlink r:id="rId618" ref="N582"/>
    <hyperlink r:id="rId619" ref="A583"/>
    <hyperlink r:id="rId620" ref="N583"/>
    <hyperlink r:id="rId621" ref="A584"/>
    <hyperlink r:id="rId622" ref="N584"/>
    <hyperlink r:id="rId623" ref="A585"/>
    <hyperlink r:id="rId624" ref="N585"/>
    <hyperlink r:id="rId625" ref="A586"/>
    <hyperlink r:id="rId626" ref="N586"/>
    <hyperlink r:id="rId627" ref="A587"/>
    <hyperlink r:id="rId628" ref="N587"/>
    <hyperlink r:id="rId629" ref="A588"/>
    <hyperlink r:id="rId630" ref="N588"/>
    <hyperlink r:id="rId631" ref="A589"/>
    <hyperlink r:id="rId632" ref="N589"/>
    <hyperlink r:id="rId633" ref="A590"/>
    <hyperlink r:id="rId634" ref="N590"/>
    <hyperlink r:id="rId635" ref="A591"/>
    <hyperlink r:id="rId636" ref="N591"/>
    <hyperlink r:id="rId637" ref="A592"/>
    <hyperlink r:id="rId638" ref="N592"/>
    <hyperlink r:id="rId639" ref="A593"/>
    <hyperlink r:id="rId640" ref="N593"/>
    <hyperlink r:id="rId641" ref="A594"/>
    <hyperlink r:id="rId642" ref="N594"/>
    <hyperlink r:id="rId643" ref="A595"/>
    <hyperlink r:id="rId644" ref="N595"/>
    <hyperlink r:id="rId645" ref="A596"/>
    <hyperlink r:id="rId646" ref="A597"/>
    <hyperlink r:id="rId647" ref="N597"/>
    <hyperlink r:id="rId648" ref="A598"/>
    <hyperlink r:id="rId649" ref="N598"/>
    <hyperlink r:id="rId650" ref="A599"/>
    <hyperlink r:id="rId651" ref="N599"/>
    <hyperlink r:id="rId652" ref="A600"/>
    <hyperlink r:id="rId653" ref="N600"/>
    <hyperlink r:id="rId654" ref="A601"/>
    <hyperlink r:id="rId655" ref="N601"/>
    <hyperlink r:id="rId656" ref="A602"/>
    <hyperlink r:id="rId657" ref="N602"/>
    <hyperlink r:id="rId658" ref="A603"/>
    <hyperlink r:id="rId659" ref="A604"/>
    <hyperlink r:id="rId660" ref="N604"/>
    <hyperlink r:id="rId661" ref="A605"/>
    <hyperlink r:id="rId662" ref="N605"/>
    <hyperlink r:id="rId663" ref="A606"/>
    <hyperlink r:id="rId664" ref="N606"/>
    <hyperlink r:id="rId665" ref="A607"/>
    <hyperlink r:id="rId666" ref="N607"/>
    <hyperlink r:id="rId667" ref="A608"/>
    <hyperlink r:id="rId668" ref="N608"/>
    <hyperlink r:id="rId669" ref="A609"/>
    <hyperlink r:id="rId670" ref="N609"/>
    <hyperlink r:id="rId671" ref="A610"/>
    <hyperlink r:id="rId672" ref="N610"/>
    <hyperlink r:id="rId673" ref="A611"/>
    <hyperlink r:id="rId674" ref="N611"/>
    <hyperlink r:id="rId675" ref="A612"/>
    <hyperlink r:id="rId676" ref="N612"/>
    <hyperlink r:id="rId677" ref="A613"/>
    <hyperlink r:id="rId678" ref="N613"/>
    <hyperlink r:id="rId679" ref="A614"/>
    <hyperlink r:id="rId680" ref="N614"/>
    <hyperlink r:id="rId681" ref="A615"/>
    <hyperlink r:id="rId682" ref="N615"/>
    <hyperlink r:id="rId683" ref="A616"/>
    <hyperlink r:id="rId684" ref="N616"/>
    <hyperlink r:id="rId685" ref="A617"/>
    <hyperlink r:id="rId686" ref="N617"/>
    <hyperlink r:id="rId687" ref="A618"/>
    <hyperlink r:id="rId688" ref="N618"/>
    <hyperlink r:id="rId689" ref="A619"/>
    <hyperlink r:id="rId690" ref="N619"/>
    <hyperlink r:id="rId691" ref="A620"/>
    <hyperlink r:id="rId692" ref="N620"/>
    <hyperlink r:id="rId693" ref="A621"/>
    <hyperlink r:id="rId694" ref="N621"/>
    <hyperlink r:id="rId695" ref="A622"/>
    <hyperlink r:id="rId696" ref="N622"/>
    <hyperlink r:id="rId697" ref="A623"/>
    <hyperlink r:id="rId698" ref="N623"/>
    <hyperlink r:id="rId699" ref="A624"/>
    <hyperlink r:id="rId700" ref="N624"/>
    <hyperlink r:id="rId701" ref="A625"/>
    <hyperlink r:id="rId702" ref="N625"/>
    <hyperlink r:id="rId703" ref="A626"/>
    <hyperlink r:id="rId704" ref="N626"/>
    <hyperlink r:id="rId705" ref="A627"/>
    <hyperlink r:id="rId706" ref="N627"/>
    <hyperlink r:id="rId707" ref="A628"/>
    <hyperlink r:id="rId708" ref="N628"/>
    <hyperlink r:id="rId709" ref="A629"/>
    <hyperlink r:id="rId710" ref="N629"/>
    <hyperlink r:id="rId711" ref="A630"/>
    <hyperlink r:id="rId712" ref="N630"/>
    <hyperlink r:id="rId713" ref="A631"/>
    <hyperlink r:id="rId714" ref="N631"/>
    <hyperlink r:id="rId715" ref="A632"/>
    <hyperlink r:id="rId716" ref="A633"/>
    <hyperlink r:id="rId717" ref="N633"/>
    <hyperlink r:id="rId718" ref="A634"/>
    <hyperlink r:id="rId719" ref="N634"/>
    <hyperlink r:id="rId720" ref="A635"/>
    <hyperlink r:id="rId721" ref="N635"/>
    <hyperlink r:id="rId722" ref="A636"/>
    <hyperlink r:id="rId723" ref="N636"/>
    <hyperlink r:id="rId724" ref="A637"/>
    <hyperlink r:id="rId725" ref="N637"/>
    <hyperlink r:id="rId726" ref="A638"/>
    <hyperlink r:id="rId727" ref="N638"/>
    <hyperlink r:id="rId728" ref="A639"/>
    <hyperlink r:id="rId729" ref="N639"/>
    <hyperlink r:id="rId730" ref="A640"/>
    <hyperlink r:id="rId731" ref="N640"/>
    <hyperlink r:id="rId732" ref="A641"/>
    <hyperlink r:id="rId733" ref="N641"/>
    <hyperlink r:id="rId734" ref="A642"/>
    <hyperlink r:id="rId735" ref="N642"/>
    <hyperlink r:id="rId736" ref="A643"/>
    <hyperlink r:id="rId737" ref="N643"/>
    <hyperlink r:id="rId738" ref="A644"/>
    <hyperlink r:id="rId739" ref="N644"/>
    <hyperlink r:id="rId740" ref="A645"/>
    <hyperlink r:id="rId741" ref="N645"/>
    <hyperlink r:id="rId742" ref="A646"/>
    <hyperlink r:id="rId743" ref="N646"/>
    <hyperlink r:id="rId744" ref="A647"/>
    <hyperlink r:id="rId745" ref="N647"/>
    <hyperlink r:id="rId746" ref="A648"/>
    <hyperlink r:id="rId747" ref="N648"/>
    <hyperlink r:id="rId748" ref="A649"/>
    <hyperlink r:id="rId749" ref="N649"/>
    <hyperlink r:id="rId750" ref="A650"/>
    <hyperlink r:id="rId751" ref="N650"/>
    <hyperlink r:id="rId752" ref="A651"/>
    <hyperlink r:id="rId753" ref="N651"/>
    <hyperlink r:id="rId754" ref="A652"/>
    <hyperlink r:id="rId755" ref="N652"/>
    <hyperlink r:id="rId756" ref="A653"/>
    <hyperlink r:id="rId757" ref="N653"/>
    <hyperlink r:id="rId758" ref="A654"/>
    <hyperlink r:id="rId759" ref="N654"/>
    <hyperlink r:id="rId760" ref="A655"/>
    <hyperlink r:id="rId761" ref="N655"/>
    <hyperlink r:id="rId762" ref="A656"/>
    <hyperlink r:id="rId763" ref="N656"/>
    <hyperlink r:id="rId764" ref="A657"/>
    <hyperlink r:id="rId765" ref="N657"/>
    <hyperlink r:id="rId766" ref="A658"/>
    <hyperlink r:id="rId767" ref="N658"/>
    <hyperlink r:id="rId768" ref="A659"/>
    <hyperlink r:id="rId769" ref="N659"/>
    <hyperlink r:id="rId770" ref="A660"/>
    <hyperlink r:id="rId771" ref="N660"/>
    <hyperlink r:id="rId772" ref="A661"/>
    <hyperlink r:id="rId773" ref="N661"/>
    <hyperlink r:id="rId774" ref="A662"/>
    <hyperlink r:id="rId775" ref="N662"/>
    <hyperlink r:id="rId776" ref="A663"/>
    <hyperlink r:id="rId777" ref="N663"/>
    <hyperlink r:id="rId778" ref="A664"/>
    <hyperlink r:id="rId779" ref="N664"/>
    <hyperlink r:id="rId780" ref="A665"/>
    <hyperlink r:id="rId781" ref="N665"/>
    <hyperlink r:id="rId782" ref="A666"/>
    <hyperlink r:id="rId783" ref="N666"/>
    <hyperlink r:id="rId784" ref="A667"/>
    <hyperlink r:id="rId785" ref="N667"/>
    <hyperlink r:id="rId786" ref="A668"/>
    <hyperlink r:id="rId787" ref="N668"/>
    <hyperlink r:id="rId788" ref="A669"/>
    <hyperlink r:id="rId789" ref="N669"/>
    <hyperlink r:id="rId790" ref="A670"/>
    <hyperlink r:id="rId791" ref="A671"/>
    <hyperlink r:id="rId792" ref="N671"/>
    <hyperlink r:id="rId793" ref="A672"/>
    <hyperlink r:id="rId794" ref="N672"/>
    <hyperlink r:id="rId795" ref="A673"/>
    <hyperlink r:id="rId796" ref="N673"/>
    <hyperlink r:id="rId797" ref="A674"/>
    <hyperlink r:id="rId798" ref="N674"/>
    <hyperlink r:id="rId799" ref="A675"/>
    <hyperlink r:id="rId800" ref="N675"/>
    <hyperlink r:id="rId801" ref="A676"/>
    <hyperlink r:id="rId802" ref="N676"/>
    <hyperlink r:id="rId803" ref="A677"/>
    <hyperlink r:id="rId804" ref="N677"/>
    <hyperlink r:id="rId805" ref="A678"/>
    <hyperlink r:id="rId806" ref="N678"/>
    <hyperlink r:id="rId807" ref="A679"/>
    <hyperlink r:id="rId808" ref="N679"/>
    <hyperlink r:id="rId809" ref="A680"/>
    <hyperlink r:id="rId810" ref="N680"/>
    <hyperlink r:id="rId811" ref="A681"/>
    <hyperlink r:id="rId812" ref="N681"/>
    <hyperlink r:id="rId813" ref="A682"/>
    <hyperlink r:id="rId814" ref="N682"/>
    <hyperlink r:id="rId815" ref="A683"/>
    <hyperlink r:id="rId816" ref="N683"/>
    <hyperlink r:id="rId817" ref="A684"/>
    <hyperlink r:id="rId818" ref="N684"/>
    <hyperlink r:id="rId819" ref="A685"/>
    <hyperlink r:id="rId820" ref="N685"/>
    <hyperlink r:id="rId821" ref="A686"/>
    <hyperlink r:id="rId822" ref="A687"/>
    <hyperlink r:id="rId823" ref="N687"/>
    <hyperlink r:id="rId824" ref="A688"/>
    <hyperlink r:id="rId825" ref="N688"/>
    <hyperlink r:id="rId826" ref="A689"/>
    <hyperlink r:id="rId827" ref="N689"/>
    <hyperlink r:id="rId828" ref="A690"/>
    <hyperlink r:id="rId829" ref="N690"/>
    <hyperlink r:id="rId830" ref="A691"/>
    <hyperlink r:id="rId831" ref="N691"/>
    <hyperlink r:id="rId832" ref="A692"/>
    <hyperlink r:id="rId833" ref="N692"/>
    <hyperlink r:id="rId834" ref="A693"/>
    <hyperlink r:id="rId835" ref="N693"/>
    <hyperlink r:id="rId836" ref="A694"/>
    <hyperlink r:id="rId837" ref="N694"/>
    <hyperlink r:id="rId838" ref="A695"/>
    <hyperlink r:id="rId839" ref="N695"/>
    <hyperlink r:id="rId840" ref="A696"/>
    <hyperlink r:id="rId841" ref="N696"/>
    <hyperlink r:id="rId842" ref="A697"/>
    <hyperlink r:id="rId843" ref="N697"/>
    <hyperlink r:id="rId844" ref="A698"/>
    <hyperlink r:id="rId845" ref="N698"/>
    <hyperlink r:id="rId846" ref="A699"/>
    <hyperlink r:id="rId847" ref="N699"/>
    <hyperlink r:id="rId848" ref="A700"/>
    <hyperlink r:id="rId849" ref="N700"/>
    <hyperlink r:id="rId850" ref="A701"/>
    <hyperlink r:id="rId851" ref="N701"/>
    <hyperlink r:id="rId852" ref="A702"/>
    <hyperlink r:id="rId853" ref="N702"/>
    <hyperlink r:id="rId854" ref="A703"/>
    <hyperlink r:id="rId855" ref="N703"/>
    <hyperlink r:id="rId856" ref="A704"/>
    <hyperlink r:id="rId857" ref="N704"/>
    <hyperlink r:id="rId858" ref="A705"/>
    <hyperlink r:id="rId859" ref="N705"/>
    <hyperlink r:id="rId860" ref="A706"/>
    <hyperlink r:id="rId861" ref="N706"/>
    <hyperlink r:id="rId862" ref="A707"/>
    <hyperlink r:id="rId863" ref="N707"/>
    <hyperlink r:id="rId864" ref="A708"/>
    <hyperlink r:id="rId865" ref="N708"/>
    <hyperlink r:id="rId866" ref="A709"/>
    <hyperlink r:id="rId867" ref="N709"/>
    <hyperlink r:id="rId868" ref="A710"/>
    <hyperlink r:id="rId869" ref="N710"/>
    <hyperlink r:id="rId870" ref="A711"/>
    <hyperlink r:id="rId871" ref="N711"/>
    <hyperlink r:id="rId872" ref="A712"/>
    <hyperlink r:id="rId873" ref="N712"/>
    <hyperlink r:id="rId874" ref="A713"/>
    <hyperlink r:id="rId875" ref="N713"/>
    <hyperlink r:id="rId876" ref="A714"/>
    <hyperlink r:id="rId877" ref="N714"/>
    <hyperlink r:id="rId878" ref="A715"/>
    <hyperlink r:id="rId879" ref="N715"/>
    <hyperlink r:id="rId880" ref="A716"/>
    <hyperlink r:id="rId881" ref="N716"/>
    <hyperlink r:id="rId882" ref="A717"/>
    <hyperlink r:id="rId883" ref="N717"/>
    <hyperlink r:id="rId884" ref="A718"/>
    <hyperlink r:id="rId885" ref="N718"/>
    <hyperlink r:id="rId886" ref="A719"/>
    <hyperlink r:id="rId887" ref="N719"/>
    <hyperlink r:id="rId888" ref="A720"/>
    <hyperlink r:id="rId889" ref="N720"/>
    <hyperlink r:id="rId890" ref="A721"/>
    <hyperlink r:id="rId891" ref="N721"/>
    <hyperlink r:id="rId892" ref="A722"/>
    <hyperlink r:id="rId893" ref="N722"/>
    <hyperlink r:id="rId894" ref="A723"/>
    <hyperlink r:id="rId895" ref="N723"/>
    <hyperlink r:id="rId896" ref="A724"/>
    <hyperlink r:id="rId897" ref="N724"/>
    <hyperlink r:id="rId898" ref="A725"/>
    <hyperlink r:id="rId899" ref="N725"/>
    <hyperlink r:id="rId900" ref="A726"/>
    <hyperlink r:id="rId901" ref="N726"/>
    <hyperlink r:id="rId902" ref="A727"/>
    <hyperlink r:id="rId903" ref="N727"/>
    <hyperlink r:id="rId904" ref="A728"/>
    <hyperlink r:id="rId905" ref="N728"/>
    <hyperlink r:id="rId906" ref="A729"/>
    <hyperlink r:id="rId907" ref="N729"/>
    <hyperlink r:id="rId908" ref="A730"/>
    <hyperlink r:id="rId909" ref="N730"/>
    <hyperlink r:id="rId910" ref="A731"/>
  </hyperlinks>
  <printOptions/>
  <pageMargins bottom="1.0" footer="0.0" header="0.0" left="0.75" right="0.75" top="1.0"/>
  <pageSetup paperSize="9" orientation="portrait"/>
  <drawing r:id="rId9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 outlineLevelRow="1"/>
  <cols>
    <col customWidth="1" min="1" max="1" width="20.0"/>
    <col customWidth="1" min="2" max="2" width="12.0"/>
    <col customWidth="1" min="3" max="3" width="13.0"/>
    <col customWidth="1" min="4" max="4" width="11.0"/>
    <col customWidth="1" min="5" max="5" width="10.0"/>
    <col customWidth="1" min="6" max="6" width="12.0"/>
    <col customWidth="1" min="7" max="9" width="10.0"/>
    <col customWidth="1" min="10" max="10" width="15.0"/>
    <col customWidth="1" min="11" max="11" width="13.0"/>
    <col customWidth="1" min="12" max="12" width="9.0"/>
    <col customWidth="1" min="13" max="13" width="8.0"/>
    <col customWidth="1" min="14" max="26" width="8.71"/>
  </cols>
  <sheetData>
    <row r="1" ht="15.0" customHeight="1">
      <c r="A1" s="106" t="s">
        <v>2294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107" t="s">
        <v>2295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5.0" hidden="1" customHeight="1" outlineLevel="1">
      <c r="A4" s="2"/>
      <c r="B4" s="2"/>
      <c r="N4" s="2"/>
    </row>
    <row r="5" ht="15.0" hidden="1" customHeight="1" outlineLevel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5.0" hidden="1" customHeight="1" outlineLevel="1">
      <c r="A6" s="108" t="s">
        <v>2296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2"/>
    </row>
    <row r="7" ht="15.0" hidden="1" customHeight="1" outlineLevel="1">
      <c r="A7" s="110" t="s">
        <v>2297</v>
      </c>
      <c r="B7" s="111">
        <f>3154950/2</f>
        <v>1577475</v>
      </c>
      <c r="C7" s="112"/>
      <c r="D7" s="113" t="s">
        <v>2298</v>
      </c>
      <c r="E7" s="114">
        <v>0.13</v>
      </c>
      <c r="F7" s="112"/>
      <c r="G7" s="112"/>
      <c r="H7" s="112"/>
      <c r="I7" s="112"/>
      <c r="J7" s="112"/>
      <c r="K7" s="112"/>
      <c r="L7" s="112"/>
      <c r="M7" s="112"/>
      <c r="N7" s="2"/>
    </row>
    <row r="8" ht="30.0" hidden="1" customHeight="1" outlineLevel="1">
      <c r="A8" s="115" t="s">
        <v>2299</v>
      </c>
      <c r="B8" s="115" t="s">
        <v>2300</v>
      </c>
      <c r="C8" s="115" t="s">
        <v>2301</v>
      </c>
      <c r="D8" s="115" t="s">
        <v>2302</v>
      </c>
      <c r="E8" s="115" t="s">
        <v>2303</v>
      </c>
      <c r="F8" s="115" t="s">
        <v>2304</v>
      </c>
      <c r="G8" s="115" t="s">
        <v>2305</v>
      </c>
      <c r="H8" s="115" t="s">
        <v>2306</v>
      </c>
      <c r="I8" s="115" t="s">
        <v>2307</v>
      </c>
      <c r="J8" s="115" t="s">
        <v>2308</v>
      </c>
      <c r="K8" s="115" t="s">
        <v>2309</v>
      </c>
      <c r="L8" s="115" t="s">
        <v>2310</v>
      </c>
      <c r="M8" s="115" t="s">
        <v>2311</v>
      </c>
      <c r="N8" s="2"/>
    </row>
    <row r="9" hidden="1" outlineLevel="1">
      <c r="A9" s="116" t="s">
        <v>2312</v>
      </c>
      <c r="B9" s="117"/>
      <c r="C9" s="117"/>
      <c r="D9" s="117"/>
      <c r="E9" s="117"/>
      <c r="F9" s="117"/>
      <c r="G9" s="118" t="s">
        <v>2313</v>
      </c>
      <c r="H9" s="119">
        <v>600.0</v>
      </c>
      <c r="I9" s="117"/>
      <c r="J9" s="118" t="s">
        <v>2314</v>
      </c>
      <c r="K9" s="120">
        <v>0.95</v>
      </c>
      <c r="L9" s="117"/>
      <c r="M9" s="121">
        <v>0.18</v>
      </c>
      <c r="N9" s="2"/>
    </row>
    <row r="10" ht="15.0" hidden="1" customHeight="1" outlineLevel="1">
      <c r="A10" s="122" t="s">
        <v>40</v>
      </c>
      <c r="B10" s="119">
        <v>200000.0</v>
      </c>
      <c r="C10" s="123">
        <v>0.57</v>
      </c>
      <c r="D10" s="124">
        <f t="shared" ref="D10:D16" si="1">IF(OR(B10="",C10=""),"",ROUND(B10/C10,0))</f>
        <v>350877</v>
      </c>
      <c r="E10" s="120">
        <v>0.0082</v>
      </c>
      <c r="F10" s="124">
        <f t="shared" ref="F10:F16" si="2">IF(OR(D10="",E10=""),"",ROUND(D10*E10,0))</f>
        <v>2877</v>
      </c>
      <c r="G10" s="120">
        <v>0.17</v>
      </c>
      <c r="H10" s="124">
        <f t="shared" ref="H10:H16" si="3">IF(OR(F10="",G10=""),"",ROUND(F10*G10,0))</f>
        <v>489</v>
      </c>
      <c r="I10" s="124">
        <f t="shared" ref="I10:I17" si="4">IF(N(H10)=0,"",ROUND(B10/H10,0))</f>
        <v>409</v>
      </c>
      <c r="J10" s="124">
        <f t="shared" ref="J10:J16" si="5">IF(OR(N(H10)=0,$K$9=""),"",ROUND(H10*$K$9,0))</f>
        <v>465</v>
      </c>
      <c r="K10" s="124">
        <f t="shared" ref="K10:K17" si="6">IF(N(J10)=0,"",ROUND(B10/J10,0))</f>
        <v>430</v>
      </c>
      <c r="L10" s="124">
        <f t="shared" ref="L10:L16" si="7">IF(N(J10)=0,"",ROUND(J10*$H$9,0))</f>
        <v>279000</v>
      </c>
      <c r="M10" s="125">
        <f t="shared" ref="M10:M17" si="8">IF(N(L10)=0,"",B10/L10)</f>
        <v>0.7168458781</v>
      </c>
      <c r="N10" s="2"/>
    </row>
    <row r="11" ht="25.5" hidden="1" customHeight="1" outlineLevel="1">
      <c r="A11" s="122" t="s">
        <v>1979</v>
      </c>
      <c r="B11" s="119">
        <v>283000.0</v>
      </c>
      <c r="C11" s="123">
        <v>0.71</v>
      </c>
      <c r="D11" s="124">
        <f t="shared" si="1"/>
        <v>398592</v>
      </c>
      <c r="E11" s="120">
        <v>0.021</v>
      </c>
      <c r="F11" s="124">
        <f t="shared" si="2"/>
        <v>8370</v>
      </c>
      <c r="G11" s="120">
        <v>0.23</v>
      </c>
      <c r="H11" s="124">
        <f t="shared" si="3"/>
        <v>1925</v>
      </c>
      <c r="I11" s="124">
        <f t="shared" si="4"/>
        <v>147</v>
      </c>
      <c r="J11" s="124">
        <f t="shared" si="5"/>
        <v>1829</v>
      </c>
      <c r="K11" s="124">
        <f t="shared" si="6"/>
        <v>155</v>
      </c>
      <c r="L11" s="124">
        <f t="shared" si="7"/>
        <v>1097400</v>
      </c>
      <c r="M11" s="125">
        <f t="shared" si="8"/>
        <v>0.2578822672</v>
      </c>
      <c r="N11" s="2"/>
    </row>
    <row r="12" ht="21.75" hidden="1" customHeight="1" outlineLevel="1">
      <c r="A12" s="122" t="s">
        <v>31</v>
      </c>
      <c r="B12" s="119">
        <v>274000.0</v>
      </c>
      <c r="C12" s="123">
        <v>0.72</v>
      </c>
      <c r="D12" s="124">
        <f t="shared" si="1"/>
        <v>380556</v>
      </c>
      <c r="E12" s="120">
        <v>0.012</v>
      </c>
      <c r="F12" s="124">
        <f t="shared" si="2"/>
        <v>4567</v>
      </c>
      <c r="G12" s="120">
        <v>0.23</v>
      </c>
      <c r="H12" s="124">
        <f t="shared" si="3"/>
        <v>1050</v>
      </c>
      <c r="I12" s="124">
        <f t="shared" si="4"/>
        <v>261</v>
      </c>
      <c r="J12" s="124">
        <f t="shared" si="5"/>
        <v>998</v>
      </c>
      <c r="K12" s="124">
        <f t="shared" si="6"/>
        <v>275</v>
      </c>
      <c r="L12" s="124">
        <f t="shared" si="7"/>
        <v>598800</v>
      </c>
      <c r="M12" s="125">
        <f t="shared" si="8"/>
        <v>0.4575818303</v>
      </c>
      <c r="N12" s="2"/>
    </row>
    <row r="13" ht="15.0" hidden="1" customHeight="1" outlineLevel="1">
      <c r="A13" s="122" t="s">
        <v>19</v>
      </c>
      <c r="B13" s="119">
        <v>400000.0</v>
      </c>
      <c r="C13" s="123">
        <v>0.35</v>
      </c>
      <c r="D13" s="124">
        <f t="shared" si="1"/>
        <v>1142857</v>
      </c>
      <c r="E13" s="120">
        <v>0.006</v>
      </c>
      <c r="F13" s="124">
        <f t="shared" si="2"/>
        <v>6857</v>
      </c>
      <c r="G13" s="120">
        <v>0.23</v>
      </c>
      <c r="H13" s="124">
        <f t="shared" si="3"/>
        <v>1577</v>
      </c>
      <c r="I13" s="124">
        <f t="shared" si="4"/>
        <v>254</v>
      </c>
      <c r="J13" s="124">
        <f t="shared" si="5"/>
        <v>1498</v>
      </c>
      <c r="K13" s="124">
        <f t="shared" si="6"/>
        <v>267</v>
      </c>
      <c r="L13" s="124">
        <f t="shared" si="7"/>
        <v>898800</v>
      </c>
      <c r="M13" s="125">
        <f t="shared" si="8"/>
        <v>0.4450378282</v>
      </c>
      <c r="N13" s="2"/>
    </row>
    <row r="14" ht="15.0" hidden="1" customHeight="1" outlineLevel="1">
      <c r="A14" s="122" t="s">
        <v>61</v>
      </c>
      <c r="B14" s="119">
        <v>150000.0</v>
      </c>
      <c r="C14" s="123">
        <v>0.8</v>
      </c>
      <c r="D14" s="124">
        <f t="shared" si="1"/>
        <v>187500</v>
      </c>
      <c r="E14" s="120">
        <v>0.01</v>
      </c>
      <c r="F14" s="124">
        <f t="shared" si="2"/>
        <v>1875</v>
      </c>
      <c r="G14" s="120">
        <v>0.23</v>
      </c>
      <c r="H14" s="124">
        <f t="shared" si="3"/>
        <v>431</v>
      </c>
      <c r="I14" s="124">
        <f t="shared" si="4"/>
        <v>348</v>
      </c>
      <c r="J14" s="124">
        <f t="shared" si="5"/>
        <v>409</v>
      </c>
      <c r="K14" s="124">
        <f t="shared" si="6"/>
        <v>367</v>
      </c>
      <c r="L14" s="124">
        <f t="shared" si="7"/>
        <v>245400</v>
      </c>
      <c r="M14" s="125">
        <f t="shared" si="8"/>
        <v>0.6112469438</v>
      </c>
      <c r="N14" s="2"/>
    </row>
    <row r="15" ht="15.0" hidden="1" customHeight="1" outlineLevel="1">
      <c r="A15" s="122" t="s">
        <v>670</v>
      </c>
      <c r="B15" s="119"/>
      <c r="C15" s="123"/>
      <c r="D15" s="124" t="str">
        <f t="shared" si="1"/>
        <v/>
      </c>
      <c r="E15" s="120"/>
      <c r="F15" s="124" t="str">
        <f t="shared" si="2"/>
        <v/>
      </c>
      <c r="G15" s="120"/>
      <c r="H15" s="124" t="str">
        <f t="shared" si="3"/>
        <v/>
      </c>
      <c r="I15" s="124" t="str">
        <f t="shared" si="4"/>
        <v/>
      </c>
      <c r="J15" s="124" t="str">
        <f t="shared" si="5"/>
        <v/>
      </c>
      <c r="K15" s="124" t="str">
        <f t="shared" si="6"/>
        <v/>
      </c>
      <c r="L15" s="124" t="str">
        <f t="shared" si="7"/>
        <v/>
      </c>
      <c r="M15" s="125" t="str">
        <f t="shared" si="8"/>
        <v/>
      </c>
      <c r="N15" s="2"/>
    </row>
    <row r="16" ht="15.0" hidden="1" customHeight="1" outlineLevel="1">
      <c r="A16" s="122" t="s">
        <v>2315</v>
      </c>
      <c r="B16" s="119"/>
      <c r="C16" s="123"/>
      <c r="D16" s="124" t="str">
        <f t="shared" si="1"/>
        <v/>
      </c>
      <c r="E16" s="120"/>
      <c r="F16" s="124" t="str">
        <f t="shared" si="2"/>
        <v/>
      </c>
      <c r="G16" s="120"/>
      <c r="H16" s="124" t="str">
        <f t="shared" si="3"/>
        <v/>
      </c>
      <c r="I16" s="124" t="str">
        <f t="shared" si="4"/>
        <v/>
      </c>
      <c r="J16" s="124" t="str">
        <f t="shared" si="5"/>
        <v/>
      </c>
      <c r="K16" s="124" t="str">
        <f t="shared" si="6"/>
        <v/>
      </c>
      <c r="L16" s="124" t="str">
        <f t="shared" si="7"/>
        <v/>
      </c>
      <c r="M16" s="125" t="str">
        <f t="shared" si="8"/>
        <v/>
      </c>
      <c r="N16" s="2"/>
    </row>
    <row r="17" ht="15.0" hidden="1" customHeight="1" outlineLevel="1">
      <c r="A17" s="126" t="s">
        <v>2316</v>
      </c>
      <c r="B17" s="127">
        <f>SUM(B10:B16)</f>
        <v>1307000</v>
      </c>
      <c r="C17" s="128">
        <f>IF(N(D17)=0,"",ROUND(B17/D17,2))</f>
        <v>0.53</v>
      </c>
      <c r="D17" s="127">
        <f>SUM(D10:D16)</f>
        <v>2460382</v>
      </c>
      <c r="E17" s="129"/>
      <c r="F17" s="127">
        <f>SUM(F10:F16)</f>
        <v>24546</v>
      </c>
      <c r="G17" s="129"/>
      <c r="H17" s="127">
        <f>SUM(H10:H16)</f>
        <v>5472</v>
      </c>
      <c r="I17" s="127">
        <f t="shared" si="4"/>
        <v>239</v>
      </c>
      <c r="J17" s="127">
        <f>SUM(J10:J16)</f>
        <v>5199</v>
      </c>
      <c r="K17" s="127">
        <f t="shared" si="6"/>
        <v>251</v>
      </c>
      <c r="L17" s="127">
        <f>SUM(L10:L16)</f>
        <v>3119400</v>
      </c>
      <c r="M17" s="130">
        <f t="shared" si="8"/>
        <v>0.4189908316</v>
      </c>
      <c r="N17" s="2"/>
    </row>
    <row r="18" ht="15.0" hidden="1" customHeight="1" outlineLevel="1">
      <c r="A18" s="116" t="s">
        <v>2317</v>
      </c>
      <c r="B18" s="131"/>
      <c r="C18" s="117"/>
      <c r="D18" s="117"/>
      <c r="E18" s="117"/>
      <c r="F18" s="117"/>
      <c r="G18" s="118" t="s">
        <v>2313</v>
      </c>
      <c r="H18" s="119">
        <v>1180.0</v>
      </c>
      <c r="I18" s="117"/>
      <c r="J18" s="118" t="s">
        <v>2314</v>
      </c>
      <c r="K18" s="120">
        <v>0.95</v>
      </c>
      <c r="L18" s="117"/>
      <c r="M18" s="117"/>
      <c r="N18" s="2"/>
    </row>
    <row r="19" ht="15.0" hidden="1" customHeight="1" outlineLevel="1">
      <c r="A19" s="122" t="s">
        <v>40</v>
      </c>
      <c r="B19" s="119">
        <v>40000.0</v>
      </c>
      <c r="C19" s="123">
        <v>0.57</v>
      </c>
      <c r="D19" s="124">
        <f t="shared" ref="D19:D25" si="9">IF(OR(B19="",C19=""),"",ROUND(B19/C19,0))</f>
        <v>70175</v>
      </c>
      <c r="E19" s="120">
        <v>0.0082</v>
      </c>
      <c r="F19" s="124">
        <f t="shared" ref="F19:F25" si="10">IF(OR(D19="",E19=""),"",ROUND(D19*E19,0))</f>
        <v>575</v>
      </c>
      <c r="G19" s="120">
        <v>0.08</v>
      </c>
      <c r="H19" s="124">
        <f t="shared" ref="H19:H25" si="11">IF(OR(F19="",G19=""),"",ROUND(F19*G19,0))</f>
        <v>46</v>
      </c>
      <c r="I19" s="124">
        <f t="shared" ref="I19:I27" si="12">IF(N(H19)=0,"",ROUND(B19/H19,0))</f>
        <v>870</v>
      </c>
      <c r="J19" s="124">
        <f t="shared" ref="J19:J25" si="13">IF(OR(N(H19)=0,$K$18=""),"",ROUND(H19*$K$18,0))</f>
        <v>44</v>
      </c>
      <c r="K19" s="124">
        <f t="shared" ref="K19:K27" si="14">IF(N(J19)=0,"",ROUND(B19/J19,0))</f>
        <v>909</v>
      </c>
      <c r="L19" s="124">
        <f t="shared" ref="L19:L25" si="15">IF(N(J19)=0,"",ROUND(J19*$H$18,0))</f>
        <v>51920</v>
      </c>
      <c r="M19" s="125">
        <f t="shared" ref="M19:M27" si="16">IF(N(L19)=0,"",B19/L19)</f>
        <v>0.7704160247</v>
      </c>
      <c r="N19" s="2"/>
    </row>
    <row r="20" ht="15.0" hidden="1" customHeight="1" outlineLevel="1">
      <c r="A20" s="122" t="s">
        <v>1979</v>
      </c>
      <c r="B20" s="119">
        <v>50475.0</v>
      </c>
      <c r="C20" s="123">
        <v>0.71</v>
      </c>
      <c r="D20" s="124">
        <f t="shared" si="9"/>
        <v>71092</v>
      </c>
      <c r="E20" s="120">
        <v>0.021</v>
      </c>
      <c r="F20" s="124">
        <f t="shared" si="10"/>
        <v>1493</v>
      </c>
      <c r="G20" s="120">
        <v>0.11</v>
      </c>
      <c r="H20" s="124">
        <f t="shared" si="11"/>
        <v>164</v>
      </c>
      <c r="I20" s="124">
        <f t="shared" si="12"/>
        <v>308</v>
      </c>
      <c r="J20" s="124">
        <f t="shared" si="13"/>
        <v>156</v>
      </c>
      <c r="K20" s="124">
        <f t="shared" si="14"/>
        <v>324</v>
      </c>
      <c r="L20" s="124">
        <f t="shared" si="15"/>
        <v>184080</v>
      </c>
      <c r="M20" s="125">
        <f t="shared" si="16"/>
        <v>0.2742014342</v>
      </c>
      <c r="N20" s="2"/>
    </row>
    <row r="21" ht="25.5" hidden="1" customHeight="1" outlineLevel="1">
      <c r="A21" s="122" t="s">
        <v>31</v>
      </c>
      <c r="B21" s="119">
        <v>30000.0</v>
      </c>
      <c r="C21" s="123">
        <v>0.72</v>
      </c>
      <c r="D21" s="124">
        <f t="shared" si="9"/>
        <v>41667</v>
      </c>
      <c r="E21" s="120">
        <v>0.012</v>
      </c>
      <c r="F21" s="124">
        <f t="shared" si="10"/>
        <v>500</v>
      </c>
      <c r="G21" s="120">
        <v>0.11</v>
      </c>
      <c r="H21" s="124">
        <f t="shared" si="11"/>
        <v>55</v>
      </c>
      <c r="I21" s="124">
        <f t="shared" si="12"/>
        <v>545</v>
      </c>
      <c r="J21" s="124">
        <f t="shared" si="13"/>
        <v>52</v>
      </c>
      <c r="K21" s="124">
        <f t="shared" si="14"/>
        <v>577</v>
      </c>
      <c r="L21" s="124">
        <f t="shared" si="15"/>
        <v>61360</v>
      </c>
      <c r="M21" s="125">
        <f t="shared" si="16"/>
        <v>0.4889178618</v>
      </c>
      <c r="N21" s="2"/>
    </row>
    <row r="22" hidden="1" outlineLevel="1">
      <c r="A22" s="122" t="s">
        <v>19</v>
      </c>
      <c r="B22" s="119">
        <v>100000.0</v>
      </c>
      <c r="C22" s="123">
        <v>0.35</v>
      </c>
      <c r="D22" s="124">
        <f t="shared" si="9"/>
        <v>285714</v>
      </c>
      <c r="E22" s="120">
        <v>0.006</v>
      </c>
      <c r="F22" s="124">
        <f t="shared" si="10"/>
        <v>1714</v>
      </c>
      <c r="G22" s="120">
        <v>0.11</v>
      </c>
      <c r="H22" s="124">
        <f t="shared" si="11"/>
        <v>189</v>
      </c>
      <c r="I22" s="124">
        <f t="shared" si="12"/>
        <v>529</v>
      </c>
      <c r="J22" s="124">
        <f t="shared" si="13"/>
        <v>180</v>
      </c>
      <c r="K22" s="124">
        <f t="shared" si="14"/>
        <v>556</v>
      </c>
      <c r="L22" s="124">
        <f t="shared" si="15"/>
        <v>212400</v>
      </c>
      <c r="M22" s="125">
        <f t="shared" si="16"/>
        <v>0.4708097928</v>
      </c>
      <c r="N22" s="2"/>
    </row>
    <row r="23" ht="15.0" hidden="1" customHeight="1" outlineLevel="1">
      <c r="A23" s="122" t="s">
        <v>61</v>
      </c>
      <c r="B23" s="119">
        <v>50000.0</v>
      </c>
      <c r="C23" s="123">
        <v>0.8</v>
      </c>
      <c r="D23" s="124">
        <f t="shared" si="9"/>
        <v>62500</v>
      </c>
      <c r="E23" s="120">
        <v>0.01</v>
      </c>
      <c r="F23" s="124">
        <f t="shared" si="10"/>
        <v>625</v>
      </c>
      <c r="G23" s="120">
        <v>0.11</v>
      </c>
      <c r="H23" s="124">
        <f t="shared" si="11"/>
        <v>69</v>
      </c>
      <c r="I23" s="124">
        <f t="shared" si="12"/>
        <v>725</v>
      </c>
      <c r="J23" s="124">
        <f t="shared" si="13"/>
        <v>66</v>
      </c>
      <c r="K23" s="124">
        <f t="shared" si="14"/>
        <v>758</v>
      </c>
      <c r="L23" s="124">
        <f t="shared" si="15"/>
        <v>77880</v>
      </c>
      <c r="M23" s="125">
        <f t="shared" si="16"/>
        <v>0.6420133539</v>
      </c>
      <c r="N23" s="2"/>
    </row>
    <row r="24" ht="15.0" hidden="1" customHeight="1" outlineLevel="1">
      <c r="A24" s="122" t="s">
        <v>670</v>
      </c>
      <c r="B24" s="119"/>
      <c r="C24" s="123"/>
      <c r="D24" s="124" t="str">
        <f t="shared" si="9"/>
        <v/>
      </c>
      <c r="E24" s="120"/>
      <c r="F24" s="124" t="str">
        <f t="shared" si="10"/>
        <v/>
      </c>
      <c r="G24" s="120"/>
      <c r="H24" s="124" t="str">
        <f t="shared" si="11"/>
        <v/>
      </c>
      <c r="I24" s="124" t="str">
        <f t="shared" si="12"/>
        <v/>
      </c>
      <c r="J24" s="124" t="str">
        <f t="shared" si="13"/>
        <v/>
      </c>
      <c r="K24" s="124" t="str">
        <f t="shared" si="14"/>
        <v/>
      </c>
      <c r="L24" s="124" t="str">
        <f t="shared" si="15"/>
        <v/>
      </c>
      <c r="M24" s="125" t="str">
        <f t="shared" si="16"/>
        <v/>
      </c>
      <c r="N24" s="2"/>
    </row>
    <row r="25" ht="21.75" hidden="1" customHeight="1" outlineLevel="1">
      <c r="A25" s="122" t="s">
        <v>2315</v>
      </c>
      <c r="B25" s="119"/>
      <c r="C25" s="123"/>
      <c r="D25" s="124" t="str">
        <f t="shared" si="9"/>
        <v/>
      </c>
      <c r="E25" s="120"/>
      <c r="F25" s="124" t="str">
        <f t="shared" si="10"/>
        <v/>
      </c>
      <c r="G25" s="120"/>
      <c r="H25" s="124" t="str">
        <f t="shared" si="11"/>
        <v/>
      </c>
      <c r="I25" s="124" t="str">
        <f t="shared" si="12"/>
        <v/>
      </c>
      <c r="J25" s="124" t="str">
        <f t="shared" si="13"/>
        <v/>
      </c>
      <c r="K25" s="124" t="str">
        <f t="shared" si="14"/>
        <v/>
      </c>
      <c r="L25" s="124" t="str">
        <f t="shared" si="15"/>
        <v/>
      </c>
      <c r="M25" s="125" t="str">
        <f t="shared" si="16"/>
        <v/>
      </c>
      <c r="N25" s="2"/>
    </row>
    <row r="26" ht="15.0" hidden="1" customHeight="1" outlineLevel="1">
      <c r="A26" s="126" t="s">
        <v>2318</v>
      </c>
      <c r="B26" s="127">
        <f>SUM(B19:B25)</f>
        <v>270475</v>
      </c>
      <c r="C26" s="128">
        <f t="shared" ref="C26:C27" si="17">IF(N(D26)=0,"",ROUND(B26/D26,2))</f>
        <v>0.51</v>
      </c>
      <c r="D26" s="127">
        <f>SUM(D19:D25)</f>
        <v>531148</v>
      </c>
      <c r="E26" s="129"/>
      <c r="F26" s="127">
        <f>SUM(F19:F25)</f>
        <v>4907</v>
      </c>
      <c r="G26" s="129"/>
      <c r="H26" s="127">
        <f>SUM(H19:H25)</f>
        <v>523</v>
      </c>
      <c r="I26" s="127">
        <f t="shared" si="12"/>
        <v>517</v>
      </c>
      <c r="J26" s="127">
        <f>SUM(J19:J25)</f>
        <v>498</v>
      </c>
      <c r="K26" s="127">
        <f t="shared" si="14"/>
        <v>543</v>
      </c>
      <c r="L26" s="127">
        <f>SUM(L19:L25)</f>
        <v>587640</v>
      </c>
      <c r="M26" s="130">
        <f t="shared" si="16"/>
        <v>0.4602732966</v>
      </c>
      <c r="N26" s="2"/>
    </row>
    <row r="27" ht="15.0" hidden="1" customHeight="1" outlineLevel="1">
      <c r="A27" s="132" t="s">
        <v>2319</v>
      </c>
      <c r="B27" s="133">
        <f>B17+B26</f>
        <v>1577475</v>
      </c>
      <c r="C27" s="134">
        <f t="shared" si="17"/>
        <v>0.53</v>
      </c>
      <c r="D27" s="133">
        <f>D17+D26</f>
        <v>2991530</v>
      </c>
      <c r="E27" s="109"/>
      <c r="F27" s="133">
        <f>F17+F26</f>
        <v>29453</v>
      </c>
      <c r="G27" s="109"/>
      <c r="H27" s="133">
        <f>H17+H26</f>
        <v>5995</v>
      </c>
      <c r="I27" s="133">
        <f t="shared" si="12"/>
        <v>263</v>
      </c>
      <c r="J27" s="133">
        <f>J17+J26</f>
        <v>5697</v>
      </c>
      <c r="K27" s="133">
        <f t="shared" si="14"/>
        <v>277</v>
      </c>
      <c r="L27" s="133">
        <f>L17+L26</f>
        <v>3707040</v>
      </c>
      <c r="M27" s="135">
        <f t="shared" si="16"/>
        <v>0.4255349281</v>
      </c>
      <c r="N27" s="2"/>
    </row>
    <row r="28" ht="15.0" hidden="1" customHeight="1" outlineLevel="1">
      <c r="A28" s="136" t="s">
        <v>2320</v>
      </c>
      <c r="B28" s="137" t="str">
        <f>IF(OR(N(L27)=0,N($E$7)=0),"Заполни бюджет, CPV и параметры",IF(M27&lt;=$E$7,"В ЦЕЛЬ: DRR "&amp;ROUND(M27*100,1)&amp;"% при цели "&amp;ROUND($E$7*100,1)&amp;"%","ВЫШЕ ЦЕЛИ: DRR "&amp;ROUND(M27*100,1)&amp;"% при цели "&amp;ROUND($E$7*100,1)&amp;"%"))</f>
        <v>ВЫШЕ ЦЕЛИ: DRR 42,6% при цели 13%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9"/>
      <c r="N28" s="2"/>
    </row>
    <row r="29" ht="15.0" customHeight="1" outlineLevel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5.0" customHeight="1" outlineLevel="1">
      <c r="A30" s="140" t="s">
        <v>2321</v>
      </c>
      <c r="B30" s="141" t="s">
        <v>2322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2"/>
    </row>
    <row r="31" ht="15.0" customHeight="1" outlineLevel="1">
      <c r="A31" s="110" t="s">
        <v>2297</v>
      </c>
      <c r="B31" s="142">
        <v>660000.0</v>
      </c>
      <c r="C31" s="112"/>
      <c r="D31" s="113" t="s">
        <v>2298</v>
      </c>
      <c r="E31" s="114">
        <v>0.13</v>
      </c>
      <c r="F31" s="112"/>
      <c r="G31" s="112"/>
      <c r="H31" s="112"/>
      <c r="I31" s="112"/>
      <c r="J31" s="112"/>
      <c r="K31" s="112"/>
      <c r="L31" s="112"/>
      <c r="M31" s="112"/>
      <c r="N31" s="2"/>
    </row>
    <row r="32" ht="30.0" customHeight="1" outlineLevel="1">
      <c r="A32" s="115" t="s">
        <v>2299</v>
      </c>
      <c r="B32" s="115" t="s">
        <v>2300</v>
      </c>
      <c r="C32" s="115" t="s">
        <v>2301</v>
      </c>
      <c r="D32" s="115" t="s">
        <v>2302</v>
      </c>
      <c r="E32" s="115" t="s">
        <v>2303</v>
      </c>
      <c r="F32" s="115" t="s">
        <v>2304</v>
      </c>
      <c r="G32" s="115" t="s">
        <v>2305</v>
      </c>
      <c r="H32" s="115" t="s">
        <v>2306</v>
      </c>
      <c r="I32" s="115" t="s">
        <v>2307</v>
      </c>
      <c r="J32" s="115" t="s">
        <v>2308</v>
      </c>
      <c r="K32" s="115" t="s">
        <v>2309</v>
      </c>
      <c r="L32" s="115" t="s">
        <v>2310</v>
      </c>
      <c r="M32" s="115" t="s">
        <v>2311</v>
      </c>
      <c r="N32" s="2"/>
    </row>
    <row r="33" outlineLevel="1">
      <c r="A33" s="116" t="s">
        <v>2312</v>
      </c>
      <c r="B33" s="117"/>
      <c r="C33" s="117"/>
      <c r="D33" s="117"/>
      <c r="E33" s="117"/>
      <c r="F33" s="117"/>
      <c r="G33" s="118" t="s">
        <v>2313</v>
      </c>
      <c r="H33" s="143">
        <v>748.0</v>
      </c>
      <c r="I33" s="117"/>
      <c r="J33" s="118" t="s">
        <v>2314</v>
      </c>
      <c r="K33" s="120">
        <v>0.95</v>
      </c>
      <c r="L33" s="117"/>
      <c r="M33" s="121">
        <v>0.18</v>
      </c>
      <c r="N33" s="2"/>
    </row>
    <row r="34" ht="15.0" customHeight="1" outlineLevel="1">
      <c r="A34" s="122" t="s">
        <v>40</v>
      </c>
      <c r="B34" s="143">
        <v>31000.0</v>
      </c>
      <c r="C34" s="144">
        <v>0.8</v>
      </c>
      <c r="D34" s="124">
        <f t="shared" ref="D34:D40" si="18">IF(OR(B34="",C34=""),"",ROUND(B34/C34,0))</f>
        <v>38750</v>
      </c>
      <c r="E34" s="120">
        <v>0.0082</v>
      </c>
      <c r="F34" s="124">
        <f t="shared" ref="F34:F40" si="19">IF(OR(D34="",E34=""),"",ROUND(D34*E34,0))</f>
        <v>318</v>
      </c>
      <c r="G34" s="120">
        <v>0.17</v>
      </c>
      <c r="H34" s="124">
        <f t="shared" ref="H34:H40" si="20">IF(OR(F34="",G34=""),"",ROUND(F34*G34,0))</f>
        <v>54</v>
      </c>
      <c r="I34" s="124">
        <f t="shared" ref="I34:I41" si="21">IF(N(H34)=0,"",ROUND(B34/H34,0))</f>
        <v>574</v>
      </c>
      <c r="J34" s="124">
        <f t="shared" ref="J34:J40" si="22">IF(OR(N(H34)=0,$K$9=""),"",ROUND(H34*$K$9,0))</f>
        <v>51</v>
      </c>
      <c r="K34" s="124">
        <f t="shared" ref="K34:K41" si="23">IF(N(J34)=0,"",ROUND(B34/J34,0))</f>
        <v>608</v>
      </c>
      <c r="L34" s="124">
        <f t="shared" ref="L34:L40" si="24">IF(N(J34)=0,"",ROUND(J34*$H$9,0))</f>
        <v>30600</v>
      </c>
      <c r="M34" s="125">
        <f t="shared" ref="M34:M41" si="25">IF(N(L34)=0,"",B34/L34)</f>
        <v>1.013071895</v>
      </c>
      <c r="N34" s="2"/>
    </row>
    <row r="35" ht="25.5" customHeight="1" outlineLevel="1">
      <c r="A35" s="122" t="s">
        <v>1979</v>
      </c>
      <c r="B35" s="143">
        <v>63000.0</v>
      </c>
      <c r="C35" s="144">
        <v>0.9</v>
      </c>
      <c r="D35" s="124">
        <f t="shared" si="18"/>
        <v>70000</v>
      </c>
      <c r="E35" s="120">
        <v>0.021</v>
      </c>
      <c r="F35" s="124">
        <f t="shared" si="19"/>
        <v>1470</v>
      </c>
      <c r="G35" s="120">
        <v>0.23</v>
      </c>
      <c r="H35" s="124">
        <f t="shared" si="20"/>
        <v>338</v>
      </c>
      <c r="I35" s="124">
        <f t="shared" si="21"/>
        <v>186</v>
      </c>
      <c r="J35" s="124">
        <f t="shared" si="22"/>
        <v>321</v>
      </c>
      <c r="K35" s="124">
        <f t="shared" si="23"/>
        <v>196</v>
      </c>
      <c r="L35" s="124">
        <f t="shared" si="24"/>
        <v>192600</v>
      </c>
      <c r="M35" s="125">
        <f t="shared" si="25"/>
        <v>0.3271028037</v>
      </c>
      <c r="N35" s="2"/>
    </row>
    <row r="36" ht="21.75" customHeight="1" outlineLevel="1">
      <c r="A36" s="122" t="s">
        <v>31</v>
      </c>
      <c r="B36" s="143">
        <v>119000.0</v>
      </c>
      <c r="C36" s="123">
        <v>0.72</v>
      </c>
      <c r="D36" s="124">
        <f t="shared" si="18"/>
        <v>165278</v>
      </c>
      <c r="E36" s="120">
        <v>0.012</v>
      </c>
      <c r="F36" s="124">
        <f t="shared" si="19"/>
        <v>1983</v>
      </c>
      <c r="G36" s="120">
        <v>0.23</v>
      </c>
      <c r="H36" s="124">
        <f t="shared" si="20"/>
        <v>456</v>
      </c>
      <c r="I36" s="124">
        <f t="shared" si="21"/>
        <v>261</v>
      </c>
      <c r="J36" s="124">
        <f t="shared" si="22"/>
        <v>433</v>
      </c>
      <c r="K36" s="124">
        <f t="shared" si="23"/>
        <v>275</v>
      </c>
      <c r="L36" s="124">
        <f t="shared" si="24"/>
        <v>259800</v>
      </c>
      <c r="M36" s="125">
        <f t="shared" si="25"/>
        <v>0.4580446497</v>
      </c>
      <c r="N36" s="2"/>
    </row>
    <row r="37" ht="15.0" customHeight="1" outlineLevel="1">
      <c r="A37" s="122" t="s">
        <v>19</v>
      </c>
      <c r="B37" s="143">
        <v>200000.0</v>
      </c>
      <c r="C37" s="144">
        <v>0.6</v>
      </c>
      <c r="D37" s="124">
        <f t="shared" si="18"/>
        <v>333333</v>
      </c>
      <c r="E37" s="120">
        <v>0.006</v>
      </c>
      <c r="F37" s="124">
        <f t="shared" si="19"/>
        <v>2000</v>
      </c>
      <c r="G37" s="120">
        <v>0.23</v>
      </c>
      <c r="H37" s="124">
        <f t="shared" si="20"/>
        <v>460</v>
      </c>
      <c r="I37" s="124">
        <f t="shared" si="21"/>
        <v>435</v>
      </c>
      <c r="J37" s="124">
        <f t="shared" si="22"/>
        <v>437</v>
      </c>
      <c r="K37" s="124">
        <f t="shared" si="23"/>
        <v>458</v>
      </c>
      <c r="L37" s="124">
        <f t="shared" si="24"/>
        <v>262200</v>
      </c>
      <c r="M37" s="125">
        <f t="shared" si="25"/>
        <v>0.7627765065</v>
      </c>
      <c r="N37" s="2"/>
    </row>
    <row r="38" ht="15.0" customHeight="1" outlineLevel="1">
      <c r="A38" s="122" t="s">
        <v>61</v>
      </c>
      <c r="B38" s="143">
        <v>217000.0</v>
      </c>
      <c r="C38" s="123">
        <v>0.8</v>
      </c>
      <c r="D38" s="124">
        <f t="shared" si="18"/>
        <v>271250</v>
      </c>
      <c r="E38" s="120">
        <v>0.01</v>
      </c>
      <c r="F38" s="124">
        <f t="shared" si="19"/>
        <v>2713</v>
      </c>
      <c r="G38" s="120">
        <v>0.23</v>
      </c>
      <c r="H38" s="124">
        <f t="shared" si="20"/>
        <v>624</v>
      </c>
      <c r="I38" s="124">
        <f t="shared" si="21"/>
        <v>348</v>
      </c>
      <c r="J38" s="124">
        <f t="shared" si="22"/>
        <v>593</v>
      </c>
      <c r="K38" s="124">
        <f t="shared" si="23"/>
        <v>366</v>
      </c>
      <c r="L38" s="124">
        <f t="shared" si="24"/>
        <v>355800</v>
      </c>
      <c r="M38" s="125">
        <f t="shared" si="25"/>
        <v>0.6098931984</v>
      </c>
      <c r="N38" s="2"/>
    </row>
    <row r="39" ht="15.0" customHeight="1" outlineLevel="1">
      <c r="A39" s="122" t="s">
        <v>670</v>
      </c>
      <c r="B39" s="119"/>
      <c r="C39" s="123"/>
      <c r="D39" s="124" t="str">
        <f t="shared" si="18"/>
        <v/>
      </c>
      <c r="E39" s="120"/>
      <c r="F39" s="124" t="str">
        <f t="shared" si="19"/>
        <v/>
      </c>
      <c r="G39" s="120"/>
      <c r="H39" s="124" t="str">
        <f t="shared" si="20"/>
        <v/>
      </c>
      <c r="I39" s="124" t="str">
        <f t="shared" si="21"/>
        <v/>
      </c>
      <c r="J39" s="124" t="str">
        <f t="shared" si="22"/>
        <v/>
      </c>
      <c r="K39" s="124" t="str">
        <f t="shared" si="23"/>
        <v/>
      </c>
      <c r="L39" s="124" t="str">
        <f t="shared" si="24"/>
        <v/>
      </c>
      <c r="M39" s="125" t="str">
        <f t="shared" si="25"/>
        <v/>
      </c>
      <c r="N39" s="2"/>
    </row>
    <row r="40" ht="15.0" customHeight="1" outlineLevel="1">
      <c r="A40" s="122" t="s">
        <v>2315</v>
      </c>
      <c r="B40" s="119"/>
      <c r="C40" s="123"/>
      <c r="D40" s="124" t="str">
        <f t="shared" si="18"/>
        <v/>
      </c>
      <c r="E40" s="120"/>
      <c r="F40" s="124" t="str">
        <f t="shared" si="19"/>
        <v/>
      </c>
      <c r="G40" s="120"/>
      <c r="H40" s="124" t="str">
        <f t="shared" si="20"/>
        <v/>
      </c>
      <c r="I40" s="124" t="str">
        <f t="shared" si="21"/>
        <v/>
      </c>
      <c r="J40" s="124" t="str">
        <f t="shared" si="22"/>
        <v/>
      </c>
      <c r="K40" s="124" t="str">
        <f t="shared" si="23"/>
        <v/>
      </c>
      <c r="L40" s="124" t="str">
        <f t="shared" si="24"/>
        <v/>
      </c>
      <c r="M40" s="125" t="str">
        <f t="shared" si="25"/>
        <v/>
      </c>
      <c r="N40" s="2"/>
    </row>
    <row r="41" ht="15.0" customHeight="1" outlineLevel="1">
      <c r="A41" s="126" t="s">
        <v>2316</v>
      </c>
      <c r="B41" s="127">
        <f>SUM(B34:B40)</f>
        <v>630000</v>
      </c>
      <c r="C41" s="128">
        <f>IF(N(D41)=0,"",ROUND(B41/D41,2))</f>
        <v>0.72</v>
      </c>
      <c r="D41" s="127">
        <f>SUM(D34:D40)</f>
        <v>878611</v>
      </c>
      <c r="E41" s="129"/>
      <c r="F41" s="127">
        <f>SUM(F34:F40)</f>
        <v>8484</v>
      </c>
      <c r="G41" s="129"/>
      <c r="H41" s="127">
        <f>SUM(H34:H40)</f>
        <v>1932</v>
      </c>
      <c r="I41" s="127">
        <f t="shared" si="21"/>
        <v>326</v>
      </c>
      <c r="J41" s="127">
        <f>SUM(J34:J40)</f>
        <v>1835</v>
      </c>
      <c r="K41" s="127">
        <f t="shared" si="23"/>
        <v>343</v>
      </c>
      <c r="L41" s="127">
        <f>SUM(L34:L40)</f>
        <v>1101000</v>
      </c>
      <c r="M41" s="130">
        <f t="shared" si="25"/>
        <v>0.5722070845</v>
      </c>
      <c r="N41" s="2"/>
    </row>
    <row r="42" ht="15.0" customHeight="1" outlineLevel="1">
      <c r="A42" s="116" t="s">
        <v>2317</v>
      </c>
      <c r="B42" s="131"/>
      <c r="C42" s="117"/>
      <c r="D42" s="117"/>
      <c r="E42" s="117"/>
      <c r="F42" s="117"/>
      <c r="G42" s="118" t="s">
        <v>2313</v>
      </c>
      <c r="H42" s="119">
        <v>1180.0</v>
      </c>
      <c r="I42" s="117"/>
      <c r="J42" s="118" t="s">
        <v>2314</v>
      </c>
      <c r="K42" s="120">
        <v>0.95</v>
      </c>
      <c r="L42" s="117"/>
      <c r="M42" s="117"/>
      <c r="N42" s="2"/>
    </row>
    <row r="43" ht="15.0" customHeight="1" outlineLevel="1">
      <c r="A43" s="122" t="s">
        <v>40</v>
      </c>
      <c r="B43" s="143">
        <v>10000.0</v>
      </c>
      <c r="C43" s="144">
        <v>0.8</v>
      </c>
      <c r="D43" s="124">
        <f t="shared" ref="D43:D49" si="26">IF(OR(B43="",C43=""),"",ROUND(B43/C43,0))</f>
        <v>12500</v>
      </c>
      <c r="E43" s="120">
        <v>0.0082</v>
      </c>
      <c r="F43" s="124">
        <f t="shared" ref="F43:F49" si="27">IF(OR(D43="",E43=""),"",ROUND(D43*E43,0))</f>
        <v>103</v>
      </c>
      <c r="G43" s="120">
        <v>0.08</v>
      </c>
      <c r="H43" s="124">
        <f t="shared" ref="H43:H49" si="28">IF(OR(F43="",G43=""),"",ROUND(F43*G43,0))</f>
        <v>8</v>
      </c>
      <c r="I43" s="124">
        <f t="shared" ref="I43:I51" si="29">IF(N(H43)=0,"",ROUND(B43/H43,0))</f>
        <v>1250</v>
      </c>
      <c r="J43" s="124">
        <f t="shared" ref="J43:J49" si="30">IF(OR(N(H43)=0,$K$18=""),"",ROUND(H43*$K$18,0))</f>
        <v>8</v>
      </c>
      <c r="K43" s="124">
        <f t="shared" ref="K43:K51" si="31">IF(N(J43)=0,"",ROUND(B43/J43,0))</f>
        <v>1250</v>
      </c>
      <c r="L43" s="124">
        <f t="shared" ref="L43:L49" si="32">IF(N(J43)=0,"",ROUND(J43*$H$18,0))</f>
        <v>9440</v>
      </c>
      <c r="M43" s="125">
        <f t="shared" ref="M43:M51" si="33">IF(N(L43)=0,"",B43/L43)</f>
        <v>1.059322034</v>
      </c>
      <c r="N43" s="2"/>
    </row>
    <row r="44" ht="15.0" customHeight="1" outlineLevel="1">
      <c r="A44" s="122" t="s">
        <v>1979</v>
      </c>
      <c r="B44" s="143">
        <v>20000.0</v>
      </c>
      <c r="C44" s="144">
        <v>0.9</v>
      </c>
      <c r="D44" s="124">
        <f t="shared" si="26"/>
        <v>22222</v>
      </c>
      <c r="E44" s="120">
        <v>0.021</v>
      </c>
      <c r="F44" s="124">
        <f t="shared" si="27"/>
        <v>467</v>
      </c>
      <c r="G44" s="120">
        <v>0.11</v>
      </c>
      <c r="H44" s="124">
        <f t="shared" si="28"/>
        <v>51</v>
      </c>
      <c r="I44" s="124">
        <f t="shared" si="29"/>
        <v>392</v>
      </c>
      <c r="J44" s="124">
        <f t="shared" si="30"/>
        <v>48</v>
      </c>
      <c r="K44" s="124">
        <f t="shared" si="31"/>
        <v>417</v>
      </c>
      <c r="L44" s="124">
        <f t="shared" si="32"/>
        <v>56640</v>
      </c>
      <c r="M44" s="125">
        <f t="shared" si="33"/>
        <v>0.3531073446</v>
      </c>
      <c r="N44" s="2"/>
    </row>
    <row r="45" ht="25.5" customHeight="1" outlineLevel="1">
      <c r="A45" s="122" t="s">
        <v>31</v>
      </c>
      <c r="B45" s="143">
        <v>0.0</v>
      </c>
      <c r="C45" s="123">
        <v>0.72</v>
      </c>
      <c r="D45" s="124">
        <f t="shared" si="26"/>
        <v>0</v>
      </c>
      <c r="E45" s="120">
        <v>0.012</v>
      </c>
      <c r="F45" s="124">
        <f t="shared" si="27"/>
        <v>0</v>
      </c>
      <c r="G45" s="120">
        <v>0.11</v>
      </c>
      <c r="H45" s="124">
        <f t="shared" si="28"/>
        <v>0</v>
      </c>
      <c r="I45" s="124" t="str">
        <f t="shared" si="29"/>
        <v/>
      </c>
      <c r="J45" s="124" t="str">
        <f t="shared" si="30"/>
        <v/>
      </c>
      <c r="K45" s="124" t="str">
        <f t="shared" si="31"/>
        <v/>
      </c>
      <c r="L45" s="124" t="str">
        <f t="shared" si="32"/>
        <v/>
      </c>
      <c r="M45" s="125" t="str">
        <f t="shared" si="33"/>
        <v/>
      </c>
      <c r="N45" s="2"/>
    </row>
    <row r="46" outlineLevel="1">
      <c r="A46" s="122" t="s">
        <v>19</v>
      </c>
      <c r="B46" s="143">
        <v>0.0</v>
      </c>
      <c r="C46" s="144">
        <v>0.6</v>
      </c>
      <c r="D46" s="124">
        <f t="shared" si="26"/>
        <v>0</v>
      </c>
      <c r="E46" s="120">
        <v>0.006</v>
      </c>
      <c r="F46" s="124">
        <f t="shared" si="27"/>
        <v>0</v>
      </c>
      <c r="G46" s="120">
        <v>0.11</v>
      </c>
      <c r="H46" s="124">
        <f t="shared" si="28"/>
        <v>0</v>
      </c>
      <c r="I46" s="124" t="str">
        <f t="shared" si="29"/>
        <v/>
      </c>
      <c r="J46" s="124" t="str">
        <f t="shared" si="30"/>
        <v/>
      </c>
      <c r="K46" s="124" t="str">
        <f t="shared" si="31"/>
        <v/>
      </c>
      <c r="L46" s="124" t="str">
        <f t="shared" si="32"/>
        <v/>
      </c>
      <c r="M46" s="125" t="str">
        <f t="shared" si="33"/>
        <v/>
      </c>
      <c r="N46" s="2"/>
    </row>
    <row r="47" ht="15.0" customHeight="1" outlineLevel="1">
      <c r="A47" s="122" t="s">
        <v>61</v>
      </c>
      <c r="B47" s="143">
        <v>0.0</v>
      </c>
      <c r="C47" s="123">
        <v>0.8</v>
      </c>
      <c r="D47" s="124">
        <f t="shared" si="26"/>
        <v>0</v>
      </c>
      <c r="E47" s="120">
        <v>0.01</v>
      </c>
      <c r="F47" s="124">
        <f t="shared" si="27"/>
        <v>0</v>
      </c>
      <c r="G47" s="120">
        <v>0.11</v>
      </c>
      <c r="H47" s="124">
        <f t="shared" si="28"/>
        <v>0</v>
      </c>
      <c r="I47" s="124" t="str">
        <f t="shared" si="29"/>
        <v/>
      </c>
      <c r="J47" s="124" t="str">
        <f t="shared" si="30"/>
        <v/>
      </c>
      <c r="K47" s="124" t="str">
        <f t="shared" si="31"/>
        <v/>
      </c>
      <c r="L47" s="124" t="str">
        <f t="shared" si="32"/>
        <v/>
      </c>
      <c r="M47" s="125" t="str">
        <f t="shared" si="33"/>
        <v/>
      </c>
      <c r="N47" s="2"/>
    </row>
    <row r="48" ht="15.0" customHeight="1" outlineLevel="1">
      <c r="A48" s="122" t="s">
        <v>670</v>
      </c>
      <c r="B48" s="119"/>
      <c r="C48" s="123"/>
      <c r="D48" s="124" t="str">
        <f t="shared" si="26"/>
        <v/>
      </c>
      <c r="E48" s="120"/>
      <c r="F48" s="124" t="str">
        <f t="shared" si="27"/>
        <v/>
      </c>
      <c r="G48" s="120"/>
      <c r="H48" s="124" t="str">
        <f t="shared" si="28"/>
        <v/>
      </c>
      <c r="I48" s="124" t="str">
        <f t="shared" si="29"/>
        <v/>
      </c>
      <c r="J48" s="124" t="str">
        <f t="shared" si="30"/>
        <v/>
      </c>
      <c r="K48" s="124" t="str">
        <f t="shared" si="31"/>
        <v/>
      </c>
      <c r="L48" s="124" t="str">
        <f t="shared" si="32"/>
        <v/>
      </c>
      <c r="M48" s="125" t="str">
        <f t="shared" si="33"/>
        <v/>
      </c>
      <c r="N48" s="2"/>
    </row>
    <row r="49" ht="21.75" customHeight="1" outlineLevel="1">
      <c r="A49" s="122" t="s">
        <v>2315</v>
      </c>
      <c r="B49" s="119"/>
      <c r="C49" s="123"/>
      <c r="D49" s="124" t="str">
        <f t="shared" si="26"/>
        <v/>
      </c>
      <c r="E49" s="120"/>
      <c r="F49" s="124" t="str">
        <f t="shared" si="27"/>
        <v/>
      </c>
      <c r="G49" s="120"/>
      <c r="H49" s="124" t="str">
        <f t="shared" si="28"/>
        <v/>
      </c>
      <c r="I49" s="124" t="str">
        <f t="shared" si="29"/>
        <v/>
      </c>
      <c r="J49" s="124" t="str">
        <f t="shared" si="30"/>
        <v/>
      </c>
      <c r="K49" s="124" t="str">
        <f t="shared" si="31"/>
        <v/>
      </c>
      <c r="L49" s="124" t="str">
        <f t="shared" si="32"/>
        <v/>
      </c>
      <c r="M49" s="125" t="str">
        <f t="shared" si="33"/>
        <v/>
      </c>
      <c r="N49" s="2"/>
    </row>
    <row r="50" ht="15.0" customHeight="1" outlineLevel="1">
      <c r="A50" s="126" t="s">
        <v>2318</v>
      </c>
      <c r="B50" s="127">
        <f>SUM(B43:B49)</f>
        <v>30000</v>
      </c>
      <c r="C50" s="128">
        <f t="shared" ref="C50:C51" si="34">IF(N(D50)=0,"",ROUND(B50/D50,2))</f>
        <v>0.86</v>
      </c>
      <c r="D50" s="127">
        <f>SUM(D43:D49)</f>
        <v>34722</v>
      </c>
      <c r="E50" s="129"/>
      <c r="F50" s="127">
        <f>SUM(F43:F49)</f>
        <v>570</v>
      </c>
      <c r="G50" s="129"/>
      <c r="H50" s="127">
        <f>SUM(H43:H49)</f>
        <v>59</v>
      </c>
      <c r="I50" s="127">
        <f t="shared" si="29"/>
        <v>508</v>
      </c>
      <c r="J50" s="127">
        <f>SUM(J43:J49)</f>
        <v>56</v>
      </c>
      <c r="K50" s="127">
        <f t="shared" si="31"/>
        <v>536</v>
      </c>
      <c r="L50" s="127">
        <f>SUM(L43:L49)</f>
        <v>66080</v>
      </c>
      <c r="M50" s="130">
        <f t="shared" si="33"/>
        <v>0.4539951574</v>
      </c>
      <c r="N50" s="2"/>
    </row>
    <row r="51" ht="15.0" customHeight="1" outlineLevel="1">
      <c r="A51" s="132" t="s">
        <v>2319</v>
      </c>
      <c r="B51" s="133">
        <f>B41+B50</f>
        <v>660000</v>
      </c>
      <c r="C51" s="134">
        <f t="shared" si="34"/>
        <v>0.72</v>
      </c>
      <c r="D51" s="133">
        <f>D41+D50</f>
        <v>913333</v>
      </c>
      <c r="E51" s="109"/>
      <c r="F51" s="133">
        <f>F41+F50</f>
        <v>9054</v>
      </c>
      <c r="G51" s="109"/>
      <c r="H51" s="133">
        <f>H41+H50</f>
        <v>1991</v>
      </c>
      <c r="I51" s="133">
        <f t="shared" si="29"/>
        <v>331</v>
      </c>
      <c r="J51" s="133">
        <f>J41+J50</f>
        <v>1891</v>
      </c>
      <c r="K51" s="133">
        <f t="shared" si="31"/>
        <v>349</v>
      </c>
      <c r="L51" s="133">
        <f>L41+L50</f>
        <v>1167080</v>
      </c>
      <c r="M51" s="135">
        <f t="shared" si="33"/>
        <v>0.5655139322</v>
      </c>
      <c r="N51" s="2"/>
    </row>
    <row r="52" ht="15.0" customHeight="1" outlineLevel="1">
      <c r="A52" s="136" t="s">
        <v>2320</v>
      </c>
      <c r="B52" s="137" t="str">
        <f>IF(OR(N(L51)=0,N($E$7)=0),"Заполни бюджет, CPV и параметры",IF(M51&lt;=$E$7,"В ЦЕЛЬ: DRR "&amp;ROUND(M51*100,1)&amp;"% при цели "&amp;ROUND($E$7*100,1)&amp;"%","ВЫШЕ ЦЕЛИ: DRR "&amp;ROUND(M51*100,1)&amp;"% при цели "&amp;ROUND($E$7*100,1)&amp;"%"))</f>
        <v>ВЫШЕ ЦЕЛИ: DRR 56,6% при цели 13%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9"/>
      <c r="N52" s="2"/>
    </row>
    <row r="53" outlineLevel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5.0" customHeight="1" outlineLevel="1">
      <c r="A54" s="140" t="s">
        <v>2321</v>
      </c>
      <c r="B54" s="141" t="s">
        <v>2323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2"/>
    </row>
    <row r="55" ht="15.0" customHeight="1" outlineLevel="1">
      <c r="A55" s="110" t="s">
        <v>2297</v>
      </c>
      <c r="B55" s="142">
        <v>100000.0</v>
      </c>
      <c r="C55" s="112"/>
      <c r="D55" s="113" t="s">
        <v>2298</v>
      </c>
      <c r="E55" s="114">
        <v>0.13</v>
      </c>
      <c r="F55" s="112"/>
      <c r="G55" s="112"/>
      <c r="H55" s="112"/>
      <c r="I55" s="112"/>
      <c r="J55" s="112"/>
      <c r="K55" s="112"/>
      <c r="L55" s="112"/>
      <c r="M55" s="112"/>
      <c r="N55" s="2"/>
    </row>
    <row r="56" ht="30.0" customHeight="1" outlineLevel="1">
      <c r="A56" s="115" t="s">
        <v>2299</v>
      </c>
      <c r="B56" s="115" t="s">
        <v>2300</v>
      </c>
      <c r="C56" s="115" t="s">
        <v>2301</v>
      </c>
      <c r="D56" s="115" t="s">
        <v>2302</v>
      </c>
      <c r="E56" s="115" t="s">
        <v>2303</v>
      </c>
      <c r="F56" s="115" t="s">
        <v>2304</v>
      </c>
      <c r="G56" s="115" t="s">
        <v>2305</v>
      </c>
      <c r="H56" s="115" t="s">
        <v>2306</v>
      </c>
      <c r="I56" s="115" t="s">
        <v>2307</v>
      </c>
      <c r="J56" s="115" t="s">
        <v>2308</v>
      </c>
      <c r="K56" s="115" t="s">
        <v>2309</v>
      </c>
      <c r="L56" s="115" t="s">
        <v>2310</v>
      </c>
      <c r="M56" s="115" t="s">
        <v>2311</v>
      </c>
      <c r="N56" s="2"/>
    </row>
    <row r="57" outlineLevel="1">
      <c r="A57" s="116" t="s">
        <v>2312</v>
      </c>
      <c r="B57" s="117"/>
      <c r="C57" s="117"/>
      <c r="D57" s="117"/>
      <c r="E57" s="117"/>
      <c r="F57" s="117"/>
      <c r="G57" s="118" t="s">
        <v>2313</v>
      </c>
      <c r="H57" s="143">
        <v>748.0</v>
      </c>
      <c r="I57" s="117"/>
      <c r="J57" s="118" t="s">
        <v>2314</v>
      </c>
      <c r="K57" s="120">
        <v>0.95</v>
      </c>
      <c r="L57" s="117"/>
      <c r="M57" s="121">
        <v>0.18</v>
      </c>
      <c r="N57" s="2"/>
    </row>
    <row r="58" ht="15.0" customHeight="1" outlineLevel="1">
      <c r="A58" s="122" t="s">
        <v>40</v>
      </c>
      <c r="B58" s="143">
        <v>15000.0</v>
      </c>
      <c r="C58" s="123">
        <v>0.71</v>
      </c>
      <c r="D58" s="124">
        <f t="shared" ref="D58:D60" si="35">IF(OR(B58="",C58=""),"",ROUND(B58/C58,0))</f>
        <v>21127</v>
      </c>
      <c r="E58" s="120">
        <v>0.0082</v>
      </c>
      <c r="F58" s="124">
        <f t="shared" ref="F58:F60" si="36">IF(OR(D58="",E58=""),"",ROUND(D58*E58,0))</f>
        <v>173</v>
      </c>
      <c r="G58" s="120">
        <v>0.17</v>
      </c>
      <c r="H58" s="124">
        <f t="shared" ref="H58:H60" si="37">IF(OR(F58="",G58=""),"",ROUND(F58*G58,0))</f>
        <v>29</v>
      </c>
      <c r="I58" s="124">
        <f t="shared" ref="I58:I61" si="38">IF(N(H58)=0,"",ROUND(B58/H58,0))</f>
        <v>517</v>
      </c>
      <c r="J58" s="124">
        <f t="shared" ref="J58:J60" si="39">IF(OR(N(H58)=0,$K$9=""),"",ROUND(H58*$K$9,0))</f>
        <v>28</v>
      </c>
      <c r="K58" s="124">
        <f t="shared" ref="K58:K61" si="40">IF(N(J58)=0,"",ROUND(B58/J58,0))</f>
        <v>536</v>
      </c>
      <c r="L58" s="124">
        <f t="shared" ref="L58:L60" si="41">IF(N(J58)=0,"",ROUND(J58*$H$9,0))</f>
        <v>16800</v>
      </c>
      <c r="M58" s="125">
        <f t="shared" ref="M58:M61" si="42">IF(N(L58)=0,"",B58/L58)</f>
        <v>0.8928571429</v>
      </c>
      <c r="N58" s="2"/>
    </row>
    <row r="59" ht="25.5" customHeight="1" outlineLevel="1">
      <c r="A59" s="122" t="s">
        <v>1979</v>
      </c>
      <c r="B59" s="143">
        <v>35000.0</v>
      </c>
      <c r="C59" s="123">
        <v>0.71</v>
      </c>
      <c r="D59" s="124">
        <f t="shared" si="35"/>
        <v>49296</v>
      </c>
      <c r="E59" s="120">
        <v>0.021</v>
      </c>
      <c r="F59" s="124">
        <f t="shared" si="36"/>
        <v>1035</v>
      </c>
      <c r="G59" s="120">
        <v>0.23</v>
      </c>
      <c r="H59" s="124">
        <f t="shared" si="37"/>
        <v>238</v>
      </c>
      <c r="I59" s="124">
        <f t="shared" si="38"/>
        <v>147</v>
      </c>
      <c r="J59" s="124">
        <f t="shared" si="39"/>
        <v>226</v>
      </c>
      <c r="K59" s="124">
        <f t="shared" si="40"/>
        <v>155</v>
      </c>
      <c r="L59" s="124">
        <f t="shared" si="41"/>
        <v>135600</v>
      </c>
      <c r="M59" s="125">
        <f t="shared" si="42"/>
        <v>0.2581120944</v>
      </c>
      <c r="N59" s="2"/>
    </row>
    <row r="60" ht="21.75" customHeight="1" outlineLevel="1">
      <c r="A60" s="122" t="s">
        <v>31</v>
      </c>
      <c r="B60" s="143">
        <v>50000.0</v>
      </c>
      <c r="C60" s="123">
        <v>0.72</v>
      </c>
      <c r="D60" s="124">
        <f t="shared" si="35"/>
        <v>69444</v>
      </c>
      <c r="E60" s="120">
        <v>0.012</v>
      </c>
      <c r="F60" s="124">
        <f t="shared" si="36"/>
        <v>833</v>
      </c>
      <c r="G60" s="120">
        <v>0.23</v>
      </c>
      <c r="H60" s="124">
        <f t="shared" si="37"/>
        <v>192</v>
      </c>
      <c r="I60" s="124">
        <f t="shared" si="38"/>
        <v>260</v>
      </c>
      <c r="J60" s="124">
        <f t="shared" si="39"/>
        <v>182</v>
      </c>
      <c r="K60" s="124">
        <f t="shared" si="40"/>
        <v>275</v>
      </c>
      <c r="L60" s="124">
        <f t="shared" si="41"/>
        <v>109200</v>
      </c>
      <c r="M60" s="125">
        <f t="shared" si="42"/>
        <v>0.4578754579</v>
      </c>
      <c r="N60" s="2"/>
    </row>
    <row r="61" ht="15.0" customHeight="1" outlineLevel="1">
      <c r="A61" s="126" t="s">
        <v>2316</v>
      </c>
      <c r="B61" s="127">
        <f>SUM(B58:B60)</f>
        <v>100000</v>
      </c>
      <c r="C61" s="128">
        <f>IF(N(D61)=0,"",ROUND(B61/D61,2))</f>
        <v>0.71</v>
      </c>
      <c r="D61" s="127">
        <f>SUM(D58:D60)</f>
        <v>139867</v>
      </c>
      <c r="E61" s="129"/>
      <c r="F61" s="127">
        <f>SUM(F58:F60)</f>
        <v>2041</v>
      </c>
      <c r="G61" s="129"/>
      <c r="H61" s="127">
        <f>SUM(H58:H60)</f>
        <v>459</v>
      </c>
      <c r="I61" s="127">
        <f t="shared" si="38"/>
        <v>218</v>
      </c>
      <c r="J61" s="127">
        <f>SUM(J58:J60)</f>
        <v>436</v>
      </c>
      <c r="K61" s="127">
        <f t="shared" si="40"/>
        <v>229</v>
      </c>
      <c r="L61" s="127">
        <f>SUM(L58:L60)</f>
        <v>261600</v>
      </c>
      <c r="M61" s="130">
        <f t="shared" si="42"/>
        <v>0.3822629969</v>
      </c>
      <c r="N61" s="2"/>
    </row>
    <row r="62" ht="15.0" customHeight="1" outlineLevel="1">
      <c r="A62" s="132" t="s">
        <v>2319</v>
      </c>
      <c r="B62" s="133">
        <f>B61</f>
        <v>100000</v>
      </c>
      <c r="C62" s="134"/>
      <c r="D62" s="133"/>
      <c r="E62" s="109"/>
      <c r="F62" s="133"/>
      <c r="G62" s="109"/>
      <c r="H62" s="133"/>
      <c r="I62" s="133"/>
      <c r="J62" s="133"/>
      <c r="K62" s="133"/>
      <c r="L62" s="133"/>
      <c r="M62" s="135"/>
      <c r="N62" s="2"/>
    </row>
    <row r="63" outlineLevel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outlineLevel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outlineLevel="1">
      <c r="A65" s="140" t="s">
        <v>2324</v>
      </c>
      <c r="B65" s="141" t="s">
        <v>2322</v>
      </c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2"/>
    </row>
    <row r="66" outlineLevel="1">
      <c r="A66" s="110" t="s">
        <v>2297</v>
      </c>
      <c r="B66" s="142">
        <v>560000.0</v>
      </c>
      <c r="C66" s="112"/>
      <c r="D66" s="113" t="s">
        <v>2298</v>
      </c>
      <c r="E66" s="114">
        <v>0.13</v>
      </c>
      <c r="F66" s="112"/>
      <c r="G66" s="112"/>
      <c r="H66" s="112"/>
      <c r="I66" s="112"/>
      <c r="J66" s="112"/>
      <c r="K66" s="112"/>
      <c r="L66" s="112"/>
      <c r="M66" s="112"/>
      <c r="N66" s="2"/>
    </row>
    <row r="67" outlineLevel="1">
      <c r="A67" s="115" t="s">
        <v>2299</v>
      </c>
      <c r="B67" s="115" t="s">
        <v>2300</v>
      </c>
      <c r="C67" s="115" t="s">
        <v>2301</v>
      </c>
      <c r="D67" s="115" t="s">
        <v>2302</v>
      </c>
      <c r="E67" s="115" t="s">
        <v>2303</v>
      </c>
      <c r="F67" s="115" t="s">
        <v>2304</v>
      </c>
      <c r="G67" s="115" t="s">
        <v>2305</v>
      </c>
      <c r="H67" s="115" t="s">
        <v>2306</v>
      </c>
      <c r="I67" s="115" t="s">
        <v>2307</v>
      </c>
      <c r="J67" s="115" t="s">
        <v>2308</v>
      </c>
      <c r="K67" s="115" t="s">
        <v>2309</v>
      </c>
      <c r="L67" s="115" t="s">
        <v>2310</v>
      </c>
      <c r="M67" s="115" t="s">
        <v>2311</v>
      </c>
      <c r="N67" s="2"/>
    </row>
    <row r="68" outlineLevel="1">
      <c r="A68" s="116" t="s">
        <v>2312</v>
      </c>
      <c r="B68" s="117"/>
      <c r="C68" s="117"/>
      <c r="D68" s="117"/>
      <c r="E68" s="117"/>
      <c r="F68" s="117"/>
      <c r="G68" s="118" t="s">
        <v>2313</v>
      </c>
      <c r="H68" s="143">
        <v>748.0</v>
      </c>
      <c r="I68" s="117"/>
      <c r="J68" s="118" t="s">
        <v>2314</v>
      </c>
      <c r="K68" s="120">
        <v>0.95</v>
      </c>
      <c r="L68" s="117"/>
      <c r="M68" s="121">
        <v>0.18</v>
      </c>
      <c r="N68" s="2"/>
    </row>
    <row r="69" outlineLevel="1">
      <c r="A69" s="122" t="s">
        <v>40</v>
      </c>
      <c r="B69" s="143">
        <v>30000.0</v>
      </c>
      <c r="C69" s="144">
        <v>0.8</v>
      </c>
      <c r="D69" s="124">
        <f t="shared" ref="D69:D73" si="43">IF(OR(B69="",C69=""),"",ROUND(B69/C69,0))</f>
        <v>37500</v>
      </c>
      <c r="E69" s="120">
        <v>0.0082</v>
      </c>
      <c r="F69" s="124">
        <f t="shared" ref="F69:F73" si="44">IF(OR(D69="",E69=""),"",ROUND(D69*E69,0))</f>
        <v>308</v>
      </c>
      <c r="G69" s="120">
        <v>0.17</v>
      </c>
      <c r="H69" s="124">
        <f t="shared" ref="H69:H73" si="45">IF(OR(F69="",G69=""),"",ROUND(F69*G69,0))</f>
        <v>52</v>
      </c>
      <c r="I69" s="124">
        <f t="shared" ref="I69:I74" si="46">IF(N(H69)=0,"",ROUND(B69/H69,0))</f>
        <v>577</v>
      </c>
      <c r="J69" s="124">
        <f t="shared" ref="J69:J73" si="47">IF(OR(N(H69)=0,$K$9=""),"",ROUND(H69*$K$9,0))</f>
        <v>49</v>
      </c>
      <c r="K69" s="124">
        <f t="shared" ref="K69:K74" si="48">IF(N(J69)=0,"",ROUND(B69/J69,0))</f>
        <v>612</v>
      </c>
      <c r="L69" s="124">
        <f t="shared" ref="L69:L73" si="49">IF(N(J69)=0,"",ROUND(J69*$H$9,0))</f>
        <v>29400</v>
      </c>
      <c r="M69" s="125">
        <f t="shared" ref="M69:M74" si="50">IF(N(L69)=0,"",B69/L69)</f>
        <v>1.020408163</v>
      </c>
      <c r="N69" s="2"/>
    </row>
    <row r="70" outlineLevel="1">
      <c r="A70" s="122" t="s">
        <v>1979</v>
      </c>
      <c r="B70" s="143">
        <v>100000.0</v>
      </c>
      <c r="C70" s="144">
        <v>0.9</v>
      </c>
      <c r="D70" s="124">
        <f t="shared" si="43"/>
        <v>111111</v>
      </c>
      <c r="E70" s="120">
        <v>0.021</v>
      </c>
      <c r="F70" s="124">
        <f t="shared" si="44"/>
        <v>2333</v>
      </c>
      <c r="G70" s="120">
        <v>0.23</v>
      </c>
      <c r="H70" s="124">
        <f t="shared" si="45"/>
        <v>537</v>
      </c>
      <c r="I70" s="124">
        <f t="shared" si="46"/>
        <v>186</v>
      </c>
      <c r="J70" s="124">
        <f t="shared" si="47"/>
        <v>510</v>
      </c>
      <c r="K70" s="124">
        <f t="shared" si="48"/>
        <v>196</v>
      </c>
      <c r="L70" s="124">
        <f t="shared" si="49"/>
        <v>306000</v>
      </c>
      <c r="M70" s="125">
        <f t="shared" si="50"/>
        <v>0.3267973856</v>
      </c>
      <c r="N70" s="2"/>
    </row>
    <row r="71" outlineLevel="1">
      <c r="A71" s="122" t="s">
        <v>31</v>
      </c>
      <c r="B71" s="143">
        <v>50000.0</v>
      </c>
      <c r="C71" s="123">
        <v>0.72</v>
      </c>
      <c r="D71" s="124">
        <f t="shared" si="43"/>
        <v>69444</v>
      </c>
      <c r="E71" s="120">
        <v>0.012</v>
      </c>
      <c r="F71" s="124">
        <f t="shared" si="44"/>
        <v>833</v>
      </c>
      <c r="G71" s="120">
        <v>0.23</v>
      </c>
      <c r="H71" s="124">
        <f t="shared" si="45"/>
        <v>192</v>
      </c>
      <c r="I71" s="124">
        <f t="shared" si="46"/>
        <v>260</v>
      </c>
      <c r="J71" s="124">
        <f t="shared" si="47"/>
        <v>182</v>
      </c>
      <c r="K71" s="124">
        <f t="shared" si="48"/>
        <v>275</v>
      </c>
      <c r="L71" s="124">
        <f t="shared" si="49"/>
        <v>109200</v>
      </c>
      <c r="M71" s="125">
        <f t="shared" si="50"/>
        <v>0.4578754579</v>
      </c>
      <c r="N71" s="2"/>
    </row>
    <row r="72" outlineLevel="1">
      <c r="A72" s="122" t="s">
        <v>19</v>
      </c>
      <c r="B72" s="143">
        <v>100000.0</v>
      </c>
      <c r="C72" s="144">
        <v>0.6</v>
      </c>
      <c r="D72" s="124">
        <f t="shared" si="43"/>
        <v>166667</v>
      </c>
      <c r="E72" s="120">
        <v>0.006</v>
      </c>
      <c r="F72" s="124">
        <f t="shared" si="44"/>
        <v>1000</v>
      </c>
      <c r="G72" s="120">
        <v>0.23</v>
      </c>
      <c r="H72" s="124">
        <f t="shared" si="45"/>
        <v>230</v>
      </c>
      <c r="I72" s="124">
        <f t="shared" si="46"/>
        <v>435</v>
      </c>
      <c r="J72" s="124">
        <f t="shared" si="47"/>
        <v>219</v>
      </c>
      <c r="K72" s="124">
        <f t="shared" si="48"/>
        <v>457</v>
      </c>
      <c r="L72" s="124">
        <f t="shared" si="49"/>
        <v>131400</v>
      </c>
      <c r="M72" s="125">
        <f t="shared" si="50"/>
        <v>0.7610350076</v>
      </c>
      <c r="N72" s="2"/>
    </row>
    <row r="73" outlineLevel="1">
      <c r="A73" s="122" t="s">
        <v>61</v>
      </c>
      <c r="B73" s="143">
        <v>250000.0</v>
      </c>
      <c r="C73" s="123">
        <v>0.8</v>
      </c>
      <c r="D73" s="124">
        <f t="shared" si="43"/>
        <v>312500</v>
      </c>
      <c r="E73" s="120">
        <v>0.01</v>
      </c>
      <c r="F73" s="124">
        <f t="shared" si="44"/>
        <v>3125</v>
      </c>
      <c r="G73" s="120">
        <v>0.23</v>
      </c>
      <c r="H73" s="124">
        <f t="shared" si="45"/>
        <v>719</v>
      </c>
      <c r="I73" s="124">
        <f t="shared" si="46"/>
        <v>348</v>
      </c>
      <c r="J73" s="124">
        <f t="shared" si="47"/>
        <v>683</v>
      </c>
      <c r="K73" s="124">
        <f t="shared" si="48"/>
        <v>366</v>
      </c>
      <c r="L73" s="124">
        <f t="shared" si="49"/>
        <v>409800</v>
      </c>
      <c r="M73" s="125">
        <f t="shared" si="50"/>
        <v>0.6100536847</v>
      </c>
      <c r="N73" s="2"/>
    </row>
    <row r="74" outlineLevel="1">
      <c r="A74" s="126" t="s">
        <v>2316</v>
      </c>
      <c r="B74" s="127">
        <f>SUM(B69:B73)</f>
        <v>530000</v>
      </c>
      <c r="C74" s="128">
        <f>IF(N(D74)=0,"",ROUND(B74/D74,2))</f>
        <v>0.76</v>
      </c>
      <c r="D74" s="127">
        <f>SUM(D69:D73)</f>
        <v>697222</v>
      </c>
      <c r="E74" s="129"/>
      <c r="F74" s="127">
        <f>SUM(F69:F73)</f>
        <v>7599</v>
      </c>
      <c r="G74" s="129"/>
      <c r="H74" s="127">
        <f>SUM(H69:H73)</f>
        <v>1730</v>
      </c>
      <c r="I74" s="127">
        <f t="shared" si="46"/>
        <v>306</v>
      </c>
      <c r="J74" s="127">
        <f>SUM(J69:J73)</f>
        <v>1643</v>
      </c>
      <c r="K74" s="127">
        <f t="shared" si="48"/>
        <v>323</v>
      </c>
      <c r="L74" s="127">
        <f>SUM(L69:L73)</f>
        <v>985800</v>
      </c>
      <c r="M74" s="130">
        <f t="shared" si="50"/>
        <v>0.5376344086</v>
      </c>
      <c r="N74" s="2"/>
    </row>
    <row r="75" outlineLevel="1">
      <c r="A75" s="116" t="s">
        <v>2317</v>
      </c>
      <c r="B75" s="131"/>
      <c r="C75" s="117"/>
      <c r="D75" s="117"/>
      <c r="E75" s="117"/>
      <c r="F75" s="117"/>
      <c r="G75" s="118" t="s">
        <v>2313</v>
      </c>
      <c r="H75" s="119">
        <v>1180.0</v>
      </c>
      <c r="I75" s="117"/>
      <c r="J75" s="118" t="s">
        <v>2314</v>
      </c>
      <c r="K75" s="120">
        <v>0.95</v>
      </c>
      <c r="L75" s="117"/>
      <c r="M75" s="117"/>
      <c r="N75" s="2"/>
    </row>
    <row r="76" outlineLevel="1">
      <c r="A76" s="122" t="s">
        <v>40</v>
      </c>
      <c r="B76" s="143"/>
      <c r="C76" s="144">
        <v>0.8</v>
      </c>
      <c r="D76" s="124" t="str">
        <f t="shared" ref="D76:D80" si="51">IF(OR(B76="",C76=""),"",ROUND(B76/C76,0))</f>
        <v/>
      </c>
      <c r="E76" s="120">
        <v>0.0082</v>
      </c>
      <c r="F76" s="124" t="str">
        <f t="shared" ref="F76:F80" si="52">IF(OR(D76="",E76=""),"",ROUND(D76*E76,0))</f>
        <v/>
      </c>
      <c r="G76" s="120">
        <v>0.08</v>
      </c>
      <c r="H76" s="124" t="str">
        <f t="shared" ref="H76:H80" si="53">IF(OR(F76="",G76=""),"",ROUND(F76*G76,0))</f>
        <v/>
      </c>
      <c r="I76" s="124" t="str">
        <f t="shared" ref="I76:I82" si="54">IF(N(H76)=0,"",ROUND(B76/H76,0))</f>
        <v/>
      </c>
      <c r="J76" s="124" t="str">
        <f t="shared" ref="J76:J80" si="55">IF(OR(N(H76)=0,$K$18=""),"",ROUND(H76*$K$18,0))</f>
        <v/>
      </c>
      <c r="K76" s="124" t="str">
        <f t="shared" ref="K76:K82" si="56">IF(N(J76)=0,"",ROUND(B76/J76,0))</f>
        <v/>
      </c>
      <c r="L76" s="124" t="str">
        <f t="shared" ref="L76:L80" si="57">IF(N(J76)=0,"",ROUND(J76*$H$18,0))</f>
        <v/>
      </c>
      <c r="M76" s="125" t="str">
        <f t="shared" ref="M76:M82" si="58">IF(N(L76)=0,"",B76/L76)</f>
        <v/>
      </c>
      <c r="N76" s="2"/>
    </row>
    <row r="77" outlineLevel="1">
      <c r="A77" s="122" t="s">
        <v>1979</v>
      </c>
      <c r="B77" s="143">
        <v>30000.0</v>
      </c>
      <c r="C77" s="144">
        <v>0.9</v>
      </c>
      <c r="D77" s="124">
        <f t="shared" si="51"/>
        <v>33333</v>
      </c>
      <c r="E77" s="120">
        <v>0.021</v>
      </c>
      <c r="F77" s="124">
        <f t="shared" si="52"/>
        <v>700</v>
      </c>
      <c r="G77" s="120">
        <v>0.11</v>
      </c>
      <c r="H77" s="124">
        <f t="shared" si="53"/>
        <v>77</v>
      </c>
      <c r="I77" s="124">
        <f t="shared" si="54"/>
        <v>390</v>
      </c>
      <c r="J77" s="124">
        <f t="shared" si="55"/>
        <v>73</v>
      </c>
      <c r="K77" s="124">
        <f t="shared" si="56"/>
        <v>411</v>
      </c>
      <c r="L77" s="124">
        <f t="shared" si="57"/>
        <v>86140</v>
      </c>
      <c r="M77" s="125">
        <f t="shared" si="58"/>
        <v>0.3482702577</v>
      </c>
      <c r="N77" s="2"/>
    </row>
    <row r="78" outlineLevel="1">
      <c r="A78" s="122" t="s">
        <v>31</v>
      </c>
      <c r="B78" s="143"/>
      <c r="C78" s="123">
        <v>0.72</v>
      </c>
      <c r="D78" s="124" t="str">
        <f t="shared" si="51"/>
        <v/>
      </c>
      <c r="E78" s="120">
        <v>0.012</v>
      </c>
      <c r="F78" s="124" t="str">
        <f t="shared" si="52"/>
        <v/>
      </c>
      <c r="G78" s="120">
        <v>0.11</v>
      </c>
      <c r="H78" s="124" t="str">
        <f t="shared" si="53"/>
        <v/>
      </c>
      <c r="I78" s="124" t="str">
        <f t="shared" si="54"/>
        <v/>
      </c>
      <c r="J78" s="124" t="str">
        <f t="shared" si="55"/>
        <v/>
      </c>
      <c r="K78" s="124" t="str">
        <f t="shared" si="56"/>
        <v/>
      </c>
      <c r="L78" s="124" t="str">
        <f t="shared" si="57"/>
        <v/>
      </c>
      <c r="M78" s="125" t="str">
        <f t="shared" si="58"/>
        <v/>
      </c>
      <c r="N78" s="2"/>
    </row>
    <row r="79" outlineLevel="1">
      <c r="A79" s="122" t="s">
        <v>19</v>
      </c>
      <c r="B79" s="143"/>
      <c r="C79" s="144">
        <v>0.6</v>
      </c>
      <c r="D79" s="124" t="str">
        <f t="shared" si="51"/>
        <v/>
      </c>
      <c r="E79" s="120">
        <v>0.006</v>
      </c>
      <c r="F79" s="124" t="str">
        <f t="shared" si="52"/>
        <v/>
      </c>
      <c r="G79" s="120">
        <v>0.11</v>
      </c>
      <c r="H79" s="124" t="str">
        <f t="shared" si="53"/>
        <v/>
      </c>
      <c r="I79" s="124" t="str">
        <f t="shared" si="54"/>
        <v/>
      </c>
      <c r="J79" s="124" t="str">
        <f t="shared" si="55"/>
        <v/>
      </c>
      <c r="K79" s="124" t="str">
        <f t="shared" si="56"/>
        <v/>
      </c>
      <c r="L79" s="124" t="str">
        <f t="shared" si="57"/>
        <v/>
      </c>
      <c r="M79" s="125" t="str">
        <f t="shared" si="58"/>
        <v/>
      </c>
      <c r="N79" s="2"/>
    </row>
    <row r="80" outlineLevel="1">
      <c r="A80" s="122" t="s">
        <v>61</v>
      </c>
      <c r="B80" s="143"/>
      <c r="C80" s="123">
        <v>0.8</v>
      </c>
      <c r="D80" s="124" t="str">
        <f t="shared" si="51"/>
        <v/>
      </c>
      <c r="E80" s="120">
        <v>0.01</v>
      </c>
      <c r="F80" s="124" t="str">
        <f t="shared" si="52"/>
        <v/>
      </c>
      <c r="G80" s="120">
        <v>0.11</v>
      </c>
      <c r="H80" s="124" t="str">
        <f t="shared" si="53"/>
        <v/>
      </c>
      <c r="I80" s="124" t="str">
        <f t="shared" si="54"/>
        <v/>
      </c>
      <c r="J80" s="124" t="str">
        <f t="shared" si="55"/>
        <v/>
      </c>
      <c r="K80" s="124" t="str">
        <f t="shared" si="56"/>
        <v/>
      </c>
      <c r="L80" s="124" t="str">
        <f t="shared" si="57"/>
        <v/>
      </c>
      <c r="M80" s="125" t="str">
        <f t="shared" si="58"/>
        <v/>
      </c>
      <c r="N80" s="2"/>
    </row>
    <row r="81" outlineLevel="1">
      <c r="A81" s="126" t="s">
        <v>2318</v>
      </c>
      <c r="B81" s="127">
        <f>SUM(B76:B80)</f>
        <v>30000</v>
      </c>
      <c r="C81" s="128">
        <f t="shared" ref="C81:C82" si="59">IF(N(D81)=0,"",ROUND(B81/D81,2))</f>
        <v>0.9</v>
      </c>
      <c r="D81" s="127">
        <f>SUM(D76:D80)</f>
        <v>33333</v>
      </c>
      <c r="E81" s="129"/>
      <c r="F81" s="127">
        <f>SUM(F76:F80)</f>
        <v>700</v>
      </c>
      <c r="G81" s="129"/>
      <c r="H81" s="127">
        <f>SUM(H76:H80)</f>
        <v>77</v>
      </c>
      <c r="I81" s="127">
        <f t="shared" si="54"/>
        <v>390</v>
      </c>
      <c r="J81" s="127">
        <f>SUM(J76:J80)</f>
        <v>73</v>
      </c>
      <c r="K81" s="127">
        <f t="shared" si="56"/>
        <v>411</v>
      </c>
      <c r="L81" s="127">
        <f>SUM(L76:L80)</f>
        <v>86140</v>
      </c>
      <c r="M81" s="130">
        <f t="shared" si="58"/>
        <v>0.3482702577</v>
      </c>
      <c r="N81" s="2"/>
    </row>
    <row r="82" outlineLevel="1">
      <c r="A82" s="132" t="s">
        <v>2319</v>
      </c>
      <c r="B82" s="133">
        <f>B74+B81</f>
        <v>560000</v>
      </c>
      <c r="C82" s="134">
        <f t="shared" si="59"/>
        <v>0.77</v>
      </c>
      <c r="D82" s="133">
        <f>D74+D81</f>
        <v>730555</v>
      </c>
      <c r="E82" s="109"/>
      <c r="F82" s="133">
        <f>F74+F81</f>
        <v>8299</v>
      </c>
      <c r="G82" s="109"/>
      <c r="H82" s="133">
        <f>H74+H81</f>
        <v>1807</v>
      </c>
      <c r="I82" s="133">
        <f t="shared" si="54"/>
        <v>310</v>
      </c>
      <c r="J82" s="133">
        <f>J74+J81</f>
        <v>1716</v>
      </c>
      <c r="K82" s="133">
        <f t="shared" si="56"/>
        <v>326</v>
      </c>
      <c r="L82" s="133">
        <f>L74+L81</f>
        <v>1071940</v>
      </c>
      <c r="M82" s="135">
        <f t="shared" si="58"/>
        <v>0.5224172995</v>
      </c>
      <c r="N82" s="2"/>
    </row>
    <row r="83" outlineLevel="1">
      <c r="A83" s="136" t="s">
        <v>2320</v>
      </c>
      <c r="B83" s="137" t="str">
        <f>IF(OR(N(L82)=0,N($E$7)=0),"Заполни бюджет, CPV и параметры",IF(M82&lt;=$E$7,"В ЦЕЛЬ: DRR "&amp;ROUND(M82*100,1)&amp;"% при цели "&amp;ROUND($E$7*100,1)&amp;"%","ВЫШЕ ЦЕЛИ: DRR "&amp;ROUND(M82*100,1)&amp;"% при цели "&amp;ROUND($E$7*100,1)&amp;"%"))</f>
        <v>ВЫШЕ ЦЕЛИ: DRR 52,2% при цели 13%</v>
      </c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9"/>
      <c r="N83" s="2"/>
    </row>
    <row r="84" outlineLevel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outlineLevel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outlineLevel="1">
      <c r="A86" s="140" t="s">
        <v>2324</v>
      </c>
      <c r="B86" s="141" t="s">
        <v>2325</v>
      </c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2"/>
    </row>
    <row r="87" outlineLevel="1">
      <c r="A87" s="110" t="s">
        <v>2297</v>
      </c>
      <c r="B87" s="142">
        <v>210000.0</v>
      </c>
      <c r="C87" s="112"/>
      <c r="D87" s="113" t="s">
        <v>2298</v>
      </c>
      <c r="E87" s="114">
        <v>0.13</v>
      </c>
      <c r="F87" s="112"/>
      <c r="G87" s="112"/>
      <c r="H87" s="112"/>
      <c r="I87" s="112"/>
      <c r="J87" s="112"/>
      <c r="K87" s="112"/>
      <c r="L87" s="112"/>
      <c r="M87" s="112"/>
      <c r="N87" s="2"/>
    </row>
    <row r="88" outlineLevel="1">
      <c r="A88" s="115" t="s">
        <v>2299</v>
      </c>
      <c r="B88" s="115" t="s">
        <v>2300</v>
      </c>
      <c r="C88" s="115" t="s">
        <v>2301</v>
      </c>
      <c r="D88" s="115" t="s">
        <v>2302</v>
      </c>
      <c r="E88" s="115" t="s">
        <v>2303</v>
      </c>
      <c r="F88" s="115" t="s">
        <v>2304</v>
      </c>
      <c r="G88" s="115" t="s">
        <v>2305</v>
      </c>
      <c r="H88" s="115" t="s">
        <v>2306</v>
      </c>
      <c r="I88" s="115" t="s">
        <v>2307</v>
      </c>
      <c r="J88" s="115" t="s">
        <v>2308</v>
      </c>
      <c r="K88" s="115" t="s">
        <v>2309</v>
      </c>
      <c r="L88" s="115" t="s">
        <v>2310</v>
      </c>
      <c r="M88" s="115" t="s">
        <v>2311</v>
      </c>
      <c r="N88" s="2"/>
    </row>
    <row r="89" outlineLevel="1">
      <c r="A89" s="116" t="s">
        <v>2312</v>
      </c>
      <c r="B89" s="117"/>
      <c r="C89" s="117"/>
      <c r="D89" s="117"/>
      <c r="E89" s="117"/>
      <c r="F89" s="117"/>
      <c r="G89" s="118" t="s">
        <v>2313</v>
      </c>
      <c r="H89" s="143">
        <v>748.0</v>
      </c>
      <c r="I89" s="117"/>
      <c r="J89" s="118" t="s">
        <v>2314</v>
      </c>
      <c r="K89" s="120">
        <v>0.95</v>
      </c>
      <c r="L89" s="117"/>
      <c r="M89" s="121">
        <v>0.18</v>
      </c>
      <c r="N89" s="2"/>
    </row>
    <row r="90" outlineLevel="1">
      <c r="A90" s="122" t="s">
        <v>40</v>
      </c>
      <c r="B90" s="143"/>
      <c r="C90" s="144">
        <v>0.8</v>
      </c>
      <c r="D90" s="124" t="str">
        <f t="shared" ref="D90:D94" si="60">IF(OR(B90="",C90=""),"",ROUND(B90/C90,0))</f>
        <v/>
      </c>
      <c r="E90" s="120">
        <v>0.0082</v>
      </c>
      <c r="F90" s="124" t="str">
        <f t="shared" ref="F90:F94" si="61">IF(OR(D90="",E90=""),"",ROUND(D90*E90,0))</f>
        <v/>
      </c>
      <c r="G90" s="120">
        <v>0.17</v>
      </c>
      <c r="H90" s="124" t="str">
        <f t="shared" ref="H90:H94" si="62">IF(OR(F90="",G90=""),"",ROUND(F90*G90,0))</f>
        <v/>
      </c>
      <c r="I90" s="124" t="str">
        <f t="shared" ref="I90:I95" si="63">IF(N(H90)=0,"",ROUND(B90/H90,0))</f>
        <v/>
      </c>
      <c r="J90" s="124" t="str">
        <f t="shared" ref="J90:J94" si="64">IF(OR(N(H90)=0,$K$9=""),"",ROUND(H90*$K$9,0))</f>
        <v/>
      </c>
      <c r="K90" s="124" t="str">
        <f t="shared" ref="K90:K95" si="65">IF(N(J90)=0,"",ROUND(B90/J90,0))</f>
        <v/>
      </c>
      <c r="L90" s="124" t="str">
        <f t="shared" ref="L90:L94" si="66">IF(N(J90)=0,"",ROUND(J90*$H$9,0))</f>
        <v/>
      </c>
      <c r="M90" s="125" t="str">
        <f t="shared" ref="M90:M95" si="67">IF(N(L90)=0,"",B90/L90)</f>
        <v/>
      </c>
      <c r="N90" s="2"/>
    </row>
    <row r="91" outlineLevel="1">
      <c r="A91" s="122" t="s">
        <v>1979</v>
      </c>
      <c r="B91" s="143">
        <v>70000.0</v>
      </c>
      <c r="C91" s="144">
        <v>0.9</v>
      </c>
      <c r="D91" s="124">
        <f t="shared" si="60"/>
        <v>77778</v>
      </c>
      <c r="E91" s="120">
        <v>0.021</v>
      </c>
      <c r="F91" s="124">
        <f t="shared" si="61"/>
        <v>1633</v>
      </c>
      <c r="G91" s="120">
        <v>0.23</v>
      </c>
      <c r="H91" s="124">
        <f t="shared" si="62"/>
        <v>376</v>
      </c>
      <c r="I91" s="124">
        <f t="shared" si="63"/>
        <v>186</v>
      </c>
      <c r="J91" s="124">
        <f t="shared" si="64"/>
        <v>357</v>
      </c>
      <c r="K91" s="124">
        <f t="shared" si="65"/>
        <v>196</v>
      </c>
      <c r="L91" s="124">
        <f t="shared" si="66"/>
        <v>214200</v>
      </c>
      <c r="M91" s="125">
        <f t="shared" si="67"/>
        <v>0.3267973856</v>
      </c>
      <c r="N91" s="2"/>
    </row>
    <row r="92" outlineLevel="1">
      <c r="A92" s="122" t="s">
        <v>31</v>
      </c>
      <c r="B92" s="143"/>
      <c r="C92" s="123">
        <v>0.72</v>
      </c>
      <c r="D92" s="124" t="str">
        <f t="shared" si="60"/>
        <v/>
      </c>
      <c r="E92" s="120">
        <v>0.012</v>
      </c>
      <c r="F92" s="124" t="str">
        <f t="shared" si="61"/>
        <v/>
      </c>
      <c r="G92" s="120">
        <v>0.23</v>
      </c>
      <c r="H92" s="124" t="str">
        <f t="shared" si="62"/>
        <v/>
      </c>
      <c r="I92" s="124" t="str">
        <f t="shared" si="63"/>
        <v/>
      </c>
      <c r="J92" s="124" t="str">
        <f t="shared" si="64"/>
        <v/>
      </c>
      <c r="K92" s="124" t="str">
        <f t="shared" si="65"/>
        <v/>
      </c>
      <c r="L92" s="124" t="str">
        <f t="shared" si="66"/>
        <v/>
      </c>
      <c r="M92" s="125" t="str">
        <f t="shared" si="67"/>
        <v/>
      </c>
      <c r="N92" s="2"/>
    </row>
    <row r="93" outlineLevel="1">
      <c r="A93" s="122" t="s">
        <v>19</v>
      </c>
      <c r="B93" s="143">
        <v>70000.0</v>
      </c>
      <c r="C93" s="144">
        <v>0.6</v>
      </c>
      <c r="D93" s="124">
        <f t="shared" si="60"/>
        <v>116667</v>
      </c>
      <c r="E93" s="120">
        <v>0.006</v>
      </c>
      <c r="F93" s="124">
        <f t="shared" si="61"/>
        <v>700</v>
      </c>
      <c r="G93" s="120">
        <v>0.23</v>
      </c>
      <c r="H93" s="124">
        <f t="shared" si="62"/>
        <v>161</v>
      </c>
      <c r="I93" s="124">
        <f t="shared" si="63"/>
        <v>435</v>
      </c>
      <c r="J93" s="124">
        <f t="shared" si="64"/>
        <v>153</v>
      </c>
      <c r="K93" s="124">
        <f t="shared" si="65"/>
        <v>458</v>
      </c>
      <c r="L93" s="124">
        <f t="shared" si="66"/>
        <v>91800</v>
      </c>
      <c r="M93" s="125">
        <f t="shared" si="67"/>
        <v>0.7625272331</v>
      </c>
      <c r="N93" s="2"/>
    </row>
    <row r="94" outlineLevel="1">
      <c r="A94" s="122" t="s">
        <v>61</v>
      </c>
      <c r="B94" s="143">
        <v>70000.0</v>
      </c>
      <c r="C94" s="123">
        <v>0.8</v>
      </c>
      <c r="D94" s="124">
        <f t="shared" si="60"/>
        <v>87500</v>
      </c>
      <c r="E94" s="120">
        <v>0.01</v>
      </c>
      <c r="F94" s="124">
        <f t="shared" si="61"/>
        <v>875</v>
      </c>
      <c r="G94" s="120">
        <v>0.23</v>
      </c>
      <c r="H94" s="124">
        <f t="shared" si="62"/>
        <v>201</v>
      </c>
      <c r="I94" s="124">
        <f t="shared" si="63"/>
        <v>348</v>
      </c>
      <c r="J94" s="124">
        <f t="shared" si="64"/>
        <v>191</v>
      </c>
      <c r="K94" s="124">
        <f t="shared" si="65"/>
        <v>366</v>
      </c>
      <c r="L94" s="124">
        <f t="shared" si="66"/>
        <v>114600</v>
      </c>
      <c r="M94" s="125">
        <f t="shared" si="67"/>
        <v>0.6108202443</v>
      </c>
      <c r="N94" s="2"/>
    </row>
    <row r="95" outlineLevel="1">
      <c r="A95" s="126" t="s">
        <v>2316</v>
      </c>
      <c r="B95" s="127">
        <f>SUM(B90:B94)</f>
        <v>210000</v>
      </c>
      <c r="C95" s="128">
        <f>IF(N(D95)=0,"",ROUND(B95/D95,2))</f>
        <v>0.74</v>
      </c>
      <c r="D95" s="127">
        <f>SUM(D90:D94)</f>
        <v>281945</v>
      </c>
      <c r="E95" s="129"/>
      <c r="F95" s="127">
        <f>SUM(F90:F94)</f>
        <v>3208</v>
      </c>
      <c r="G95" s="129"/>
      <c r="H95" s="127">
        <f>SUM(H90:H94)</f>
        <v>738</v>
      </c>
      <c r="I95" s="127">
        <f t="shared" si="63"/>
        <v>285</v>
      </c>
      <c r="J95" s="127">
        <f>SUM(J90:J94)</f>
        <v>701</v>
      </c>
      <c r="K95" s="127">
        <f t="shared" si="65"/>
        <v>300</v>
      </c>
      <c r="L95" s="127">
        <f>SUM(L90:L94)</f>
        <v>420600</v>
      </c>
      <c r="M95" s="130">
        <f t="shared" si="67"/>
        <v>0.4992867332</v>
      </c>
      <c r="N95" s="2"/>
    </row>
    <row r="96" outlineLevel="1">
      <c r="A96" s="116" t="s">
        <v>2317</v>
      </c>
      <c r="B96" s="131"/>
      <c r="C96" s="117"/>
      <c r="D96" s="117"/>
      <c r="E96" s="117"/>
      <c r="F96" s="117"/>
      <c r="G96" s="118" t="s">
        <v>2313</v>
      </c>
      <c r="H96" s="119">
        <v>1180.0</v>
      </c>
      <c r="I96" s="117"/>
      <c r="J96" s="118" t="s">
        <v>2314</v>
      </c>
      <c r="K96" s="120">
        <v>0.95</v>
      </c>
      <c r="L96" s="117"/>
      <c r="M96" s="117"/>
      <c r="N96" s="2"/>
    </row>
    <row r="97" outlineLevel="1">
      <c r="A97" s="122" t="s">
        <v>40</v>
      </c>
      <c r="B97" s="143"/>
      <c r="C97" s="144">
        <v>0.8</v>
      </c>
      <c r="D97" s="124" t="str">
        <f t="shared" ref="D97:D101" si="68">IF(OR(B97="",C97=""),"",ROUND(B97/C97,0))</f>
        <v/>
      </c>
      <c r="E97" s="120">
        <v>0.0082</v>
      </c>
      <c r="F97" s="124" t="str">
        <f t="shared" ref="F97:F101" si="69">IF(OR(D97="",E97=""),"",ROUND(D97*E97,0))</f>
        <v/>
      </c>
      <c r="G97" s="120">
        <v>0.08</v>
      </c>
      <c r="H97" s="124" t="str">
        <f t="shared" ref="H97:H101" si="70">IF(OR(F97="",G97=""),"",ROUND(F97*G97,0))</f>
        <v/>
      </c>
      <c r="I97" s="124" t="str">
        <f t="shared" ref="I97:I103" si="71">IF(N(H97)=0,"",ROUND(B97/H97,0))</f>
        <v/>
      </c>
      <c r="J97" s="124" t="str">
        <f t="shared" ref="J97:J101" si="72">IF(OR(N(H97)=0,$K$18=""),"",ROUND(H97*$K$18,0))</f>
        <v/>
      </c>
      <c r="K97" s="124" t="str">
        <f t="shared" ref="K97:K103" si="73">IF(N(J97)=0,"",ROUND(B97/J97,0))</f>
        <v/>
      </c>
      <c r="L97" s="124" t="str">
        <f t="shared" ref="L97:L101" si="74">IF(N(J97)=0,"",ROUND(J97*$H$18,0))</f>
        <v/>
      </c>
      <c r="M97" s="125" t="str">
        <f t="shared" ref="M97:M103" si="75">IF(N(L97)=0,"",B97/L97)</f>
        <v/>
      </c>
      <c r="N97" s="2"/>
    </row>
    <row r="98" outlineLevel="1">
      <c r="A98" s="122" t="s">
        <v>1979</v>
      </c>
      <c r="B98" s="143"/>
      <c r="C98" s="144">
        <v>0.9</v>
      </c>
      <c r="D98" s="124" t="str">
        <f t="shared" si="68"/>
        <v/>
      </c>
      <c r="E98" s="120">
        <v>0.021</v>
      </c>
      <c r="F98" s="124" t="str">
        <f t="shared" si="69"/>
        <v/>
      </c>
      <c r="G98" s="120">
        <v>0.11</v>
      </c>
      <c r="H98" s="124" t="str">
        <f t="shared" si="70"/>
        <v/>
      </c>
      <c r="I98" s="124" t="str">
        <f t="shared" si="71"/>
        <v/>
      </c>
      <c r="J98" s="124" t="str">
        <f t="shared" si="72"/>
        <v/>
      </c>
      <c r="K98" s="124" t="str">
        <f t="shared" si="73"/>
        <v/>
      </c>
      <c r="L98" s="124" t="str">
        <f t="shared" si="74"/>
        <v/>
      </c>
      <c r="M98" s="125" t="str">
        <f t="shared" si="75"/>
        <v/>
      </c>
      <c r="N98" s="2"/>
    </row>
    <row r="99" outlineLevel="1">
      <c r="A99" s="122" t="s">
        <v>31</v>
      </c>
      <c r="B99" s="143"/>
      <c r="C99" s="123">
        <v>0.72</v>
      </c>
      <c r="D99" s="124" t="str">
        <f t="shared" si="68"/>
        <v/>
      </c>
      <c r="E99" s="120">
        <v>0.012</v>
      </c>
      <c r="F99" s="124" t="str">
        <f t="shared" si="69"/>
        <v/>
      </c>
      <c r="G99" s="120">
        <v>0.11</v>
      </c>
      <c r="H99" s="124" t="str">
        <f t="shared" si="70"/>
        <v/>
      </c>
      <c r="I99" s="124" t="str">
        <f t="shared" si="71"/>
        <v/>
      </c>
      <c r="J99" s="124" t="str">
        <f t="shared" si="72"/>
        <v/>
      </c>
      <c r="K99" s="124" t="str">
        <f t="shared" si="73"/>
        <v/>
      </c>
      <c r="L99" s="124" t="str">
        <f t="shared" si="74"/>
        <v/>
      </c>
      <c r="M99" s="125" t="str">
        <f t="shared" si="75"/>
        <v/>
      </c>
      <c r="N99" s="2"/>
    </row>
    <row r="100" outlineLevel="1">
      <c r="A100" s="122" t="s">
        <v>19</v>
      </c>
      <c r="B100" s="143"/>
      <c r="C100" s="144">
        <v>0.6</v>
      </c>
      <c r="D100" s="124" t="str">
        <f t="shared" si="68"/>
        <v/>
      </c>
      <c r="E100" s="120">
        <v>0.006</v>
      </c>
      <c r="F100" s="124" t="str">
        <f t="shared" si="69"/>
        <v/>
      </c>
      <c r="G100" s="120">
        <v>0.11</v>
      </c>
      <c r="H100" s="124" t="str">
        <f t="shared" si="70"/>
        <v/>
      </c>
      <c r="I100" s="124" t="str">
        <f t="shared" si="71"/>
        <v/>
      </c>
      <c r="J100" s="124" t="str">
        <f t="shared" si="72"/>
        <v/>
      </c>
      <c r="K100" s="124" t="str">
        <f t="shared" si="73"/>
        <v/>
      </c>
      <c r="L100" s="124" t="str">
        <f t="shared" si="74"/>
        <v/>
      </c>
      <c r="M100" s="125" t="str">
        <f t="shared" si="75"/>
        <v/>
      </c>
      <c r="N100" s="2"/>
    </row>
    <row r="101" outlineLevel="1">
      <c r="A101" s="122" t="s">
        <v>61</v>
      </c>
      <c r="B101" s="143"/>
      <c r="C101" s="123">
        <v>0.8</v>
      </c>
      <c r="D101" s="124" t="str">
        <f t="shared" si="68"/>
        <v/>
      </c>
      <c r="E101" s="120">
        <v>0.01</v>
      </c>
      <c r="F101" s="124" t="str">
        <f t="shared" si="69"/>
        <v/>
      </c>
      <c r="G101" s="120">
        <v>0.11</v>
      </c>
      <c r="H101" s="124" t="str">
        <f t="shared" si="70"/>
        <v/>
      </c>
      <c r="I101" s="124" t="str">
        <f t="shared" si="71"/>
        <v/>
      </c>
      <c r="J101" s="124" t="str">
        <f t="shared" si="72"/>
        <v/>
      </c>
      <c r="K101" s="124" t="str">
        <f t="shared" si="73"/>
        <v/>
      </c>
      <c r="L101" s="124" t="str">
        <f t="shared" si="74"/>
        <v/>
      </c>
      <c r="M101" s="125" t="str">
        <f t="shared" si="75"/>
        <v/>
      </c>
      <c r="N101" s="2"/>
    </row>
    <row r="102" outlineLevel="1">
      <c r="A102" s="126" t="s">
        <v>2318</v>
      </c>
      <c r="B102" s="127">
        <f>SUM(B97:B101)</f>
        <v>0</v>
      </c>
      <c r="C102" s="128" t="str">
        <f t="shared" ref="C102:C103" si="76">IF(N(D102)=0,"",ROUND(B102/D102,2))</f>
        <v/>
      </c>
      <c r="D102" s="127">
        <f>SUM(D97:D101)</f>
        <v>0</v>
      </c>
      <c r="E102" s="129"/>
      <c r="F102" s="127">
        <f>SUM(F97:F101)</f>
        <v>0</v>
      </c>
      <c r="G102" s="129"/>
      <c r="H102" s="127">
        <f>SUM(H97:H101)</f>
        <v>0</v>
      </c>
      <c r="I102" s="127" t="str">
        <f t="shared" si="71"/>
        <v/>
      </c>
      <c r="J102" s="127">
        <f>SUM(J97:J101)</f>
        <v>0</v>
      </c>
      <c r="K102" s="127" t="str">
        <f t="shared" si="73"/>
        <v/>
      </c>
      <c r="L102" s="127">
        <f>SUM(L97:L101)</f>
        <v>0</v>
      </c>
      <c r="M102" s="130" t="str">
        <f t="shared" si="75"/>
        <v/>
      </c>
      <c r="N102" s="2"/>
    </row>
    <row r="103" outlineLevel="1">
      <c r="A103" s="132" t="s">
        <v>2319</v>
      </c>
      <c r="B103" s="133">
        <f>B95+B102</f>
        <v>210000</v>
      </c>
      <c r="C103" s="134">
        <f t="shared" si="76"/>
        <v>0.74</v>
      </c>
      <c r="D103" s="133">
        <f>D95+D102</f>
        <v>281945</v>
      </c>
      <c r="E103" s="109"/>
      <c r="F103" s="133">
        <f>F95+F102</f>
        <v>3208</v>
      </c>
      <c r="G103" s="109"/>
      <c r="H103" s="133">
        <f>H95+H102</f>
        <v>738</v>
      </c>
      <c r="I103" s="133">
        <f t="shared" si="71"/>
        <v>285</v>
      </c>
      <c r="J103" s="133">
        <f>J95+J102</f>
        <v>701</v>
      </c>
      <c r="K103" s="133">
        <f t="shared" si="73"/>
        <v>300</v>
      </c>
      <c r="L103" s="133">
        <f>L95+L102</f>
        <v>420600</v>
      </c>
      <c r="M103" s="135">
        <f t="shared" si="75"/>
        <v>0.4992867332</v>
      </c>
      <c r="N103" s="2"/>
    </row>
    <row r="104" outlineLevel="1">
      <c r="A104" s="136" t="s">
        <v>2320</v>
      </c>
      <c r="B104" s="137" t="str">
        <f>IF(OR(N(L103)=0,N($E$7)=0),"Заполни бюджет, CPV и параметры",IF(M103&lt;=$E$7,"В ЦЕЛЬ: DRR "&amp;ROUND(M103*100,1)&amp;"% при цели "&amp;ROUND($E$7*100,1)&amp;"%","ВЫШЕ ЦЕЛИ: DRR "&amp;ROUND(M103*100,1)&amp;"% при цели "&amp;ROUND($E$7*100,1)&amp;"%"))</f>
        <v>ВЫШЕ ЦЕЛИ: DRR 49,9% при цели 13%</v>
      </c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9"/>
      <c r="N104" s="2"/>
    </row>
    <row r="105" outlineLevel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outlineLevel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outlineLevel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outlineLevel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outlineLevel="1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2"/>
      <c r="N109" s="2"/>
    </row>
    <row r="110" outlineLevel="1">
      <c r="A110" s="146" t="s">
        <v>2326</v>
      </c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2"/>
      <c r="N110" s="2"/>
    </row>
    <row r="111" outlineLevel="1">
      <c r="A111" s="2" t="s">
        <v>2297</v>
      </c>
      <c r="B111" s="111"/>
      <c r="C111" s="2" t="s">
        <v>2298</v>
      </c>
      <c r="D111" s="114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30.0" customHeight="1" outlineLevel="1">
      <c r="A112" s="147" t="s">
        <v>2299</v>
      </c>
      <c r="B112" s="148" t="s">
        <v>2300</v>
      </c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9"/>
      <c r="N112" s="2"/>
    </row>
    <row r="113" outlineLevel="1">
      <c r="A113" s="149" t="s">
        <v>2312</v>
      </c>
      <c r="B113" s="150"/>
      <c r="C113" s="150"/>
      <c r="D113" s="150"/>
      <c r="E113" s="150"/>
      <c r="F113" s="151" t="s">
        <v>2313</v>
      </c>
      <c r="G113" s="152"/>
      <c r="H113" s="150"/>
      <c r="I113" s="151" t="s">
        <v>2314</v>
      </c>
      <c r="J113" s="153"/>
      <c r="K113" s="150"/>
      <c r="L113" s="150"/>
      <c r="M113" s="2"/>
      <c r="N113" s="2"/>
    </row>
    <row r="114" ht="15.75" customHeight="1" outlineLevel="1">
      <c r="A114" s="122" t="s">
        <v>40</v>
      </c>
      <c r="B114" s="119"/>
      <c r="C114" s="119"/>
      <c r="D114" s="120"/>
      <c r="E114" s="124" t="str">
        <f t="shared" ref="E114:E120" si="77">IF(OR(C114="",D114=""),"",ROUND(C114*D114,0))</f>
        <v/>
      </c>
      <c r="F114" s="120"/>
      <c r="G114" s="124" t="str">
        <f t="shared" ref="G114:G120" si="78">IF(OR(E114="",F114=""),"",ROUND(E114*F114,0))</f>
        <v/>
      </c>
      <c r="H114" s="124" t="str">
        <f t="shared" ref="H114:H121" si="79">IF(N(G114)=0,"",ROUND(B114/G114,0))</f>
        <v/>
      </c>
      <c r="I114" s="124" t="str">
        <f t="shared" ref="I114:I120" si="80">IF(OR(N(G114)=0,$J$113=""),"",ROUND(G114*$J$113,0))</f>
        <v/>
      </c>
      <c r="J114" s="124" t="str">
        <f t="shared" ref="J114:J121" si="81">IF(N(I114)=0,"",ROUND(B114/I114,0))</f>
        <v/>
      </c>
      <c r="K114" s="124" t="str">
        <f t="shared" ref="K114:K120" si="82">IF(N(I114)=0,"",ROUND(I114*$G$113,0))</f>
        <v/>
      </c>
      <c r="L114" s="125" t="str">
        <f t="shared" ref="L114:L121" si="83">IF(N(K114)=0,"",B114/K114)</f>
        <v/>
      </c>
      <c r="M114" s="2"/>
      <c r="N114" s="2"/>
    </row>
    <row r="115" outlineLevel="1">
      <c r="A115" s="122" t="s">
        <v>1979</v>
      </c>
      <c r="B115" s="119"/>
      <c r="C115" s="119"/>
      <c r="D115" s="120"/>
      <c r="E115" s="124" t="str">
        <f t="shared" si="77"/>
        <v/>
      </c>
      <c r="F115" s="120"/>
      <c r="G115" s="124" t="str">
        <f t="shared" si="78"/>
        <v/>
      </c>
      <c r="H115" s="124" t="str">
        <f t="shared" si="79"/>
        <v/>
      </c>
      <c r="I115" s="124" t="str">
        <f t="shared" si="80"/>
        <v/>
      </c>
      <c r="J115" s="124" t="str">
        <f t="shared" si="81"/>
        <v/>
      </c>
      <c r="K115" s="124" t="str">
        <f t="shared" si="82"/>
        <v/>
      </c>
      <c r="L115" s="125" t="str">
        <f t="shared" si="83"/>
        <v/>
      </c>
      <c r="M115" s="2"/>
      <c r="N115" s="2"/>
    </row>
    <row r="116" outlineLevel="1">
      <c r="A116" s="122" t="s">
        <v>31</v>
      </c>
      <c r="B116" s="119"/>
      <c r="C116" s="119"/>
      <c r="D116" s="120"/>
      <c r="E116" s="124" t="str">
        <f t="shared" si="77"/>
        <v/>
      </c>
      <c r="F116" s="120"/>
      <c r="G116" s="124" t="str">
        <f t="shared" si="78"/>
        <v/>
      </c>
      <c r="H116" s="124" t="str">
        <f t="shared" si="79"/>
        <v/>
      </c>
      <c r="I116" s="124" t="str">
        <f t="shared" si="80"/>
        <v/>
      </c>
      <c r="J116" s="124" t="str">
        <f t="shared" si="81"/>
        <v/>
      </c>
      <c r="K116" s="124" t="str">
        <f t="shared" si="82"/>
        <v/>
      </c>
      <c r="L116" s="125" t="str">
        <f t="shared" si="83"/>
        <v/>
      </c>
      <c r="M116" s="2"/>
      <c r="N116" s="2"/>
    </row>
    <row r="117" ht="25.5" customHeight="1" outlineLevel="1">
      <c r="A117" s="122" t="s">
        <v>19</v>
      </c>
      <c r="B117" s="119"/>
      <c r="C117" s="119"/>
      <c r="D117" s="120"/>
      <c r="E117" s="124" t="str">
        <f t="shared" si="77"/>
        <v/>
      </c>
      <c r="F117" s="120"/>
      <c r="G117" s="124" t="str">
        <f t="shared" si="78"/>
        <v/>
      </c>
      <c r="H117" s="124" t="str">
        <f t="shared" si="79"/>
        <v/>
      </c>
      <c r="I117" s="124" t="str">
        <f t="shared" si="80"/>
        <v/>
      </c>
      <c r="J117" s="124" t="str">
        <f t="shared" si="81"/>
        <v/>
      </c>
      <c r="K117" s="124" t="str">
        <f t="shared" si="82"/>
        <v/>
      </c>
      <c r="L117" s="125" t="str">
        <f t="shared" si="83"/>
        <v/>
      </c>
      <c r="M117" s="2"/>
      <c r="N117" s="2"/>
    </row>
    <row r="118" outlineLevel="1">
      <c r="A118" s="122" t="s">
        <v>61</v>
      </c>
      <c r="B118" s="119"/>
      <c r="C118" s="119"/>
      <c r="D118" s="120"/>
      <c r="E118" s="124" t="str">
        <f t="shared" si="77"/>
        <v/>
      </c>
      <c r="F118" s="120"/>
      <c r="G118" s="124" t="str">
        <f t="shared" si="78"/>
        <v/>
      </c>
      <c r="H118" s="124" t="str">
        <f t="shared" si="79"/>
        <v/>
      </c>
      <c r="I118" s="124" t="str">
        <f t="shared" si="80"/>
        <v/>
      </c>
      <c r="J118" s="124" t="str">
        <f t="shared" si="81"/>
        <v/>
      </c>
      <c r="K118" s="124" t="str">
        <f t="shared" si="82"/>
        <v/>
      </c>
      <c r="L118" s="125" t="str">
        <f t="shared" si="83"/>
        <v/>
      </c>
      <c r="M118" s="2"/>
      <c r="N118" s="2"/>
    </row>
    <row r="119" outlineLevel="1">
      <c r="A119" s="122" t="s">
        <v>670</v>
      </c>
      <c r="B119" s="119"/>
      <c r="C119" s="119"/>
      <c r="D119" s="120"/>
      <c r="E119" s="124" t="str">
        <f t="shared" si="77"/>
        <v/>
      </c>
      <c r="F119" s="120"/>
      <c r="G119" s="124" t="str">
        <f t="shared" si="78"/>
        <v/>
      </c>
      <c r="H119" s="124" t="str">
        <f t="shared" si="79"/>
        <v/>
      </c>
      <c r="I119" s="124" t="str">
        <f t="shared" si="80"/>
        <v/>
      </c>
      <c r="J119" s="124" t="str">
        <f t="shared" si="81"/>
        <v/>
      </c>
      <c r="K119" s="124" t="str">
        <f t="shared" si="82"/>
        <v/>
      </c>
      <c r="L119" s="125" t="str">
        <f t="shared" si="83"/>
        <v/>
      </c>
      <c r="M119" s="2"/>
      <c r="N119" s="2"/>
    </row>
    <row r="120" outlineLevel="1">
      <c r="A120" s="122" t="s">
        <v>2315</v>
      </c>
      <c r="B120" s="119"/>
      <c r="C120" s="119"/>
      <c r="D120" s="120"/>
      <c r="E120" s="124" t="str">
        <f t="shared" si="77"/>
        <v/>
      </c>
      <c r="F120" s="120"/>
      <c r="G120" s="124" t="str">
        <f t="shared" si="78"/>
        <v/>
      </c>
      <c r="H120" s="124" t="str">
        <f t="shared" si="79"/>
        <v/>
      </c>
      <c r="I120" s="124" t="str">
        <f t="shared" si="80"/>
        <v/>
      </c>
      <c r="J120" s="124" t="str">
        <f t="shared" si="81"/>
        <v/>
      </c>
      <c r="K120" s="124" t="str">
        <f t="shared" si="82"/>
        <v/>
      </c>
      <c r="L120" s="125" t="str">
        <f t="shared" si="83"/>
        <v/>
      </c>
      <c r="M120" s="2"/>
      <c r="N120" s="2"/>
    </row>
    <row r="121" outlineLevel="1">
      <c r="A121" s="129" t="s">
        <v>2316</v>
      </c>
      <c r="B121" s="127">
        <f t="shared" ref="B121:C121" si="84">SUM(B114:B120)</f>
        <v>0</v>
      </c>
      <c r="C121" s="127">
        <f t="shared" si="84"/>
        <v>0</v>
      </c>
      <c r="D121" s="129"/>
      <c r="E121" s="127">
        <f>SUM(E114:E120)</f>
        <v>0</v>
      </c>
      <c r="F121" s="129"/>
      <c r="G121" s="127">
        <f>SUM(G114:G120)</f>
        <v>0</v>
      </c>
      <c r="H121" s="127" t="str">
        <f t="shared" si="79"/>
        <v/>
      </c>
      <c r="I121" s="127">
        <f>SUM(I114:I120)</f>
        <v>0</v>
      </c>
      <c r="J121" s="127" t="str">
        <f t="shared" si="81"/>
        <v/>
      </c>
      <c r="K121" s="127">
        <f>SUM(K114:K120)</f>
        <v>0</v>
      </c>
      <c r="L121" s="130" t="str">
        <f t="shared" si="83"/>
        <v/>
      </c>
      <c r="M121" s="2"/>
      <c r="N121" s="2"/>
    </row>
    <row r="122" outlineLevel="1">
      <c r="A122" s="149" t="s">
        <v>2317</v>
      </c>
      <c r="B122" s="150"/>
      <c r="C122" s="150"/>
      <c r="D122" s="150"/>
      <c r="E122" s="150"/>
      <c r="F122" s="151" t="s">
        <v>2313</v>
      </c>
      <c r="G122" s="119"/>
      <c r="H122" s="150"/>
      <c r="I122" s="151" t="s">
        <v>2314</v>
      </c>
      <c r="J122" s="120"/>
      <c r="K122" s="150"/>
      <c r="L122" s="150"/>
      <c r="M122" s="2"/>
      <c r="N122" s="2"/>
    </row>
    <row r="123" outlineLevel="1">
      <c r="A123" s="122" t="s">
        <v>40</v>
      </c>
      <c r="B123" s="119"/>
      <c r="C123" s="119"/>
      <c r="D123" s="120"/>
      <c r="E123" s="124" t="str">
        <f t="shared" ref="E123:E129" si="85">IF(OR(C123="",D123=""),"",ROUND(C123*D123,0))</f>
        <v/>
      </c>
      <c r="F123" s="120"/>
      <c r="G123" s="124" t="str">
        <f t="shared" ref="G123:G129" si="86">IF(OR(E123="",F123=""),"",ROUND(E123*F123,0))</f>
        <v/>
      </c>
      <c r="H123" s="124" t="str">
        <f t="shared" ref="H123:H131" si="87">IF(N(G123)=0,"",ROUND(B123/G123,0))</f>
        <v/>
      </c>
      <c r="I123" s="124" t="str">
        <f t="shared" ref="I123:I129" si="88">IF(OR(N(G123)=0,$J$122=""),"",ROUND(G123*$J$122,0))</f>
        <v/>
      </c>
      <c r="J123" s="124" t="str">
        <f t="shared" ref="J123:J131" si="89">IF(N(I123)=0,"",ROUND(B123/I123,0))</f>
        <v/>
      </c>
      <c r="K123" s="124" t="str">
        <f t="shared" ref="K123:K129" si="90">IF(N(I123)=0,"",ROUND(I123*$G$122,0))</f>
        <v/>
      </c>
      <c r="L123" s="125" t="str">
        <f t="shared" ref="L123:L131" si="91">IF(N(K123)=0,"",B123/K123)</f>
        <v/>
      </c>
      <c r="M123" s="2"/>
      <c r="N123" s="2"/>
    </row>
    <row r="124" outlineLevel="1">
      <c r="A124" s="122" t="s">
        <v>1979</v>
      </c>
      <c r="B124" s="119"/>
      <c r="C124" s="119"/>
      <c r="D124" s="120"/>
      <c r="E124" s="124" t="str">
        <f t="shared" si="85"/>
        <v/>
      </c>
      <c r="F124" s="120"/>
      <c r="G124" s="124" t="str">
        <f t="shared" si="86"/>
        <v/>
      </c>
      <c r="H124" s="124" t="str">
        <f t="shared" si="87"/>
        <v/>
      </c>
      <c r="I124" s="124" t="str">
        <f t="shared" si="88"/>
        <v/>
      </c>
      <c r="J124" s="124" t="str">
        <f t="shared" si="89"/>
        <v/>
      </c>
      <c r="K124" s="124" t="str">
        <f t="shared" si="90"/>
        <v/>
      </c>
      <c r="L124" s="125" t="str">
        <f t="shared" si="91"/>
        <v/>
      </c>
      <c r="M124" s="2"/>
      <c r="N124" s="2"/>
    </row>
    <row r="125" outlineLevel="1">
      <c r="A125" s="122" t="s">
        <v>31</v>
      </c>
      <c r="B125" s="119"/>
      <c r="C125" s="119"/>
      <c r="D125" s="120"/>
      <c r="E125" s="124" t="str">
        <f t="shared" si="85"/>
        <v/>
      </c>
      <c r="F125" s="120"/>
      <c r="G125" s="124" t="str">
        <f t="shared" si="86"/>
        <v/>
      </c>
      <c r="H125" s="124" t="str">
        <f t="shared" si="87"/>
        <v/>
      </c>
      <c r="I125" s="124" t="str">
        <f t="shared" si="88"/>
        <v/>
      </c>
      <c r="J125" s="124" t="str">
        <f t="shared" si="89"/>
        <v/>
      </c>
      <c r="K125" s="124" t="str">
        <f t="shared" si="90"/>
        <v/>
      </c>
      <c r="L125" s="125" t="str">
        <f t="shared" si="91"/>
        <v/>
      </c>
      <c r="M125" s="2"/>
      <c r="N125" s="2"/>
    </row>
    <row r="126" outlineLevel="1">
      <c r="A126" s="122" t="s">
        <v>19</v>
      </c>
      <c r="B126" s="119"/>
      <c r="C126" s="119"/>
      <c r="D126" s="120"/>
      <c r="E126" s="124" t="str">
        <f t="shared" si="85"/>
        <v/>
      </c>
      <c r="F126" s="120"/>
      <c r="G126" s="124" t="str">
        <f t="shared" si="86"/>
        <v/>
      </c>
      <c r="H126" s="124" t="str">
        <f t="shared" si="87"/>
        <v/>
      </c>
      <c r="I126" s="124" t="str">
        <f t="shared" si="88"/>
        <v/>
      </c>
      <c r="J126" s="124" t="str">
        <f t="shared" si="89"/>
        <v/>
      </c>
      <c r="K126" s="124" t="str">
        <f t="shared" si="90"/>
        <v/>
      </c>
      <c r="L126" s="125" t="str">
        <f t="shared" si="91"/>
        <v/>
      </c>
      <c r="M126" s="2"/>
      <c r="N126" s="2"/>
    </row>
    <row r="127" ht="25.5" customHeight="1" outlineLevel="1">
      <c r="A127" s="122" t="s">
        <v>61</v>
      </c>
      <c r="B127" s="119"/>
      <c r="C127" s="119"/>
      <c r="D127" s="120"/>
      <c r="E127" s="124" t="str">
        <f t="shared" si="85"/>
        <v/>
      </c>
      <c r="F127" s="120"/>
      <c r="G127" s="124" t="str">
        <f t="shared" si="86"/>
        <v/>
      </c>
      <c r="H127" s="124" t="str">
        <f t="shared" si="87"/>
        <v/>
      </c>
      <c r="I127" s="124" t="str">
        <f t="shared" si="88"/>
        <v/>
      </c>
      <c r="J127" s="124" t="str">
        <f t="shared" si="89"/>
        <v/>
      </c>
      <c r="K127" s="124" t="str">
        <f t="shared" si="90"/>
        <v/>
      </c>
      <c r="L127" s="125" t="str">
        <f t="shared" si="91"/>
        <v/>
      </c>
      <c r="M127" s="2"/>
      <c r="N127" s="2"/>
    </row>
    <row r="128" outlineLevel="1">
      <c r="A128" s="122" t="s">
        <v>670</v>
      </c>
      <c r="B128" s="119"/>
      <c r="C128" s="119"/>
      <c r="D128" s="120"/>
      <c r="E128" s="124" t="str">
        <f t="shared" si="85"/>
        <v/>
      </c>
      <c r="F128" s="120"/>
      <c r="G128" s="124" t="str">
        <f t="shared" si="86"/>
        <v/>
      </c>
      <c r="H128" s="124" t="str">
        <f t="shared" si="87"/>
        <v/>
      </c>
      <c r="I128" s="124" t="str">
        <f t="shared" si="88"/>
        <v/>
      </c>
      <c r="J128" s="124" t="str">
        <f t="shared" si="89"/>
        <v/>
      </c>
      <c r="K128" s="124" t="str">
        <f t="shared" si="90"/>
        <v/>
      </c>
      <c r="L128" s="125" t="str">
        <f t="shared" si="91"/>
        <v/>
      </c>
      <c r="M128" s="2"/>
      <c r="N128" s="2"/>
    </row>
    <row r="129" outlineLevel="1">
      <c r="A129" s="122" t="s">
        <v>2315</v>
      </c>
      <c r="B129" s="119"/>
      <c r="C129" s="119"/>
      <c r="D129" s="120"/>
      <c r="E129" s="124" t="str">
        <f t="shared" si="85"/>
        <v/>
      </c>
      <c r="F129" s="120"/>
      <c r="G129" s="124" t="str">
        <f t="shared" si="86"/>
        <v/>
      </c>
      <c r="H129" s="124" t="str">
        <f t="shared" si="87"/>
        <v/>
      </c>
      <c r="I129" s="124" t="str">
        <f t="shared" si="88"/>
        <v/>
      </c>
      <c r="J129" s="124" t="str">
        <f t="shared" si="89"/>
        <v/>
      </c>
      <c r="K129" s="124" t="str">
        <f t="shared" si="90"/>
        <v/>
      </c>
      <c r="L129" s="125" t="str">
        <f t="shared" si="91"/>
        <v/>
      </c>
      <c r="M129" s="2"/>
      <c r="N129" s="2"/>
    </row>
    <row r="130" outlineLevel="1">
      <c r="A130" s="129" t="s">
        <v>2318</v>
      </c>
      <c r="B130" s="127">
        <f t="shared" ref="B130:C130" si="92">SUM(B123:B129)</f>
        <v>0</v>
      </c>
      <c r="C130" s="127">
        <f t="shared" si="92"/>
        <v>0</v>
      </c>
      <c r="D130" s="129"/>
      <c r="E130" s="127">
        <f>SUM(E123:E129)</f>
        <v>0</v>
      </c>
      <c r="F130" s="129"/>
      <c r="G130" s="127">
        <f>SUM(G123:G129)</f>
        <v>0</v>
      </c>
      <c r="H130" s="127" t="str">
        <f t="shared" si="87"/>
        <v/>
      </c>
      <c r="I130" s="127">
        <f>SUM(I123:I129)</f>
        <v>0</v>
      </c>
      <c r="J130" s="127" t="str">
        <f t="shared" si="89"/>
        <v/>
      </c>
      <c r="K130" s="127">
        <f>SUM(K123:K129)</f>
        <v>0</v>
      </c>
      <c r="L130" s="130" t="str">
        <f t="shared" si="91"/>
        <v/>
      </c>
      <c r="M130" s="2"/>
      <c r="N130" s="2"/>
    </row>
    <row r="131" outlineLevel="1">
      <c r="A131" s="146" t="s">
        <v>2319</v>
      </c>
      <c r="B131" s="154">
        <f t="shared" ref="B131:C131" si="93">B121+B130</f>
        <v>0</v>
      </c>
      <c r="C131" s="154">
        <f t="shared" si="93"/>
        <v>0</v>
      </c>
      <c r="D131" s="146"/>
      <c r="E131" s="154">
        <f>E121+E130</f>
        <v>0</v>
      </c>
      <c r="F131" s="146"/>
      <c r="G131" s="154">
        <f>G121+G130</f>
        <v>0</v>
      </c>
      <c r="H131" s="154" t="str">
        <f t="shared" si="87"/>
        <v/>
      </c>
      <c r="I131" s="154">
        <f>I121+I130</f>
        <v>0</v>
      </c>
      <c r="J131" s="154" t="str">
        <f t="shared" si="89"/>
        <v/>
      </c>
      <c r="K131" s="154">
        <f>K121+K130</f>
        <v>0</v>
      </c>
      <c r="L131" s="155" t="str">
        <f t="shared" si="91"/>
        <v/>
      </c>
      <c r="M131" s="2"/>
      <c r="N131" s="2"/>
    </row>
    <row r="132" outlineLevel="1">
      <c r="A132" s="156" t="s">
        <v>2320</v>
      </c>
      <c r="B132" s="157" t="str">
        <f>IF(OR(N(K131)=0,N($D$111)=0),"— заполни бюджеты и параметры —",IF(L131&lt;=$D$111,"В цель: DRR "&amp;TEXT(L131,"0.0%")&amp;" ≤ "&amp;TEXT($D$111,"0.0%"),"Выше цели: DRR "&amp;TEXT(L131,"0.0%")&amp;" &gt; "&amp;TEXT($D$111,"0.0%")))</f>
        <v>— заполни бюджеты и параметры —</v>
      </c>
      <c r="C132" s="158"/>
      <c r="D132" s="158"/>
      <c r="E132" s="158"/>
      <c r="F132" s="158"/>
      <c r="G132" s="158"/>
      <c r="H132" s="158"/>
      <c r="I132" s="158"/>
      <c r="J132" s="158"/>
      <c r="K132" s="158"/>
      <c r="L132" s="159"/>
      <c r="M132" s="2"/>
      <c r="N132" s="2"/>
    </row>
    <row r="133" outlineLevel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outlineLevel="1">
      <c r="A134" s="146" t="s">
        <v>2327</v>
      </c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2"/>
      <c r="N134" s="2"/>
    </row>
    <row r="135" outlineLevel="1">
      <c r="A135" s="2" t="s">
        <v>2297</v>
      </c>
      <c r="B135" s="111"/>
      <c r="C135" s="2" t="s">
        <v>2298</v>
      </c>
      <c r="D135" s="114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30.0" customHeight="1" outlineLevel="1">
      <c r="A136" s="147" t="s">
        <v>2299</v>
      </c>
      <c r="B136" s="147" t="s">
        <v>2300</v>
      </c>
      <c r="C136" s="147" t="s">
        <v>2302</v>
      </c>
      <c r="D136" s="147" t="s">
        <v>2303</v>
      </c>
      <c r="E136" s="147" t="s">
        <v>2304</v>
      </c>
      <c r="F136" s="147" t="s">
        <v>2305</v>
      </c>
      <c r="G136" s="147" t="s">
        <v>2306</v>
      </c>
      <c r="H136" s="147" t="s">
        <v>2307</v>
      </c>
      <c r="I136" s="147" t="s">
        <v>2308</v>
      </c>
      <c r="J136" s="147" t="s">
        <v>2309</v>
      </c>
      <c r="K136" s="147" t="s">
        <v>2310</v>
      </c>
      <c r="L136" s="147" t="s">
        <v>2311</v>
      </c>
      <c r="M136" s="2"/>
      <c r="N136" s="2"/>
    </row>
    <row r="137" outlineLevel="1">
      <c r="A137" s="149" t="s">
        <v>2312</v>
      </c>
      <c r="B137" s="160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9"/>
      <c r="N137" s="2"/>
    </row>
    <row r="138" outlineLevel="1">
      <c r="A138" s="122" t="s">
        <v>40</v>
      </c>
      <c r="B138" s="119"/>
      <c r="C138" s="119"/>
      <c r="D138" s="120"/>
      <c r="E138" s="124" t="str">
        <f t="shared" ref="E138:E144" si="94">IF(OR(C138="",D138=""),"",ROUND(C138*D138,0))</f>
        <v/>
      </c>
      <c r="F138" s="120"/>
      <c r="G138" s="124" t="str">
        <f t="shared" ref="G138:G144" si="95">IF(OR(E138="",F138=""),"",ROUND(E138*F138,0))</f>
        <v/>
      </c>
      <c r="H138" s="124" t="str">
        <f t="shared" ref="H138:H145" si="96">IF(N(G138)=0,"",ROUND(B138/G138,0))</f>
        <v/>
      </c>
      <c r="I138" s="124" t="str">
        <f t="shared" ref="I138:I144" si="97">IF(OR(N(G138)=0,$J$137=""),"",ROUND(G138*$J$137,0))</f>
        <v/>
      </c>
      <c r="J138" s="124" t="str">
        <f t="shared" ref="J138:J145" si="98">IF(N(I138)=0,"",ROUND(B138/I138,0))</f>
        <v/>
      </c>
      <c r="K138" s="124" t="str">
        <f t="shared" ref="K138:K144" si="99">IF(N(I138)=0,"",ROUND(I138*$G$137,0))</f>
        <v/>
      </c>
      <c r="L138" s="125" t="str">
        <f t="shared" ref="L138:L145" si="100">IF(N(K138)=0,"",B138/K138)</f>
        <v/>
      </c>
      <c r="M138" s="2"/>
      <c r="N138" s="2"/>
    </row>
    <row r="139" ht="15.75" customHeight="1" outlineLevel="1">
      <c r="A139" s="122" t="s">
        <v>1979</v>
      </c>
      <c r="B139" s="119"/>
      <c r="C139" s="119"/>
      <c r="D139" s="120"/>
      <c r="E139" s="124" t="str">
        <f t="shared" si="94"/>
        <v/>
      </c>
      <c r="F139" s="120"/>
      <c r="G139" s="124" t="str">
        <f t="shared" si="95"/>
        <v/>
      </c>
      <c r="H139" s="124" t="str">
        <f t="shared" si="96"/>
        <v/>
      </c>
      <c r="I139" s="124" t="str">
        <f t="shared" si="97"/>
        <v/>
      </c>
      <c r="J139" s="124" t="str">
        <f t="shared" si="98"/>
        <v/>
      </c>
      <c r="K139" s="124" t="str">
        <f t="shared" si="99"/>
        <v/>
      </c>
      <c r="L139" s="125" t="str">
        <f t="shared" si="100"/>
        <v/>
      </c>
      <c r="M139" s="2"/>
      <c r="N139" s="2"/>
    </row>
    <row r="140" outlineLevel="1">
      <c r="A140" s="122" t="s">
        <v>31</v>
      </c>
      <c r="B140" s="119"/>
      <c r="C140" s="119"/>
      <c r="D140" s="120"/>
      <c r="E140" s="124" t="str">
        <f t="shared" si="94"/>
        <v/>
      </c>
      <c r="F140" s="120"/>
      <c r="G140" s="124" t="str">
        <f t="shared" si="95"/>
        <v/>
      </c>
      <c r="H140" s="124" t="str">
        <f t="shared" si="96"/>
        <v/>
      </c>
      <c r="I140" s="124" t="str">
        <f t="shared" si="97"/>
        <v/>
      </c>
      <c r="J140" s="124" t="str">
        <f t="shared" si="98"/>
        <v/>
      </c>
      <c r="K140" s="124" t="str">
        <f t="shared" si="99"/>
        <v/>
      </c>
      <c r="L140" s="125" t="str">
        <f t="shared" si="100"/>
        <v/>
      </c>
      <c r="M140" s="2"/>
      <c r="N140" s="2"/>
    </row>
    <row r="141" outlineLevel="1">
      <c r="A141" s="122" t="s">
        <v>19</v>
      </c>
      <c r="B141" s="119"/>
      <c r="C141" s="119"/>
      <c r="D141" s="120"/>
      <c r="E141" s="124" t="str">
        <f t="shared" si="94"/>
        <v/>
      </c>
      <c r="F141" s="120"/>
      <c r="G141" s="124" t="str">
        <f t="shared" si="95"/>
        <v/>
      </c>
      <c r="H141" s="124" t="str">
        <f t="shared" si="96"/>
        <v/>
      </c>
      <c r="I141" s="124" t="str">
        <f t="shared" si="97"/>
        <v/>
      </c>
      <c r="J141" s="124" t="str">
        <f t="shared" si="98"/>
        <v/>
      </c>
      <c r="K141" s="124" t="str">
        <f t="shared" si="99"/>
        <v/>
      </c>
      <c r="L141" s="125" t="str">
        <f t="shared" si="100"/>
        <v/>
      </c>
      <c r="M141" s="2"/>
      <c r="N141" s="2"/>
    </row>
    <row r="142" ht="25.5" customHeight="1" outlineLevel="1">
      <c r="A142" s="122" t="s">
        <v>61</v>
      </c>
      <c r="B142" s="119"/>
      <c r="C142" s="119"/>
      <c r="D142" s="120"/>
      <c r="E142" s="124" t="str">
        <f t="shared" si="94"/>
        <v/>
      </c>
      <c r="F142" s="120"/>
      <c r="G142" s="124" t="str">
        <f t="shared" si="95"/>
        <v/>
      </c>
      <c r="H142" s="124" t="str">
        <f t="shared" si="96"/>
        <v/>
      </c>
      <c r="I142" s="124" t="str">
        <f t="shared" si="97"/>
        <v/>
      </c>
      <c r="J142" s="124" t="str">
        <f t="shared" si="98"/>
        <v/>
      </c>
      <c r="K142" s="124" t="str">
        <f t="shared" si="99"/>
        <v/>
      </c>
      <c r="L142" s="125" t="str">
        <f t="shared" si="100"/>
        <v/>
      </c>
      <c r="M142" s="2"/>
      <c r="N142" s="2"/>
    </row>
    <row r="143" outlineLevel="1">
      <c r="A143" s="122" t="s">
        <v>670</v>
      </c>
      <c r="B143" s="119"/>
      <c r="C143" s="119"/>
      <c r="D143" s="120"/>
      <c r="E143" s="124" t="str">
        <f t="shared" si="94"/>
        <v/>
      </c>
      <c r="F143" s="120"/>
      <c r="G143" s="124" t="str">
        <f t="shared" si="95"/>
        <v/>
      </c>
      <c r="H143" s="124" t="str">
        <f t="shared" si="96"/>
        <v/>
      </c>
      <c r="I143" s="124" t="str">
        <f t="shared" si="97"/>
        <v/>
      </c>
      <c r="J143" s="124" t="str">
        <f t="shared" si="98"/>
        <v/>
      </c>
      <c r="K143" s="124" t="str">
        <f t="shared" si="99"/>
        <v/>
      </c>
      <c r="L143" s="125" t="str">
        <f t="shared" si="100"/>
        <v/>
      </c>
      <c r="M143" s="2"/>
      <c r="N143" s="2"/>
    </row>
    <row r="144" outlineLevel="1">
      <c r="A144" s="122" t="s">
        <v>2315</v>
      </c>
      <c r="B144" s="119"/>
      <c r="C144" s="119"/>
      <c r="D144" s="120"/>
      <c r="E144" s="124" t="str">
        <f t="shared" si="94"/>
        <v/>
      </c>
      <c r="F144" s="120"/>
      <c r="G144" s="124" t="str">
        <f t="shared" si="95"/>
        <v/>
      </c>
      <c r="H144" s="124" t="str">
        <f t="shared" si="96"/>
        <v/>
      </c>
      <c r="I144" s="124" t="str">
        <f t="shared" si="97"/>
        <v/>
      </c>
      <c r="J144" s="124" t="str">
        <f t="shared" si="98"/>
        <v/>
      </c>
      <c r="K144" s="124" t="str">
        <f t="shared" si="99"/>
        <v/>
      </c>
      <c r="L144" s="125" t="str">
        <f t="shared" si="100"/>
        <v/>
      </c>
      <c r="M144" s="2"/>
      <c r="N144" s="2"/>
    </row>
    <row r="145" outlineLevel="1">
      <c r="A145" s="129" t="s">
        <v>2316</v>
      </c>
      <c r="B145" s="127">
        <f t="shared" ref="B145:C145" si="101">SUM(B138:B144)</f>
        <v>0</v>
      </c>
      <c r="C145" s="127">
        <f t="shared" si="101"/>
        <v>0</v>
      </c>
      <c r="D145" s="129"/>
      <c r="E145" s="127">
        <f>SUM(E138:E144)</f>
        <v>0</v>
      </c>
      <c r="F145" s="129"/>
      <c r="G145" s="127">
        <f>SUM(G138:G144)</f>
        <v>0</v>
      </c>
      <c r="H145" s="127" t="str">
        <f t="shared" si="96"/>
        <v/>
      </c>
      <c r="I145" s="127">
        <f>SUM(I138:I144)</f>
        <v>0</v>
      </c>
      <c r="J145" s="127" t="str">
        <f t="shared" si="98"/>
        <v/>
      </c>
      <c r="K145" s="127">
        <f>SUM(K138:K144)</f>
        <v>0</v>
      </c>
      <c r="L145" s="130" t="str">
        <f t="shared" si="100"/>
        <v/>
      </c>
      <c r="M145" s="2"/>
      <c r="N145" s="2"/>
    </row>
    <row r="146" outlineLevel="1">
      <c r="A146" s="149" t="s">
        <v>2317</v>
      </c>
      <c r="B146" s="150"/>
      <c r="C146" s="150"/>
      <c r="D146" s="150"/>
      <c r="E146" s="150"/>
      <c r="F146" s="151" t="s">
        <v>2313</v>
      </c>
      <c r="G146" s="119"/>
      <c r="H146" s="150"/>
      <c r="I146" s="151" t="s">
        <v>2314</v>
      </c>
      <c r="J146" s="120"/>
      <c r="K146" s="150"/>
      <c r="L146" s="150"/>
      <c r="M146" s="2"/>
      <c r="N146" s="2"/>
    </row>
    <row r="147" outlineLevel="1">
      <c r="A147" s="122" t="s">
        <v>40</v>
      </c>
      <c r="B147" s="119"/>
      <c r="C147" s="119"/>
      <c r="D147" s="120"/>
      <c r="E147" s="124" t="str">
        <f t="shared" ref="E147:E153" si="102">IF(OR(C147="",D147=""),"",ROUND(C147*D147,0))</f>
        <v/>
      </c>
      <c r="F147" s="120"/>
      <c r="G147" s="124" t="str">
        <f t="shared" ref="G147:G153" si="103">IF(OR(E147="",F147=""),"",ROUND(E147*F147,0))</f>
        <v/>
      </c>
      <c r="H147" s="124" t="str">
        <f t="shared" ref="H147:H155" si="104">IF(N(G147)=0,"",ROUND(B147/G147,0))</f>
        <v/>
      </c>
      <c r="I147" s="124" t="str">
        <f t="shared" ref="I147:I153" si="105">IF(OR(N(G147)=0,$J$146=""),"",ROUND(G147*$J$146,0))</f>
        <v/>
      </c>
      <c r="J147" s="124" t="str">
        <f t="shared" ref="J147:J155" si="106">IF(N(I147)=0,"",ROUND(B147/I147,0))</f>
        <v/>
      </c>
      <c r="K147" s="124" t="str">
        <f t="shared" ref="K147:K153" si="107">IF(N(I147)=0,"",ROUND(I147*$G$146,0))</f>
        <v/>
      </c>
      <c r="L147" s="125" t="str">
        <f t="shared" ref="L147:L155" si="108">IF(N(K147)=0,"",B147/K147)</f>
        <v/>
      </c>
      <c r="M147" s="2"/>
      <c r="N147" s="2"/>
    </row>
    <row r="148" outlineLevel="1">
      <c r="A148" s="122" t="s">
        <v>1979</v>
      </c>
      <c r="B148" s="119"/>
      <c r="C148" s="119"/>
      <c r="D148" s="120"/>
      <c r="E148" s="124" t="str">
        <f t="shared" si="102"/>
        <v/>
      </c>
      <c r="F148" s="120"/>
      <c r="G148" s="124" t="str">
        <f t="shared" si="103"/>
        <v/>
      </c>
      <c r="H148" s="124" t="str">
        <f t="shared" si="104"/>
        <v/>
      </c>
      <c r="I148" s="124" t="str">
        <f t="shared" si="105"/>
        <v/>
      </c>
      <c r="J148" s="124" t="str">
        <f t="shared" si="106"/>
        <v/>
      </c>
      <c r="K148" s="124" t="str">
        <f t="shared" si="107"/>
        <v/>
      </c>
      <c r="L148" s="125" t="str">
        <f t="shared" si="108"/>
        <v/>
      </c>
      <c r="M148" s="2"/>
      <c r="N148" s="2"/>
    </row>
    <row r="149" outlineLevel="1">
      <c r="A149" s="122" t="s">
        <v>31</v>
      </c>
      <c r="B149" s="119"/>
      <c r="C149" s="119"/>
      <c r="D149" s="120"/>
      <c r="E149" s="124" t="str">
        <f t="shared" si="102"/>
        <v/>
      </c>
      <c r="F149" s="120"/>
      <c r="G149" s="124" t="str">
        <f t="shared" si="103"/>
        <v/>
      </c>
      <c r="H149" s="124" t="str">
        <f t="shared" si="104"/>
        <v/>
      </c>
      <c r="I149" s="124" t="str">
        <f t="shared" si="105"/>
        <v/>
      </c>
      <c r="J149" s="124" t="str">
        <f t="shared" si="106"/>
        <v/>
      </c>
      <c r="K149" s="124" t="str">
        <f t="shared" si="107"/>
        <v/>
      </c>
      <c r="L149" s="125" t="str">
        <f t="shared" si="108"/>
        <v/>
      </c>
      <c r="M149" s="2"/>
      <c r="N149" s="2"/>
    </row>
    <row r="150" outlineLevel="1">
      <c r="A150" s="122" t="s">
        <v>19</v>
      </c>
      <c r="B150" s="119"/>
      <c r="C150" s="119"/>
      <c r="D150" s="120"/>
      <c r="E150" s="124" t="str">
        <f t="shared" si="102"/>
        <v/>
      </c>
      <c r="F150" s="120"/>
      <c r="G150" s="124" t="str">
        <f t="shared" si="103"/>
        <v/>
      </c>
      <c r="H150" s="124" t="str">
        <f t="shared" si="104"/>
        <v/>
      </c>
      <c r="I150" s="124" t="str">
        <f t="shared" si="105"/>
        <v/>
      </c>
      <c r="J150" s="124" t="str">
        <f t="shared" si="106"/>
        <v/>
      </c>
      <c r="K150" s="124" t="str">
        <f t="shared" si="107"/>
        <v/>
      </c>
      <c r="L150" s="125" t="str">
        <f t="shared" si="108"/>
        <v/>
      </c>
      <c r="M150" s="2"/>
      <c r="N150" s="2"/>
    </row>
    <row r="151" outlineLevel="1">
      <c r="A151" s="122" t="s">
        <v>61</v>
      </c>
      <c r="B151" s="119"/>
      <c r="C151" s="119"/>
      <c r="D151" s="120"/>
      <c r="E151" s="124" t="str">
        <f t="shared" si="102"/>
        <v/>
      </c>
      <c r="F151" s="120"/>
      <c r="G151" s="124" t="str">
        <f t="shared" si="103"/>
        <v/>
      </c>
      <c r="H151" s="124" t="str">
        <f t="shared" si="104"/>
        <v/>
      </c>
      <c r="I151" s="124" t="str">
        <f t="shared" si="105"/>
        <v/>
      </c>
      <c r="J151" s="124" t="str">
        <f t="shared" si="106"/>
        <v/>
      </c>
      <c r="K151" s="124" t="str">
        <f t="shared" si="107"/>
        <v/>
      </c>
      <c r="L151" s="125" t="str">
        <f t="shared" si="108"/>
        <v/>
      </c>
      <c r="M151" s="2"/>
      <c r="N151" s="2"/>
    </row>
    <row r="152" ht="25.5" customHeight="1" outlineLevel="1">
      <c r="A152" s="122" t="s">
        <v>670</v>
      </c>
      <c r="B152" s="119"/>
      <c r="C152" s="119"/>
      <c r="D152" s="120"/>
      <c r="E152" s="124" t="str">
        <f t="shared" si="102"/>
        <v/>
      </c>
      <c r="F152" s="120"/>
      <c r="G152" s="124" t="str">
        <f t="shared" si="103"/>
        <v/>
      </c>
      <c r="H152" s="124" t="str">
        <f t="shared" si="104"/>
        <v/>
      </c>
      <c r="I152" s="124" t="str">
        <f t="shared" si="105"/>
        <v/>
      </c>
      <c r="J152" s="124" t="str">
        <f t="shared" si="106"/>
        <v/>
      </c>
      <c r="K152" s="124" t="str">
        <f t="shared" si="107"/>
        <v/>
      </c>
      <c r="L152" s="125" t="str">
        <f t="shared" si="108"/>
        <v/>
      </c>
      <c r="M152" s="2"/>
      <c r="N152" s="2"/>
    </row>
    <row r="153" outlineLevel="1">
      <c r="A153" s="122" t="s">
        <v>2315</v>
      </c>
      <c r="B153" s="119"/>
      <c r="C153" s="119"/>
      <c r="D153" s="120"/>
      <c r="E153" s="124" t="str">
        <f t="shared" si="102"/>
        <v/>
      </c>
      <c r="F153" s="120"/>
      <c r="G153" s="124" t="str">
        <f t="shared" si="103"/>
        <v/>
      </c>
      <c r="H153" s="124" t="str">
        <f t="shared" si="104"/>
        <v/>
      </c>
      <c r="I153" s="124" t="str">
        <f t="shared" si="105"/>
        <v/>
      </c>
      <c r="J153" s="124" t="str">
        <f t="shared" si="106"/>
        <v/>
      </c>
      <c r="K153" s="124" t="str">
        <f t="shared" si="107"/>
        <v/>
      </c>
      <c r="L153" s="125" t="str">
        <f t="shared" si="108"/>
        <v/>
      </c>
      <c r="M153" s="2"/>
      <c r="N153" s="2"/>
    </row>
    <row r="154" outlineLevel="1">
      <c r="A154" s="129" t="s">
        <v>2318</v>
      </c>
      <c r="B154" s="127">
        <f t="shared" ref="B154:C154" si="109">SUM(B147:B153)</f>
        <v>0</v>
      </c>
      <c r="C154" s="127">
        <f t="shared" si="109"/>
        <v>0</v>
      </c>
      <c r="D154" s="129"/>
      <c r="E154" s="127">
        <f>SUM(E147:E153)</f>
        <v>0</v>
      </c>
      <c r="F154" s="129"/>
      <c r="G154" s="127">
        <f>SUM(G147:G153)</f>
        <v>0</v>
      </c>
      <c r="H154" s="127" t="str">
        <f t="shared" si="104"/>
        <v/>
      </c>
      <c r="I154" s="127">
        <f>SUM(I147:I153)</f>
        <v>0</v>
      </c>
      <c r="J154" s="127" t="str">
        <f t="shared" si="106"/>
        <v/>
      </c>
      <c r="K154" s="127">
        <f>SUM(K147:K153)</f>
        <v>0</v>
      </c>
      <c r="L154" s="130" t="str">
        <f t="shared" si="108"/>
        <v/>
      </c>
      <c r="M154" s="2"/>
      <c r="N154" s="2"/>
    </row>
    <row r="155" outlineLevel="1">
      <c r="A155" s="146" t="s">
        <v>2319</v>
      </c>
      <c r="B155" s="154">
        <f t="shared" ref="B155:C155" si="110">B145+B154</f>
        <v>0</v>
      </c>
      <c r="C155" s="154">
        <f t="shared" si="110"/>
        <v>0</v>
      </c>
      <c r="D155" s="146"/>
      <c r="E155" s="154">
        <f>E145+E154</f>
        <v>0</v>
      </c>
      <c r="F155" s="146"/>
      <c r="G155" s="154">
        <f>G145+G154</f>
        <v>0</v>
      </c>
      <c r="H155" s="154" t="str">
        <f t="shared" si="104"/>
        <v/>
      </c>
      <c r="I155" s="154">
        <f>I145+I154</f>
        <v>0</v>
      </c>
      <c r="J155" s="154" t="str">
        <f t="shared" si="106"/>
        <v/>
      </c>
      <c r="K155" s="154">
        <f>K145+K154</f>
        <v>0</v>
      </c>
      <c r="L155" s="155" t="str">
        <f t="shared" si="108"/>
        <v/>
      </c>
      <c r="M155" s="2"/>
      <c r="N155" s="2"/>
    </row>
    <row r="156" outlineLevel="1">
      <c r="A156" s="156" t="s">
        <v>2320</v>
      </c>
      <c r="B156" s="157" t="str">
        <f>IF(OR(N(K155)=0,N($D$135)=0),"— заполни бюджеты и параметры —",IF(L155&lt;=$D$135,"В цель: DRR "&amp;TEXT(L155,"0.0%")&amp;" ≤ "&amp;TEXT($D$135,"0.0%"),"Выше цели: DRR "&amp;TEXT(L155,"0.0%")&amp;" &gt; "&amp;TEXT($D$135,"0.0%")))</f>
        <v>— заполни бюджеты и параметры —</v>
      </c>
      <c r="C156" s="158"/>
      <c r="D156" s="158"/>
      <c r="E156" s="158"/>
      <c r="F156" s="158"/>
      <c r="G156" s="158"/>
      <c r="H156" s="158"/>
      <c r="I156" s="158"/>
      <c r="J156" s="158"/>
      <c r="K156" s="158"/>
      <c r="L156" s="159"/>
      <c r="M156" s="2"/>
      <c r="N156" s="2"/>
    </row>
    <row r="157" outlineLevel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outlineLevel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outlineLevel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outlineLevel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2"/>
      <c r="B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</row>
  </sheetData>
  <mergeCells count="10">
    <mergeCell ref="B137:M137"/>
    <mergeCell ref="B156:L156"/>
    <mergeCell ref="B162:M162"/>
    <mergeCell ref="B4:M4"/>
    <mergeCell ref="B28:M28"/>
    <mergeCell ref="B52:M52"/>
    <mergeCell ref="B83:M83"/>
    <mergeCell ref="B104:M104"/>
    <mergeCell ref="B112:M112"/>
    <mergeCell ref="B132:L132"/>
  </mergeCells>
  <conditionalFormatting sqref="B19 B43 B76 B97">
    <cfRule type="expression" dxfId="3" priority="1">
      <formula>ISNUMBER(SEARCH("OK",#ref!))</formula>
    </cfRule>
  </conditionalFormatting>
  <conditionalFormatting sqref="B19 B43 B76 B97">
    <cfRule type="expression" dxfId="0" priority="2">
      <formula>OR(ISNUMBER(SEARCH("ПРЕВЫШЕН",#ref!)),ISNUMBER(SEARCH("ВЫШЕ",#ref!)))</formula>
    </cfRule>
  </conditionalFormatting>
  <conditionalFormatting sqref="B34 B58 B69 B90">
    <cfRule type="expression" dxfId="3" priority="3">
      <formula>ISNUMBER(SEARCH("OK",B34))</formula>
    </cfRule>
  </conditionalFormatting>
  <conditionalFormatting sqref="B34 B58 B69 B90">
    <cfRule type="expression" dxfId="0" priority="4">
      <formula>OR(ISNUMBER(SEARCH("ПРЕВЫШЕН",B34)),ISNUMBER(SEARCH("ВЫШЕ",B34)))</formula>
    </cfRule>
  </conditionalFormatting>
  <conditionalFormatting sqref="B6 B30 B54 B65 B86">
    <cfRule type="expression" dxfId="0" priority="5">
      <formula>ISNUMBER(SEARCH("OK",B6))</formula>
    </cfRule>
  </conditionalFormatting>
  <conditionalFormatting sqref="B6 B30 B54 B65 B86">
    <cfRule type="expression" dxfId="2" priority="6">
      <formula>OR(ISNUMBER(SEARCH("ПРЕВЫШЕН",B6)),ISNUMBER(SEARCH("ВЫШЕ",B6)))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75" outlineLevelCol="1" outlineLevelRow="1"/>
  <cols>
    <col customWidth="1" min="1" max="1" width="25.14"/>
    <col customWidth="1" hidden="1" min="2" max="2" width="14.0"/>
    <col customWidth="1" min="3" max="4" width="10.0"/>
    <col customWidth="1" min="5" max="6" width="11.0" outlineLevel="1"/>
    <col customWidth="1" min="7" max="7" width="15.0"/>
    <col customWidth="1" min="8" max="9" width="10.0"/>
    <col customWidth="1" min="10" max="10" width="12.0"/>
    <col customWidth="1" min="11" max="12" width="8.0"/>
    <col customWidth="1" min="13" max="18" width="12.0" outlineLevel="1"/>
    <col customWidth="1" min="19" max="19" width="15.0"/>
    <col customWidth="1" min="20" max="21" width="9.0"/>
    <col customWidth="1" min="22" max="22" width="8.0"/>
    <col customWidth="1" min="23" max="23" width="10.0"/>
    <col customWidth="1" min="24" max="24" width="13.86"/>
    <col customWidth="1" min="25" max="26" width="10.0"/>
    <col customWidth="1" min="27" max="27" width="8.0"/>
    <col customWidth="1" min="28" max="29" width="11.0"/>
    <col customWidth="1" min="30" max="30" width="8.0"/>
    <col customWidth="1" min="31" max="31" width="10.0"/>
    <col customWidth="1" min="32" max="32" width="12.0"/>
    <col customWidth="1" min="33" max="33" width="11.0"/>
    <col customWidth="1" min="34" max="34" width="8.0"/>
    <col customWidth="1" min="35" max="36" width="16.0"/>
  </cols>
  <sheetData>
    <row r="1" ht="15.0" customHeight="1" collapsed="1">
      <c r="A1" s="161" t="s">
        <v>2328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6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15.0" hidden="1" customHeight="1" outlineLevel="1">
      <c r="A2" s="107" t="s">
        <v>2329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6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15.0" hidden="1" customHeight="1" outlineLevel="1">
      <c r="A3" s="107" t="s">
        <v>2330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6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15.0" hidden="1" customHeight="1" outlineLevel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6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0.5" customHeight="1">
      <c r="A5" s="163" t="s">
        <v>2331</v>
      </c>
      <c r="B5" s="163" t="s">
        <v>2332</v>
      </c>
      <c r="C5" s="163" t="s">
        <v>6</v>
      </c>
      <c r="D5" s="163" t="s">
        <v>3</v>
      </c>
      <c r="E5" s="163" t="s">
        <v>2333</v>
      </c>
      <c r="F5" s="163" t="s">
        <v>2334</v>
      </c>
      <c r="G5" s="163" t="s">
        <v>2335</v>
      </c>
      <c r="H5" s="163" t="s">
        <v>2336</v>
      </c>
      <c r="I5" s="163" t="s">
        <v>2337</v>
      </c>
      <c r="J5" s="163" t="s">
        <v>2338</v>
      </c>
      <c r="K5" s="163" t="s">
        <v>2339</v>
      </c>
      <c r="L5" s="163" t="s">
        <v>2340</v>
      </c>
      <c r="M5" s="163" t="s">
        <v>2341</v>
      </c>
      <c r="N5" s="163" t="s">
        <v>2342</v>
      </c>
      <c r="O5" s="163" t="s">
        <v>2343</v>
      </c>
      <c r="P5" s="163" t="s">
        <v>2344</v>
      </c>
      <c r="Q5" s="163" t="s">
        <v>2345</v>
      </c>
      <c r="R5" s="163" t="s">
        <v>2346</v>
      </c>
      <c r="S5" s="163" t="s">
        <v>2347</v>
      </c>
      <c r="T5" s="164" t="s">
        <v>2348</v>
      </c>
      <c r="U5" s="163" t="s">
        <v>2349</v>
      </c>
      <c r="V5" s="165" t="s">
        <v>2350</v>
      </c>
      <c r="W5" s="164" t="s">
        <v>2351</v>
      </c>
      <c r="X5" s="164" t="s">
        <v>2352</v>
      </c>
      <c r="Y5" s="163" t="s">
        <v>2353</v>
      </c>
      <c r="Z5" s="163" t="s">
        <v>2354</v>
      </c>
      <c r="AA5" s="163" t="s">
        <v>2306</v>
      </c>
      <c r="AB5" s="163" t="s">
        <v>2355</v>
      </c>
      <c r="AC5" s="163" t="s">
        <v>2314</v>
      </c>
      <c r="AD5" s="163" t="s">
        <v>2308</v>
      </c>
      <c r="AE5" s="163" t="s">
        <v>2356</v>
      </c>
      <c r="AF5" s="163" t="s">
        <v>2357</v>
      </c>
      <c r="AG5" s="163" t="s">
        <v>2309</v>
      </c>
      <c r="AH5" s="163" t="s">
        <v>2307</v>
      </c>
      <c r="AI5" s="164" t="s">
        <v>2358</v>
      </c>
      <c r="AJ5" s="163" t="s">
        <v>14</v>
      </c>
    </row>
    <row r="6" ht="33.75" customHeight="1">
      <c r="A6" s="166" t="s">
        <v>2359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7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</row>
    <row r="7" ht="15.0" customHeight="1" outlineLevel="1">
      <c r="A7" s="168" t="s">
        <v>2013</v>
      </c>
      <c r="B7" s="169"/>
      <c r="C7" s="170">
        <v>1900.0</v>
      </c>
      <c r="D7" s="171" t="s">
        <v>1979</v>
      </c>
      <c r="E7" s="172" t="s">
        <v>2360</v>
      </c>
      <c r="F7" s="173" t="s">
        <v>2361</v>
      </c>
      <c r="G7" s="172" t="s">
        <v>2362</v>
      </c>
      <c r="H7" s="174">
        <v>46242.0</v>
      </c>
      <c r="I7" s="172" t="s">
        <v>2363</v>
      </c>
      <c r="J7" s="175">
        <v>769.0</v>
      </c>
      <c r="K7" s="173"/>
      <c r="L7" s="176"/>
      <c r="M7" s="18">
        <f t="shared" ref="M7:M14" si="1">IF(N($J7)+N($K7)+N($L7)=0,"",N($J7)+N($K7)+N($L7))</f>
        <v>769</v>
      </c>
      <c r="N7" s="173"/>
      <c r="O7" s="177" t="s">
        <v>2364</v>
      </c>
      <c r="P7" s="173"/>
      <c r="Q7" s="171"/>
      <c r="R7" s="173"/>
      <c r="S7" s="178" t="s">
        <v>2365</v>
      </c>
      <c r="T7" s="172"/>
      <c r="U7" s="179">
        <v>1062.0</v>
      </c>
      <c r="V7" s="180">
        <f t="shared" ref="V7:V14" si="2">IF(N($U7)=0,"",$M7/$U7)</f>
        <v>0.7241054614</v>
      </c>
      <c r="W7" s="179">
        <v>22.0</v>
      </c>
      <c r="X7" s="179"/>
      <c r="Y7" s="18">
        <f t="shared" ref="Y7:Y14" si="3">IF(N($W7)=0,"",$M7/$W7)</f>
        <v>34.95454545</v>
      </c>
      <c r="Z7" s="179">
        <v>1.0</v>
      </c>
      <c r="AA7" s="176"/>
      <c r="AB7" s="176"/>
      <c r="AC7" s="181"/>
      <c r="AD7" s="175">
        <v>0.0</v>
      </c>
      <c r="AE7" s="176"/>
      <c r="AF7" s="18"/>
      <c r="AG7" s="18"/>
      <c r="AH7" s="18"/>
      <c r="AI7" s="172"/>
      <c r="AJ7" s="172" t="s">
        <v>2366</v>
      </c>
    </row>
    <row r="8" ht="15.0" customHeight="1" outlineLevel="1">
      <c r="A8" s="182" t="s">
        <v>1978</v>
      </c>
      <c r="B8" s="169" t="str">
        <f>IF($A8="","",IFERROR(HYPERLINK(VLOOKUP($A8,'Мои блогеры'!$A:$N,14,0),"🔗 открыть"),""))</f>
        <v>🔗 открыть</v>
      </c>
      <c r="C8" s="183">
        <v>33000.0</v>
      </c>
      <c r="D8" s="171" t="s">
        <v>1979</v>
      </c>
      <c r="E8" s="172" t="s">
        <v>2360</v>
      </c>
      <c r="F8" s="173" t="s">
        <v>2361</v>
      </c>
      <c r="G8" s="172" t="s">
        <v>2362</v>
      </c>
      <c r="H8" s="174">
        <v>46241.0</v>
      </c>
      <c r="I8" s="172" t="s">
        <v>2363</v>
      </c>
      <c r="J8" s="18">
        <v>10699.0</v>
      </c>
      <c r="K8" s="173"/>
      <c r="L8" s="176" t="s">
        <v>2367</v>
      </c>
      <c r="M8" s="18">
        <f t="shared" si="1"/>
        <v>10699</v>
      </c>
      <c r="N8" s="173"/>
      <c r="O8" s="177" t="s">
        <v>2368</v>
      </c>
      <c r="P8" s="173"/>
      <c r="Q8" s="171"/>
      <c r="R8" s="173"/>
      <c r="S8" s="178" t="s">
        <v>1980</v>
      </c>
      <c r="T8" s="172"/>
      <c r="U8" s="179">
        <v>9852.0</v>
      </c>
      <c r="V8" s="180">
        <f t="shared" si="2"/>
        <v>1.085972391</v>
      </c>
      <c r="W8" s="179">
        <v>262.0</v>
      </c>
      <c r="X8" s="179"/>
      <c r="Y8" s="18">
        <f t="shared" si="3"/>
        <v>40.83587786</v>
      </c>
      <c r="Z8" s="179">
        <v>33.0</v>
      </c>
      <c r="AA8" s="179">
        <v>5.0</v>
      </c>
      <c r="AB8" s="179">
        <v>2950.0</v>
      </c>
      <c r="AC8" s="181"/>
      <c r="AD8" s="175">
        <v>2.0</v>
      </c>
      <c r="AE8" s="179">
        <f t="shared" ref="AE8:AE9" si="4">AB8/AD8</f>
        <v>1475</v>
      </c>
      <c r="AF8" s="175">
        <v>1770.0</v>
      </c>
      <c r="AG8" s="18">
        <f t="shared" ref="AG8:AG13" si="5">IF(N($AD8)=0,"",ROUND($M8/$AD8,0))</f>
        <v>5350</v>
      </c>
      <c r="AH8" s="18">
        <f t="shared" ref="AH8:AH9" si="6">IF(N($AA8)=0,"",ROUND($M8/$AA8,0))</f>
        <v>2140</v>
      </c>
      <c r="AI8" s="173"/>
      <c r="AJ8" s="173" t="s">
        <v>2369</v>
      </c>
    </row>
    <row r="9" ht="15.0" customHeight="1" outlineLevel="1">
      <c r="A9" s="184" t="s">
        <v>1983</v>
      </c>
      <c r="B9" s="169" t="str">
        <f>IF($A9="","",IFERROR(HYPERLINK(VLOOKUP($A9,'Мои блогеры'!$A:$N,14,0),"🔗 открыть"),""))</f>
        <v>🔗 открыть</v>
      </c>
      <c r="C9" s="183">
        <v>5000.0</v>
      </c>
      <c r="D9" s="171" t="s">
        <v>1979</v>
      </c>
      <c r="E9" s="172" t="s">
        <v>2360</v>
      </c>
      <c r="F9" s="173" t="s">
        <v>2361</v>
      </c>
      <c r="G9" s="172" t="s">
        <v>2362</v>
      </c>
      <c r="H9" s="174">
        <v>46241.0</v>
      </c>
      <c r="I9" s="172" t="s">
        <v>2363</v>
      </c>
      <c r="J9" s="175">
        <v>6933.0</v>
      </c>
      <c r="K9" s="173"/>
      <c r="L9" s="176"/>
      <c r="M9" s="18">
        <f t="shared" si="1"/>
        <v>6933</v>
      </c>
      <c r="N9" s="173"/>
      <c r="O9" s="177" t="s">
        <v>2370</v>
      </c>
      <c r="P9" s="173"/>
      <c r="Q9" s="171"/>
      <c r="R9" s="173"/>
      <c r="S9" s="178" t="s">
        <v>2371</v>
      </c>
      <c r="T9" s="172"/>
      <c r="U9" s="179">
        <v>3067.0</v>
      </c>
      <c r="V9" s="180">
        <f t="shared" si="2"/>
        <v>2.260515161</v>
      </c>
      <c r="W9" s="179">
        <v>70.0</v>
      </c>
      <c r="X9" s="179"/>
      <c r="Y9" s="18">
        <f t="shared" si="3"/>
        <v>99.04285714</v>
      </c>
      <c r="Z9" s="179">
        <v>4.0</v>
      </c>
      <c r="AA9" s="179">
        <v>4.0</v>
      </c>
      <c r="AB9" s="179">
        <v>1180.0</v>
      </c>
      <c r="AC9" s="181"/>
      <c r="AD9" s="175">
        <v>1.0</v>
      </c>
      <c r="AE9" s="179">
        <f t="shared" si="4"/>
        <v>1180</v>
      </c>
      <c r="AF9" s="175">
        <v>1180.0</v>
      </c>
      <c r="AG9" s="18">
        <f t="shared" si="5"/>
        <v>6933</v>
      </c>
      <c r="AH9" s="18">
        <f t="shared" si="6"/>
        <v>1733</v>
      </c>
      <c r="AI9" s="173"/>
      <c r="AJ9" s="173" t="s">
        <v>2369</v>
      </c>
    </row>
    <row r="10" ht="15.0" customHeight="1" outlineLevel="1">
      <c r="A10" s="182" t="s">
        <v>1990</v>
      </c>
      <c r="B10" s="169" t="str">
        <f>IF($A10="","",IFERROR(HYPERLINK(VLOOKUP($A10,'Мои блогеры'!$A:$N,14,0),"🔗 открыть"),""))</f>
        <v>🔗 открыть</v>
      </c>
      <c r="C10" s="18">
        <f>IFERROR(VLOOKUP($A10,'Мои блогеры'!$A:$N,5,0),"")</f>
        <v>8699</v>
      </c>
      <c r="D10" s="185" t="s">
        <v>40</v>
      </c>
      <c r="E10" s="172" t="s">
        <v>2360</v>
      </c>
      <c r="F10" s="173" t="s">
        <v>2361</v>
      </c>
      <c r="G10" s="172" t="s">
        <v>2362</v>
      </c>
      <c r="H10" s="174">
        <v>46243.0</v>
      </c>
      <c r="I10" s="172" t="s">
        <v>2363</v>
      </c>
      <c r="J10" s="18">
        <f>IFERROR(VLOOKUP($A10,'Мои блогеры'!$A:$N,8,0),"")</f>
        <v>755</v>
      </c>
      <c r="K10" s="173"/>
      <c r="L10" s="176"/>
      <c r="M10" s="18">
        <f t="shared" si="1"/>
        <v>755</v>
      </c>
      <c r="N10" s="173"/>
      <c r="O10" s="177" t="s">
        <v>2372</v>
      </c>
      <c r="P10" s="173"/>
      <c r="Q10" s="171"/>
      <c r="R10" s="173"/>
      <c r="S10" s="178" t="s">
        <v>2373</v>
      </c>
      <c r="T10" s="172"/>
      <c r="U10" s="179">
        <v>1357.0</v>
      </c>
      <c r="V10" s="180">
        <f t="shared" si="2"/>
        <v>0.5563743552</v>
      </c>
      <c r="W10" s="179">
        <v>37.0</v>
      </c>
      <c r="X10" s="179"/>
      <c r="Y10" s="18">
        <f t="shared" si="3"/>
        <v>20.40540541</v>
      </c>
      <c r="Z10" s="179">
        <v>10.0</v>
      </c>
      <c r="AA10" s="179">
        <v>4.0</v>
      </c>
      <c r="AB10" s="179">
        <v>2360.0</v>
      </c>
      <c r="AC10" s="181"/>
      <c r="AD10" s="175">
        <v>0.0</v>
      </c>
      <c r="AE10" s="176"/>
      <c r="AF10" s="175"/>
      <c r="AG10" s="18" t="str">
        <f t="shared" si="5"/>
        <v/>
      </c>
      <c r="AH10" s="18"/>
      <c r="AI10" s="173"/>
      <c r="AJ10" s="173" t="s">
        <v>2369</v>
      </c>
    </row>
    <row r="11" ht="15.0" customHeight="1" outlineLevel="1">
      <c r="A11" s="186" t="s">
        <v>1981</v>
      </c>
      <c r="B11" s="169" t="str">
        <f>IF($A11="","",IFERROR(HYPERLINK(VLOOKUP($A11,'Мои блогеры'!$A:$N,14,0),"🔗 открыть"),""))</f>
        <v>🔗 открыть</v>
      </c>
      <c r="C11" s="18">
        <f>IFERROR(VLOOKUP($A11,'Мои блогеры'!$A:$N,5,0),"")</f>
        <v>7000</v>
      </c>
      <c r="D11" s="171" t="s">
        <v>1979</v>
      </c>
      <c r="E11" s="172" t="s">
        <v>2360</v>
      </c>
      <c r="F11" s="173" t="s">
        <v>2361</v>
      </c>
      <c r="G11" s="172" t="s">
        <v>2374</v>
      </c>
      <c r="H11" s="174">
        <v>46243.0</v>
      </c>
      <c r="I11" s="172" t="s">
        <v>2363</v>
      </c>
      <c r="J11" s="175">
        <v>3776.0</v>
      </c>
      <c r="K11" s="173"/>
      <c r="L11" s="176"/>
      <c r="M11" s="18">
        <f t="shared" si="1"/>
        <v>3776</v>
      </c>
      <c r="N11" s="173"/>
      <c r="O11" s="177" t="s">
        <v>2375</v>
      </c>
      <c r="P11" s="173"/>
      <c r="Q11" s="171"/>
      <c r="R11" s="173"/>
      <c r="S11" s="178" t="s">
        <v>2376</v>
      </c>
      <c r="T11" s="172"/>
      <c r="U11" s="179">
        <v>3637.0</v>
      </c>
      <c r="V11" s="180">
        <f t="shared" si="2"/>
        <v>1.038218312</v>
      </c>
      <c r="W11" s="179">
        <v>18.0</v>
      </c>
      <c r="X11" s="179"/>
      <c r="Y11" s="18">
        <f t="shared" si="3"/>
        <v>209.7777778</v>
      </c>
      <c r="Z11" s="179">
        <v>1.0</v>
      </c>
      <c r="AA11" s="176"/>
      <c r="AB11" s="176"/>
      <c r="AC11" s="181"/>
      <c r="AD11" s="175">
        <v>0.0</v>
      </c>
      <c r="AE11" s="176"/>
      <c r="AF11" s="18"/>
      <c r="AG11" s="18" t="str">
        <f t="shared" si="5"/>
        <v/>
      </c>
      <c r="AH11" s="18"/>
      <c r="AI11" s="173"/>
      <c r="AJ11" s="173" t="s">
        <v>2369</v>
      </c>
    </row>
    <row r="12" ht="15.0" customHeight="1" outlineLevel="1">
      <c r="A12" s="186" t="s">
        <v>32</v>
      </c>
      <c r="B12" s="169" t="str">
        <f>IF($A12="","",IFERROR(HYPERLINK(VLOOKUP($A12,'Мои блогеры'!$A:$N,14,0),"🔗 открыть"),""))</f>
        <v>🔗 открыть</v>
      </c>
      <c r="C12" s="18">
        <f>IFERROR(VLOOKUP($A12,'Мои блогеры'!$A:$N,5,0),"")</f>
        <v>25900</v>
      </c>
      <c r="D12" s="171" t="s">
        <v>1979</v>
      </c>
      <c r="E12" s="172" t="s">
        <v>2360</v>
      </c>
      <c r="F12" s="173" t="s">
        <v>2361</v>
      </c>
      <c r="G12" s="172" t="s">
        <v>2374</v>
      </c>
      <c r="H12" s="174">
        <v>46242.0</v>
      </c>
      <c r="I12" s="172" t="s">
        <v>2363</v>
      </c>
      <c r="J12" s="175">
        <v>3216.0</v>
      </c>
      <c r="K12" s="173"/>
      <c r="L12" s="176"/>
      <c r="M12" s="18">
        <f t="shared" si="1"/>
        <v>3216</v>
      </c>
      <c r="N12" s="173"/>
      <c r="O12" s="177" t="s">
        <v>2377</v>
      </c>
      <c r="P12" s="173"/>
      <c r="Q12" s="171"/>
      <c r="R12" s="173"/>
      <c r="S12" s="178" t="s">
        <v>2378</v>
      </c>
      <c r="T12" s="172"/>
      <c r="U12" s="179">
        <v>3380.0</v>
      </c>
      <c r="V12" s="180">
        <f t="shared" si="2"/>
        <v>0.9514792899</v>
      </c>
      <c r="W12" s="179">
        <v>91.0</v>
      </c>
      <c r="X12" s="179"/>
      <c r="Y12" s="18">
        <f t="shared" si="3"/>
        <v>35.34065934</v>
      </c>
      <c r="Z12" s="179">
        <v>15.0</v>
      </c>
      <c r="AA12" s="179">
        <v>4.0</v>
      </c>
      <c r="AB12" s="179">
        <v>1180.0</v>
      </c>
      <c r="AC12" s="181"/>
      <c r="AD12" s="175">
        <v>1.0</v>
      </c>
      <c r="AE12" s="179">
        <f>AB12/AD12</f>
        <v>1180</v>
      </c>
      <c r="AF12" s="175">
        <v>1180.0</v>
      </c>
      <c r="AG12" s="18">
        <f t="shared" si="5"/>
        <v>3216</v>
      </c>
      <c r="AH12" s="18">
        <f>IF(N($AA12)=0,"",ROUND($M12/$AA12,0))</f>
        <v>804</v>
      </c>
      <c r="AI12" s="173"/>
      <c r="AJ12" s="173" t="s">
        <v>2379</v>
      </c>
    </row>
    <row r="13" ht="15.0" customHeight="1" outlineLevel="1">
      <c r="A13" s="186" t="s">
        <v>1996</v>
      </c>
      <c r="B13" s="169" t="str">
        <f>IF($A13="","",IFERROR(HYPERLINK(VLOOKUP($A13,'Мои блогеры'!$A:$N,14,0),"🔗 открыть"),""))</f>
        <v>🔗 открыть</v>
      </c>
      <c r="C13" s="18">
        <f>IFERROR(VLOOKUP($A13,'Мои блогеры'!$A:$N,5,0),"")</f>
        <v>35500</v>
      </c>
      <c r="D13" s="185" t="s">
        <v>40</v>
      </c>
      <c r="E13" s="172" t="s">
        <v>2360</v>
      </c>
      <c r="F13" s="173" t="s">
        <v>2361</v>
      </c>
      <c r="G13" s="172" t="s">
        <v>2374</v>
      </c>
      <c r="H13" s="174">
        <v>46241.0</v>
      </c>
      <c r="I13" s="172" t="s">
        <v>2363</v>
      </c>
      <c r="J13" s="175">
        <v>6293.0</v>
      </c>
      <c r="K13" s="173"/>
      <c r="L13" s="176"/>
      <c r="M13" s="18">
        <f t="shared" si="1"/>
        <v>6293</v>
      </c>
      <c r="N13" s="173"/>
      <c r="O13" s="177" t="s">
        <v>2380</v>
      </c>
      <c r="P13" s="173"/>
      <c r="Q13" s="171"/>
      <c r="R13" s="173"/>
      <c r="S13" s="178" t="s">
        <v>2381</v>
      </c>
      <c r="T13" s="172"/>
      <c r="U13" s="179">
        <v>2650.0</v>
      </c>
      <c r="V13" s="180">
        <f t="shared" si="2"/>
        <v>2.374716981</v>
      </c>
      <c r="W13" s="179">
        <v>40.0</v>
      </c>
      <c r="X13" s="179"/>
      <c r="Y13" s="18">
        <f t="shared" si="3"/>
        <v>157.325</v>
      </c>
      <c r="Z13" s="179">
        <v>12.0</v>
      </c>
      <c r="AA13" s="179">
        <v>4.0</v>
      </c>
      <c r="AB13" s="179">
        <v>1180.0</v>
      </c>
      <c r="AC13" s="181"/>
      <c r="AD13" s="175">
        <v>0.0</v>
      </c>
      <c r="AE13" s="176"/>
      <c r="AF13" s="175"/>
      <c r="AG13" s="18" t="str">
        <f t="shared" si="5"/>
        <v/>
      </c>
      <c r="AH13" s="18"/>
      <c r="AI13" s="173"/>
      <c r="AJ13" s="173" t="s">
        <v>2369</v>
      </c>
    </row>
    <row r="14" ht="15.0" customHeight="1" outlineLevel="1">
      <c r="A14" s="168" t="s">
        <v>2006</v>
      </c>
      <c r="B14" s="169"/>
      <c r="C14" s="18">
        <f>IFERROR(VLOOKUP($A14,'Мои блогеры'!$A:$N,5,0),"")</f>
        <v>12300</v>
      </c>
      <c r="D14" s="171" t="s">
        <v>1979</v>
      </c>
      <c r="E14" s="172" t="s">
        <v>2360</v>
      </c>
      <c r="F14" s="173" t="s">
        <v>2361</v>
      </c>
      <c r="G14" s="172" t="s">
        <v>2374</v>
      </c>
      <c r="H14" s="174">
        <v>46241.0</v>
      </c>
      <c r="I14" s="172" t="s">
        <v>2363</v>
      </c>
      <c r="J14" s="18">
        <f>IFERROR(VLOOKUP($A14,'Мои блогеры'!$A:$N,8,0),"")</f>
        <v>6933</v>
      </c>
      <c r="K14" s="173"/>
      <c r="L14" s="176"/>
      <c r="M14" s="18">
        <f t="shared" si="1"/>
        <v>6933</v>
      </c>
      <c r="N14" s="173"/>
      <c r="O14" s="177" t="s">
        <v>2382</v>
      </c>
      <c r="P14" s="173"/>
      <c r="Q14" s="171"/>
      <c r="R14" s="173"/>
      <c r="S14" s="178" t="s">
        <v>2383</v>
      </c>
      <c r="T14" s="172"/>
      <c r="U14" s="179">
        <v>5090.0</v>
      </c>
      <c r="V14" s="180">
        <f t="shared" si="2"/>
        <v>1.362082515</v>
      </c>
      <c r="W14" s="179">
        <v>39.0</v>
      </c>
      <c r="X14" s="179"/>
      <c r="Y14" s="18">
        <f t="shared" si="3"/>
        <v>177.7692308</v>
      </c>
      <c r="Z14" s="179">
        <v>6.0</v>
      </c>
      <c r="AA14" s="176"/>
      <c r="AB14" s="176"/>
      <c r="AC14" s="181"/>
      <c r="AD14" s="175">
        <v>0.0</v>
      </c>
      <c r="AE14" s="176"/>
      <c r="AF14" s="18"/>
      <c r="AG14" s="18"/>
      <c r="AH14" s="18"/>
      <c r="AI14" s="173"/>
      <c r="AJ14" s="173" t="s">
        <v>2369</v>
      </c>
    </row>
    <row r="15" ht="15.0" customHeight="1" outlineLevel="1">
      <c r="A15" s="187" t="s">
        <v>2384</v>
      </c>
      <c r="B15" s="188"/>
      <c r="C15" s="189"/>
      <c r="D15" s="188"/>
      <c r="E15" s="188"/>
      <c r="F15" s="188"/>
      <c r="G15" s="188"/>
      <c r="H15" s="188"/>
      <c r="I15" s="188" t="str">
        <f>COUNTIF(I7:I14,"Вышло")&amp;" / "&amp;COUNTA(A7:A14)</f>
        <v>8 / 8</v>
      </c>
      <c r="J15" s="189">
        <f>SUM(J7:J14)</f>
        <v>39374</v>
      </c>
      <c r="K15" s="188"/>
      <c r="L15" s="189">
        <f>SUM(L8:L14)</f>
        <v>0</v>
      </c>
      <c r="M15" s="189">
        <f t="shared" ref="M15:S15" si="7">SUM(M7:M14)</f>
        <v>39374</v>
      </c>
      <c r="N15" s="189">
        <f t="shared" si="7"/>
        <v>0</v>
      </c>
      <c r="O15" s="189">
        <f t="shared" si="7"/>
        <v>0</v>
      </c>
      <c r="P15" s="189">
        <f t="shared" si="7"/>
        <v>0</v>
      </c>
      <c r="Q15" s="189">
        <f t="shared" si="7"/>
        <v>0</v>
      </c>
      <c r="R15" s="189">
        <f t="shared" si="7"/>
        <v>0</v>
      </c>
      <c r="S15" s="189">
        <f t="shared" si="7"/>
        <v>0</v>
      </c>
      <c r="T15" s="189"/>
      <c r="U15" s="189">
        <f t="shared" ref="U15:AB15" si="8">SUM(U7:U14)</f>
        <v>30095</v>
      </c>
      <c r="V15" s="189">
        <f t="shared" si="8"/>
        <v>10.35346447</v>
      </c>
      <c r="W15" s="189">
        <f t="shared" si="8"/>
        <v>579</v>
      </c>
      <c r="X15" s="189">
        <f t="shared" si="8"/>
        <v>0</v>
      </c>
      <c r="Y15" s="189">
        <f t="shared" si="8"/>
        <v>775.4513538</v>
      </c>
      <c r="Z15" s="189">
        <f t="shared" si="8"/>
        <v>82</v>
      </c>
      <c r="AA15" s="189">
        <f t="shared" si="8"/>
        <v>21</v>
      </c>
      <c r="AB15" s="189">
        <f t="shared" si="8"/>
        <v>8850</v>
      </c>
      <c r="AC15" s="188"/>
      <c r="AD15" s="189">
        <f t="shared" ref="AD15:AH15" si="9">SUM(AD7:AD14)</f>
        <v>4</v>
      </c>
      <c r="AE15" s="189">
        <f t="shared" si="9"/>
        <v>3835</v>
      </c>
      <c r="AF15" s="189">
        <f t="shared" si="9"/>
        <v>4130</v>
      </c>
      <c r="AG15" s="189">
        <f t="shared" si="9"/>
        <v>15499</v>
      </c>
      <c r="AH15" s="189">
        <f t="shared" si="9"/>
        <v>4677</v>
      </c>
      <c r="AI15" s="188"/>
      <c r="AJ15" s="188"/>
    </row>
    <row r="16" ht="15.0" customHeight="1">
      <c r="A16" s="190" t="s">
        <v>2385</v>
      </c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7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</row>
    <row r="17" ht="15.0" customHeight="1" outlineLevel="1">
      <c r="A17" s="191" t="s">
        <v>64</v>
      </c>
      <c r="B17" s="192"/>
      <c r="C17" s="18">
        <f>IFERROR(VLOOKUP($A17,'Мои блогеры'!$A:$N,5,0),"")</f>
        <v>33000</v>
      </c>
      <c r="D17" s="185" t="s">
        <v>61</v>
      </c>
      <c r="E17" s="173" t="s">
        <v>2386</v>
      </c>
      <c r="F17" s="172">
        <v>6.0</v>
      </c>
      <c r="G17" s="172" t="s">
        <v>2387</v>
      </c>
      <c r="H17" s="174">
        <v>46248.0</v>
      </c>
      <c r="I17" s="172" t="s">
        <v>2363</v>
      </c>
      <c r="J17" s="18">
        <f>IFERROR(VLOOKUP($A17,'Мои блогеры'!$A:$N,8,0),"")</f>
        <v>50000</v>
      </c>
      <c r="K17" s="173">
        <v>1800.0</v>
      </c>
      <c r="L17" s="176">
        <v>780.0</v>
      </c>
      <c r="M17" s="18">
        <f t="shared" ref="M17:M31" si="10">IF(N($J17)+N($K17)+N($L17)=0,"",N($J17)+N($K17)+N($L17))</f>
        <v>52580</v>
      </c>
      <c r="N17" s="172" t="s">
        <v>2388</v>
      </c>
      <c r="O17" s="193" t="s">
        <v>2389</v>
      </c>
      <c r="P17" s="178" t="s">
        <v>2390</v>
      </c>
      <c r="Q17" s="194"/>
      <c r="R17" s="172" t="s">
        <v>2391</v>
      </c>
      <c r="S17" s="177" t="s">
        <v>2392</v>
      </c>
      <c r="T17" s="172" t="s">
        <v>2393</v>
      </c>
      <c r="U17" s="179">
        <v>243800.0</v>
      </c>
      <c r="V17" s="180">
        <f t="shared" ref="V17:V31" si="11">IF(N($U17)=0,"",$M17/$U17)</f>
        <v>0.2156685808</v>
      </c>
      <c r="W17" s="179">
        <v>1063.0</v>
      </c>
      <c r="X17" s="179">
        <v>14.0</v>
      </c>
      <c r="Y17" s="18">
        <f t="shared" ref="Y17:Y31" si="12">IF(N($W17)=0,"",$M17/$W17)</f>
        <v>49.46378175</v>
      </c>
      <c r="Z17" s="179">
        <v>126.0</v>
      </c>
      <c r="AA17" s="179">
        <v>17.0</v>
      </c>
      <c r="AB17" s="176">
        <f t="shared" ref="AB17:AB18" si="13">743*AA17</f>
        <v>12631</v>
      </c>
      <c r="AC17" s="181"/>
      <c r="AD17" s="175">
        <v>17.0</v>
      </c>
      <c r="AE17" s="179">
        <v>743.0</v>
      </c>
      <c r="AF17" s="175">
        <f t="shared" ref="AF17:AF18" si="14">AB17</f>
        <v>12631</v>
      </c>
      <c r="AG17" s="18">
        <f t="shared" ref="AG17:AG31" si="15">IF(N($AD17)=0,"",ROUND($M17/$AD17,0))</f>
        <v>3093</v>
      </c>
      <c r="AH17" s="18">
        <f t="shared" ref="AH17:AH20" si="16">IF(N($AA17)=0,"",ROUND($M17/$AA17,0))</f>
        <v>3093</v>
      </c>
      <c r="AI17" s="173"/>
      <c r="AJ17" s="173"/>
    </row>
    <row r="18" ht="15.0" customHeight="1" outlineLevel="1">
      <c r="A18" s="195" t="s">
        <v>66</v>
      </c>
      <c r="B18" s="192"/>
      <c r="C18" s="18">
        <f>IFERROR(VLOOKUP($A18,'Мои блогеры'!$A:$N,5,0),"")</f>
        <v>6000</v>
      </c>
      <c r="D18" s="185" t="s">
        <v>19</v>
      </c>
      <c r="E18" s="172" t="s">
        <v>2386</v>
      </c>
      <c r="F18" s="172">
        <v>6.0</v>
      </c>
      <c r="G18" s="172" t="s">
        <v>2387</v>
      </c>
      <c r="H18" s="174">
        <v>46248.0</v>
      </c>
      <c r="I18" s="172" t="s">
        <v>2363</v>
      </c>
      <c r="J18" s="18">
        <f>IFERROR(VLOOKUP($A18,'Мои блогеры'!$A:$N,8,0),"")</f>
        <v>15000</v>
      </c>
      <c r="K18" s="172">
        <v>930.0</v>
      </c>
      <c r="L18" s="179">
        <v>0.0</v>
      </c>
      <c r="M18" s="18">
        <f t="shared" si="10"/>
        <v>15930</v>
      </c>
      <c r="N18" s="172" t="s">
        <v>2394</v>
      </c>
      <c r="O18" s="193" t="s">
        <v>2395</v>
      </c>
      <c r="P18" s="178" t="s">
        <v>2396</v>
      </c>
      <c r="Q18" s="194"/>
      <c r="R18" s="172" t="s">
        <v>2397</v>
      </c>
      <c r="S18" s="177" t="s">
        <v>2398</v>
      </c>
      <c r="T18" s="172" t="s">
        <v>2393</v>
      </c>
      <c r="U18" s="179">
        <v>80000.0</v>
      </c>
      <c r="V18" s="180">
        <f t="shared" si="11"/>
        <v>0.199125</v>
      </c>
      <c r="W18" s="179">
        <v>105.0</v>
      </c>
      <c r="X18" s="196" t="s">
        <v>2367</v>
      </c>
      <c r="Y18" s="18">
        <f t="shared" si="12"/>
        <v>151.7142857</v>
      </c>
      <c r="Z18" s="179">
        <v>18.0</v>
      </c>
      <c r="AA18" s="179">
        <v>3.0</v>
      </c>
      <c r="AB18" s="176">
        <f t="shared" si="13"/>
        <v>2229</v>
      </c>
      <c r="AC18" s="181"/>
      <c r="AD18" s="175">
        <v>3.0</v>
      </c>
      <c r="AE18" s="179">
        <v>743.0</v>
      </c>
      <c r="AF18" s="175">
        <f t="shared" si="14"/>
        <v>2229</v>
      </c>
      <c r="AG18" s="18">
        <f t="shared" si="15"/>
        <v>5310</v>
      </c>
      <c r="AH18" s="18">
        <f t="shared" si="16"/>
        <v>5310</v>
      </c>
      <c r="AI18" s="173"/>
      <c r="AJ18" s="173"/>
    </row>
    <row r="19" ht="15.0" customHeight="1" outlineLevel="1">
      <c r="A19" s="197" t="s">
        <v>2015</v>
      </c>
      <c r="B19" s="192" t="str">
        <f>IF($A19="","",IFERROR(HYPERLINK(VLOOKUP($A19,'Мои блогеры'!$A:$N,14,0),"🔗 открыть"),""))</f>
        <v>🔗 открыть</v>
      </c>
      <c r="C19" s="18">
        <f>IFERROR(VLOOKUP($A19,'Мои блогеры'!$A:$N,5,0),"")</f>
        <v>22400</v>
      </c>
      <c r="D19" s="185" t="s">
        <v>40</v>
      </c>
      <c r="E19" s="172" t="s">
        <v>2360</v>
      </c>
      <c r="F19" s="173" t="s">
        <v>2361</v>
      </c>
      <c r="G19" s="172" t="s">
        <v>2362</v>
      </c>
      <c r="H19" s="174">
        <v>46249.0</v>
      </c>
      <c r="I19" s="172" t="s">
        <v>2363</v>
      </c>
      <c r="J19" s="18">
        <f>IFERROR(VLOOKUP($A19,'Мои блогеры'!$A:$N,8,0),"")</f>
        <v>1818</v>
      </c>
      <c r="K19" s="173"/>
      <c r="L19" s="176"/>
      <c r="M19" s="18">
        <f t="shared" si="10"/>
        <v>1818</v>
      </c>
      <c r="N19" s="173"/>
      <c r="O19" s="198" t="s">
        <v>2399</v>
      </c>
      <c r="P19" s="173"/>
      <c r="Q19" s="171"/>
      <c r="R19" s="173"/>
      <c r="S19" s="177" t="s">
        <v>2400</v>
      </c>
      <c r="T19" s="179"/>
      <c r="U19" s="179">
        <v>3840.0</v>
      </c>
      <c r="V19" s="180">
        <f t="shared" si="11"/>
        <v>0.4734375</v>
      </c>
      <c r="W19" s="179">
        <v>12.0</v>
      </c>
      <c r="X19" s="179"/>
      <c r="Y19" s="18">
        <f t="shared" si="12"/>
        <v>151.5</v>
      </c>
      <c r="Z19" s="179">
        <v>1.0</v>
      </c>
      <c r="AA19" s="176"/>
      <c r="AB19" s="176"/>
      <c r="AC19" s="181"/>
      <c r="AD19" s="18"/>
      <c r="AE19" s="176"/>
      <c r="AF19" s="18" t="str">
        <f t="shared" ref="AF19:AF20" si="17">IF(OR(N($AD19)=0,$AE19=""),"",ROUND($AD19*$AE19,0))</f>
        <v/>
      </c>
      <c r="AG19" s="18" t="str">
        <f t="shared" si="15"/>
        <v/>
      </c>
      <c r="AH19" s="18" t="str">
        <f t="shared" si="16"/>
        <v/>
      </c>
      <c r="AI19" s="172"/>
      <c r="AJ19" s="172" t="s">
        <v>2401</v>
      </c>
    </row>
    <row r="20" ht="15.0" customHeight="1" outlineLevel="1">
      <c r="A20" s="197" t="s">
        <v>2017</v>
      </c>
      <c r="B20" s="192" t="str">
        <f>IF($A20="","",IFERROR(HYPERLINK(VLOOKUP($A20,'Мои блогеры'!$A:$N,14,0),"🔗 открыть"),""))</f>
        <v>🔗 открыть</v>
      </c>
      <c r="C20" s="18">
        <f>IFERROR(VLOOKUP($A20,'Мои блогеры'!$A:$N,5,0),"")</f>
        <v>4000</v>
      </c>
      <c r="D20" s="171" t="s">
        <v>1979</v>
      </c>
      <c r="E20" s="172" t="s">
        <v>2360</v>
      </c>
      <c r="F20" s="173" t="s">
        <v>2361</v>
      </c>
      <c r="G20" s="172" t="s">
        <v>2362</v>
      </c>
      <c r="H20" s="174">
        <v>46249.0</v>
      </c>
      <c r="I20" s="172" t="s">
        <v>2363</v>
      </c>
      <c r="J20" s="175">
        <v>349.0</v>
      </c>
      <c r="K20" s="173"/>
      <c r="L20" s="176"/>
      <c r="M20" s="18">
        <f t="shared" si="10"/>
        <v>349</v>
      </c>
      <c r="N20" s="173"/>
      <c r="O20" s="198" t="s">
        <v>2402</v>
      </c>
      <c r="P20" s="173"/>
      <c r="Q20" s="171"/>
      <c r="R20" s="173"/>
      <c r="S20" s="177" t="s">
        <v>2403</v>
      </c>
      <c r="T20" s="179"/>
      <c r="U20" s="179">
        <v>652.0</v>
      </c>
      <c r="V20" s="180">
        <f t="shared" si="11"/>
        <v>0.5352760736</v>
      </c>
      <c r="W20" s="179">
        <v>16.0</v>
      </c>
      <c r="X20" s="179"/>
      <c r="Y20" s="18">
        <f t="shared" si="12"/>
        <v>21.8125</v>
      </c>
      <c r="Z20" s="179">
        <v>15.0</v>
      </c>
      <c r="AA20" s="176"/>
      <c r="AB20" s="176"/>
      <c r="AC20" s="181"/>
      <c r="AD20" s="18"/>
      <c r="AE20" s="176"/>
      <c r="AF20" s="18" t="str">
        <f t="shared" si="17"/>
        <v/>
      </c>
      <c r="AG20" s="18" t="str">
        <f t="shared" si="15"/>
        <v/>
      </c>
      <c r="AH20" s="18" t="str">
        <f t="shared" si="16"/>
        <v/>
      </c>
      <c r="AI20" s="173"/>
      <c r="AJ20" s="173"/>
    </row>
    <row r="21" ht="15.0" customHeight="1" outlineLevel="1">
      <c r="A21" s="168" t="s">
        <v>2019</v>
      </c>
      <c r="B21" s="192" t="str">
        <f>IF($A21="","",IFERROR(HYPERLINK(VLOOKUP($A21,'Мои блогеры'!$A:$N,14,0),"🔗 открыть"),""))</f>
        <v>🔗 открыть</v>
      </c>
      <c r="C21" s="18">
        <f>IFERROR(VLOOKUP($A21,'Мои блогеры'!$A:$N,5,0),"")</f>
        <v>3300</v>
      </c>
      <c r="D21" s="199" t="s">
        <v>1979</v>
      </c>
      <c r="E21" s="172" t="s">
        <v>2360</v>
      </c>
      <c r="F21" s="173" t="s">
        <v>2361</v>
      </c>
      <c r="G21" s="172" t="s">
        <v>2362</v>
      </c>
      <c r="H21" s="174">
        <v>46249.0</v>
      </c>
      <c r="I21" s="172" t="s">
        <v>2363</v>
      </c>
      <c r="J21" s="18">
        <f>IFERROR(VLOOKUP($A21,'Мои блогеры'!$A:$N,8,0),"")</f>
        <v>560</v>
      </c>
      <c r="K21" s="173"/>
      <c r="L21" s="176"/>
      <c r="M21" s="18">
        <f t="shared" si="10"/>
        <v>560</v>
      </c>
      <c r="N21" s="173"/>
      <c r="O21" s="198" t="s">
        <v>2404</v>
      </c>
      <c r="P21" s="173"/>
      <c r="Q21" s="171"/>
      <c r="R21" s="173"/>
      <c r="S21" s="177" t="s">
        <v>2405</v>
      </c>
      <c r="T21" s="179"/>
      <c r="U21" s="179">
        <v>930.0</v>
      </c>
      <c r="V21" s="180">
        <f t="shared" si="11"/>
        <v>0.6021505376</v>
      </c>
      <c r="W21" s="179">
        <v>18.0</v>
      </c>
      <c r="X21" s="179"/>
      <c r="Y21" s="18">
        <f t="shared" si="12"/>
        <v>31.11111111</v>
      </c>
      <c r="Z21" s="179">
        <v>15.0</v>
      </c>
      <c r="AA21" s="179">
        <v>2.0</v>
      </c>
      <c r="AB21" s="179">
        <v>1180.0</v>
      </c>
      <c r="AC21" s="181"/>
      <c r="AD21" s="175"/>
      <c r="AE21" s="176"/>
      <c r="AF21" s="175"/>
      <c r="AG21" s="18" t="str">
        <f t="shared" si="15"/>
        <v/>
      </c>
      <c r="AH21" s="18"/>
      <c r="AI21" s="173"/>
      <c r="AJ21" s="173"/>
    </row>
    <row r="22" ht="15.0" customHeight="1" outlineLevel="1">
      <c r="A22" s="168" t="s">
        <v>2021</v>
      </c>
      <c r="B22" s="192" t="str">
        <f>IF($A22="","",IFERROR(HYPERLINK(VLOOKUP($A22,'Мои блогеры'!$A:$N,14,0),"🔗 открыть"),""))</f>
        <v>🔗 открыть</v>
      </c>
      <c r="C22" s="18">
        <f>IFERROR(VLOOKUP($A22,'Мои блогеры'!$A:$N,5,0),"")</f>
        <v>7800</v>
      </c>
      <c r="D22" s="199" t="s">
        <v>1979</v>
      </c>
      <c r="E22" s="172" t="s">
        <v>2360</v>
      </c>
      <c r="F22" s="173" t="s">
        <v>2361</v>
      </c>
      <c r="G22" s="172" t="s">
        <v>2362</v>
      </c>
      <c r="H22" s="174">
        <v>46249.0</v>
      </c>
      <c r="I22" s="172" t="s">
        <v>2363</v>
      </c>
      <c r="J22" s="175">
        <v>2097.0</v>
      </c>
      <c r="K22" s="173"/>
      <c r="L22" s="176"/>
      <c r="M22" s="18">
        <f t="shared" si="10"/>
        <v>2097</v>
      </c>
      <c r="N22" s="173"/>
      <c r="O22" s="198" t="s">
        <v>2406</v>
      </c>
      <c r="P22" s="173"/>
      <c r="Q22" s="171"/>
      <c r="R22" s="173"/>
      <c r="S22" s="177" t="s">
        <v>2407</v>
      </c>
      <c r="T22" s="179"/>
      <c r="U22" s="179">
        <v>2329.0</v>
      </c>
      <c r="V22" s="180">
        <f t="shared" si="11"/>
        <v>0.9003864319</v>
      </c>
      <c r="W22" s="179">
        <v>41.0</v>
      </c>
      <c r="X22" s="179"/>
      <c r="Y22" s="18">
        <f t="shared" si="12"/>
        <v>51.14634146</v>
      </c>
      <c r="Z22" s="179">
        <v>2.0</v>
      </c>
      <c r="AA22" s="176"/>
      <c r="AB22" s="176"/>
      <c r="AC22" s="181"/>
      <c r="AD22" s="18"/>
      <c r="AE22" s="176"/>
      <c r="AF22" s="18"/>
      <c r="AG22" s="18" t="str">
        <f t="shared" si="15"/>
        <v/>
      </c>
      <c r="AH22" s="18"/>
      <c r="AI22" s="173"/>
      <c r="AJ22" s="173"/>
    </row>
    <row r="23" ht="15.0" customHeight="1" outlineLevel="1">
      <c r="A23" s="168" t="s">
        <v>2408</v>
      </c>
      <c r="B23" s="192" t="str">
        <f>IF($A23="","",IFERROR(HYPERLINK(VLOOKUP($A23,'Мои блогеры'!$A:$N,14,0),"🔗 открыть"),""))</f>
        <v/>
      </c>
      <c r="C23" s="175">
        <v>5933.0</v>
      </c>
      <c r="D23" s="199" t="s">
        <v>1979</v>
      </c>
      <c r="E23" s="172" t="s">
        <v>2360</v>
      </c>
      <c r="F23" s="173" t="s">
        <v>2361</v>
      </c>
      <c r="G23" s="172" t="s">
        <v>2362</v>
      </c>
      <c r="H23" s="174">
        <v>46249.0</v>
      </c>
      <c r="I23" s="172" t="s">
        <v>2363</v>
      </c>
      <c r="J23" s="175">
        <v>1258.0</v>
      </c>
      <c r="K23" s="173"/>
      <c r="L23" s="176"/>
      <c r="M23" s="18">
        <f t="shared" si="10"/>
        <v>1258</v>
      </c>
      <c r="N23" s="173"/>
      <c r="O23" s="198" t="s">
        <v>2409</v>
      </c>
      <c r="P23" s="173"/>
      <c r="Q23" s="171"/>
      <c r="R23" s="173"/>
      <c r="S23" s="177" t="s">
        <v>2410</v>
      </c>
      <c r="T23" s="179"/>
      <c r="U23" s="179">
        <v>1493.0</v>
      </c>
      <c r="V23" s="180">
        <f t="shared" si="11"/>
        <v>0.8425987944</v>
      </c>
      <c r="W23" s="179">
        <v>74.0</v>
      </c>
      <c r="X23" s="179"/>
      <c r="Y23" s="18">
        <f t="shared" si="12"/>
        <v>17</v>
      </c>
      <c r="Z23" s="179">
        <v>16.0</v>
      </c>
      <c r="AA23" s="179">
        <v>4.0</v>
      </c>
      <c r="AB23" s="179">
        <v>2360.0</v>
      </c>
      <c r="AC23" s="181"/>
      <c r="AD23" s="175"/>
      <c r="AE23" s="176"/>
      <c r="AF23" s="175"/>
      <c r="AG23" s="18" t="str">
        <f t="shared" si="15"/>
        <v/>
      </c>
      <c r="AH23" s="18"/>
      <c r="AI23" s="173"/>
      <c r="AJ23" s="173"/>
    </row>
    <row r="24" ht="15.0" customHeight="1" outlineLevel="1">
      <c r="A24" s="168" t="s">
        <v>2027</v>
      </c>
      <c r="B24" s="192" t="str">
        <f>IF($A24="","",IFERROR(HYPERLINK(VLOOKUP($A24,'Мои блогеры'!$A:$N,14,0),"🔗 открыть"),""))</f>
        <v>🔗 открыть</v>
      </c>
      <c r="C24" s="18">
        <f>IFERROR(VLOOKUP($A24,'Мои блогеры'!$A:$N,5,0),"")</f>
        <v>453</v>
      </c>
      <c r="D24" s="199" t="s">
        <v>1979</v>
      </c>
      <c r="E24" s="172" t="s">
        <v>2360</v>
      </c>
      <c r="F24" s="173" t="s">
        <v>2361</v>
      </c>
      <c r="G24" s="172" t="s">
        <v>2362</v>
      </c>
      <c r="H24" s="174">
        <v>46249.0</v>
      </c>
      <c r="I24" s="172" t="s">
        <v>2363</v>
      </c>
      <c r="J24" s="18">
        <f>IFERROR(VLOOKUP($A24,'Мои блогеры'!$A:$N,8,0),"")</f>
        <v>350</v>
      </c>
      <c r="K24" s="173"/>
      <c r="L24" s="176"/>
      <c r="M24" s="18">
        <f t="shared" si="10"/>
        <v>350</v>
      </c>
      <c r="N24" s="173"/>
      <c r="O24" s="198" t="s">
        <v>2411</v>
      </c>
      <c r="P24" s="173"/>
      <c r="Q24" s="171"/>
      <c r="R24" s="173"/>
      <c r="S24" s="177" t="s">
        <v>2412</v>
      </c>
      <c r="T24" s="179"/>
      <c r="U24" s="179">
        <v>505.0</v>
      </c>
      <c r="V24" s="180">
        <f t="shared" si="11"/>
        <v>0.6930693069</v>
      </c>
      <c r="W24" s="179">
        <v>35.0</v>
      </c>
      <c r="X24" s="179"/>
      <c r="Y24" s="18">
        <f t="shared" si="12"/>
        <v>10</v>
      </c>
      <c r="Z24" s="179">
        <v>1.0</v>
      </c>
      <c r="AA24" s="176"/>
      <c r="AB24" s="176"/>
      <c r="AC24" s="181"/>
      <c r="AD24" s="18"/>
      <c r="AE24" s="176"/>
      <c r="AF24" s="18"/>
      <c r="AG24" s="18" t="str">
        <f t="shared" si="15"/>
        <v/>
      </c>
      <c r="AH24" s="18"/>
      <c r="AI24" s="173"/>
      <c r="AJ24" s="173"/>
    </row>
    <row r="25" ht="15.0" customHeight="1" outlineLevel="1">
      <c r="A25" s="168" t="s">
        <v>2029</v>
      </c>
      <c r="B25" s="192" t="str">
        <f>IF($A25="","",IFERROR(HYPERLINK(VLOOKUP($A25,'Мои блогеры'!$A:$N,14,0),"🔗 открыть"),""))</f>
        <v>🔗 открыть</v>
      </c>
      <c r="C25" s="18">
        <f>IFERROR(VLOOKUP($A25,'Мои блогеры'!$A:$N,5,0),"")</f>
        <v>1200</v>
      </c>
      <c r="D25" s="199" t="s">
        <v>1979</v>
      </c>
      <c r="E25" s="172" t="s">
        <v>2360</v>
      </c>
      <c r="F25" s="173" t="s">
        <v>2361</v>
      </c>
      <c r="G25" s="172" t="s">
        <v>2362</v>
      </c>
      <c r="H25" s="174">
        <v>46249.0</v>
      </c>
      <c r="I25" s="172" t="s">
        <v>2363</v>
      </c>
      <c r="J25" s="18">
        <f>IFERROR(VLOOKUP($A25,'Мои блогеры'!$A:$N,8,0),"")</f>
        <v>532</v>
      </c>
      <c r="K25" s="173"/>
      <c r="L25" s="176"/>
      <c r="M25" s="18">
        <f t="shared" si="10"/>
        <v>532</v>
      </c>
      <c r="N25" s="173"/>
      <c r="O25" s="198" t="s">
        <v>2413</v>
      </c>
      <c r="P25" s="173"/>
      <c r="Q25" s="171"/>
      <c r="R25" s="173"/>
      <c r="S25" s="177" t="s">
        <v>2414</v>
      </c>
      <c r="T25" s="179"/>
      <c r="U25" s="179">
        <v>892.0</v>
      </c>
      <c r="V25" s="180">
        <f t="shared" si="11"/>
        <v>0.5964125561</v>
      </c>
      <c r="W25" s="179">
        <v>10.0</v>
      </c>
      <c r="X25" s="179"/>
      <c r="Y25" s="18">
        <f t="shared" si="12"/>
        <v>53.2</v>
      </c>
      <c r="Z25" s="179">
        <v>1.0</v>
      </c>
      <c r="AA25" s="176"/>
      <c r="AB25" s="176"/>
      <c r="AC25" s="181"/>
      <c r="AD25" s="18"/>
      <c r="AE25" s="176"/>
      <c r="AF25" s="18"/>
      <c r="AG25" s="18" t="str">
        <f t="shared" si="15"/>
        <v/>
      </c>
      <c r="AH25" s="18" t="str">
        <f t="shared" ref="AH25:AH31" si="18">IF(N($AA25)=0,"",ROUND($M25/$AA25,0))</f>
        <v/>
      </c>
      <c r="AI25" s="173"/>
      <c r="AJ25" s="173"/>
    </row>
    <row r="26" ht="15.0" customHeight="1" outlineLevel="1">
      <c r="A26" s="168" t="s">
        <v>2031</v>
      </c>
      <c r="B26" s="192" t="str">
        <f>IF($A26="","",IFERROR(HYPERLINK(VLOOKUP($A26,'Мои блогеры'!$A:$N,14,0),"🔗 открыть"),""))</f>
        <v>🔗 открыть</v>
      </c>
      <c r="C26" s="18">
        <f>IFERROR(VLOOKUP($A26,'Мои блогеры'!$A:$N,5,0),"")</f>
        <v>2800</v>
      </c>
      <c r="D26" s="199" t="s">
        <v>1979</v>
      </c>
      <c r="E26" s="172" t="s">
        <v>2360</v>
      </c>
      <c r="F26" s="173" t="s">
        <v>2361</v>
      </c>
      <c r="G26" s="172" t="s">
        <v>2362</v>
      </c>
      <c r="H26" s="174">
        <v>46249.0</v>
      </c>
      <c r="I26" s="172" t="s">
        <v>2363</v>
      </c>
      <c r="J26" s="18">
        <f>IFERROR(VLOOKUP($A26,'Мои блогеры'!$A:$N,8,0),"")</f>
        <v>979</v>
      </c>
      <c r="K26" s="173"/>
      <c r="L26" s="176"/>
      <c r="M26" s="18">
        <f t="shared" si="10"/>
        <v>979</v>
      </c>
      <c r="N26" s="173"/>
      <c r="O26" s="198" t="s">
        <v>2415</v>
      </c>
      <c r="P26" s="173"/>
      <c r="Q26" s="171"/>
      <c r="R26" s="173"/>
      <c r="S26" s="177" t="s">
        <v>2416</v>
      </c>
      <c r="T26" s="179"/>
      <c r="U26" s="179">
        <v>1429.0</v>
      </c>
      <c r="V26" s="180">
        <f t="shared" si="11"/>
        <v>0.6850944717</v>
      </c>
      <c r="W26" s="179">
        <v>36.0</v>
      </c>
      <c r="X26" s="179"/>
      <c r="Y26" s="18">
        <f t="shared" si="12"/>
        <v>27.19444444</v>
      </c>
      <c r="Z26" s="179">
        <v>1.0</v>
      </c>
      <c r="AA26" s="176"/>
      <c r="AB26" s="176"/>
      <c r="AC26" s="181"/>
      <c r="AD26" s="18" t="str">
        <f>IF(OR(N($AA26)=0,$AC26=""),"",ROUND($AA26*$AC26,0))</f>
        <v/>
      </c>
      <c r="AE26" s="176"/>
      <c r="AF26" s="18" t="str">
        <f t="shared" ref="AF26:AF30" si="19">IF(OR(N($AD26)=0,$AE26=""),"",ROUND($AD26*$AE26,0))</f>
        <v/>
      </c>
      <c r="AG26" s="18" t="str">
        <f t="shared" si="15"/>
        <v/>
      </c>
      <c r="AH26" s="18" t="str">
        <f t="shared" si="18"/>
        <v/>
      </c>
      <c r="AI26" s="173"/>
      <c r="AJ26" s="173"/>
    </row>
    <row r="27" ht="15.0" customHeight="1" outlineLevel="1">
      <c r="A27" s="168" t="s">
        <v>2033</v>
      </c>
      <c r="B27" s="192"/>
      <c r="C27" s="18">
        <f>IFERROR(VLOOKUP($A27,'Мои блогеры'!$A:$N,5,0),"")</f>
        <v>2700</v>
      </c>
      <c r="D27" s="199" t="s">
        <v>40</v>
      </c>
      <c r="E27" s="172" t="s">
        <v>2360</v>
      </c>
      <c r="F27" s="173" t="s">
        <v>2361</v>
      </c>
      <c r="G27" s="172" t="s">
        <v>2362</v>
      </c>
      <c r="H27" s="174">
        <v>46249.0</v>
      </c>
      <c r="I27" s="172" t="s">
        <v>2363</v>
      </c>
      <c r="J27" s="175">
        <v>293.0</v>
      </c>
      <c r="K27" s="173"/>
      <c r="L27" s="176"/>
      <c r="M27" s="18">
        <f t="shared" si="10"/>
        <v>293</v>
      </c>
      <c r="N27" s="173"/>
      <c r="O27" s="198" t="s">
        <v>2417</v>
      </c>
      <c r="P27" s="173"/>
      <c r="Q27" s="171"/>
      <c r="R27" s="173"/>
      <c r="S27" s="177" t="s">
        <v>2418</v>
      </c>
      <c r="T27" s="179"/>
      <c r="U27" s="179">
        <v>1329.0</v>
      </c>
      <c r="V27" s="180">
        <f t="shared" si="11"/>
        <v>0.2204665162</v>
      </c>
      <c r="W27" s="179">
        <v>11.0</v>
      </c>
      <c r="X27" s="179"/>
      <c r="Y27" s="18">
        <f t="shared" si="12"/>
        <v>26.63636364</v>
      </c>
      <c r="Z27" s="179">
        <v>1.0</v>
      </c>
      <c r="AA27" s="176"/>
      <c r="AB27" s="176"/>
      <c r="AC27" s="181"/>
      <c r="AD27" s="18"/>
      <c r="AE27" s="176"/>
      <c r="AF27" s="18" t="str">
        <f t="shared" si="19"/>
        <v/>
      </c>
      <c r="AG27" s="18" t="str">
        <f t="shared" si="15"/>
        <v/>
      </c>
      <c r="AH27" s="18" t="str">
        <f t="shared" si="18"/>
        <v/>
      </c>
      <c r="AI27" s="173"/>
      <c r="AJ27" s="173"/>
    </row>
    <row r="28" ht="15.0" customHeight="1" outlineLevel="1">
      <c r="A28" s="168" t="s">
        <v>2035</v>
      </c>
      <c r="B28" s="192"/>
      <c r="C28" s="18">
        <f>IFERROR(VLOOKUP($A28,'Мои блогеры'!$A:$N,5,0),"")</f>
        <v>3900</v>
      </c>
      <c r="D28" s="199" t="s">
        <v>1979</v>
      </c>
      <c r="E28" s="172" t="s">
        <v>2360</v>
      </c>
      <c r="F28" s="173" t="s">
        <v>2361</v>
      </c>
      <c r="G28" s="172" t="s">
        <v>2362</v>
      </c>
      <c r="H28" s="174">
        <v>46249.0</v>
      </c>
      <c r="I28" s="172" t="s">
        <v>2363</v>
      </c>
      <c r="J28" s="18">
        <f>IFERROR(VLOOKUP($A28,'Мои блогеры'!$A:$N,8,0),"")</f>
        <v>700</v>
      </c>
      <c r="K28" s="173"/>
      <c r="L28" s="176"/>
      <c r="M28" s="18">
        <f t="shared" si="10"/>
        <v>700</v>
      </c>
      <c r="N28" s="173"/>
      <c r="O28" s="198" t="s">
        <v>2419</v>
      </c>
      <c r="P28" s="173"/>
      <c r="Q28" s="171"/>
      <c r="R28" s="173"/>
      <c r="S28" s="178" t="s">
        <v>2420</v>
      </c>
      <c r="T28" s="179"/>
      <c r="U28" s="179">
        <v>1304.0</v>
      </c>
      <c r="V28" s="180">
        <f t="shared" si="11"/>
        <v>0.536809816</v>
      </c>
      <c r="W28" s="179">
        <v>39.0</v>
      </c>
      <c r="X28" s="179"/>
      <c r="Y28" s="18">
        <f t="shared" si="12"/>
        <v>17.94871795</v>
      </c>
      <c r="Z28" s="179">
        <v>1.0</v>
      </c>
      <c r="AA28" s="176"/>
      <c r="AB28" s="176"/>
      <c r="AC28" s="181"/>
      <c r="AD28" s="18"/>
      <c r="AE28" s="176"/>
      <c r="AF28" s="18" t="str">
        <f t="shared" si="19"/>
        <v/>
      </c>
      <c r="AG28" s="18" t="str">
        <f t="shared" si="15"/>
        <v/>
      </c>
      <c r="AH28" s="18" t="str">
        <f t="shared" si="18"/>
        <v/>
      </c>
      <c r="AI28" s="173"/>
      <c r="AJ28" s="173"/>
    </row>
    <row r="29" ht="15.0" customHeight="1" outlineLevel="1">
      <c r="A29" s="168" t="s">
        <v>2037</v>
      </c>
      <c r="B29" s="192"/>
      <c r="C29" s="18">
        <f>IFERROR(VLOOKUP($A29,'Мои блогеры'!$A:$N,5,0),"")</f>
        <v>7200</v>
      </c>
      <c r="D29" s="199" t="s">
        <v>40</v>
      </c>
      <c r="E29" s="172" t="s">
        <v>2360</v>
      </c>
      <c r="F29" s="173" t="s">
        <v>2361</v>
      </c>
      <c r="G29" s="172" t="s">
        <v>2362</v>
      </c>
      <c r="H29" s="174">
        <v>46249.0</v>
      </c>
      <c r="I29" s="172" t="s">
        <v>2363</v>
      </c>
      <c r="J29" s="18">
        <f>IFERROR(VLOOKUP($A29,'Мои блогеры'!$A:$N,8,0),"")</f>
        <v>700</v>
      </c>
      <c r="K29" s="173"/>
      <c r="L29" s="176"/>
      <c r="M29" s="18">
        <f t="shared" si="10"/>
        <v>700</v>
      </c>
      <c r="N29" s="173"/>
      <c r="O29" s="200" t="s">
        <v>2421</v>
      </c>
      <c r="P29" s="173"/>
      <c r="Q29" s="171"/>
      <c r="R29" s="173"/>
      <c r="S29" s="178" t="s">
        <v>2422</v>
      </c>
      <c r="T29" s="179"/>
      <c r="U29" s="179">
        <v>1839.0</v>
      </c>
      <c r="V29" s="180">
        <f t="shared" si="11"/>
        <v>0.3806416531</v>
      </c>
      <c r="W29" s="179">
        <v>6.0</v>
      </c>
      <c r="X29" s="179"/>
      <c r="Y29" s="18">
        <f t="shared" si="12"/>
        <v>116.6666667</v>
      </c>
      <c r="Z29" s="179">
        <v>3.0</v>
      </c>
      <c r="AA29" s="176"/>
      <c r="AB29" s="176"/>
      <c r="AC29" s="181"/>
      <c r="AD29" s="18"/>
      <c r="AE29" s="176"/>
      <c r="AF29" s="18" t="str">
        <f t="shared" si="19"/>
        <v/>
      </c>
      <c r="AG29" s="18" t="str">
        <f t="shared" si="15"/>
        <v/>
      </c>
      <c r="AH29" s="18" t="str">
        <f t="shared" si="18"/>
        <v/>
      </c>
      <c r="AI29" s="173"/>
      <c r="AJ29" s="173"/>
    </row>
    <row r="30" ht="15.0" customHeight="1" outlineLevel="1">
      <c r="A30" s="168" t="s">
        <v>2039</v>
      </c>
      <c r="B30" s="192"/>
      <c r="C30" s="18">
        <f>IFERROR(VLOOKUP($A30,'Мои блогеры'!$A:$N,5,0),"")</f>
        <v>1600</v>
      </c>
      <c r="D30" s="199" t="s">
        <v>1979</v>
      </c>
      <c r="E30" s="172" t="s">
        <v>2360</v>
      </c>
      <c r="F30" s="173" t="s">
        <v>2361</v>
      </c>
      <c r="G30" s="172" t="s">
        <v>2362</v>
      </c>
      <c r="H30" s="174">
        <v>46249.0</v>
      </c>
      <c r="I30" s="172" t="s">
        <v>2363</v>
      </c>
      <c r="J30" s="175">
        <v>699.0</v>
      </c>
      <c r="K30" s="173"/>
      <c r="L30" s="176"/>
      <c r="M30" s="18">
        <f t="shared" si="10"/>
        <v>699</v>
      </c>
      <c r="N30" s="173"/>
      <c r="O30" s="198" t="s">
        <v>2423</v>
      </c>
      <c r="P30" s="173"/>
      <c r="Q30" s="171"/>
      <c r="R30" s="173"/>
      <c r="S30" s="178" t="s">
        <v>2424</v>
      </c>
      <c r="T30" s="179"/>
      <c r="U30" s="179">
        <v>979.0</v>
      </c>
      <c r="V30" s="180">
        <f t="shared" si="11"/>
        <v>0.7139938713</v>
      </c>
      <c r="W30" s="179">
        <v>71.0</v>
      </c>
      <c r="X30" s="179"/>
      <c r="Y30" s="18">
        <f t="shared" si="12"/>
        <v>9.845070423</v>
      </c>
      <c r="Z30" s="179">
        <v>2.0</v>
      </c>
      <c r="AA30" s="176"/>
      <c r="AB30" s="176"/>
      <c r="AC30" s="181"/>
      <c r="AD30" s="18"/>
      <c r="AE30" s="176"/>
      <c r="AF30" s="18" t="str">
        <f t="shared" si="19"/>
        <v/>
      </c>
      <c r="AG30" s="18" t="str">
        <f t="shared" si="15"/>
        <v/>
      </c>
      <c r="AH30" s="18" t="str">
        <f t="shared" si="18"/>
        <v/>
      </c>
      <c r="AI30" s="173"/>
      <c r="AJ30" s="173"/>
    </row>
    <row r="31" ht="15.0" customHeight="1" outlineLevel="1">
      <c r="A31" s="168" t="s">
        <v>32</v>
      </c>
      <c r="B31" s="192"/>
      <c r="C31" s="18">
        <f>IFERROR(VLOOKUP($A31,'Мои блогеры'!$A:$N,5,0),"")</f>
        <v>25900</v>
      </c>
      <c r="D31" s="199" t="s">
        <v>1979</v>
      </c>
      <c r="E31" s="172" t="s">
        <v>2360</v>
      </c>
      <c r="F31" s="173" t="s">
        <v>2361</v>
      </c>
      <c r="G31" s="172" t="s">
        <v>2362</v>
      </c>
      <c r="H31" s="174">
        <v>46250.0</v>
      </c>
      <c r="I31" s="172" t="s">
        <v>2363</v>
      </c>
      <c r="J31" s="175">
        <v>3496.0</v>
      </c>
      <c r="K31" s="173"/>
      <c r="L31" s="176"/>
      <c r="M31" s="18">
        <f t="shared" si="10"/>
        <v>3496</v>
      </c>
      <c r="N31" s="173"/>
      <c r="O31" s="198" t="s">
        <v>2425</v>
      </c>
      <c r="P31" s="173"/>
      <c r="Q31" s="171"/>
      <c r="R31" s="173"/>
      <c r="S31" s="178" t="s">
        <v>2426</v>
      </c>
      <c r="T31" s="179"/>
      <c r="U31" s="179">
        <v>4593.0</v>
      </c>
      <c r="V31" s="180">
        <f t="shared" si="11"/>
        <v>0.7611582843</v>
      </c>
      <c r="W31" s="179">
        <v>72.0</v>
      </c>
      <c r="X31" s="179"/>
      <c r="Y31" s="18">
        <f t="shared" si="12"/>
        <v>48.55555556</v>
      </c>
      <c r="Z31" s="179">
        <v>2.0</v>
      </c>
      <c r="AA31" s="179">
        <v>2.0</v>
      </c>
      <c r="AB31" s="179">
        <v>1180.0</v>
      </c>
      <c r="AC31" s="172"/>
      <c r="AD31" s="175"/>
      <c r="AE31" s="176"/>
      <c r="AF31" s="175"/>
      <c r="AG31" s="18" t="str">
        <f t="shared" si="15"/>
        <v/>
      </c>
      <c r="AH31" s="18">
        <f t="shared" si="18"/>
        <v>1748</v>
      </c>
      <c r="AI31" s="173"/>
      <c r="AJ31" s="173"/>
    </row>
    <row r="32" ht="15.0" customHeight="1" outlineLevel="1">
      <c r="A32" s="201" t="s">
        <v>2427</v>
      </c>
      <c r="B32" s="188"/>
      <c r="C32" s="189"/>
      <c r="D32" s="188"/>
      <c r="E32" s="188"/>
      <c r="F32" s="188"/>
      <c r="G32" s="188"/>
      <c r="H32" s="188"/>
      <c r="I32" s="189">
        <f t="shared" ref="I32:S32" si="20">SUM(I17:I31)</f>
        <v>0</v>
      </c>
      <c r="J32" s="189">
        <f t="shared" si="20"/>
        <v>78831</v>
      </c>
      <c r="K32" s="189">
        <f t="shared" si="20"/>
        <v>2730</v>
      </c>
      <c r="L32" s="189">
        <f t="shared" si="20"/>
        <v>780</v>
      </c>
      <c r="M32" s="189">
        <f t="shared" si="20"/>
        <v>82341</v>
      </c>
      <c r="N32" s="189">
        <f t="shared" si="20"/>
        <v>0</v>
      </c>
      <c r="O32" s="189">
        <f t="shared" si="20"/>
        <v>0</v>
      </c>
      <c r="P32" s="189">
        <f t="shared" si="20"/>
        <v>0</v>
      </c>
      <c r="Q32" s="189">
        <f t="shared" si="20"/>
        <v>0</v>
      </c>
      <c r="R32" s="189">
        <f t="shared" si="20"/>
        <v>0</v>
      </c>
      <c r="S32" s="189">
        <f t="shared" si="20"/>
        <v>0</v>
      </c>
      <c r="T32" s="189"/>
      <c r="U32" s="189">
        <f t="shared" ref="U32:AH32" si="21">SUM(U17:U31)</f>
        <v>345914</v>
      </c>
      <c r="V32" s="202">
        <f t="shared" si="21"/>
        <v>8.356289394</v>
      </c>
      <c r="W32" s="189">
        <f t="shared" si="21"/>
        <v>1609</v>
      </c>
      <c r="X32" s="189">
        <f t="shared" si="21"/>
        <v>14</v>
      </c>
      <c r="Y32" s="189">
        <f t="shared" si="21"/>
        <v>783.7948387</v>
      </c>
      <c r="Z32" s="189">
        <f t="shared" si="21"/>
        <v>205</v>
      </c>
      <c r="AA32" s="189">
        <f t="shared" si="21"/>
        <v>28</v>
      </c>
      <c r="AB32" s="189">
        <f t="shared" si="21"/>
        <v>19580</v>
      </c>
      <c r="AC32" s="189">
        <f t="shared" si="21"/>
        <v>0</v>
      </c>
      <c r="AD32" s="189">
        <f t="shared" si="21"/>
        <v>20</v>
      </c>
      <c r="AE32" s="189">
        <f t="shared" si="21"/>
        <v>1486</v>
      </c>
      <c r="AF32" s="189">
        <f t="shared" si="21"/>
        <v>14860</v>
      </c>
      <c r="AG32" s="189">
        <f t="shared" si="21"/>
        <v>8403</v>
      </c>
      <c r="AH32" s="189">
        <f t="shared" si="21"/>
        <v>10151</v>
      </c>
      <c r="AI32" s="188"/>
      <c r="AJ32" s="188"/>
    </row>
    <row r="33" ht="15.0" customHeight="1">
      <c r="A33" s="203" t="s">
        <v>2428</v>
      </c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7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</row>
    <row r="34" ht="15.0" customHeight="1" outlineLevel="1">
      <c r="A34" s="204" t="s">
        <v>2061</v>
      </c>
      <c r="B34" s="169" t="str">
        <f>IF($A34="","",IFERROR(HYPERLINK(VLOOKUP($A34,'Мои блогеры'!$A:$N,14,0),"🔗 открыть"),""))</f>
        <v>🔗 открыть</v>
      </c>
      <c r="C34" s="18">
        <f>IFERROR(VLOOKUP($A34,'Мои блогеры'!$A:$N,5,0),"")</f>
        <v>7800</v>
      </c>
      <c r="D34" s="171" t="str">
        <f>IFERROR(VLOOKUP($A34,'Мои блогеры'!$A:$N,2,0),"")</f>
        <v>VK</v>
      </c>
      <c r="E34" s="172" t="s">
        <v>2429</v>
      </c>
      <c r="F34" s="173"/>
      <c r="G34" s="172" t="s">
        <v>2430</v>
      </c>
      <c r="H34" s="174">
        <v>46256.0</v>
      </c>
      <c r="I34" s="172" t="s">
        <v>2363</v>
      </c>
      <c r="J34" s="18">
        <f>IFERROR(VLOOKUP($A34,'Мои блогеры'!$A:$N,8,0),"")</f>
        <v>40000</v>
      </c>
      <c r="K34" s="172">
        <v>5000.0</v>
      </c>
      <c r="L34" s="176"/>
      <c r="M34" s="18">
        <f t="shared" ref="M34:M53" si="22">IF(N($J34)+N($K34)+N($L34)=0,"",N($J34)+N($K34)+N($L34))</f>
        <v>45000</v>
      </c>
      <c r="N34" s="173"/>
      <c r="O34" s="205" t="s">
        <v>2431</v>
      </c>
      <c r="P34" s="178" t="s">
        <v>2432</v>
      </c>
      <c r="Q34" s="171"/>
      <c r="R34" s="173"/>
      <c r="S34" s="205" t="s">
        <v>2433</v>
      </c>
      <c r="T34" s="172"/>
      <c r="U34" s="179">
        <v>20300.0</v>
      </c>
      <c r="V34" s="180">
        <f t="shared" ref="V34:V53" si="23">IF(N($U34)=0,"",$M34/$U34)</f>
        <v>2.216748768</v>
      </c>
      <c r="W34" s="179">
        <v>116.0</v>
      </c>
      <c r="X34" s="179" t="s">
        <v>2367</v>
      </c>
      <c r="Y34" s="18">
        <f t="shared" ref="Y34:Y53" si="24">IF(N($W34)=0,"",$M34/$W34)</f>
        <v>387.9310345</v>
      </c>
      <c r="Z34" s="179">
        <v>18.0</v>
      </c>
      <c r="AA34" s="176"/>
      <c r="AB34" s="176"/>
      <c r="AC34" s="181"/>
      <c r="AD34" s="18" t="str">
        <f t="shared" ref="AD34:AD35" si="25">IF(OR(N($AA34)=0,$AC34=""),"",ROUND($AA34*$AC34,0))</f>
        <v/>
      </c>
      <c r="AE34" s="176"/>
      <c r="AF34" s="18" t="str">
        <f t="shared" ref="AF34:AF37" si="26">IF(OR(N($AD34)=0,$AE34=""),"",ROUND($AD34*$AE34,0))</f>
        <v/>
      </c>
      <c r="AG34" s="18" t="str">
        <f t="shared" ref="AG34:AG37" si="27">IF(N($AD34)=0,"",ROUND($M34/$AD34,0))</f>
        <v/>
      </c>
      <c r="AH34" s="18" t="str">
        <f t="shared" ref="AH34:AH37" si="28">IF(N($AA34)=0,"",ROUND($M34/$AA34,0))</f>
        <v/>
      </c>
      <c r="AI34" s="172"/>
      <c r="AJ34" s="172" t="s">
        <v>2434</v>
      </c>
    </row>
    <row r="35" ht="21.0" customHeight="1" outlineLevel="1">
      <c r="A35" s="206" t="s">
        <v>2050</v>
      </c>
      <c r="B35" s="169" t="str">
        <f>IF($A35="","",IFERROR(HYPERLINK(VLOOKUP($A35,'Мои блогеры'!$A:$N,14,0),"🔗 открыть"),""))</f>
        <v>🔗 открыть</v>
      </c>
      <c r="C35" s="18">
        <f>IFERROR(VLOOKUP($A35,'Мои блогеры'!$A:$N,5,0),"")</f>
        <v>61000</v>
      </c>
      <c r="D35" s="171" t="str">
        <f>IFERROR(VLOOKUP($A35,'Мои блогеры'!$A:$N,2,0),"")</f>
        <v>VK</v>
      </c>
      <c r="E35" s="172" t="s">
        <v>2429</v>
      </c>
      <c r="F35" s="172">
        <v>13.0</v>
      </c>
      <c r="G35" s="172" t="s">
        <v>2387</v>
      </c>
      <c r="H35" s="174">
        <v>46253.0</v>
      </c>
      <c r="I35" s="172" t="s">
        <v>2363</v>
      </c>
      <c r="J35" s="18">
        <f>IFERROR(VLOOKUP($A35,'Мои блогеры'!$A:$N,8,0),"")</f>
        <v>65000</v>
      </c>
      <c r="K35" s="173">
        <f>65000*0.09</f>
        <v>5850</v>
      </c>
      <c r="L35" s="179">
        <v>500.0</v>
      </c>
      <c r="M35" s="18">
        <f t="shared" si="22"/>
        <v>71350</v>
      </c>
      <c r="N35" s="173"/>
      <c r="O35" s="178" t="s">
        <v>2435</v>
      </c>
      <c r="P35" s="178" t="s">
        <v>2436</v>
      </c>
      <c r="Q35" s="171"/>
      <c r="R35" s="173"/>
      <c r="S35" s="177" t="s">
        <v>2437</v>
      </c>
      <c r="T35" s="172" t="s">
        <v>2393</v>
      </c>
      <c r="U35" s="179">
        <v>3900.0</v>
      </c>
      <c r="V35" s="180">
        <f t="shared" si="23"/>
        <v>18.29487179</v>
      </c>
      <c r="W35" s="179">
        <v>39.0</v>
      </c>
      <c r="X35" s="179" t="s">
        <v>2367</v>
      </c>
      <c r="Y35" s="18">
        <f t="shared" si="24"/>
        <v>1829.487179</v>
      </c>
      <c r="Z35" s="179">
        <v>24.0</v>
      </c>
      <c r="AA35" s="176"/>
      <c r="AB35" s="176"/>
      <c r="AC35" s="181"/>
      <c r="AD35" s="18" t="str">
        <f t="shared" si="25"/>
        <v/>
      </c>
      <c r="AE35" s="176"/>
      <c r="AF35" s="18" t="str">
        <f t="shared" si="26"/>
        <v/>
      </c>
      <c r="AG35" s="18" t="str">
        <f t="shared" si="27"/>
        <v/>
      </c>
      <c r="AH35" s="18" t="str">
        <f t="shared" si="28"/>
        <v/>
      </c>
      <c r="AI35" s="172"/>
      <c r="AJ35" s="172" t="s">
        <v>2438</v>
      </c>
    </row>
    <row r="36" ht="15.0" customHeight="1" outlineLevel="1">
      <c r="A36" s="207" t="s">
        <v>60</v>
      </c>
      <c r="B36" s="208" t="str">
        <f>IF($A36="","",IFERROR(HYPERLINK(VLOOKUP($A36,'Мои блогеры'!$A:$N,14,0),"🔗 открыть"),""))</f>
        <v>🔗 открыть</v>
      </c>
      <c r="C36" s="18">
        <f>IFERROR(VLOOKUP($A36,'Мои блогеры'!$A:$N,5,0),"")</f>
        <v>7930</v>
      </c>
      <c r="D36" s="185" t="s">
        <v>61</v>
      </c>
      <c r="E36" s="173" t="s">
        <v>2386</v>
      </c>
      <c r="F36" s="172"/>
      <c r="G36" s="172" t="s">
        <v>2387</v>
      </c>
      <c r="H36" s="174">
        <v>46257.0</v>
      </c>
      <c r="I36" s="172" t="s">
        <v>2363</v>
      </c>
      <c r="J36" s="18">
        <f>IFERROR(VLOOKUP($A36,'Мои блогеры'!$A:$N,8,0),"")</f>
        <v>5000</v>
      </c>
      <c r="K36" s="173">
        <v>400.0</v>
      </c>
      <c r="L36" s="176">
        <v>822.0</v>
      </c>
      <c r="M36" s="18">
        <f t="shared" si="22"/>
        <v>6222</v>
      </c>
      <c r="N36" s="173"/>
      <c r="O36" s="178" t="s">
        <v>2439</v>
      </c>
      <c r="P36" s="173"/>
      <c r="Q36" s="171"/>
      <c r="R36" s="172" t="s">
        <v>2440</v>
      </c>
      <c r="S36" s="178" t="s">
        <v>2441</v>
      </c>
      <c r="T36" s="172" t="s">
        <v>2393</v>
      </c>
      <c r="U36" s="179">
        <v>4489.0</v>
      </c>
      <c r="V36" s="180">
        <f t="shared" si="23"/>
        <v>1.386054801</v>
      </c>
      <c r="W36" s="179">
        <v>17.0</v>
      </c>
      <c r="X36" s="179" t="s">
        <v>2367</v>
      </c>
      <c r="Y36" s="18">
        <f t="shared" si="24"/>
        <v>366</v>
      </c>
      <c r="Z36" s="179">
        <v>4.0</v>
      </c>
      <c r="AA36" s="179">
        <v>2.0</v>
      </c>
      <c r="AB36" s="176">
        <f>743*AA36</f>
        <v>1486</v>
      </c>
      <c r="AC36" s="181"/>
      <c r="AD36" s="175">
        <v>1.0</v>
      </c>
      <c r="AE36" s="179">
        <f>AB36/AD36</f>
        <v>1486</v>
      </c>
      <c r="AF36" s="18">
        <f t="shared" si="26"/>
        <v>1486</v>
      </c>
      <c r="AG36" s="18">
        <f t="shared" si="27"/>
        <v>6222</v>
      </c>
      <c r="AH36" s="18">
        <f t="shared" si="28"/>
        <v>3111</v>
      </c>
      <c r="AI36" s="209"/>
      <c r="AJ36" s="209" t="s">
        <v>2442</v>
      </c>
    </row>
    <row r="37" ht="15.0" customHeight="1" outlineLevel="1">
      <c r="A37" s="204" t="s">
        <v>2056</v>
      </c>
      <c r="B37" s="169" t="str">
        <f>IF($A37="","",IFERROR(HYPERLINK(VLOOKUP($A37,'Мои блогеры'!$A:$N,14,0),"🔗 открыть"),""))</f>
        <v>🔗 открыть</v>
      </c>
      <c r="C37" s="18">
        <f>IFERROR(VLOOKUP($A37,'Мои блогеры'!$A:$N,5,0),"")</f>
        <v>27100</v>
      </c>
      <c r="D37" s="171" t="str">
        <f>IFERROR(VLOOKUP($A37,'Мои блогеры'!$A:$N,2,0),"")</f>
        <v>VK</v>
      </c>
      <c r="E37" s="172" t="s">
        <v>2429</v>
      </c>
      <c r="F37" s="173"/>
      <c r="G37" s="172" t="s">
        <v>2362</v>
      </c>
      <c r="H37" s="174">
        <v>46256.0</v>
      </c>
      <c r="I37" s="172" t="s">
        <v>2363</v>
      </c>
      <c r="J37" s="18">
        <f>IFERROR(VLOOKUP($A37,'Мои блогеры'!$A:$N,8,0),"")</f>
        <v>13000</v>
      </c>
      <c r="K37" s="172">
        <v>780.0</v>
      </c>
      <c r="L37" s="176"/>
      <c r="M37" s="18">
        <f t="shared" si="22"/>
        <v>13780</v>
      </c>
      <c r="N37" s="172"/>
      <c r="O37" s="210" t="s">
        <v>2443</v>
      </c>
      <c r="P37" s="173"/>
      <c r="Q37" s="171"/>
      <c r="R37" s="173"/>
      <c r="S37" s="177" t="s">
        <v>2444</v>
      </c>
      <c r="T37" s="179"/>
      <c r="U37" s="179">
        <v>24930.0</v>
      </c>
      <c r="V37" s="180">
        <f t="shared" si="23"/>
        <v>0.5527476935</v>
      </c>
      <c r="W37" s="179">
        <v>42.0</v>
      </c>
      <c r="X37" s="179"/>
      <c r="Y37" s="18">
        <f t="shared" si="24"/>
        <v>328.0952381</v>
      </c>
      <c r="Z37" s="179">
        <v>8.0</v>
      </c>
      <c r="AA37" s="176"/>
      <c r="AB37" s="176"/>
      <c r="AC37" s="181"/>
      <c r="AD37" s="18" t="str">
        <f>IF(OR(N($AA37)=0,$AC37=""),"",ROUND($AA37*$AC37,0))</f>
        <v/>
      </c>
      <c r="AE37" s="176"/>
      <c r="AF37" s="18" t="str">
        <f t="shared" si="26"/>
        <v/>
      </c>
      <c r="AG37" s="18" t="str">
        <f t="shared" si="27"/>
        <v/>
      </c>
      <c r="AH37" s="18" t="str">
        <f t="shared" si="28"/>
        <v/>
      </c>
      <c r="AI37" s="209"/>
      <c r="AJ37" s="209" t="s">
        <v>2445</v>
      </c>
    </row>
    <row r="38" ht="15.0" customHeight="1" outlineLevel="1">
      <c r="A38" s="204" t="s">
        <v>2098</v>
      </c>
      <c r="B38" s="192"/>
      <c r="C38" s="18">
        <f>IFERROR(VLOOKUP($A38,'Мои блогеры'!$A:$N,5,0),"")</f>
        <v>761</v>
      </c>
      <c r="D38" s="199" t="s">
        <v>1979</v>
      </c>
      <c r="E38" s="211" t="s">
        <v>2360</v>
      </c>
      <c r="F38" s="212" t="s">
        <v>2361</v>
      </c>
      <c r="G38" s="172" t="s">
        <v>2362</v>
      </c>
      <c r="H38" s="174">
        <v>46255.0</v>
      </c>
      <c r="I38" s="172" t="s">
        <v>2363</v>
      </c>
      <c r="J38" s="18">
        <f>IFERROR(VLOOKUP($A38,'Мои блогеры'!$A:$N,8,0),"")</f>
        <v>348</v>
      </c>
      <c r="K38" s="173"/>
      <c r="L38" s="176"/>
      <c r="M38" s="18">
        <f t="shared" si="22"/>
        <v>348</v>
      </c>
      <c r="N38" s="172"/>
      <c r="O38" s="177" t="s">
        <v>2446</v>
      </c>
      <c r="P38" s="173"/>
      <c r="Q38" s="171"/>
      <c r="R38" s="173"/>
      <c r="S38" s="177" t="s">
        <v>2447</v>
      </c>
      <c r="T38" s="179"/>
      <c r="U38" s="179">
        <v>338.0</v>
      </c>
      <c r="V38" s="180">
        <f t="shared" si="23"/>
        <v>1.029585799</v>
      </c>
      <c r="W38" s="179">
        <v>22.0</v>
      </c>
      <c r="X38" s="176"/>
      <c r="Y38" s="18">
        <f t="shared" si="24"/>
        <v>15.81818182</v>
      </c>
      <c r="Z38" s="179">
        <v>3.0</v>
      </c>
      <c r="AA38" s="176"/>
      <c r="AB38" s="176"/>
      <c r="AC38" s="181"/>
      <c r="AD38" s="18"/>
      <c r="AE38" s="176"/>
      <c r="AF38" s="18"/>
      <c r="AG38" s="18"/>
      <c r="AH38" s="18"/>
      <c r="AI38" s="209"/>
      <c r="AJ38" s="209" t="s">
        <v>2445</v>
      </c>
    </row>
    <row r="39" ht="15.0" customHeight="1" outlineLevel="1">
      <c r="A39" s="204" t="s">
        <v>2088</v>
      </c>
      <c r="B39" s="192"/>
      <c r="C39" s="18">
        <f>IFERROR(VLOOKUP($A39,'Мои блогеры'!$A:$N,5,0),"")</f>
        <v>4200</v>
      </c>
      <c r="D39" s="199" t="s">
        <v>1979</v>
      </c>
      <c r="E39" s="172" t="s">
        <v>2360</v>
      </c>
      <c r="F39" s="173" t="s">
        <v>2361</v>
      </c>
      <c r="G39" s="172" t="s">
        <v>2362</v>
      </c>
      <c r="H39" s="174">
        <v>46255.0</v>
      </c>
      <c r="I39" s="172" t="s">
        <v>2363</v>
      </c>
      <c r="J39" s="18">
        <f>IFERROR(VLOOKUP($A39,'Мои блогеры'!$A:$N,8,0),"")</f>
        <v>980</v>
      </c>
      <c r="K39" s="173"/>
      <c r="L39" s="176"/>
      <c r="M39" s="18">
        <f t="shared" si="22"/>
        <v>980</v>
      </c>
      <c r="N39" s="172"/>
      <c r="O39" s="177" t="s">
        <v>2448</v>
      </c>
      <c r="P39" s="173"/>
      <c r="Q39" s="171"/>
      <c r="R39" s="173"/>
      <c r="S39" s="205" t="s">
        <v>2449</v>
      </c>
      <c r="T39" s="179"/>
      <c r="U39" s="179">
        <v>1114.0</v>
      </c>
      <c r="V39" s="180">
        <f t="shared" si="23"/>
        <v>0.8797127469</v>
      </c>
      <c r="W39" s="179">
        <v>35.0</v>
      </c>
      <c r="X39" s="176"/>
      <c r="Y39" s="18">
        <f t="shared" si="24"/>
        <v>28</v>
      </c>
      <c r="Z39" s="179">
        <v>2.0</v>
      </c>
      <c r="AA39" s="176"/>
      <c r="AB39" s="176"/>
      <c r="AC39" s="181"/>
      <c r="AD39" s="18"/>
      <c r="AE39" s="176"/>
      <c r="AF39" s="18"/>
      <c r="AG39" s="18"/>
      <c r="AH39" s="18"/>
      <c r="AI39" s="209"/>
      <c r="AJ39" s="209" t="s">
        <v>2445</v>
      </c>
    </row>
    <row r="40" ht="15.0" customHeight="1" outlineLevel="1">
      <c r="A40" s="204" t="s">
        <v>2064</v>
      </c>
      <c r="B40" s="192"/>
      <c r="C40" s="18">
        <f>IFERROR(VLOOKUP($A40,'Мои блогеры'!$A:$N,5,0),"")</f>
        <v>1600</v>
      </c>
      <c r="D40" s="199" t="s">
        <v>1979</v>
      </c>
      <c r="E40" s="172" t="s">
        <v>2360</v>
      </c>
      <c r="F40" s="173" t="s">
        <v>2361</v>
      </c>
      <c r="G40" s="172" t="s">
        <v>2362</v>
      </c>
      <c r="H40" s="174">
        <v>46255.0</v>
      </c>
      <c r="I40" s="172" t="s">
        <v>2363</v>
      </c>
      <c r="J40" s="18">
        <f>IFERROR(VLOOKUP($A40,'Мои блогеры'!$A:$N,8,0),"")</f>
        <v>392</v>
      </c>
      <c r="K40" s="173"/>
      <c r="L40" s="176"/>
      <c r="M40" s="18">
        <f t="shared" si="22"/>
        <v>392</v>
      </c>
      <c r="N40" s="172"/>
      <c r="O40" s="177" t="s">
        <v>2450</v>
      </c>
      <c r="P40" s="173"/>
      <c r="Q40" s="171"/>
      <c r="R40" s="173"/>
      <c r="S40" s="177" t="s">
        <v>2065</v>
      </c>
      <c r="T40" s="179"/>
      <c r="U40" s="179">
        <v>481.0</v>
      </c>
      <c r="V40" s="180">
        <f t="shared" si="23"/>
        <v>0.814968815</v>
      </c>
      <c r="W40" s="179">
        <v>12.0</v>
      </c>
      <c r="X40" s="176"/>
      <c r="Y40" s="18">
        <f t="shared" si="24"/>
        <v>32.66666667</v>
      </c>
      <c r="Z40" s="179">
        <v>1.0</v>
      </c>
      <c r="AA40" s="176"/>
      <c r="AB40" s="176"/>
      <c r="AC40" s="181"/>
      <c r="AD40" s="18"/>
      <c r="AE40" s="176"/>
      <c r="AF40" s="18"/>
      <c r="AG40" s="18"/>
      <c r="AH40" s="18"/>
      <c r="AI40" s="209"/>
      <c r="AJ40" s="209" t="s">
        <v>2445</v>
      </c>
    </row>
    <row r="41" ht="15.0" customHeight="1" outlineLevel="1">
      <c r="A41" s="204" t="s">
        <v>2068</v>
      </c>
      <c r="B41" s="192"/>
      <c r="C41" s="18">
        <f>IFERROR(VLOOKUP($A41,'Мои блогеры'!$A:$N,5,0),"")</f>
        <v>1200</v>
      </c>
      <c r="D41" s="199" t="s">
        <v>1979</v>
      </c>
      <c r="E41" s="172" t="s">
        <v>2360</v>
      </c>
      <c r="F41" s="173" t="s">
        <v>2361</v>
      </c>
      <c r="G41" s="172" t="s">
        <v>2362</v>
      </c>
      <c r="H41" s="174">
        <v>46255.0</v>
      </c>
      <c r="I41" s="172" t="s">
        <v>2363</v>
      </c>
      <c r="J41" s="18">
        <f>IFERROR(VLOOKUP($A41,'Мои блогеры'!$A:$N,8,0),"")</f>
        <v>1258</v>
      </c>
      <c r="K41" s="173"/>
      <c r="L41" s="176"/>
      <c r="M41" s="18">
        <f t="shared" si="22"/>
        <v>1258</v>
      </c>
      <c r="N41" s="172"/>
      <c r="O41" s="177" t="s">
        <v>2451</v>
      </c>
      <c r="P41" s="173"/>
      <c r="Q41" s="171"/>
      <c r="R41" s="173"/>
      <c r="S41" s="205" t="s">
        <v>2452</v>
      </c>
      <c r="T41" s="179"/>
      <c r="U41" s="179">
        <v>769.0</v>
      </c>
      <c r="V41" s="180">
        <f t="shared" si="23"/>
        <v>1.635890767</v>
      </c>
      <c r="W41" s="179">
        <v>15.0</v>
      </c>
      <c r="X41" s="176"/>
      <c r="Y41" s="18">
        <f t="shared" si="24"/>
        <v>83.86666667</v>
      </c>
      <c r="Z41" s="179">
        <v>1.0</v>
      </c>
      <c r="AA41" s="176"/>
      <c r="AB41" s="176"/>
      <c r="AC41" s="181"/>
      <c r="AD41" s="18"/>
      <c r="AE41" s="176"/>
      <c r="AF41" s="18"/>
      <c r="AG41" s="18"/>
      <c r="AH41" s="18"/>
      <c r="AI41" s="209"/>
      <c r="AJ41" s="209" t="s">
        <v>2445</v>
      </c>
    </row>
    <row r="42" ht="15.0" customHeight="1" outlineLevel="1">
      <c r="A42" s="204" t="s">
        <v>2092</v>
      </c>
      <c r="B42" s="192"/>
      <c r="C42" s="18">
        <f>IFERROR(VLOOKUP($A42,'Мои блогеры'!$A:$N,5,0),"")</f>
        <v>5300</v>
      </c>
      <c r="D42" s="199" t="s">
        <v>1979</v>
      </c>
      <c r="E42" s="211" t="s">
        <v>2360</v>
      </c>
      <c r="F42" s="212" t="s">
        <v>2361</v>
      </c>
      <c r="G42" s="172" t="s">
        <v>2362</v>
      </c>
      <c r="H42" s="174">
        <v>46255.0</v>
      </c>
      <c r="I42" s="172" t="s">
        <v>2363</v>
      </c>
      <c r="J42" s="18">
        <f>IFERROR(VLOOKUP($A42,'Мои блогеры'!$A:$N,8,0),"")</f>
        <v>980</v>
      </c>
      <c r="K42" s="173"/>
      <c r="L42" s="176"/>
      <c r="M42" s="18">
        <f t="shared" si="22"/>
        <v>980</v>
      </c>
      <c r="N42" s="172"/>
      <c r="O42" s="177" t="s">
        <v>2453</v>
      </c>
      <c r="P42" s="173"/>
      <c r="Q42" s="171"/>
      <c r="R42" s="173"/>
      <c r="S42" s="177" t="s">
        <v>2454</v>
      </c>
      <c r="T42" s="179"/>
      <c r="U42" s="179">
        <v>1024.0</v>
      </c>
      <c r="V42" s="180">
        <f t="shared" si="23"/>
        <v>0.95703125</v>
      </c>
      <c r="W42" s="179">
        <v>6.0</v>
      </c>
      <c r="X42" s="176"/>
      <c r="Y42" s="18">
        <f t="shared" si="24"/>
        <v>163.3333333</v>
      </c>
      <c r="Z42" s="179">
        <v>2.0</v>
      </c>
      <c r="AA42" s="179">
        <v>2.0</v>
      </c>
      <c r="AB42" s="179">
        <v>1180.0</v>
      </c>
      <c r="AC42" s="181"/>
      <c r="AD42" s="175">
        <v>1.0</v>
      </c>
      <c r="AE42" s="179">
        <f>AB42/AD42</f>
        <v>1180</v>
      </c>
      <c r="AF42" s="175">
        <v>1180.0</v>
      </c>
      <c r="AG42" s="18">
        <f>IF(N($AD42)=0,"",ROUND($M42/$AD42,0))</f>
        <v>980</v>
      </c>
      <c r="AH42" s="18">
        <f>IF(N($AA42)=0,"",ROUND($M42/$AA42,0))</f>
        <v>490</v>
      </c>
      <c r="AI42" s="209"/>
      <c r="AJ42" s="209" t="s">
        <v>2445</v>
      </c>
    </row>
    <row r="43" ht="15.0" customHeight="1" outlineLevel="1">
      <c r="A43" s="204" t="s">
        <v>2079</v>
      </c>
      <c r="B43" s="192"/>
      <c r="C43" s="18">
        <f>IFERROR(VLOOKUP($A43,'Мои блогеры'!$A:$N,5,0),"")</f>
        <v>5100</v>
      </c>
      <c r="D43" s="199" t="s">
        <v>1979</v>
      </c>
      <c r="E43" s="172" t="s">
        <v>2360</v>
      </c>
      <c r="F43" s="173" t="s">
        <v>2361</v>
      </c>
      <c r="G43" s="172" t="s">
        <v>2362</v>
      </c>
      <c r="H43" s="174">
        <v>46255.0</v>
      </c>
      <c r="I43" s="172" t="s">
        <v>2363</v>
      </c>
      <c r="J43" s="18">
        <f>IFERROR(VLOOKUP($A43,'Мои блогеры'!$A:$N,8,0),"")</f>
        <v>293</v>
      </c>
      <c r="K43" s="173"/>
      <c r="L43" s="176"/>
      <c r="M43" s="18">
        <f t="shared" si="22"/>
        <v>293</v>
      </c>
      <c r="N43" s="172"/>
      <c r="O43" s="177" t="s">
        <v>2455</v>
      </c>
      <c r="P43" s="173"/>
      <c r="Q43" s="171"/>
      <c r="R43" s="173"/>
      <c r="S43" s="177" t="s">
        <v>2456</v>
      </c>
      <c r="T43" s="179"/>
      <c r="U43" s="179">
        <v>435.0</v>
      </c>
      <c r="V43" s="180">
        <f t="shared" si="23"/>
        <v>0.6735632184</v>
      </c>
      <c r="W43" s="179">
        <v>5.0</v>
      </c>
      <c r="X43" s="176"/>
      <c r="Y43" s="18">
        <f t="shared" si="24"/>
        <v>58.6</v>
      </c>
      <c r="Z43" s="179">
        <v>0.0</v>
      </c>
      <c r="AA43" s="176"/>
      <c r="AB43" s="176"/>
      <c r="AC43" s="181"/>
      <c r="AD43" s="18"/>
      <c r="AE43" s="176"/>
      <c r="AF43" s="18"/>
      <c r="AG43" s="18"/>
      <c r="AH43" s="18"/>
      <c r="AI43" s="209"/>
      <c r="AJ43" s="209" t="s">
        <v>2445</v>
      </c>
    </row>
    <row r="44" ht="15.0" customHeight="1" outlineLevel="1">
      <c r="A44" s="204" t="s">
        <v>2094</v>
      </c>
      <c r="B44" s="192"/>
      <c r="C44" s="18">
        <f>IFERROR(VLOOKUP($A44,'Мои блогеры'!$A:$N,5,0),"")</f>
        <v>2800</v>
      </c>
      <c r="D44" s="199" t="s">
        <v>1979</v>
      </c>
      <c r="E44" s="211" t="s">
        <v>2360</v>
      </c>
      <c r="F44" s="212" t="s">
        <v>2361</v>
      </c>
      <c r="G44" s="172" t="s">
        <v>2362</v>
      </c>
      <c r="H44" s="174">
        <v>46255.0</v>
      </c>
      <c r="I44" s="172" t="s">
        <v>2363</v>
      </c>
      <c r="J44" s="18">
        <f>IFERROR(VLOOKUP($A44,'Мои блогеры'!$A:$N,8,0),"")</f>
        <v>700</v>
      </c>
      <c r="K44" s="173"/>
      <c r="L44" s="176"/>
      <c r="M44" s="18">
        <f t="shared" si="22"/>
        <v>700</v>
      </c>
      <c r="N44" s="172"/>
      <c r="O44" s="177" t="s">
        <v>2457</v>
      </c>
      <c r="P44" s="173"/>
      <c r="Q44" s="171"/>
      <c r="R44" s="173"/>
      <c r="S44" s="177" t="s">
        <v>2095</v>
      </c>
      <c r="T44" s="179"/>
      <c r="U44" s="179">
        <v>738.0</v>
      </c>
      <c r="V44" s="180">
        <f t="shared" si="23"/>
        <v>0.9485094851</v>
      </c>
      <c r="W44" s="179">
        <v>5.0</v>
      </c>
      <c r="X44" s="176"/>
      <c r="Y44" s="18">
        <f t="shared" si="24"/>
        <v>140</v>
      </c>
      <c r="Z44" s="179">
        <v>0.0</v>
      </c>
      <c r="AA44" s="176"/>
      <c r="AB44" s="176"/>
      <c r="AC44" s="181"/>
      <c r="AD44" s="18"/>
      <c r="AE44" s="176"/>
      <c r="AF44" s="18"/>
      <c r="AG44" s="18"/>
      <c r="AH44" s="18"/>
      <c r="AI44" s="209"/>
      <c r="AJ44" s="209" t="s">
        <v>2445</v>
      </c>
    </row>
    <row r="45" ht="15.0" customHeight="1" outlineLevel="1">
      <c r="A45" s="204" t="s">
        <v>2086</v>
      </c>
      <c r="B45" s="192"/>
      <c r="C45" s="18">
        <f>IFERROR(VLOOKUP($A45,'Мои блогеры'!$A:$N,5,0),"")</f>
        <v>2900</v>
      </c>
      <c r="D45" s="199" t="s">
        <v>1979</v>
      </c>
      <c r="E45" s="172" t="s">
        <v>2360</v>
      </c>
      <c r="F45" s="173" t="s">
        <v>2361</v>
      </c>
      <c r="G45" s="172" t="s">
        <v>2362</v>
      </c>
      <c r="H45" s="174">
        <v>46255.0</v>
      </c>
      <c r="I45" s="172" t="s">
        <v>2363</v>
      </c>
      <c r="J45" s="18">
        <f>IFERROR(VLOOKUP($A45,'Мои блогеры'!$A:$N,8,0),"")</f>
        <v>4195</v>
      </c>
      <c r="K45" s="173"/>
      <c r="L45" s="176"/>
      <c r="M45" s="18">
        <f t="shared" si="22"/>
        <v>4195</v>
      </c>
      <c r="N45" s="172"/>
      <c r="O45" s="177" t="s">
        <v>2458</v>
      </c>
      <c r="P45" s="173"/>
      <c r="Q45" s="171"/>
      <c r="R45" s="173"/>
      <c r="S45" s="205" t="s">
        <v>2459</v>
      </c>
      <c r="T45" s="179"/>
      <c r="U45" s="179">
        <v>1267.0</v>
      </c>
      <c r="V45" s="180">
        <f t="shared" si="23"/>
        <v>3.310970797</v>
      </c>
      <c r="W45" s="179">
        <v>28.0</v>
      </c>
      <c r="X45" s="176"/>
      <c r="Y45" s="18">
        <f t="shared" si="24"/>
        <v>149.8214286</v>
      </c>
      <c r="Z45" s="179">
        <v>1.0</v>
      </c>
      <c r="AA45" s="176"/>
      <c r="AB45" s="176"/>
      <c r="AC45" s="181"/>
      <c r="AD45" s="18"/>
      <c r="AE45" s="176"/>
      <c r="AF45" s="18"/>
      <c r="AG45" s="18"/>
      <c r="AH45" s="18"/>
      <c r="AI45" s="209"/>
      <c r="AJ45" s="209" t="s">
        <v>2445</v>
      </c>
    </row>
    <row r="46" ht="15.0" customHeight="1" outlineLevel="1">
      <c r="A46" s="204" t="s">
        <v>2070</v>
      </c>
      <c r="B46" s="192"/>
      <c r="C46" s="18">
        <f>IFERROR(VLOOKUP($A46,'Мои блогеры'!$A:$N,5,0),"")</f>
        <v>9100</v>
      </c>
      <c r="D46" s="199" t="s">
        <v>40</v>
      </c>
      <c r="E46" s="172" t="s">
        <v>2360</v>
      </c>
      <c r="F46" s="173" t="s">
        <v>2361</v>
      </c>
      <c r="G46" s="172" t="s">
        <v>2362</v>
      </c>
      <c r="H46" s="174">
        <v>46255.0</v>
      </c>
      <c r="I46" s="172" t="s">
        <v>2363</v>
      </c>
      <c r="J46" s="18">
        <f>IFERROR(VLOOKUP($A46,'Мои блогеры'!$A:$N,8,0),"")</f>
        <v>307</v>
      </c>
      <c r="K46" s="173"/>
      <c r="L46" s="176"/>
      <c r="M46" s="18">
        <f t="shared" si="22"/>
        <v>307</v>
      </c>
      <c r="N46" s="172"/>
      <c r="O46" s="177" t="s">
        <v>2460</v>
      </c>
      <c r="P46" s="173"/>
      <c r="Q46" s="171"/>
      <c r="R46" s="173"/>
      <c r="S46" s="205" t="s">
        <v>2461</v>
      </c>
      <c r="T46" s="179"/>
      <c r="U46" s="179">
        <v>1693.0</v>
      </c>
      <c r="V46" s="180">
        <f t="shared" si="23"/>
        <v>0.1813349084</v>
      </c>
      <c r="W46" s="179">
        <v>5.0</v>
      </c>
      <c r="X46" s="176"/>
      <c r="Y46" s="18">
        <f t="shared" si="24"/>
        <v>61.4</v>
      </c>
      <c r="Z46" s="179">
        <v>2.0</v>
      </c>
      <c r="AA46" s="179">
        <v>2.0</v>
      </c>
      <c r="AB46" s="179">
        <v>1180.0</v>
      </c>
      <c r="AC46" s="181"/>
      <c r="AD46" s="175"/>
      <c r="AE46" s="176"/>
      <c r="AF46" s="175"/>
      <c r="AG46" s="18"/>
      <c r="AH46" s="18"/>
      <c r="AI46" s="209"/>
      <c r="AJ46" s="209" t="s">
        <v>2445</v>
      </c>
    </row>
    <row r="47" ht="15.0" customHeight="1" outlineLevel="1">
      <c r="A47" s="204" t="s">
        <v>2090</v>
      </c>
      <c r="B47" s="192"/>
      <c r="C47" s="18">
        <f>IFERROR(VLOOKUP($A47,'Мои блогеры'!$A:$N,5,0),"")</f>
        <v>3200</v>
      </c>
      <c r="D47" s="199" t="s">
        <v>1979</v>
      </c>
      <c r="E47" s="172" t="s">
        <v>2360</v>
      </c>
      <c r="F47" s="173" t="s">
        <v>2361</v>
      </c>
      <c r="G47" s="172" t="s">
        <v>2362</v>
      </c>
      <c r="H47" s="174">
        <v>46255.0</v>
      </c>
      <c r="I47" s="172" t="s">
        <v>2363</v>
      </c>
      <c r="J47" s="18">
        <f>IFERROR(VLOOKUP($A47,'Мои блогеры'!$A:$N,8,0),"")</f>
        <v>419</v>
      </c>
      <c r="K47" s="173"/>
      <c r="L47" s="176"/>
      <c r="M47" s="18">
        <f t="shared" si="22"/>
        <v>419</v>
      </c>
      <c r="N47" s="172"/>
      <c r="O47" s="177" t="s">
        <v>2462</v>
      </c>
      <c r="P47" s="173"/>
      <c r="Q47" s="171"/>
      <c r="R47" s="173"/>
      <c r="S47" s="178" t="s">
        <v>2463</v>
      </c>
      <c r="T47" s="179"/>
      <c r="U47" s="179">
        <v>989.0</v>
      </c>
      <c r="V47" s="180">
        <f t="shared" si="23"/>
        <v>0.4236602629</v>
      </c>
      <c r="W47" s="179">
        <v>5.0</v>
      </c>
      <c r="X47" s="176"/>
      <c r="Y47" s="18">
        <f t="shared" si="24"/>
        <v>83.8</v>
      </c>
      <c r="Z47" s="179">
        <v>1.0</v>
      </c>
      <c r="AA47" s="176"/>
      <c r="AB47" s="176"/>
      <c r="AC47" s="181"/>
      <c r="AD47" s="18"/>
      <c r="AE47" s="176"/>
      <c r="AF47" s="18"/>
      <c r="AG47" s="18"/>
      <c r="AH47" s="18"/>
      <c r="AI47" s="209"/>
      <c r="AJ47" s="209" t="s">
        <v>2445</v>
      </c>
    </row>
    <row r="48" ht="15.0" customHeight="1" outlineLevel="1">
      <c r="A48" s="204" t="s">
        <v>2100</v>
      </c>
      <c r="B48" s="192"/>
      <c r="C48" s="18">
        <f>IFERROR(VLOOKUP($A48,'Мои блогеры'!$A:$N,5,0),"")</f>
        <v>7900</v>
      </c>
      <c r="D48" s="199" t="s">
        <v>40</v>
      </c>
      <c r="E48" s="211" t="s">
        <v>2360</v>
      </c>
      <c r="F48" s="212" t="s">
        <v>2361</v>
      </c>
      <c r="G48" s="172" t="s">
        <v>2362</v>
      </c>
      <c r="H48" s="174">
        <v>46255.0</v>
      </c>
      <c r="I48" s="172" t="s">
        <v>2363</v>
      </c>
      <c r="J48" s="18">
        <f>IFERROR(VLOOKUP($A48,'Мои блогеры'!$A:$N,8,0),"")</f>
        <v>2800</v>
      </c>
      <c r="K48" s="173"/>
      <c r="L48" s="176"/>
      <c r="M48" s="18">
        <f t="shared" si="22"/>
        <v>2800</v>
      </c>
      <c r="N48" s="172"/>
      <c r="O48" s="177" t="s">
        <v>2464</v>
      </c>
      <c r="P48" s="173"/>
      <c r="Q48" s="171"/>
      <c r="R48" s="173"/>
      <c r="S48" s="205" t="s">
        <v>2465</v>
      </c>
      <c r="T48" s="179"/>
      <c r="U48" s="179">
        <v>3200.0</v>
      </c>
      <c r="V48" s="180">
        <f t="shared" si="23"/>
        <v>0.875</v>
      </c>
      <c r="W48" s="179">
        <v>5.0</v>
      </c>
      <c r="X48" s="176"/>
      <c r="Y48" s="18">
        <f t="shared" si="24"/>
        <v>560</v>
      </c>
      <c r="Z48" s="179">
        <v>4.0</v>
      </c>
      <c r="AA48" s="176"/>
      <c r="AB48" s="176"/>
      <c r="AC48" s="181"/>
      <c r="AD48" s="18"/>
      <c r="AE48" s="176"/>
      <c r="AF48" s="18"/>
      <c r="AG48" s="18"/>
      <c r="AH48" s="18"/>
      <c r="AI48" s="209"/>
      <c r="AJ48" s="209" t="s">
        <v>2445</v>
      </c>
    </row>
    <row r="49" ht="15.0" customHeight="1" outlineLevel="1">
      <c r="A49" s="204" t="s">
        <v>2096</v>
      </c>
      <c r="B49" s="192"/>
      <c r="C49" s="18">
        <f>IFERROR(VLOOKUP($A49,'Мои блогеры'!$A:$N,5,0),"")</f>
        <v>3000</v>
      </c>
      <c r="D49" s="199" t="s">
        <v>40</v>
      </c>
      <c r="E49" s="211" t="s">
        <v>2360</v>
      </c>
      <c r="F49" s="212" t="s">
        <v>2361</v>
      </c>
      <c r="G49" s="172" t="s">
        <v>2362</v>
      </c>
      <c r="H49" s="174">
        <v>46255.0</v>
      </c>
      <c r="I49" s="172" t="s">
        <v>2363</v>
      </c>
      <c r="J49" s="18">
        <f>IFERROR(VLOOKUP($A49,'Мои блогеры'!$A:$N,8,0),"")</f>
        <v>700</v>
      </c>
      <c r="K49" s="173"/>
      <c r="L49" s="176"/>
      <c r="M49" s="18">
        <f t="shared" si="22"/>
        <v>700</v>
      </c>
      <c r="N49" s="172"/>
      <c r="O49" s="177" t="s">
        <v>2466</v>
      </c>
      <c r="P49" s="173"/>
      <c r="Q49" s="171"/>
      <c r="R49" s="173"/>
      <c r="S49" s="205" t="s">
        <v>2467</v>
      </c>
      <c r="T49" s="179"/>
      <c r="U49" s="179">
        <v>684.0</v>
      </c>
      <c r="V49" s="180">
        <f t="shared" si="23"/>
        <v>1.023391813</v>
      </c>
      <c r="W49" s="179">
        <v>5.0</v>
      </c>
      <c r="X49" s="176"/>
      <c r="Y49" s="18">
        <f t="shared" si="24"/>
        <v>140</v>
      </c>
      <c r="Z49" s="179">
        <v>1.0</v>
      </c>
      <c r="AA49" s="176"/>
      <c r="AB49" s="176"/>
      <c r="AC49" s="181"/>
      <c r="AD49" s="18"/>
      <c r="AE49" s="176"/>
      <c r="AF49" s="18"/>
      <c r="AG49" s="18"/>
      <c r="AH49" s="18"/>
      <c r="AI49" s="209"/>
      <c r="AJ49" s="209" t="s">
        <v>2445</v>
      </c>
    </row>
    <row r="50" ht="15.0" customHeight="1" outlineLevel="1">
      <c r="A50" s="204" t="s">
        <v>2102</v>
      </c>
      <c r="B50" s="192"/>
      <c r="C50" s="18">
        <f>IFERROR(VLOOKUP($A50,'Мои блогеры'!$A:$N,5,0),"")</f>
        <v>1300</v>
      </c>
      <c r="D50" s="199" t="s">
        <v>40</v>
      </c>
      <c r="E50" s="211" t="s">
        <v>2360</v>
      </c>
      <c r="F50" s="212" t="s">
        <v>2361</v>
      </c>
      <c r="G50" s="172" t="s">
        <v>2362</v>
      </c>
      <c r="H50" s="174">
        <v>46255.0</v>
      </c>
      <c r="I50" s="172" t="s">
        <v>2363</v>
      </c>
      <c r="J50" s="18">
        <f>IFERROR(VLOOKUP($A50,'Мои блогеры'!$A:$N,8,0),"")</f>
        <v>2097</v>
      </c>
      <c r="K50" s="173"/>
      <c r="L50" s="176"/>
      <c r="M50" s="18">
        <f t="shared" si="22"/>
        <v>2097</v>
      </c>
      <c r="N50" s="172"/>
      <c r="O50" s="177" t="s">
        <v>2468</v>
      </c>
      <c r="P50" s="173"/>
      <c r="Q50" s="171"/>
      <c r="R50" s="173"/>
      <c r="S50" s="177" t="s">
        <v>2469</v>
      </c>
      <c r="T50" s="179"/>
      <c r="U50" s="179">
        <v>1650.0</v>
      </c>
      <c r="V50" s="180">
        <f t="shared" si="23"/>
        <v>1.270909091</v>
      </c>
      <c r="W50" s="179">
        <v>1.0</v>
      </c>
      <c r="X50" s="176"/>
      <c r="Y50" s="18">
        <f t="shared" si="24"/>
        <v>2097</v>
      </c>
      <c r="Z50" s="179">
        <v>2.0</v>
      </c>
      <c r="AA50" s="179">
        <v>2.0</v>
      </c>
      <c r="AB50" s="179">
        <v>1180.0</v>
      </c>
      <c r="AC50" s="181"/>
      <c r="AD50" s="175"/>
      <c r="AE50" s="176"/>
      <c r="AF50" s="175"/>
      <c r="AG50" s="18"/>
      <c r="AH50" s="18"/>
      <c r="AI50" s="209"/>
      <c r="AJ50" s="209" t="s">
        <v>2445</v>
      </c>
    </row>
    <row r="51" ht="15.0" customHeight="1" outlineLevel="1">
      <c r="A51" s="204" t="s">
        <v>2066</v>
      </c>
      <c r="B51" s="192"/>
      <c r="C51" s="18">
        <f>IFERROR(VLOOKUP($A51,'Мои блогеры'!$A:$N,5,0),"")</f>
        <v>1100</v>
      </c>
      <c r="D51" s="199" t="s">
        <v>1979</v>
      </c>
      <c r="E51" s="172" t="s">
        <v>2360</v>
      </c>
      <c r="F51" s="173" t="s">
        <v>2361</v>
      </c>
      <c r="G51" s="172" t="s">
        <v>2362</v>
      </c>
      <c r="H51" s="174">
        <v>46255.0</v>
      </c>
      <c r="I51" s="172" t="s">
        <v>2363</v>
      </c>
      <c r="J51" s="18">
        <f>IFERROR(VLOOKUP($A51,'Мои блогеры'!$A:$N,8,0),"")</f>
        <v>490</v>
      </c>
      <c r="K51" s="173"/>
      <c r="L51" s="176"/>
      <c r="M51" s="18">
        <f t="shared" si="22"/>
        <v>490</v>
      </c>
      <c r="N51" s="172"/>
      <c r="O51" s="177" t="s">
        <v>2470</v>
      </c>
      <c r="P51" s="173"/>
      <c r="Q51" s="171"/>
      <c r="R51" s="173"/>
      <c r="S51" s="178" t="s">
        <v>2471</v>
      </c>
      <c r="T51" s="179"/>
      <c r="U51" s="179">
        <v>673.0</v>
      </c>
      <c r="V51" s="180">
        <f t="shared" si="23"/>
        <v>0.7280832095</v>
      </c>
      <c r="W51" s="179">
        <v>15.0</v>
      </c>
      <c r="X51" s="176"/>
      <c r="Y51" s="18">
        <f t="shared" si="24"/>
        <v>32.66666667</v>
      </c>
      <c r="Z51" s="179">
        <v>1.0</v>
      </c>
      <c r="AA51" s="176"/>
      <c r="AB51" s="176"/>
      <c r="AC51" s="181"/>
      <c r="AD51" s="18"/>
      <c r="AE51" s="176"/>
      <c r="AF51" s="18"/>
      <c r="AG51" s="18"/>
      <c r="AH51" s="18"/>
      <c r="AI51" s="209"/>
      <c r="AJ51" s="209" t="s">
        <v>2445</v>
      </c>
    </row>
    <row r="52" ht="15.0" customHeight="1" outlineLevel="1">
      <c r="A52" s="204" t="s">
        <v>2081</v>
      </c>
      <c r="B52" s="192"/>
      <c r="C52" s="18">
        <f>IFERROR(VLOOKUP($A52,'Мои блогеры'!$A:$N,5,0),"")</f>
        <v>3600</v>
      </c>
      <c r="D52" s="199" t="s">
        <v>1979</v>
      </c>
      <c r="E52" s="172" t="s">
        <v>2360</v>
      </c>
      <c r="F52" s="173" t="s">
        <v>2361</v>
      </c>
      <c r="G52" s="172" t="s">
        <v>2362</v>
      </c>
      <c r="H52" s="174">
        <v>46256.0</v>
      </c>
      <c r="I52" s="172" t="s">
        <v>2363</v>
      </c>
      <c r="J52" s="18">
        <f>IFERROR(VLOOKUP($A52,'Мои блогеры'!$A:$N,8,0),"")</f>
        <v>700</v>
      </c>
      <c r="K52" s="173"/>
      <c r="L52" s="176"/>
      <c r="M52" s="18">
        <f t="shared" si="22"/>
        <v>700</v>
      </c>
      <c r="N52" s="172"/>
      <c r="O52" s="177" t="s">
        <v>2472</v>
      </c>
      <c r="P52" s="173"/>
      <c r="Q52" s="171"/>
      <c r="R52" s="173"/>
      <c r="S52" s="213" t="s">
        <v>2473</v>
      </c>
      <c r="T52" s="179"/>
      <c r="U52" s="179">
        <v>782.0</v>
      </c>
      <c r="V52" s="180">
        <f t="shared" si="23"/>
        <v>0.895140665</v>
      </c>
      <c r="W52" s="179">
        <v>7.0</v>
      </c>
      <c r="X52" s="176"/>
      <c r="Y52" s="18">
        <f t="shared" si="24"/>
        <v>100</v>
      </c>
      <c r="Z52" s="179">
        <v>0.0</v>
      </c>
      <c r="AA52" s="176"/>
      <c r="AB52" s="176"/>
      <c r="AC52" s="181"/>
      <c r="AD52" s="18"/>
      <c r="AE52" s="176"/>
      <c r="AF52" s="18"/>
      <c r="AG52" s="18"/>
      <c r="AH52" s="18"/>
      <c r="AI52" s="209"/>
      <c r="AJ52" s="209" t="s">
        <v>2445</v>
      </c>
    </row>
    <row r="53" ht="15.0" customHeight="1" outlineLevel="1">
      <c r="A53" s="204" t="s">
        <v>2083</v>
      </c>
      <c r="B53" s="192"/>
      <c r="C53" s="18">
        <f>IFERROR(VLOOKUP($A53,'Мои блогеры'!$A:$N,5,0),"")</f>
        <v>2800</v>
      </c>
      <c r="D53" s="199" t="s">
        <v>1979</v>
      </c>
      <c r="E53" s="172" t="s">
        <v>2360</v>
      </c>
      <c r="F53" s="173" t="s">
        <v>2361</v>
      </c>
      <c r="G53" s="172" t="s">
        <v>2362</v>
      </c>
      <c r="H53" s="174">
        <v>46257.0</v>
      </c>
      <c r="I53" s="172" t="s">
        <v>2363</v>
      </c>
      <c r="J53" s="18">
        <f>IFERROR(VLOOKUP($A53,'Мои блогеры'!$A:$N,8,0),"")</f>
        <v>489</v>
      </c>
      <c r="K53" s="173"/>
      <c r="L53" s="176"/>
      <c r="M53" s="18">
        <f t="shared" si="22"/>
        <v>489</v>
      </c>
      <c r="N53" s="172"/>
      <c r="O53" s="177" t="s">
        <v>2474</v>
      </c>
      <c r="P53" s="173"/>
      <c r="Q53" s="171"/>
      <c r="R53" s="173"/>
      <c r="S53" s="178" t="s">
        <v>2475</v>
      </c>
      <c r="T53" s="179"/>
      <c r="U53" s="179">
        <v>1022.0</v>
      </c>
      <c r="V53" s="180">
        <f t="shared" si="23"/>
        <v>0.4784735812</v>
      </c>
      <c r="W53" s="179">
        <v>3.0</v>
      </c>
      <c r="X53" s="176"/>
      <c r="Y53" s="18">
        <f t="shared" si="24"/>
        <v>163</v>
      </c>
      <c r="Z53" s="179">
        <v>1.0</v>
      </c>
      <c r="AA53" s="176"/>
      <c r="AB53" s="176"/>
      <c r="AC53" s="181"/>
      <c r="AD53" s="18"/>
      <c r="AE53" s="176"/>
      <c r="AF53" s="18"/>
      <c r="AG53" s="18"/>
      <c r="AH53" s="18"/>
      <c r="AI53" s="209"/>
      <c r="AJ53" s="209" t="s">
        <v>2445</v>
      </c>
    </row>
    <row r="54" ht="15.0" customHeight="1" outlineLevel="1">
      <c r="A54" s="201" t="s">
        <v>2476</v>
      </c>
      <c r="B54" s="188"/>
      <c r="C54" s="189"/>
      <c r="D54" s="188"/>
      <c r="E54" s="188"/>
      <c r="F54" s="188"/>
      <c r="G54" s="188"/>
      <c r="H54" s="188"/>
      <c r="I54" s="188" t="str">
        <f>COUNTIF(#REF!,"Вышло")&amp;" / "&amp;COUNTA(A34:A53)</f>
        <v>0 / 20</v>
      </c>
      <c r="J54" s="189">
        <f t="shared" ref="J54:S54" si="29">SUM(J34:J53)</f>
        <v>140148</v>
      </c>
      <c r="K54" s="189">
        <f t="shared" si="29"/>
        <v>12030</v>
      </c>
      <c r="L54" s="189">
        <f t="shared" si="29"/>
        <v>1322</v>
      </c>
      <c r="M54" s="189">
        <f t="shared" si="29"/>
        <v>153500</v>
      </c>
      <c r="N54" s="189">
        <f t="shared" si="29"/>
        <v>0</v>
      </c>
      <c r="O54" s="189">
        <f t="shared" si="29"/>
        <v>0</v>
      </c>
      <c r="P54" s="189">
        <f t="shared" si="29"/>
        <v>0</v>
      </c>
      <c r="Q54" s="189">
        <f t="shared" si="29"/>
        <v>0</v>
      </c>
      <c r="R54" s="189">
        <f t="shared" si="29"/>
        <v>0</v>
      </c>
      <c r="S54" s="189">
        <f t="shared" si="29"/>
        <v>0</v>
      </c>
      <c r="T54" s="189"/>
      <c r="U54" s="189">
        <f t="shared" ref="U54:X54" si="30">SUM(U34:U53)</f>
        <v>70478</v>
      </c>
      <c r="V54" s="202">
        <f t="shared" si="30"/>
        <v>38.57664947</v>
      </c>
      <c r="W54" s="189">
        <f t="shared" si="30"/>
        <v>388</v>
      </c>
      <c r="X54" s="189">
        <f t="shared" si="30"/>
        <v>0</v>
      </c>
      <c r="Y54" s="189">
        <f>IF(N($W54)=0,"",$M54/$W54)</f>
        <v>395.6185567</v>
      </c>
      <c r="Z54" s="189">
        <f t="shared" ref="Z54:AH54" si="31">SUM(Z34:Z53)</f>
        <v>76</v>
      </c>
      <c r="AA54" s="189">
        <f t="shared" si="31"/>
        <v>8</v>
      </c>
      <c r="AB54" s="189">
        <f t="shared" si="31"/>
        <v>5026</v>
      </c>
      <c r="AC54" s="189">
        <f t="shared" si="31"/>
        <v>0</v>
      </c>
      <c r="AD54" s="189">
        <f t="shared" si="31"/>
        <v>2</v>
      </c>
      <c r="AE54" s="189">
        <f t="shared" si="31"/>
        <v>2666</v>
      </c>
      <c r="AF54" s="189">
        <f t="shared" si="31"/>
        <v>2666</v>
      </c>
      <c r="AG54" s="189">
        <f t="shared" si="31"/>
        <v>7202</v>
      </c>
      <c r="AH54" s="189">
        <f t="shared" si="31"/>
        <v>3601</v>
      </c>
      <c r="AI54" s="189"/>
      <c r="AJ54" s="189"/>
    </row>
    <row r="55" ht="15.0" customHeight="1">
      <c r="A55" s="203" t="s">
        <v>2477</v>
      </c>
      <c r="B55" s="166"/>
      <c r="C55" s="166"/>
      <c r="D55" s="166"/>
      <c r="E55" s="166"/>
      <c r="F55" s="166"/>
      <c r="G55" s="166"/>
      <c r="H55" s="166"/>
      <c r="I55" s="214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7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</row>
    <row r="56" ht="15.0" customHeight="1" outlineLevel="1">
      <c r="A56" s="204" t="s">
        <v>2043</v>
      </c>
      <c r="B56" s="169"/>
      <c r="C56" s="18">
        <f>IFERROR(VLOOKUP($A56,'Мои блогеры'!$A:$N,5,0),"")</f>
        <v>479000</v>
      </c>
      <c r="D56" s="171" t="str">
        <f>IFERROR(VLOOKUP($A56,'Мои блогеры'!$A:$N,2,0),"")</f>
        <v>YouTube</v>
      </c>
      <c r="E56" s="172" t="s">
        <v>2429</v>
      </c>
      <c r="F56" s="172">
        <v>12.0</v>
      </c>
      <c r="G56" s="173"/>
      <c r="H56" s="174">
        <v>46259.0</v>
      </c>
      <c r="I56" s="215" t="s">
        <v>2363</v>
      </c>
      <c r="J56" s="18">
        <f>IFERROR(VLOOKUP($A56,'Мои блогеры'!$A:$N,8,0),"")</f>
        <v>13750</v>
      </c>
      <c r="K56" s="172">
        <v>1116.0</v>
      </c>
      <c r="L56" s="176"/>
      <c r="M56" s="18">
        <f t="shared" ref="M56:M60" si="32">IF(N($J56)+N($K56)+N($L56)=0,"",N($J56)+N($K56)+N($L56))</f>
        <v>14866</v>
      </c>
      <c r="N56" s="173"/>
      <c r="O56" s="216" t="s">
        <v>2478</v>
      </c>
      <c r="P56" s="173"/>
      <c r="Q56" s="171"/>
      <c r="R56" s="173"/>
      <c r="S56" s="216" t="s">
        <v>2479</v>
      </c>
      <c r="T56" s="172" t="s">
        <v>2393</v>
      </c>
      <c r="U56" s="179">
        <v>14000.0</v>
      </c>
      <c r="V56" s="180">
        <f t="shared" ref="V56:V75" si="33">IF(N($U56)=0,"",$M56/$U56)</f>
        <v>1.061857143</v>
      </c>
      <c r="W56" s="179">
        <v>10.0</v>
      </c>
      <c r="X56" s="179" t="s">
        <v>2367</v>
      </c>
      <c r="Y56" s="18">
        <f t="shared" ref="Y56:Y75" si="34">IF(N($W56)=0,"",$M56/$W56)</f>
        <v>1486.6</v>
      </c>
      <c r="Z56" s="179">
        <v>3.0</v>
      </c>
      <c r="AA56" s="179">
        <v>2.0</v>
      </c>
      <c r="AB56" s="179">
        <v>3400.0</v>
      </c>
      <c r="AC56" s="181"/>
      <c r="AD56" s="175">
        <v>2.0</v>
      </c>
      <c r="AE56" s="179">
        <f>AB56/AD56</f>
        <v>1700</v>
      </c>
      <c r="AF56" s="175">
        <v>3400.0</v>
      </c>
      <c r="AG56" s="18">
        <f t="shared" ref="AG56:AG75" si="35">IF(N($AD56)=0,"",ROUND($M56/$AD56,0))</f>
        <v>7433</v>
      </c>
      <c r="AH56" s="18">
        <f t="shared" ref="AH56:AH70" si="36">IF(N($AA56)=0,"",ROUND($M56/$AA56,0))</f>
        <v>7433</v>
      </c>
      <c r="AI56" s="209"/>
      <c r="AJ56" s="209" t="s">
        <v>2445</v>
      </c>
    </row>
    <row r="57" ht="15.0" customHeight="1" outlineLevel="1">
      <c r="A57" s="204" t="s">
        <v>2044</v>
      </c>
      <c r="B57" s="169" t="str">
        <f>IF($A57="","",IFERROR(HYPERLINK(VLOOKUP($A57,'Мои блогеры'!$A:$N,14,0),"🔗 открыть"),""))</f>
        <v>🔗 открыть</v>
      </c>
      <c r="C57" s="18">
        <f>IFERROR(VLOOKUP($A57,'Мои блогеры'!$A:$N,5,0),"")</f>
        <v>6400</v>
      </c>
      <c r="D57" s="171" t="str">
        <f>IFERROR(VLOOKUP($A57,'Мои блогеры'!$A:$N,2,0),"")</f>
        <v>Rutube</v>
      </c>
      <c r="E57" s="172" t="s">
        <v>2429</v>
      </c>
      <c r="F57" s="172">
        <v>12.0</v>
      </c>
      <c r="G57" s="173"/>
      <c r="H57" s="174">
        <v>46259.0</v>
      </c>
      <c r="I57" s="215" t="s">
        <v>2363</v>
      </c>
      <c r="J57" s="18">
        <f>IFERROR(VLOOKUP($A57,'Мои блогеры'!$A:$N,8,0),"")</f>
        <v>7500</v>
      </c>
      <c r="K57" s="172">
        <v>1116.0</v>
      </c>
      <c r="L57" s="176"/>
      <c r="M57" s="18">
        <f t="shared" si="32"/>
        <v>8616</v>
      </c>
      <c r="N57" s="173"/>
      <c r="O57" s="216" t="s">
        <v>2480</v>
      </c>
      <c r="P57" s="173"/>
      <c r="Q57" s="171"/>
      <c r="R57" s="173"/>
      <c r="S57" s="216" t="s">
        <v>2481</v>
      </c>
      <c r="T57" s="172" t="s">
        <v>2393</v>
      </c>
      <c r="U57" s="179">
        <v>905.0</v>
      </c>
      <c r="V57" s="180">
        <f t="shared" si="33"/>
        <v>9.520441989</v>
      </c>
      <c r="W57" s="179">
        <v>2.0</v>
      </c>
      <c r="X57" s="176"/>
      <c r="Y57" s="18">
        <f t="shared" si="34"/>
        <v>4308</v>
      </c>
      <c r="Z57" s="179">
        <v>0.0</v>
      </c>
      <c r="AA57" s="176"/>
      <c r="AB57" s="176"/>
      <c r="AC57" s="181"/>
      <c r="AD57" s="18" t="str">
        <f t="shared" ref="AD57:AD58" si="37">IF(OR(N($AA57)=0,$AC57=""),"",ROUND($AA57*$AC57,0))</f>
        <v/>
      </c>
      <c r="AE57" s="176"/>
      <c r="AF57" s="175"/>
      <c r="AG57" s="18" t="str">
        <f t="shared" si="35"/>
        <v/>
      </c>
      <c r="AH57" s="18" t="str">
        <f t="shared" si="36"/>
        <v/>
      </c>
      <c r="AI57" s="172" t="s">
        <v>2482</v>
      </c>
      <c r="AJ57" s="209" t="s">
        <v>2445</v>
      </c>
    </row>
    <row r="58" ht="15.0" customHeight="1" outlineLevel="1">
      <c r="A58" s="204" t="s">
        <v>2046</v>
      </c>
      <c r="B58" s="169" t="str">
        <f>IF($A58="","",IFERROR(HYPERLINK(VLOOKUP($A58,'Мои блогеры'!$A:$N,14,0),"🔗 открыть"),""))</f>
        <v>🔗 открыть</v>
      </c>
      <c r="C58" s="18">
        <f>IFERROR(VLOOKUP($A58,'Мои блогеры'!$A:$N,5,0),"")</f>
        <v>41300</v>
      </c>
      <c r="D58" s="171" t="str">
        <f>IFERROR(VLOOKUP($A58,'Мои блогеры'!$A:$N,2,0),"")</f>
        <v>VK</v>
      </c>
      <c r="E58" s="172" t="s">
        <v>2429</v>
      </c>
      <c r="F58" s="172">
        <v>12.0</v>
      </c>
      <c r="G58" s="173"/>
      <c r="H58" s="174">
        <v>46259.0</v>
      </c>
      <c r="I58" s="215" t="s">
        <v>2363</v>
      </c>
      <c r="J58" s="18">
        <f>IFERROR(VLOOKUP($A58,'Мои блогеры'!$A:$N,8,0),"")</f>
        <v>13750</v>
      </c>
      <c r="K58" s="172">
        <v>1118.0</v>
      </c>
      <c r="L58" s="176"/>
      <c r="M58" s="18">
        <f t="shared" si="32"/>
        <v>14868</v>
      </c>
      <c r="N58" s="173"/>
      <c r="O58" s="216" t="s">
        <v>2483</v>
      </c>
      <c r="P58" s="173"/>
      <c r="Q58" s="171"/>
      <c r="R58" s="173"/>
      <c r="S58" s="217" t="s">
        <v>2484</v>
      </c>
      <c r="T58" s="172" t="s">
        <v>2393</v>
      </c>
      <c r="U58" s="179">
        <v>19000.0</v>
      </c>
      <c r="V58" s="180">
        <f t="shared" si="33"/>
        <v>0.7825263158</v>
      </c>
      <c r="W58" s="179">
        <v>5.0</v>
      </c>
      <c r="X58" s="176"/>
      <c r="Y58" s="18">
        <f t="shared" si="34"/>
        <v>2973.6</v>
      </c>
      <c r="Z58" s="179">
        <v>3.0</v>
      </c>
      <c r="AA58" s="176"/>
      <c r="AB58" s="176"/>
      <c r="AC58" s="181"/>
      <c r="AD58" s="18" t="str">
        <f t="shared" si="37"/>
        <v/>
      </c>
      <c r="AE58" s="176"/>
      <c r="AF58" s="175"/>
      <c r="AG58" s="18" t="str">
        <f t="shared" si="35"/>
        <v/>
      </c>
      <c r="AH58" s="18" t="str">
        <f t="shared" si="36"/>
        <v/>
      </c>
      <c r="AI58" s="172" t="s">
        <v>2482</v>
      </c>
      <c r="AJ58" s="209" t="s">
        <v>2445</v>
      </c>
    </row>
    <row r="59" ht="15.0" customHeight="1" outlineLevel="1">
      <c r="A59" s="204" t="s">
        <v>2008</v>
      </c>
      <c r="B59" s="169" t="str">
        <f>IF($A59="","",IFERROR(HYPERLINK(VLOOKUP($A59,'Мои блогеры'!$A:$N,14,0),"🔗 открыть"),""))</f>
        <v>🔗 открыть</v>
      </c>
      <c r="C59" s="18">
        <f>IFERROR(VLOOKUP($A59,'Мои блогеры'!$A:$N,5,0),"")</f>
        <v>103750</v>
      </c>
      <c r="D59" s="171" t="str">
        <f>IFERROR(VLOOKUP($A59,'Мои блогеры'!$A:$N,2,0),"")</f>
        <v>Telegram</v>
      </c>
      <c r="E59" s="172" t="s">
        <v>2429</v>
      </c>
      <c r="F59" s="173"/>
      <c r="G59" s="173"/>
      <c r="H59" s="218">
        <v>46261.0</v>
      </c>
      <c r="I59" s="172" t="s">
        <v>2363</v>
      </c>
      <c r="J59" s="18">
        <f>IFERROR(VLOOKUP($A59,'Мои блогеры'!$A:$N,8,0),"")</f>
        <v>30000</v>
      </c>
      <c r="K59" s="172">
        <v>2100.0</v>
      </c>
      <c r="L59" s="179">
        <v>725.0</v>
      </c>
      <c r="M59" s="18">
        <f t="shared" si="32"/>
        <v>32825</v>
      </c>
      <c r="N59" s="173"/>
      <c r="O59" s="216" t="s">
        <v>2485</v>
      </c>
      <c r="P59" s="173"/>
      <c r="Q59" s="171"/>
      <c r="R59" s="173"/>
      <c r="S59" s="216" t="s">
        <v>2486</v>
      </c>
      <c r="T59" s="172" t="s">
        <v>2487</v>
      </c>
      <c r="U59" s="179">
        <v>12500.0</v>
      </c>
      <c r="V59" s="180">
        <f t="shared" si="33"/>
        <v>2.626</v>
      </c>
      <c r="W59" s="179">
        <v>133.0</v>
      </c>
      <c r="X59" s="176"/>
      <c r="Y59" s="18">
        <f t="shared" si="34"/>
        <v>246.8045113</v>
      </c>
      <c r="Z59" s="179">
        <v>42.0</v>
      </c>
      <c r="AA59" s="179">
        <v>4.0</v>
      </c>
      <c r="AB59" s="179">
        <f>3400+
1920+
1700</f>
        <v>7020</v>
      </c>
      <c r="AC59" s="181"/>
      <c r="AD59" s="175">
        <v>4.0</v>
      </c>
      <c r="AE59" s="179">
        <f t="shared" ref="AE59:AE60" si="38">AB59/AD59</f>
        <v>1755</v>
      </c>
      <c r="AF59" s="175">
        <v>7020.0</v>
      </c>
      <c r="AG59" s="18">
        <f t="shared" si="35"/>
        <v>8206</v>
      </c>
      <c r="AH59" s="18">
        <f t="shared" si="36"/>
        <v>8206</v>
      </c>
      <c r="AI59" s="172" t="s">
        <v>2482</v>
      </c>
      <c r="AJ59" s="173"/>
    </row>
    <row r="60" ht="15.0" customHeight="1" outlineLevel="1">
      <c r="A60" s="204" t="s">
        <v>2011</v>
      </c>
      <c r="B60" s="169" t="str">
        <f>IF($A60="","",IFERROR(HYPERLINK(VLOOKUP($A60,'Мои блогеры'!$A:$N,14,0),"🔗 открыть"),""))</f>
        <v>🔗 открыть</v>
      </c>
      <c r="C60" s="18">
        <f>IFERROR(VLOOKUP($A60,'Мои блогеры'!$A:$N,5,0),"")</f>
        <v>16912</v>
      </c>
      <c r="D60" s="171" t="str">
        <f>IFERROR(VLOOKUP($A60,'Мои блогеры'!$A:$N,2,0),"")</f>
        <v>MAX</v>
      </c>
      <c r="E60" s="172" t="s">
        <v>2429</v>
      </c>
      <c r="F60" s="173"/>
      <c r="G60" s="173"/>
      <c r="H60" s="218">
        <v>46261.0</v>
      </c>
      <c r="I60" s="172" t="s">
        <v>2363</v>
      </c>
      <c r="J60" s="18">
        <f>IFERROR(VLOOKUP($A60,'Мои блогеры'!$A:$N,8,0),"")</f>
        <v>15000</v>
      </c>
      <c r="K60" s="172">
        <v>1050.0</v>
      </c>
      <c r="L60" s="176"/>
      <c r="M60" s="18">
        <f t="shared" si="32"/>
        <v>16050</v>
      </c>
      <c r="N60" s="173"/>
      <c r="O60" s="216" t="s">
        <v>2488</v>
      </c>
      <c r="P60" s="173"/>
      <c r="Q60" s="171"/>
      <c r="R60" s="173"/>
      <c r="S60" s="216" t="s">
        <v>2489</v>
      </c>
      <c r="T60" s="172" t="s">
        <v>2487</v>
      </c>
      <c r="U60" s="179">
        <v>10000.0</v>
      </c>
      <c r="V60" s="180">
        <f t="shared" si="33"/>
        <v>1.605</v>
      </c>
      <c r="W60" s="179">
        <f>286+32</f>
        <v>318</v>
      </c>
      <c r="X60" s="176"/>
      <c r="Y60" s="18">
        <f t="shared" si="34"/>
        <v>50.47169811</v>
      </c>
      <c r="Z60" s="179">
        <v>100.0</v>
      </c>
      <c r="AA60" s="179">
        <v>21.0</v>
      </c>
      <c r="AB60" s="179">
        <f>24000+1900+2400+9600</f>
        <v>37900</v>
      </c>
      <c r="AC60" s="181"/>
      <c r="AD60" s="175">
        <v>21.0</v>
      </c>
      <c r="AE60" s="179">
        <f t="shared" si="38"/>
        <v>1804.761905</v>
      </c>
      <c r="AF60" s="175">
        <f>AB60</f>
        <v>37900</v>
      </c>
      <c r="AG60" s="18">
        <f t="shared" si="35"/>
        <v>764</v>
      </c>
      <c r="AH60" s="18">
        <f t="shared" si="36"/>
        <v>764</v>
      </c>
      <c r="AI60" s="172" t="s">
        <v>2482</v>
      </c>
      <c r="AJ60" s="173"/>
    </row>
    <row r="61" ht="15.0" customHeight="1" outlineLevel="1">
      <c r="A61" s="204" t="s">
        <v>2058</v>
      </c>
      <c r="B61" s="169" t="str">
        <f>IF($A61="","",IFERROR(HYPERLINK(VLOOKUP($A61,'Мои блогеры'!$A:$N,14,0),"🔗 открыть"),""))</f>
        <v>🔗 открыть</v>
      </c>
      <c r="C61" s="18">
        <f>IFERROR(VLOOKUP($A61,'Мои блогеры'!$A:$N,5,0),"")</f>
        <v>890</v>
      </c>
      <c r="D61" s="171" t="str">
        <f>IFERROR(VLOOKUP($A61,'Мои блогеры'!$A:$N,2,0),"")</f>
        <v>Rutube</v>
      </c>
      <c r="E61" s="172" t="s">
        <v>2429</v>
      </c>
      <c r="F61" s="173"/>
      <c r="G61" s="173"/>
      <c r="H61" s="174">
        <v>46264.0</v>
      </c>
      <c r="I61" s="172" t="s">
        <v>2363</v>
      </c>
      <c r="J61" s="18">
        <f>IFERROR(VLOOKUP($A61,'Мои блогеры'!$A:$N,8,0),"")</f>
        <v>0</v>
      </c>
      <c r="K61" s="173"/>
      <c r="L61" s="176"/>
      <c r="M61" s="175">
        <v>0.0</v>
      </c>
      <c r="N61" s="173"/>
      <c r="O61" s="216" t="s">
        <v>2490</v>
      </c>
      <c r="P61" s="173"/>
      <c r="Q61" s="171"/>
      <c r="R61" s="173"/>
      <c r="S61" s="217" t="s">
        <v>2491</v>
      </c>
      <c r="T61" s="172" t="s">
        <v>2393</v>
      </c>
      <c r="U61" s="179">
        <v>164.0</v>
      </c>
      <c r="V61" s="180">
        <f t="shared" si="33"/>
        <v>0</v>
      </c>
      <c r="W61" s="179">
        <v>0.0</v>
      </c>
      <c r="X61" s="176"/>
      <c r="Y61" s="18" t="str">
        <f t="shared" si="34"/>
        <v/>
      </c>
      <c r="Z61" s="179">
        <v>0.0</v>
      </c>
      <c r="AA61" s="176"/>
      <c r="AB61" s="176"/>
      <c r="AC61" s="181"/>
      <c r="AD61" s="18" t="str">
        <f>IF(OR(N($AA61)=0,$AC61=""),"",ROUND($AA61*$AC61,0))</f>
        <v/>
      </c>
      <c r="AE61" s="179">
        <v>0.0</v>
      </c>
      <c r="AF61" s="18" t="str">
        <f t="shared" ref="AF61:AF65" si="39">IF(OR(N($AD61)=0,$AE61=""),"",ROUND($AD61*$AE61,0))</f>
        <v/>
      </c>
      <c r="AG61" s="18" t="str">
        <f t="shared" si="35"/>
        <v/>
      </c>
      <c r="AH61" s="18" t="str">
        <f t="shared" si="36"/>
        <v/>
      </c>
      <c r="AI61" s="172" t="s">
        <v>2482</v>
      </c>
      <c r="AJ61" s="173"/>
    </row>
    <row r="62" ht="15.0" customHeight="1" outlineLevel="1">
      <c r="A62" s="219" t="s">
        <v>35</v>
      </c>
      <c r="B62" s="192" t="str">
        <f>IF($A62="","",IFERROR(HYPERLINK(VLOOKUP($A62,'Мои блогеры'!$A:$N,14,0),"🔗 открыть"),""))</f>
        <v>🔗 открыть</v>
      </c>
      <c r="C62" s="18">
        <f>IFERROR(VLOOKUP($A62,'Мои блогеры'!$A:$N,5,0),"")</f>
        <v>182000</v>
      </c>
      <c r="D62" s="185" t="s">
        <v>19</v>
      </c>
      <c r="E62" s="172" t="s">
        <v>2429</v>
      </c>
      <c r="F62" s="172">
        <v>4.0</v>
      </c>
      <c r="G62" s="173"/>
      <c r="H62" s="174">
        <v>46262.0</v>
      </c>
      <c r="I62" s="172" t="s">
        <v>2363</v>
      </c>
      <c r="J62" s="18">
        <f>IFERROR(VLOOKUP($A62,'Мои блогеры'!$A:$N,8,0),"")</f>
        <v>27500</v>
      </c>
      <c r="K62" s="173">
        <f t="shared" ref="K62:K63" si="40">J62*0.06</f>
        <v>1650</v>
      </c>
      <c r="L62" s="179">
        <v>700.0</v>
      </c>
      <c r="M62" s="18">
        <f t="shared" ref="M62:M68" si="41">IF(N($J62)+N($K62)+N($L62)=0,"",N($J62)+N($K62)+N($L62))</f>
        <v>29850</v>
      </c>
      <c r="N62" s="173"/>
      <c r="O62" s="216" t="s">
        <v>2492</v>
      </c>
      <c r="P62" s="173"/>
      <c r="Q62" s="171"/>
      <c r="R62" s="173"/>
      <c r="S62" s="216" t="s">
        <v>2493</v>
      </c>
      <c r="T62" s="172" t="s">
        <v>2393</v>
      </c>
      <c r="U62" s="179">
        <v>55000.0</v>
      </c>
      <c r="V62" s="180">
        <f t="shared" si="33"/>
        <v>0.5427272727</v>
      </c>
      <c r="W62" s="179">
        <v>218.0</v>
      </c>
      <c r="X62" s="176"/>
      <c r="Y62" s="18">
        <f t="shared" si="34"/>
        <v>136.9266055</v>
      </c>
      <c r="Z62" s="179">
        <v>31.0</v>
      </c>
      <c r="AA62" s="179">
        <v>8.0</v>
      </c>
      <c r="AB62" s="179">
        <v>17800.0</v>
      </c>
      <c r="AC62" s="181"/>
      <c r="AD62" s="175">
        <v>8.0</v>
      </c>
      <c r="AE62" s="179">
        <f t="shared" ref="AE62:AE63" si="42">AB62/AD62</f>
        <v>2225</v>
      </c>
      <c r="AF62" s="18">
        <f t="shared" si="39"/>
        <v>17800</v>
      </c>
      <c r="AG62" s="18">
        <f t="shared" si="35"/>
        <v>3731</v>
      </c>
      <c r="AH62" s="18">
        <f t="shared" si="36"/>
        <v>3731</v>
      </c>
      <c r="AI62" s="172" t="s">
        <v>2482</v>
      </c>
      <c r="AJ62" s="173"/>
    </row>
    <row r="63" ht="15.0" customHeight="1" outlineLevel="1">
      <c r="A63" s="219" t="s">
        <v>30</v>
      </c>
      <c r="B63" s="192" t="str">
        <f>IF($A63="","",IFERROR(HYPERLINK(VLOOKUP($A63,'Мои блогеры'!$A:$N,14,0),"🔗 открыть"),""))</f>
        <v>🔗 открыть</v>
      </c>
      <c r="C63" s="18">
        <f>IFERROR(VLOOKUP($A63,'Мои блогеры'!$A:$N,5,0),"")</f>
        <v>7700</v>
      </c>
      <c r="D63" s="185" t="s">
        <v>2494</v>
      </c>
      <c r="E63" s="172" t="s">
        <v>2429</v>
      </c>
      <c r="F63" s="172">
        <v>4.0</v>
      </c>
      <c r="G63" s="173"/>
      <c r="H63" s="174">
        <v>46264.0</v>
      </c>
      <c r="I63" s="172" t="s">
        <v>2363</v>
      </c>
      <c r="J63" s="18">
        <f>IFERROR(VLOOKUP($A63,'Мои блогеры'!$A:$N,8,0),"")</f>
        <v>27500</v>
      </c>
      <c r="K63" s="173">
        <f t="shared" si="40"/>
        <v>1650</v>
      </c>
      <c r="L63" s="179">
        <v>0.0</v>
      </c>
      <c r="M63" s="18">
        <f t="shared" si="41"/>
        <v>29150</v>
      </c>
      <c r="N63" s="173"/>
      <c r="O63" s="220" t="s">
        <v>2495</v>
      </c>
      <c r="P63" s="173"/>
      <c r="Q63" s="171"/>
      <c r="R63" s="173"/>
      <c r="S63" s="216" t="s">
        <v>2496</v>
      </c>
      <c r="T63" s="172" t="s">
        <v>2393</v>
      </c>
      <c r="U63" s="179">
        <v>24900.0</v>
      </c>
      <c r="V63" s="180">
        <f t="shared" si="33"/>
        <v>1.170682731</v>
      </c>
      <c r="W63" s="179">
        <v>112.0</v>
      </c>
      <c r="X63" s="176"/>
      <c r="Y63" s="18">
        <f t="shared" si="34"/>
        <v>260.2678571</v>
      </c>
      <c r="Z63" s="179">
        <v>34.0</v>
      </c>
      <c r="AA63" s="179">
        <v>20.0</v>
      </c>
      <c r="AB63" s="179">
        <v>37200.0</v>
      </c>
      <c r="AC63" s="181"/>
      <c r="AD63" s="175">
        <v>20.0</v>
      </c>
      <c r="AE63" s="179">
        <f t="shared" si="42"/>
        <v>1860</v>
      </c>
      <c r="AF63" s="18">
        <f t="shared" si="39"/>
        <v>37200</v>
      </c>
      <c r="AG63" s="18">
        <f t="shared" si="35"/>
        <v>1458</v>
      </c>
      <c r="AH63" s="18">
        <f t="shared" si="36"/>
        <v>1458</v>
      </c>
      <c r="AI63" s="172" t="s">
        <v>2482</v>
      </c>
      <c r="AJ63" s="173"/>
    </row>
    <row r="64" ht="15.0" customHeight="1" outlineLevel="1">
      <c r="A64" s="221" t="s">
        <v>58</v>
      </c>
      <c r="B64" s="169" t="str">
        <f>IF($A64="","",IFERROR(HYPERLINK(VLOOKUP($A64,'Мои блогеры'!$A:$N,14,0),"🔗 открыть"),""))</f>
        <v>🔗 открыть</v>
      </c>
      <c r="C64" s="18">
        <f>IFERROR(VLOOKUP($A64,'Мои блогеры'!$A:$N,5,0),"")</f>
        <v>29600</v>
      </c>
      <c r="D64" s="185" t="s">
        <v>19</v>
      </c>
      <c r="E64" s="172" t="s">
        <v>2429</v>
      </c>
      <c r="F64" s="173"/>
      <c r="G64" s="173"/>
      <c r="H64" s="174">
        <v>46262.0</v>
      </c>
      <c r="I64" s="172" t="s">
        <v>2363</v>
      </c>
      <c r="J64" s="18">
        <f>IFERROR(VLOOKUP($A64,'Мои блогеры'!$A:$N,8,0),"")</f>
        <v>38000</v>
      </c>
      <c r="K64" s="172">
        <v>2710.0</v>
      </c>
      <c r="L64" s="179">
        <v>715.0</v>
      </c>
      <c r="M64" s="18">
        <f t="shared" si="41"/>
        <v>41425</v>
      </c>
      <c r="N64" s="173"/>
      <c r="O64" s="222" t="s">
        <v>2367</v>
      </c>
      <c r="P64" s="210" t="s">
        <v>2367</v>
      </c>
      <c r="Q64" s="171"/>
      <c r="R64" s="173"/>
      <c r="S64" s="217" t="s">
        <v>2497</v>
      </c>
      <c r="T64" s="172" t="s">
        <v>2393</v>
      </c>
      <c r="U64" s="179">
        <v>336000.0</v>
      </c>
      <c r="V64" s="180">
        <f t="shared" si="33"/>
        <v>0.1232886905</v>
      </c>
      <c r="W64" s="179"/>
      <c r="X64" s="176"/>
      <c r="Y64" s="18" t="str">
        <f t="shared" si="34"/>
        <v/>
      </c>
      <c r="Z64" s="176"/>
      <c r="AA64" s="176"/>
      <c r="AB64" s="176"/>
      <c r="AC64" s="181"/>
      <c r="AD64" s="18" t="str">
        <f>IF(OR(N($AA64)=0,$AC64=""),"",ROUND($AA64*$AC64,0))</f>
        <v/>
      </c>
      <c r="AE64" s="176"/>
      <c r="AF64" s="18" t="str">
        <f t="shared" si="39"/>
        <v/>
      </c>
      <c r="AG64" s="18" t="str">
        <f t="shared" si="35"/>
        <v/>
      </c>
      <c r="AH64" s="18" t="str">
        <f t="shared" si="36"/>
        <v/>
      </c>
      <c r="AI64" s="172" t="s">
        <v>2482</v>
      </c>
      <c r="AJ64" s="173"/>
    </row>
    <row r="65" ht="15.0" customHeight="1" outlineLevel="1">
      <c r="A65" s="204" t="s">
        <v>2113</v>
      </c>
      <c r="B65" s="169" t="str">
        <f>IF($A65="","",IFERROR(HYPERLINK(VLOOKUP($A65,'Мои блогеры'!$A:$N,14,0),"🔗 открыть"),""))</f>
        <v>🔗 открыть</v>
      </c>
      <c r="C65" s="18">
        <f>IFERROR(VLOOKUP($A65,'Мои блогеры'!$A:$N,5,0),"")</f>
        <v>2500</v>
      </c>
      <c r="D65" s="171" t="str">
        <f>IFERROR(VLOOKUP($A65,'Мои блогеры'!$A:$N,2,0),"")</f>
        <v>Telegram</v>
      </c>
      <c r="E65" s="172" t="s">
        <v>2429</v>
      </c>
      <c r="F65" s="173"/>
      <c r="G65" s="172" t="s">
        <v>2362</v>
      </c>
      <c r="H65" s="174">
        <v>46260.0</v>
      </c>
      <c r="I65" s="172" t="s">
        <v>2363</v>
      </c>
      <c r="J65" s="18">
        <f>IFERROR(VLOOKUP($A65,'Мои блогеры'!$A:$N,8,0),"")</f>
        <v>699</v>
      </c>
      <c r="K65" s="173"/>
      <c r="L65" s="176"/>
      <c r="M65" s="18">
        <f t="shared" si="41"/>
        <v>699</v>
      </c>
      <c r="N65" s="172"/>
      <c r="O65" s="217" t="s">
        <v>2498</v>
      </c>
      <c r="P65" s="177" t="s">
        <v>2499</v>
      </c>
      <c r="Q65" s="171"/>
      <c r="R65" s="173"/>
      <c r="S65" s="217" t="s">
        <v>2500</v>
      </c>
      <c r="T65" s="179"/>
      <c r="U65" s="179">
        <v>1892.0</v>
      </c>
      <c r="V65" s="180">
        <f t="shared" si="33"/>
        <v>0.3694503171</v>
      </c>
      <c r="W65" s="179">
        <v>7.0</v>
      </c>
      <c r="X65" s="179">
        <v>4.0</v>
      </c>
      <c r="Y65" s="18">
        <f t="shared" si="34"/>
        <v>99.85714286</v>
      </c>
      <c r="Z65" s="179">
        <v>2.0</v>
      </c>
      <c r="AA65" s="179">
        <v>0.0</v>
      </c>
      <c r="AB65" s="179">
        <v>0.0</v>
      </c>
      <c r="AC65" s="181"/>
      <c r="AD65" s="179">
        <v>0.0</v>
      </c>
      <c r="AE65" s="179"/>
      <c r="AF65" s="176" t="str">
        <f t="shared" si="39"/>
        <v/>
      </c>
      <c r="AG65" s="176" t="str">
        <f t="shared" si="35"/>
        <v/>
      </c>
      <c r="AH65" s="176" t="str">
        <f t="shared" si="36"/>
        <v/>
      </c>
      <c r="AI65" s="172" t="s">
        <v>2482</v>
      </c>
      <c r="AJ65" s="173"/>
    </row>
    <row r="66" ht="25.5" customHeight="1" outlineLevel="1">
      <c r="A66" s="223" t="s">
        <v>1987</v>
      </c>
      <c r="B66" s="169"/>
      <c r="C66" s="18">
        <f>IFERROR(VLOOKUP($A66,'Мои блогеры'!$A:$N,5,0),"")</f>
        <v>71500</v>
      </c>
      <c r="D66" s="171" t="str">
        <f>IFERROR(VLOOKUP($A66,'Мои блогеры'!$A:$N,2,0),"")</f>
        <v>MAX</v>
      </c>
      <c r="E66" s="172" t="s">
        <v>2429</v>
      </c>
      <c r="F66" s="173"/>
      <c r="G66" s="172" t="s">
        <v>2362</v>
      </c>
      <c r="H66" s="174">
        <v>46260.0</v>
      </c>
      <c r="I66" s="172" t="s">
        <v>2363</v>
      </c>
      <c r="J66" s="18">
        <f>IFERROR(VLOOKUP($A66,'Мои блогеры'!$A:$N,8,0),"")</f>
        <v>11328</v>
      </c>
      <c r="K66" s="173"/>
      <c r="L66" s="176"/>
      <c r="M66" s="18">
        <f t="shared" si="41"/>
        <v>11328</v>
      </c>
      <c r="N66" s="172"/>
      <c r="O66" s="216" t="s">
        <v>2501</v>
      </c>
      <c r="P66" s="177" t="s">
        <v>2502</v>
      </c>
      <c r="Q66" s="171"/>
      <c r="R66" s="173"/>
      <c r="S66" s="216" t="s">
        <v>2503</v>
      </c>
      <c r="T66" s="179"/>
      <c r="U66" s="179">
        <v>11839.0</v>
      </c>
      <c r="V66" s="180">
        <f t="shared" si="33"/>
        <v>0.9568375707</v>
      </c>
      <c r="W66" s="179">
        <v>642.0</v>
      </c>
      <c r="X66" s="179">
        <v>563.0</v>
      </c>
      <c r="Y66" s="18">
        <f t="shared" si="34"/>
        <v>17.64485981</v>
      </c>
      <c r="Z66" s="179">
        <v>277.0</v>
      </c>
      <c r="AA66" s="179">
        <v>50.0</v>
      </c>
      <c r="AB66" s="179">
        <v>85000.0</v>
      </c>
      <c r="AC66" s="181"/>
      <c r="AD66" s="179">
        <v>50.0</v>
      </c>
      <c r="AE66" s="179">
        <f t="shared" ref="AE66:AE72" si="43">AB66/AD66</f>
        <v>1700</v>
      </c>
      <c r="AF66" s="179">
        <v>85000.0</v>
      </c>
      <c r="AG66" s="176">
        <f t="shared" si="35"/>
        <v>227</v>
      </c>
      <c r="AH66" s="176">
        <f t="shared" si="36"/>
        <v>227</v>
      </c>
      <c r="AI66" s="172" t="s">
        <v>2482</v>
      </c>
      <c r="AJ66" s="173"/>
    </row>
    <row r="67" ht="15.0" customHeight="1" outlineLevel="1">
      <c r="A67" s="224" t="s">
        <v>2104</v>
      </c>
      <c r="B67" s="169" t="str">
        <f>IF($A67="","",IFERROR(HYPERLINK(VLOOKUP($A67,'Мои блогеры'!$A:$N,14,0),"🔗 открыть"),""))</f>
        <v>🔗 открыть</v>
      </c>
      <c r="C67" s="18">
        <f>IFERROR(VLOOKUP($A67,'Мои блогеры'!$A:$N,5,0),"")</f>
        <v>19200</v>
      </c>
      <c r="D67" s="171" t="str">
        <f>IFERROR(VLOOKUP($A67,'Мои блогеры'!$A:$N,2,0),"")</f>
        <v>MAX</v>
      </c>
      <c r="E67" s="172" t="s">
        <v>2429</v>
      </c>
      <c r="F67" s="173"/>
      <c r="G67" s="172" t="s">
        <v>2362</v>
      </c>
      <c r="H67" s="174">
        <v>46260.0</v>
      </c>
      <c r="I67" s="172" t="s">
        <v>2363</v>
      </c>
      <c r="J67" s="18">
        <f>IFERROR(VLOOKUP($A67,'Мои блогеры'!$A:$N,8,0),"")</f>
        <v>4195</v>
      </c>
      <c r="K67" s="173"/>
      <c r="L67" s="176"/>
      <c r="M67" s="18">
        <f t="shared" si="41"/>
        <v>4195</v>
      </c>
      <c r="N67" s="172"/>
      <c r="O67" s="216" t="s">
        <v>2504</v>
      </c>
      <c r="P67" s="177" t="s">
        <v>2505</v>
      </c>
      <c r="Q67" s="171"/>
      <c r="R67" s="173"/>
      <c r="S67" s="217" t="s">
        <v>2506</v>
      </c>
      <c r="T67" s="179"/>
      <c r="U67" s="179">
        <v>4830.0</v>
      </c>
      <c r="V67" s="180">
        <f t="shared" si="33"/>
        <v>0.8685300207</v>
      </c>
      <c r="W67" s="179">
        <v>241.0</v>
      </c>
      <c r="X67" s="179">
        <v>207.0</v>
      </c>
      <c r="Y67" s="18">
        <f t="shared" si="34"/>
        <v>17.406639</v>
      </c>
      <c r="Z67" s="179">
        <v>81.0</v>
      </c>
      <c r="AA67" s="179">
        <v>20.0</v>
      </c>
      <c r="AB67" s="179">
        <v>40500.0</v>
      </c>
      <c r="AC67" s="181"/>
      <c r="AD67" s="179">
        <v>20.0</v>
      </c>
      <c r="AE67" s="179">
        <f t="shared" si="43"/>
        <v>2025</v>
      </c>
      <c r="AF67" s="179">
        <f>AB67</f>
        <v>40500</v>
      </c>
      <c r="AG67" s="176">
        <f t="shared" si="35"/>
        <v>210</v>
      </c>
      <c r="AH67" s="176">
        <f t="shared" si="36"/>
        <v>210</v>
      </c>
      <c r="AI67" s="172" t="s">
        <v>2482</v>
      </c>
      <c r="AJ67" s="173"/>
    </row>
    <row r="68" ht="15.0" customHeight="1" outlineLevel="1">
      <c r="A68" s="204" t="s">
        <v>32</v>
      </c>
      <c r="B68" s="169" t="str">
        <f>IF($A68="","",IFERROR(HYPERLINK(VLOOKUP($A68,'Мои блогеры'!$A:$N,14,0),"🔗 открыть"),""))</f>
        <v>🔗 открыть</v>
      </c>
      <c r="C68" s="18">
        <f>IFERROR(VLOOKUP($A68,'Мои блогеры'!$A:$N,5,0),"")</f>
        <v>25900</v>
      </c>
      <c r="D68" s="171" t="str">
        <f>IFERROR(VLOOKUP($A68,'Мои блогеры'!$A:$N,2,0),"")</f>
        <v>MAX</v>
      </c>
      <c r="E68" s="172" t="s">
        <v>2429</v>
      </c>
      <c r="F68" s="173"/>
      <c r="G68" s="172" t="s">
        <v>2362</v>
      </c>
      <c r="H68" s="174">
        <v>46260.0</v>
      </c>
      <c r="I68" s="172" t="s">
        <v>2363</v>
      </c>
      <c r="J68" s="175">
        <v>2237.0</v>
      </c>
      <c r="K68" s="173"/>
      <c r="L68" s="176"/>
      <c r="M68" s="18">
        <f t="shared" si="41"/>
        <v>2237</v>
      </c>
      <c r="N68" s="172"/>
      <c r="O68" s="216" t="s">
        <v>2507</v>
      </c>
      <c r="P68" s="177" t="s">
        <v>2508</v>
      </c>
      <c r="Q68" s="171"/>
      <c r="R68" s="173"/>
      <c r="S68" s="177" t="s">
        <v>2509</v>
      </c>
      <c r="T68" s="179"/>
      <c r="U68" s="179">
        <v>1735.0</v>
      </c>
      <c r="V68" s="180">
        <f t="shared" si="33"/>
        <v>1.289337176</v>
      </c>
      <c r="W68" s="179">
        <v>83.0</v>
      </c>
      <c r="X68" s="179">
        <v>58.0</v>
      </c>
      <c r="Y68" s="18">
        <f t="shared" si="34"/>
        <v>26.95180723</v>
      </c>
      <c r="Z68" s="179">
        <v>60.0</v>
      </c>
      <c r="AA68" s="179">
        <v>2.0</v>
      </c>
      <c r="AB68" s="179">
        <v>3400.0</v>
      </c>
      <c r="AC68" s="181"/>
      <c r="AD68" s="179">
        <v>2.0</v>
      </c>
      <c r="AE68" s="179">
        <f t="shared" si="43"/>
        <v>1700</v>
      </c>
      <c r="AF68" s="179">
        <v>3400.0</v>
      </c>
      <c r="AG68" s="176">
        <f t="shared" si="35"/>
        <v>1119</v>
      </c>
      <c r="AH68" s="176">
        <f t="shared" si="36"/>
        <v>1119</v>
      </c>
      <c r="AI68" s="172" t="s">
        <v>2482</v>
      </c>
      <c r="AJ68" s="173"/>
    </row>
    <row r="69" ht="15.0" customHeight="1" outlineLevel="1">
      <c r="A69" s="204" t="s">
        <v>2107</v>
      </c>
      <c r="B69" s="169" t="str">
        <f>IF($A69="","",IFERROR(HYPERLINK(VLOOKUP($A69,'Мои блогеры'!$A:$N,14,0),"🔗 открыть"),""))</f>
        <v>🔗 открыть</v>
      </c>
      <c r="C69" s="18">
        <f>IFERROR(VLOOKUP($A69,'Мои блогеры'!$A:$N,5,0),"")</f>
        <v>4000</v>
      </c>
      <c r="D69" s="171" t="str">
        <f>IFERROR(VLOOKUP($A69,'Мои блогеры'!$A:$N,2,0),"")</f>
        <v>MAX</v>
      </c>
      <c r="E69" s="172" t="s">
        <v>2429</v>
      </c>
      <c r="F69" s="173"/>
      <c r="G69" s="172" t="s">
        <v>2362</v>
      </c>
      <c r="H69" s="174">
        <v>46260.0</v>
      </c>
      <c r="I69" s="172" t="s">
        <v>2363</v>
      </c>
      <c r="J69" s="175">
        <v>699.0</v>
      </c>
      <c r="K69" s="173"/>
      <c r="L69" s="176"/>
      <c r="M69" s="175">
        <v>699.0</v>
      </c>
      <c r="N69" s="172"/>
      <c r="O69" s="217" t="s">
        <v>2510</v>
      </c>
      <c r="P69" s="177" t="s">
        <v>2511</v>
      </c>
      <c r="Q69" s="171"/>
      <c r="R69" s="173"/>
      <c r="S69" s="217" t="s">
        <v>2512</v>
      </c>
      <c r="T69" s="179"/>
      <c r="U69" s="179">
        <v>445.0</v>
      </c>
      <c r="V69" s="180">
        <f t="shared" si="33"/>
        <v>1.570786517</v>
      </c>
      <c r="W69" s="179">
        <v>14.0</v>
      </c>
      <c r="X69" s="179">
        <v>9.0</v>
      </c>
      <c r="Y69" s="18">
        <f t="shared" si="34"/>
        <v>49.92857143</v>
      </c>
      <c r="Z69" s="179">
        <v>2.0</v>
      </c>
      <c r="AA69" s="179">
        <v>1.0</v>
      </c>
      <c r="AB69" s="179">
        <v>1700.0</v>
      </c>
      <c r="AC69" s="181"/>
      <c r="AD69" s="179">
        <v>1.0</v>
      </c>
      <c r="AE69" s="179">
        <f t="shared" si="43"/>
        <v>1700</v>
      </c>
      <c r="AF69" s="179">
        <v>1700.0</v>
      </c>
      <c r="AG69" s="176">
        <f t="shared" si="35"/>
        <v>699</v>
      </c>
      <c r="AH69" s="176">
        <f t="shared" si="36"/>
        <v>699</v>
      </c>
      <c r="AI69" s="172" t="s">
        <v>2482</v>
      </c>
      <c r="AJ69" s="173"/>
    </row>
    <row r="70" ht="15.0" customHeight="1" outlineLevel="1">
      <c r="A70" s="204" t="s">
        <v>2109</v>
      </c>
      <c r="B70" s="169" t="str">
        <f>IF($A70="","",IFERROR(HYPERLINK(VLOOKUP($A70,'Мои блогеры'!$A:$N,14,0),"🔗 открыть"),""))</f>
        <v>🔗 открыть</v>
      </c>
      <c r="C70" s="18">
        <f>IFERROR(VLOOKUP($A70,'Мои блогеры'!$A:$N,5,0),"")</f>
        <v>25200</v>
      </c>
      <c r="D70" s="171" t="str">
        <f>IFERROR(VLOOKUP($A70,'Мои блогеры'!$A:$N,2,0),"")</f>
        <v>MAX</v>
      </c>
      <c r="E70" s="172" t="s">
        <v>2429</v>
      </c>
      <c r="F70" s="173"/>
      <c r="G70" s="172" t="s">
        <v>2362</v>
      </c>
      <c r="H70" s="174">
        <v>46260.0</v>
      </c>
      <c r="I70" s="172" t="s">
        <v>2363</v>
      </c>
      <c r="J70" s="18">
        <f>IFERROR(VLOOKUP($A70,'Мои блогеры'!$A:$N,8,0),"")</f>
        <v>6293</v>
      </c>
      <c r="K70" s="173"/>
      <c r="L70" s="176"/>
      <c r="M70" s="18">
        <f t="shared" ref="M70:M75" si="44">IF(N($J70)+N($K70)+N($L70)=0,"",N($J70)+N($K70)+N($L70))</f>
        <v>6293</v>
      </c>
      <c r="N70" s="172"/>
      <c r="O70" s="216" t="s">
        <v>2513</v>
      </c>
      <c r="P70" s="177" t="s">
        <v>2514</v>
      </c>
      <c r="Q70" s="171"/>
      <c r="R70" s="173"/>
      <c r="S70" s="216" t="s">
        <v>2515</v>
      </c>
      <c r="T70" s="179"/>
      <c r="U70" s="179">
        <v>4973.0</v>
      </c>
      <c r="V70" s="180">
        <f t="shared" si="33"/>
        <v>1.26543334</v>
      </c>
      <c r="W70" s="179">
        <v>256.0</v>
      </c>
      <c r="X70" s="179">
        <v>219.0</v>
      </c>
      <c r="Y70" s="18">
        <f t="shared" si="34"/>
        <v>24.58203125</v>
      </c>
      <c r="Z70" s="179">
        <v>113.0</v>
      </c>
      <c r="AA70" s="179">
        <v>19.0</v>
      </c>
      <c r="AB70" s="179">
        <v>32300.0</v>
      </c>
      <c r="AC70" s="181"/>
      <c r="AD70" s="179">
        <v>19.0</v>
      </c>
      <c r="AE70" s="179">
        <f t="shared" si="43"/>
        <v>1700</v>
      </c>
      <c r="AF70" s="179">
        <v>32300.0</v>
      </c>
      <c r="AG70" s="176">
        <f t="shared" si="35"/>
        <v>331</v>
      </c>
      <c r="AH70" s="176">
        <f t="shared" si="36"/>
        <v>331</v>
      </c>
      <c r="AI70" s="172" t="s">
        <v>2482</v>
      </c>
      <c r="AJ70" s="173"/>
    </row>
    <row r="71" ht="15.0" customHeight="1" outlineLevel="1">
      <c r="A71" s="204" t="s">
        <v>2116</v>
      </c>
      <c r="B71" s="169"/>
      <c r="C71" s="18">
        <f>IFERROR(VLOOKUP($A71,'Мои блогеры'!$A:$N,5,0),"")</f>
        <v>66200</v>
      </c>
      <c r="D71" s="171" t="str">
        <f>IFERROR(VLOOKUP($A71,'Мои блогеры'!$A:$N,2,0),"")</f>
        <v>MAX</v>
      </c>
      <c r="E71" s="172" t="s">
        <v>2386</v>
      </c>
      <c r="F71" s="173"/>
      <c r="G71" s="173"/>
      <c r="H71" s="174">
        <v>46262.0</v>
      </c>
      <c r="I71" s="172" t="s">
        <v>2363</v>
      </c>
      <c r="J71" s="18">
        <f>IFERROR(VLOOKUP($A71,'Мои блогеры'!$A:$N,8,0),"")</f>
        <v>10560</v>
      </c>
      <c r="K71" s="173"/>
      <c r="L71" s="176"/>
      <c r="M71" s="18">
        <f t="shared" si="44"/>
        <v>10560</v>
      </c>
      <c r="N71" s="173"/>
      <c r="O71" s="216" t="s">
        <v>2516</v>
      </c>
      <c r="P71" s="177" t="s">
        <v>2517</v>
      </c>
      <c r="Q71" s="171"/>
      <c r="R71" s="172" t="s">
        <v>2518</v>
      </c>
      <c r="S71" s="216" t="s">
        <v>2519</v>
      </c>
      <c r="T71" s="179"/>
      <c r="U71" s="179">
        <v>7954.0</v>
      </c>
      <c r="V71" s="180">
        <f t="shared" si="33"/>
        <v>1.327633895</v>
      </c>
      <c r="W71" s="179">
        <v>193.0</v>
      </c>
      <c r="X71" s="179">
        <v>166.0</v>
      </c>
      <c r="Y71" s="18">
        <f t="shared" si="34"/>
        <v>54.71502591</v>
      </c>
      <c r="Z71" s="179">
        <v>14.0</v>
      </c>
      <c r="AA71" s="179">
        <v>1.0</v>
      </c>
      <c r="AB71" s="179">
        <v>3729.0</v>
      </c>
      <c r="AC71" s="181"/>
      <c r="AD71" s="179">
        <v>1.0</v>
      </c>
      <c r="AE71" s="179">
        <f t="shared" si="43"/>
        <v>3729</v>
      </c>
      <c r="AF71" s="179">
        <f t="shared" ref="AF71:AF72" si="45">AB71</f>
        <v>3729</v>
      </c>
      <c r="AG71" s="176">
        <f t="shared" si="35"/>
        <v>10560</v>
      </c>
      <c r="AH71" s="176"/>
      <c r="AI71" s="172" t="s">
        <v>2520</v>
      </c>
      <c r="AJ71" s="173"/>
    </row>
    <row r="72" ht="15.0" customHeight="1" outlineLevel="1">
      <c r="A72" s="204" t="s">
        <v>2122</v>
      </c>
      <c r="B72" s="169"/>
      <c r="C72" s="18">
        <f>IFERROR(VLOOKUP($A72,'Мои блогеры'!$A:$N,5,0),"")</f>
        <v>50200</v>
      </c>
      <c r="D72" s="171" t="str">
        <f>IFERROR(VLOOKUP($A72,'Мои блогеры'!$A:$N,2,0),"")</f>
        <v>Telegram</v>
      </c>
      <c r="E72" s="172" t="s">
        <v>2386</v>
      </c>
      <c r="F72" s="173"/>
      <c r="G72" s="173"/>
      <c r="H72" s="174">
        <v>46262.0</v>
      </c>
      <c r="I72" s="172" t="s">
        <v>2363</v>
      </c>
      <c r="J72" s="18">
        <f>IFERROR(VLOOKUP($A72,'Мои блогеры'!$A:$N,8,0),"")</f>
        <v>11889</v>
      </c>
      <c r="K72" s="173"/>
      <c r="L72" s="176"/>
      <c r="M72" s="18">
        <f t="shared" si="44"/>
        <v>11889</v>
      </c>
      <c r="N72" s="173"/>
      <c r="O72" s="216" t="s">
        <v>2521</v>
      </c>
      <c r="P72" s="177" t="s">
        <v>2522</v>
      </c>
      <c r="Q72" s="171"/>
      <c r="R72" s="172" t="s">
        <v>2523</v>
      </c>
      <c r="S72" s="217" t="s">
        <v>2524</v>
      </c>
      <c r="T72" s="179"/>
      <c r="U72" s="179">
        <v>3116.0</v>
      </c>
      <c r="V72" s="180">
        <f t="shared" si="33"/>
        <v>3.815468549</v>
      </c>
      <c r="W72" s="179">
        <v>81.0</v>
      </c>
      <c r="X72" s="179">
        <v>69.0</v>
      </c>
      <c r="Y72" s="18">
        <f t="shared" si="34"/>
        <v>146.7777778</v>
      </c>
      <c r="Z72" s="179">
        <v>14.0</v>
      </c>
      <c r="AA72" s="179">
        <v>2.0</v>
      </c>
      <c r="AB72" s="225">
        <f>3729+3729</f>
        <v>7458</v>
      </c>
      <c r="AC72" s="181"/>
      <c r="AD72" s="179">
        <v>2.0</v>
      </c>
      <c r="AE72" s="179">
        <f t="shared" si="43"/>
        <v>3729</v>
      </c>
      <c r="AF72" s="179">
        <f t="shared" si="45"/>
        <v>7458</v>
      </c>
      <c r="AG72" s="176">
        <f t="shared" si="35"/>
        <v>5945</v>
      </c>
      <c r="AH72" s="176"/>
      <c r="AI72" s="172" t="s">
        <v>2520</v>
      </c>
      <c r="AJ72" s="173"/>
    </row>
    <row r="73" ht="15.0" customHeight="1" outlineLevel="1">
      <c r="A73" s="204" t="s">
        <v>2118</v>
      </c>
      <c r="B73" s="169"/>
      <c r="C73" s="18">
        <f>IFERROR(VLOOKUP($A73,'Мои блогеры'!$A:$N,5,0),"")</f>
        <v>25400</v>
      </c>
      <c r="D73" s="171" t="str">
        <f>IFERROR(VLOOKUP($A73,'Мои блогеры'!$A:$N,2,0),"")</f>
        <v>MAX</v>
      </c>
      <c r="E73" s="172" t="s">
        <v>2386</v>
      </c>
      <c r="F73" s="173"/>
      <c r="G73" s="173"/>
      <c r="H73" s="174">
        <v>46264.0</v>
      </c>
      <c r="I73" s="172" t="s">
        <v>2363</v>
      </c>
      <c r="J73" s="18">
        <f>IFERROR(VLOOKUP($A73,'Мои блогеры'!$A:$N,8,0),"")</f>
        <v>11189</v>
      </c>
      <c r="K73" s="173"/>
      <c r="L73" s="176"/>
      <c r="M73" s="18">
        <f t="shared" si="44"/>
        <v>11189</v>
      </c>
      <c r="N73" s="173"/>
      <c r="O73" s="216" t="s">
        <v>2525</v>
      </c>
      <c r="P73" s="177" t="s">
        <v>2526</v>
      </c>
      <c r="Q73" s="171"/>
      <c r="R73" s="172" t="s">
        <v>2527</v>
      </c>
      <c r="S73" s="216" t="s">
        <v>2528</v>
      </c>
      <c r="T73" s="179"/>
      <c r="U73" s="179">
        <v>7113.0</v>
      </c>
      <c r="V73" s="180">
        <f t="shared" si="33"/>
        <v>1.573035288</v>
      </c>
      <c r="W73" s="179">
        <v>83.0</v>
      </c>
      <c r="X73" s="179">
        <v>75.0</v>
      </c>
      <c r="Y73" s="18">
        <f t="shared" si="34"/>
        <v>134.8072289</v>
      </c>
      <c r="Z73" s="179">
        <v>12.0</v>
      </c>
      <c r="AA73" s="179">
        <v>0.0</v>
      </c>
      <c r="AB73" s="176"/>
      <c r="AC73" s="181"/>
      <c r="AD73" s="176"/>
      <c r="AE73" s="176"/>
      <c r="AF73" s="176"/>
      <c r="AG73" s="176" t="str">
        <f t="shared" si="35"/>
        <v/>
      </c>
      <c r="AH73" s="176"/>
      <c r="AI73" s="172" t="s">
        <v>2520</v>
      </c>
      <c r="AJ73" s="173"/>
    </row>
    <row r="74" ht="15.0" customHeight="1" outlineLevel="1">
      <c r="A74" s="204" t="s">
        <v>2120</v>
      </c>
      <c r="B74" s="169"/>
      <c r="C74" s="18">
        <f>IFERROR(VLOOKUP($A74,'Мои блогеры'!$A:$N,5,0),"")</f>
        <v>13300</v>
      </c>
      <c r="D74" s="171" t="str">
        <f>IFERROR(VLOOKUP($A74,'Мои блогеры'!$A:$N,2,0),"")</f>
        <v>MAX</v>
      </c>
      <c r="E74" s="172" t="s">
        <v>2386</v>
      </c>
      <c r="F74" s="173"/>
      <c r="G74" s="173"/>
      <c r="H74" s="174">
        <v>46263.0</v>
      </c>
      <c r="I74" s="172" t="s">
        <v>2363</v>
      </c>
      <c r="J74" s="18">
        <f>IFERROR(VLOOKUP($A74,'Мои блогеры'!$A:$N,8,0),"")</f>
        <v>3217</v>
      </c>
      <c r="K74" s="173"/>
      <c r="L74" s="176"/>
      <c r="M74" s="18">
        <f t="shared" si="44"/>
        <v>3217</v>
      </c>
      <c r="N74" s="173"/>
      <c r="O74" s="217" t="s">
        <v>2529</v>
      </c>
      <c r="P74" s="177" t="s">
        <v>2530</v>
      </c>
      <c r="Q74" s="171"/>
      <c r="R74" s="172" t="s">
        <v>2531</v>
      </c>
      <c r="S74" s="216" t="s">
        <v>2532</v>
      </c>
      <c r="T74" s="179"/>
      <c r="U74" s="179">
        <v>2212.0</v>
      </c>
      <c r="V74" s="180">
        <f t="shared" si="33"/>
        <v>1.454339964</v>
      </c>
      <c r="W74" s="179">
        <v>74.0</v>
      </c>
      <c r="X74" s="179">
        <v>65.0</v>
      </c>
      <c r="Y74" s="18">
        <f t="shared" si="34"/>
        <v>43.47297297</v>
      </c>
      <c r="Z74" s="179">
        <v>8.0</v>
      </c>
      <c r="AA74" s="179">
        <v>0.0</v>
      </c>
      <c r="AB74" s="176"/>
      <c r="AC74" s="181"/>
      <c r="AD74" s="176"/>
      <c r="AE74" s="176"/>
      <c r="AF74" s="176"/>
      <c r="AG74" s="176" t="str">
        <f t="shared" si="35"/>
        <v/>
      </c>
      <c r="AH74" s="176"/>
      <c r="AI74" s="172" t="s">
        <v>2520</v>
      </c>
      <c r="AJ74" s="173"/>
    </row>
    <row r="75" ht="15.0" customHeight="1" outlineLevel="1">
      <c r="A75" s="204" t="s">
        <v>2124</v>
      </c>
      <c r="B75" s="169"/>
      <c r="C75" s="18">
        <f>IFERROR(VLOOKUP($A75,'Мои блогеры'!$A:$N,5,0),"")</f>
        <v>3300</v>
      </c>
      <c r="D75" s="171" t="str">
        <f>IFERROR(VLOOKUP($A75,'Мои блогеры'!$A:$N,2,0),"")</f>
        <v>MAX</v>
      </c>
      <c r="E75" s="172" t="s">
        <v>2386</v>
      </c>
      <c r="F75" s="173"/>
      <c r="G75" s="173"/>
      <c r="H75" s="174">
        <v>46263.0</v>
      </c>
      <c r="I75" s="172" t="s">
        <v>2363</v>
      </c>
      <c r="J75" s="18">
        <f>IFERROR(VLOOKUP($A75,'Мои блогеры'!$A:$N,8,0),"")</f>
        <v>3497</v>
      </c>
      <c r="K75" s="173"/>
      <c r="L75" s="176"/>
      <c r="M75" s="18">
        <f t="shared" si="44"/>
        <v>3497</v>
      </c>
      <c r="N75" s="173"/>
      <c r="O75" s="216" t="s">
        <v>2533</v>
      </c>
      <c r="P75" s="177" t="s">
        <v>2534</v>
      </c>
      <c r="Q75" s="171"/>
      <c r="R75" s="172" t="s">
        <v>2535</v>
      </c>
      <c r="S75" s="216" t="s">
        <v>2528</v>
      </c>
      <c r="T75" s="179"/>
      <c r="U75" s="179">
        <v>1487.0</v>
      </c>
      <c r="V75" s="180">
        <f t="shared" si="33"/>
        <v>2.351714862</v>
      </c>
      <c r="W75" s="179">
        <v>22.0</v>
      </c>
      <c r="X75" s="179">
        <v>19.0</v>
      </c>
      <c r="Y75" s="18">
        <f t="shared" si="34"/>
        <v>158.9545455</v>
      </c>
      <c r="Z75" s="179">
        <v>24.0</v>
      </c>
      <c r="AA75" s="179">
        <v>0.0</v>
      </c>
      <c r="AB75" s="176"/>
      <c r="AC75" s="181"/>
      <c r="AD75" s="176"/>
      <c r="AE75" s="176"/>
      <c r="AF75" s="176"/>
      <c r="AG75" s="176" t="str">
        <f t="shared" si="35"/>
        <v/>
      </c>
      <c r="AH75" s="176"/>
      <c r="AI75" s="172" t="s">
        <v>2520</v>
      </c>
      <c r="AJ75" s="173"/>
    </row>
    <row r="76" ht="15.0" customHeight="1" outlineLevel="1">
      <c r="A76" s="201" t="s">
        <v>2536</v>
      </c>
      <c r="B76" s="188"/>
      <c r="C76" s="189"/>
      <c r="D76" s="188"/>
      <c r="E76" s="188"/>
      <c r="F76" s="188"/>
      <c r="G76" s="188"/>
      <c r="H76" s="188"/>
      <c r="I76" s="188" t="str">
        <f>COUNTIF(I56:I75,"Вышло")&amp;" / "&amp;COUNTA(A56:A75)</f>
        <v>20 / 20</v>
      </c>
      <c r="J76" s="189">
        <f t="shared" ref="J76:S76" si="46">SUM(J56:J75)</f>
        <v>238803</v>
      </c>
      <c r="K76" s="189">
        <f t="shared" si="46"/>
        <v>12510</v>
      </c>
      <c r="L76" s="189">
        <f t="shared" si="46"/>
        <v>2140</v>
      </c>
      <c r="M76" s="189">
        <f t="shared" si="46"/>
        <v>253453</v>
      </c>
      <c r="N76" s="189">
        <f t="shared" si="46"/>
        <v>0</v>
      </c>
      <c r="O76" s="189">
        <f t="shared" si="46"/>
        <v>0</v>
      </c>
      <c r="P76" s="189">
        <f t="shared" si="46"/>
        <v>0</v>
      </c>
      <c r="Q76" s="189">
        <f t="shared" si="46"/>
        <v>0</v>
      </c>
      <c r="R76" s="189">
        <f t="shared" si="46"/>
        <v>0</v>
      </c>
      <c r="S76" s="189">
        <f t="shared" si="46"/>
        <v>0</v>
      </c>
      <c r="T76" s="189"/>
      <c r="U76" s="189">
        <f t="shared" ref="U76:AF76" si="47">SUM(U56:U75)</f>
        <v>520065</v>
      </c>
      <c r="V76" s="202">
        <f t="shared" si="47"/>
        <v>34.27509164</v>
      </c>
      <c r="W76" s="189">
        <f t="shared" si="47"/>
        <v>2494</v>
      </c>
      <c r="X76" s="189">
        <f t="shared" si="47"/>
        <v>1454</v>
      </c>
      <c r="Y76" s="189">
        <f t="shared" si="47"/>
        <v>10237.76927</v>
      </c>
      <c r="Z76" s="189">
        <f t="shared" si="47"/>
        <v>820</v>
      </c>
      <c r="AA76" s="189">
        <f t="shared" si="47"/>
        <v>150</v>
      </c>
      <c r="AB76" s="189">
        <f t="shared" si="47"/>
        <v>277407</v>
      </c>
      <c r="AC76" s="189">
        <f t="shared" si="47"/>
        <v>0</v>
      </c>
      <c r="AD76" s="189">
        <f t="shared" si="47"/>
        <v>150</v>
      </c>
      <c r="AE76" s="189">
        <f t="shared" si="47"/>
        <v>25627.7619</v>
      </c>
      <c r="AF76" s="189">
        <f t="shared" si="47"/>
        <v>277407</v>
      </c>
      <c r="AG76" s="189">
        <f>IF(N(AD76)=0,"—",ROUND(M76/AD76,0))</f>
        <v>1690</v>
      </c>
      <c r="AH76" s="189">
        <f>IF(N(AA76)=0,"—",ROUND(M76/AA76,0))</f>
        <v>1690</v>
      </c>
      <c r="AI76" s="188"/>
      <c r="AJ76" s="188"/>
    </row>
    <row r="77" ht="15.0" customHeight="1">
      <c r="A77" s="203" t="s">
        <v>2537</v>
      </c>
      <c r="B77" s="166"/>
      <c r="C77" s="166"/>
      <c r="D77" s="166"/>
      <c r="E77" s="166"/>
      <c r="F77" s="166"/>
      <c r="G77" s="166"/>
      <c r="H77" s="166"/>
      <c r="I77" s="214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7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</row>
    <row r="78" ht="15.0" customHeight="1" outlineLevel="1">
      <c r="A78" s="204" t="s">
        <v>2114</v>
      </c>
      <c r="B78" s="169"/>
      <c r="C78" s="18">
        <f>IFERROR(VLOOKUP($A78,'Мои блогеры'!$A:$N,5,0),"")</f>
        <v>63600</v>
      </c>
      <c r="D78" s="171" t="str">
        <f>IFERROR(VLOOKUP($A78,'Мои блогеры'!$A:$N,2,0),"")</f>
        <v>VK</v>
      </c>
      <c r="E78" s="172" t="s">
        <v>2386</v>
      </c>
      <c r="F78" s="172">
        <v>19.0</v>
      </c>
      <c r="G78" s="173"/>
      <c r="H78" s="174">
        <v>46264.0</v>
      </c>
      <c r="I78" s="172" t="s">
        <v>2363</v>
      </c>
      <c r="J78" s="18">
        <f>IFERROR(VLOOKUP($A78,'Мои блогеры'!$A:$N,8,0),"")</f>
        <v>16000</v>
      </c>
      <c r="K78" s="172">
        <v>1760.0</v>
      </c>
      <c r="L78" s="179">
        <v>3598.0</v>
      </c>
      <c r="M78" s="18">
        <f t="shared" ref="M78:M79" si="48">IF(N($J78)+N($K78)+N($L78)=0,"",N($J78)+N($K78)+N($L78))</f>
        <v>21358</v>
      </c>
      <c r="N78" s="173"/>
      <c r="O78" s="177" t="s">
        <v>2538</v>
      </c>
      <c r="P78" s="226"/>
      <c r="Q78" s="171"/>
      <c r="R78" s="172" t="s">
        <v>2539</v>
      </c>
      <c r="S78" s="213" t="s">
        <v>2540</v>
      </c>
      <c r="T78" s="172" t="s">
        <v>2487</v>
      </c>
      <c r="U78" s="179">
        <v>28403.0</v>
      </c>
      <c r="V78" s="180">
        <f t="shared" ref="V78:V84" si="49">IF(N($U78)=0,"",$M78/$U78)</f>
        <v>0.7519628208</v>
      </c>
      <c r="W78" s="179">
        <v>122.0</v>
      </c>
      <c r="X78" s="176"/>
      <c r="Y78" s="18">
        <f t="shared" ref="Y78:Y84" si="50">IF(N($W78)=0,"",$M78/$W78)</f>
        <v>175.0655738</v>
      </c>
      <c r="Z78" s="179">
        <v>52.0</v>
      </c>
      <c r="AA78" s="179"/>
      <c r="AB78" s="176"/>
      <c r="AC78" s="181"/>
      <c r="AD78" s="18"/>
      <c r="AE78" s="176"/>
      <c r="AF78" s="18"/>
      <c r="AG78" s="18"/>
      <c r="AH78" s="18"/>
      <c r="AI78" s="172" t="s">
        <v>2520</v>
      </c>
      <c r="AJ78" s="172" t="s">
        <v>2541</v>
      </c>
    </row>
    <row r="79" ht="15.0" customHeight="1" outlineLevel="1">
      <c r="A79" s="204" t="s">
        <v>2115</v>
      </c>
      <c r="B79" s="169"/>
      <c r="C79" s="18">
        <f>IFERROR(VLOOKUP($A79,'Мои блогеры'!$A:$N,5,0),"")</f>
        <v>3890</v>
      </c>
      <c r="D79" s="171" t="str">
        <f>IFERROR(VLOOKUP($A79,'Мои блогеры'!$A:$N,2,0),"")</f>
        <v>MAX</v>
      </c>
      <c r="E79" s="172" t="s">
        <v>2386</v>
      </c>
      <c r="F79" s="172">
        <v>19.0</v>
      </c>
      <c r="G79" s="173"/>
      <c r="H79" s="174">
        <v>46264.0</v>
      </c>
      <c r="I79" s="172" t="s">
        <v>2363</v>
      </c>
      <c r="J79" s="18">
        <f>IFERROR(VLOOKUP($A79,'Мои блогеры'!$A:$N,8,0),"")</f>
        <v>6000</v>
      </c>
      <c r="K79" s="173"/>
      <c r="L79" s="176"/>
      <c r="M79" s="18">
        <f t="shared" si="48"/>
        <v>6000</v>
      </c>
      <c r="N79" s="173"/>
      <c r="O79" s="177" t="s">
        <v>2542</v>
      </c>
      <c r="P79" s="226"/>
      <c r="Q79" s="171"/>
      <c r="R79" s="172" t="s">
        <v>2543</v>
      </c>
      <c r="S79" s="178" t="s">
        <v>2544</v>
      </c>
      <c r="T79" s="172" t="s">
        <v>2487</v>
      </c>
      <c r="U79" s="179">
        <v>3800.0</v>
      </c>
      <c r="V79" s="180">
        <f t="shared" si="49"/>
        <v>1.578947368</v>
      </c>
      <c r="W79" s="179">
        <v>36.0</v>
      </c>
      <c r="X79" s="176"/>
      <c r="Y79" s="18">
        <f t="shared" si="50"/>
        <v>166.6666667</v>
      </c>
      <c r="Z79" s="179">
        <v>12.0</v>
      </c>
      <c r="AA79" s="179"/>
      <c r="AB79" s="176"/>
      <c r="AC79" s="181"/>
      <c r="AD79" s="18"/>
      <c r="AE79" s="176"/>
      <c r="AF79" s="18"/>
      <c r="AG79" s="18"/>
      <c r="AH79" s="18"/>
      <c r="AI79" s="172" t="s">
        <v>2520</v>
      </c>
      <c r="AJ79" s="173"/>
    </row>
    <row r="80" ht="15.0" customHeight="1" outlineLevel="1">
      <c r="A80" s="204" t="s">
        <v>2126</v>
      </c>
      <c r="B80" s="169"/>
      <c r="C80" s="18">
        <f>IFERROR(VLOOKUP($A80,'Мои блогеры'!$A:$N,5,0),"")</f>
        <v>2000000</v>
      </c>
      <c r="D80" s="171" t="str">
        <f>IFERROR(VLOOKUP($A80,'Мои блогеры'!$A:$N,2,0),"")</f>
        <v>TikTok</v>
      </c>
      <c r="E80" s="172" t="s">
        <v>2429</v>
      </c>
      <c r="F80" s="173"/>
      <c r="G80" s="173"/>
      <c r="H80" s="174">
        <v>46265.0</v>
      </c>
      <c r="I80" s="172" t="s">
        <v>2363</v>
      </c>
      <c r="J80" s="175">
        <v>0.0</v>
      </c>
      <c r="K80" s="173"/>
      <c r="L80" s="176"/>
      <c r="M80" s="175">
        <v>0.0</v>
      </c>
      <c r="N80" s="173"/>
      <c r="O80" s="177" t="s">
        <v>2545</v>
      </c>
      <c r="P80" s="226"/>
      <c r="Q80" s="171"/>
      <c r="R80" s="172"/>
      <c r="S80" s="178" t="s">
        <v>2546</v>
      </c>
      <c r="T80" s="179"/>
      <c r="U80" s="179">
        <v>4500.0</v>
      </c>
      <c r="V80" s="180">
        <f t="shared" si="49"/>
        <v>0</v>
      </c>
      <c r="W80" s="179">
        <v>8.0</v>
      </c>
      <c r="X80" s="176"/>
      <c r="Y80" s="18">
        <f t="shared" si="50"/>
        <v>0</v>
      </c>
      <c r="Z80" s="179">
        <v>1.0</v>
      </c>
      <c r="AA80" s="179">
        <v>1.0</v>
      </c>
      <c r="AB80" s="179">
        <v>1900.0</v>
      </c>
      <c r="AC80" s="181"/>
      <c r="AD80" s="175">
        <v>1.0</v>
      </c>
      <c r="AE80" s="176"/>
      <c r="AF80" s="175">
        <v>1900.0</v>
      </c>
      <c r="AG80" s="18"/>
      <c r="AH80" s="18"/>
      <c r="AI80" s="172" t="s">
        <v>2482</v>
      </c>
      <c r="AJ80" s="172" t="s">
        <v>2547</v>
      </c>
    </row>
    <row r="81" ht="15.0" customHeight="1" outlineLevel="1">
      <c r="A81" s="204" t="s">
        <v>2128</v>
      </c>
      <c r="B81" s="169"/>
      <c r="C81" s="18">
        <f>IFERROR(VLOOKUP($A81,'Мои блогеры'!$A:$N,5,0),"")</f>
        <v>19000</v>
      </c>
      <c r="D81" s="171" t="str">
        <f>IFERROR(VLOOKUP($A81,'Мои блогеры'!$A:$N,2,0),"")</f>
        <v>Telegram</v>
      </c>
      <c r="E81" s="172" t="s">
        <v>2429</v>
      </c>
      <c r="F81" s="173"/>
      <c r="G81" s="173"/>
      <c r="H81" s="174">
        <v>46265.0</v>
      </c>
      <c r="I81" s="172" t="s">
        <v>2363</v>
      </c>
      <c r="J81" s="175">
        <v>0.0</v>
      </c>
      <c r="K81" s="173"/>
      <c r="L81" s="176"/>
      <c r="M81" s="175">
        <v>0.0</v>
      </c>
      <c r="N81" s="173"/>
      <c r="O81" s="227" t="s">
        <v>2367</v>
      </c>
      <c r="P81" s="226"/>
      <c r="Q81" s="171"/>
      <c r="R81" s="172"/>
      <c r="S81" s="178" t="s">
        <v>2548</v>
      </c>
      <c r="T81" s="179"/>
      <c r="U81" s="179">
        <v>37100.0</v>
      </c>
      <c r="V81" s="180">
        <f t="shared" si="49"/>
        <v>0</v>
      </c>
      <c r="W81" s="179"/>
      <c r="X81" s="176"/>
      <c r="Y81" s="18" t="str">
        <f t="shared" si="50"/>
        <v/>
      </c>
      <c r="Z81" s="179"/>
      <c r="AA81" s="176"/>
      <c r="AB81" s="176"/>
      <c r="AC81" s="181"/>
      <c r="AD81" s="18"/>
      <c r="AE81" s="176"/>
      <c r="AF81" s="18"/>
      <c r="AG81" s="18"/>
      <c r="AH81" s="18"/>
      <c r="AI81" s="172" t="s">
        <v>2482</v>
      </c>
      <c r="AJ81" s="172" t="s">
        <v>2547</v>
      </c>
    </row>
    <row r="82" outlineLevel="1">
      <c r="A82" s="173"/>
      <c r="B82" s="169"/>
      <c r="C82" s="18"/>
      <c r="D82" s="171"/>
      <c r="E82" s="173"/>
      <c r="F82" s="173"/>
      <c r="G82" s="173"/>
      <c r="H82" s="228"/>
      <c r="I82" s="173"/>
      <c r="J82" s="18"/>
      <c r="K82" s="173"/>
      <c r="L82" s="176"/>
      <c r="M82" s="18"/>
      <c r="N82" s="173"/>
      <c r="O82" s="173"/>
      <c r="P82" s="173"/>
      <c r="Q82" s="171"/>
      <c r="R82" s="173"/>
      <c r="S82" s="173"/>
      <c r="T82" s="176"/>
      <c r="U82" s="176"/>
      <c r="V82" s="180" t="str">
        <f t="shared" si="49"/>
        <v/>
      </c>
      <c r="W82" s="176"/>
      <c r="X82" s="176"/>
      <c r="Y82" s="18" t="str">
        <f t="shared" si="50"/>
        <v/>
      </c>
      <c r="Z82" s="176"/>
      <c r="AA82" s="176"/>
      <c r="AB82" s="176"/>
      <c r="AC82" s="181"/>
      <c r="AD82" s="18"/>
      <c r="AE82" s="176"/>
      <c r="AF82" s="18"/>
      <c r="AG82" s="18"/>
      <c r="AH82" s="18"/>
      <c r="AI82" s="173"/>
      <c r="AJ82" s="173"/>
    </row>
    <row r="83" outlineLevel="1">
      <c r="A83" s="173"/>
      <c r="B83" s="169" t="str">
        <f>IF($A83="","",IFERROR(HYPERLINK(VLOOKUP($A83,'Мои блогеры'!$A:$N,14,0),"🔗 открыть"),""))</f>
        <v/>
      </c>
      <c r="C83" s="18" t="str">
        <f>IFERROR(VLOOKUP($A83,'Мои блогеры'!$A:$N,5,0),"")</f>
        <v/>
      </c>
      <c r="D83" s="171" t="str">
        <f>IFERROR(VLOOKUP($A83,'Мои блогеры'!$A:$N,2,0),"")</f>
        <v/>
      </c>
      <c r="E83" s="173"/>
      <c r="F83" s="173"/>
      <c r="G83" s="173"/>
      <c r="H83" s="228"/>
      <c r="I83" s="173"/>
      <c r="J83" s="18" t="str">
        <f>IFERROR(VLOOKUP($A83,'Мои блогеры'!$A:$N,8,0),"")</f>
        <v/>
      </c>
      <c r="K83" s="173"/>
      <c r="L83" s="176"/>
      <c r="M83" s="18" t="str">
        <f t="shared" ref="M83:M84" si="51">IF(N($J83)+N($K83)+N($L83)=0,"",N($J83)+N($K83)+N($L83))</f>
        <v/>
      </c>
      <c r="N83" s="173"/>
      <c r="O83" s="173"/>
      <c r="P83" s="173"/>
      <c r="Q83" s="171" t="str">
        <f>IFERROR(VLOOKUP($A83,'Мои блогеры'!$A:$N,10,0)&amp;"-TRG","")</f>
        <v/>
      </c>
      <c r="R83" s="173"/>
      <c r="S83" s="173"/>
      <c r="T83" s="176"/>
      <c r="U83" s="176"/>
      <c r="V83" s="180" t="str">
        <f t="shared" si="49"/>
        <v/>
      </c>
      <c r="W83" s="176"/>
      <c r="X83" s="176"/>
      <c r="Y83" s="18" t="str">
        <f t="shared" si="50"/>
        <v/>
      </c>
      <c r="Z83" s="176"/>
      <c r="AA83" s="176"/>
      <c r="AB83" s="176"/>
      <c r="AC83" s="181"/>
      <c r="AD83" s="18" t="str">
        <f t="shared" ref="AD83:AD84" si="52">IF(OR(N($AA83)=0,$AC83=""),"",ROUND($AA83*$AC83,0))</f>
        <v/>
      </c>
      <c r="AE83" s="176"/>
      <c r="AF83" s="18" t="str">
        <f t="shared" ref="AF83:AF84" si="53">IF(OR(N($AD83)=0,$AE83=""),"",ROUND($AD83*$AE83,0))</f>
        <v/>
      </c>
      <c r="AG83" s="18" t="str">
        <f t="shared" ref="AG83:AG84" si="54">IF(N($AD83)=0,"",ROUND($M83/$AD83,0))</f>
        <v/>
      </c>
      <c r="AH83" s="18" t="str">
        <f t="shared" ref="AH83:AH84" si="55">IF(N($AA83)=0,"",ROUND($M83/$AA83,0))</f>
        <v/>
      </c>
      <c r="AI83" s="173"/>
      <c r="AJ83" s="173"/>
    </row>
    <row r="84" outlineLevel="1">
      <c r="A84" s="173"/>
      <c r="B84" s="169" t="str">
        <f>IF($A84="","",IFERROR(HYPERLINK(VLOOKUP($A84,'Мои блогеры'!$A:$N,14,0),"🔗 открыть"),""))</f>
        <v/>
      </c>
      <c r="C84" s="18" t="str">
        <f>IFERROR(VLOOKUP($A84,'Мои блогеры'!$A:$N,5,0),"")</f>
        <v/>
      </c>
      <c r="D84" s="171" t="str">
        <f>IFERROR(VLOOKUP($A84,'Мои блогеры'!$A:$N,2,0),"")</f>
        <v/>
      </c>
      <c r="E84" s="173"/>
      <c r="F84" s="173"/>
      <c r="G84" s="173"/>
      <c r="H84" s="228"/>
      <c r="I84" s="173"/>
      <c r="J84" s="18" t="str">
        <f>IFERROR(VLOOKUP($A84,'Мои блогеры'!$A:$N,8,0),"")</f>
        <v/>
      </c>
      <c r="K84" s="173"/>
      <c r="L84" s="176"/>
      <c r="M84" s="18" t="str">
        <f t="shared" si="51"/>
        <v/>
      </c>
      <c r="N84" s="173"/>
      <c r="O84" s="173"/>
      <c r="P84" s="173"/>
      <c r="Q84" s="171" t="str">
        <f>IFERROR(VLOOKUP($A84,'Мои блогеры'!$A:$N,10,0)&amp;"-TRG","")</f>
        <v/>
      </c>
      <c r="R84" s="173"/>
      <c r="S84" s="173"/>
      <c r="T84" s="176"/>
      <c r="U84" s="176"/>
      <c r="V84" s="180" t="str">
        <f t="shared" si="49"/>
        <v/>
      </c>
      <c r="W84" s="176"/>
      <c r="X84" s="176"/>
      <c r="Y84" s="18" t="str">
        <f t="shared" si="50"/>
        <v/>
      </c>
      <c r="Z84" s="176"/>
      <c r="AA84" s="176"/>
      <c r="AB84" s="176"/>
      <c r="AC84" s="181"/>
      <c r="AD84" s="18" t="str">
        <f t="shared" si="52"/>
        <v/>
      </c>
      <c r="AE84" s="176"/>
      <c r="AF84" s="18" t="str">
        <f t="shared" si="53"/>
        <v/>
      </c>
      <c r="AG84" s="18" t="str">
        <f t="shared" si="54"/>
        <v/>
      </c>
      <c r="AH84" s="18" t="str">
        <f t="shared" si="55"/>
        <v/>
      </c>
      <c r="AI84" s="173"/>
      <c r="AJ84" s="173"/>
    </row>
    <row r="85" outlineLevel="1">
      <c r="A85" s="188" t="s">
        <v>2549</v>
      </c>
      <c r="B85" s="188"/>
      <c r="C85" s="189"/>
      <c r="D85" s="188"/>
      <c r="E85" s="188"/>
      <c r="F85" s="188"/>
      <c r="G85" s="188"/>
      <c r="H85" s="188"/>
      <c r="I85" s="188" t="str">
        <f>COUNTIF(I78:I84,"Вышло")&amp;" / "&amp;COUNTA(A79:A84)</f>
        <v>4 / 3</v>
      </c>
      <c r="J85" s="189">
        <f>SUM(J79:J84)</f>
        <v>6000</v>
      </c>
      <c r="K85" s="188"/>
      <c r="L85" s="189">
        <f>SUM(L79:L84)</f>
        <v>0</v>
      </c>
      <c r="M85" s="189">
        <f>SUM(M78:M84)</f>
        <v>27358</v>
      </c>
      <c r="N85" s="188"/>
      <c r="O85" s="188"/>
      <c r="P85" s="188"/>
      <c r="Q85" s="188"/>
      <c r="R85" s="188"/>
      <c r="S85" s="188"/>
      <c r="T85" s="189"/>
      <c r="U85" s="189">
        <f>SUM(U78:U84)</f>
        <v>73803</v>
      </c>
      <c r="V85" s="202"/>
      <c r="W85" s="189">
        <f t="shared" ref="W85:X85" si="56">SUM(W78:W84)</f>
        <v>166</v>
      </c>
      <c r="X85" s="189">
        <f t="shared" si="56"/>
        <v>0</v>
      </c>
      <c r="Y85" s="188"/>
      <c r="Z85" s="189">
        <f t="shared" ref="Z85:AB85" si="57">SUM(Z78:Z84)</f>
        <v>65</v>
      </c>
      <c r="AA85" s="189">
        <f t="shared" si="57"/>
        <v>1</v>
      </c>
      <c r="AB85" s="189">
        <f t="shared" si="57"/>
        <v>1900</v>
      </c>
      <c r="AC85" s="188"/>
      <c r="AD85" s="189">
        <f>SUM(AD78:AD84)</f>
        <v>1</v>
      </c>
      <c r="AE85" s="189"/>
      <c r="AF85" s="189">
        <f t="shared" ref="AF85:AH85" si="58">SUM(AF78:AF84)</f>
        <v>1900</v>
      </c>
      <c r="AG85" s="189">
        <f t="shared" si="58"/>
        <v>0</v>
      </c>
      <c r="AH85" s="189">
        <f t="shared" si="58"/>
        <v>0</v>
      </c>
      <c r="AI85" s="188"/>
      <c r="AJ85" s="188"/>
    </row>
    <row r="86" ht="15.0" customHeight="1">
      <c r="A86" s="229" t="s">
        <v>2550</v>
      </c>
      <c r="B86" s="229"/>
      <c r="C86" s="230"/>
      <c r="D86" s="229"/>
      <c r="E86" s="229"/>
      <c r="F86" s="229"/>
      <c r="G86" s="229"/>
      <c r="H86" s="229"/>
      <c r="I86" s="229"/>
      <c r="J86" s="230">
        <f>J15+J32+J54+J76+J85</f>
        <v>503156</v>
      </c>
      <c r="K86" s="229"/>
      <c r="L86" s="230">
        <f t="shared" ref="L86:M86" si="59">L15+L32+L54+L76+L85</f>
        <v>4242</v>
      </c>
      <c r="M86" s="230">
        <f t="shared" si="59"/>
        <v>556026</v>
      </c>
      <c r="N86" s="229"/>
      <c r="O86" s="229"/>
      <c r="P86" s="229"/>
      <c r="Q86" s="229"/>
      <c r="R86" s="229"/>
      <c r="S86" s="229"/>
      <c r="T86" s="230"/>
      <c r="U86" s="230">
        <f>U15+U32+U54+U76+U85</f>
        <v>1040355</v>
      </c>
      <c r="V86" s="231">
        <f>IF(N($U86)=0,"",$M86/$U86)</f>
        <v>0.5344579494</v>
      </c>
      <c r="W86" s="230">
        <f t="shared" ref="W86:X86" si="60">W15+W32+W54+W76+W85</f>
        <v>5236</v>
      </c>
      <c r="X86" s="230">
        <f t="shared" si="60"/>
        <v>1468</v>
      </c>
      <c r="Y86" s="230">
        <f>IF(N($W86)=0,"",$M86/$W86)</f>
        <v>106.1928953</v>
      </c>
      <c r="Z86" s="230">
        <f t="shared" ref="Z86:AB86" si="61">Z15+Z32+Z54+Z76+Z85</f>
        <v>1248</v>
      </c>
      <c r="AA86" s="230">
        <f t="shared" si="61"/>
        <v>208</v>
      </c>
      <c r="AB86" s="230">
        <f t="shared" si="61"/>
        <v>312763</v>
      </c>
      <c r="AC86" s="229"/>
      <c r="AD86" s="230">
        <f>AD15+AD32+AD54+AD76+AD85</f>
        <v>177</v>
      </c>
      <c r="AE86" s="230"/>
      <c r="AF86" s="230">
        <f>AF15+AF32+AF54+AF76+AF85</f>
        <v>300963</v>
      </c>
      <c r="AG86" s="230"/>
      <c r="AH86" s="230"/>
      <c r="AI86" s="229"/>
      <c r="AJ86" s="229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6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6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6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>
      <c r="A90" s="2"/>
      <c r="B90" s="2"/>
      <c r="C90" s="7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6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6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6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>
      <c r="A93" s="2"/>
      <c r="B93" s="2"/>
      <c r="C93" s="78"/>
      <c r="D93" s="78"/>
      <c r="E93" s="78"/>
      <c r="F93" s="78"/>
      <c r="G93" s="78"/>
      <c r="H93" s="7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6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>
      <c r="A94" s="2"/>
      <c r="B94" s="2"/>
      <c r="C94" s="78"/>
      <c r="D94" s="2"/>
      <c r="E94" s="2"/>
      <c r="F94" s="2"/>
      <c r="G94" s="7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6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>
      <c r="A95" s="2"/>
      <c r="B95" s="2"/>
      <c r="C95" s="78"/>
      <c r="D95" s="2"/>
      <c r="E95" s="2"/>
      <c r="F95" s="2"/>
      <c r="G95" s="7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16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>
      <c r="A96" s="2"/>
      <c r="B96" s="2"/>
      <c r="C96" s="7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16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>
      <c r="A97" s="2"/>
      <c r="B97" s="2"/>
      <c r="C97" s="7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16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>
      <c r="A98" s="2"/>
      <c r="B98" s="2"/>
      <c r="C98" s="7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16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>
      <c r="A99" s="2"/>
      <c r="B99" s="2"/>
      <c r="C99" s="7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16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>
      <c r="A100" s="2"/>
      <c r="B100" s="2"/>
      <c r="C100" s="7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16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6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6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6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6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6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6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6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6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6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6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6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6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6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6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6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6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6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6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6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6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6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6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6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6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6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6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6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6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6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6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6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6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6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6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6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6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6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6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6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6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6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6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6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6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6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6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6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6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6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6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6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6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6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6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6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6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6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6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6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6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6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6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6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6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6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6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6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6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6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6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6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6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6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6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6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6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6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6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6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6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6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6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6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6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6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6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6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6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6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6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6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6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6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6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6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6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6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6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6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6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6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6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6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6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6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6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6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6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6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6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6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6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6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6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6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6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6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6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6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6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6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6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6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6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6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6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6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6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6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6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6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6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6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6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6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6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6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6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6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6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6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6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6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6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6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6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6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6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6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6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6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6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6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6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6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6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6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6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6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6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6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6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6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6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6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6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6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6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6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6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6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6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6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6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6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6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6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6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6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6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6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6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6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6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6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6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6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6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6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6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6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6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6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6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6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6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6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6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6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6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6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6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6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6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6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6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6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6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6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6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6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6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6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6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6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6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6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6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6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6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6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6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6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6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6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6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6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6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6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6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6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6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6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6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6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6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6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6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6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6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6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6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6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6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6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6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6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6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6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6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6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6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6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6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6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6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6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6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6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6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6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6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6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6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6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6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6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6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6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6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6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6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6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6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6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6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6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6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6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6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6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6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6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6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6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6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6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6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6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6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6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6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6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6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6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6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6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6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6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6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6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6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6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6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6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6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6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6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6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6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6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6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6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6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6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6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6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6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6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6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6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6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6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6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6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6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6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6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6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6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6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6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6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6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6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6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6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6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6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6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6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6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6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6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6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6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6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6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6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6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6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6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6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6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6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6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6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6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6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6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6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6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6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6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6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6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6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6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6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6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6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6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6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6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6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6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6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6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6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6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6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6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6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6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6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6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6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6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6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6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6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6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6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6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6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6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6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6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6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6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6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6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6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6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6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6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6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6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6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6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6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6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6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6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6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6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6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6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6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6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6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6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6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6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6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6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6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6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6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6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6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6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6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6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6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6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6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6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6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6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6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6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6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6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6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6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6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6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6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6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6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6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6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6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6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6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6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6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6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6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6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6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6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6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6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6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6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6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6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6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6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6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6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6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6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6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6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6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6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6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6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6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6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6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6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6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6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6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6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6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6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6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6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6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6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6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6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6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6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6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6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6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6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6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6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6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6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6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6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6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6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6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6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6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6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6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6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6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6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6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6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6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6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6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6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6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6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6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6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6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6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6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6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6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6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6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6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6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6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6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6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6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6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6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6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6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6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6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6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6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6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6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6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6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6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6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6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6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6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6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6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6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6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6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6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6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6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6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6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6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6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6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6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6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6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6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6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6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6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6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6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6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6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6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6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6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6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6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6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6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6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6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6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6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6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6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6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6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6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6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6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6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6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6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6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6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6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6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6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6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6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6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6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6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6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6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6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6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6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6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6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6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6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6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6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6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6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6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6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6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6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6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6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6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6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6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6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6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6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6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6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6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6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6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6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6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6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6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6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6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6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6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6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6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6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6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6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6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6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6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6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6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6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6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6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6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6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6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6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6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6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6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6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6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6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6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6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6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6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6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6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6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6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6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6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6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6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6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6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6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6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6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6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6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6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6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6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6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6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6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6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6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6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6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6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6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6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6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6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6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6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6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6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6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6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6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6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6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6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6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6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6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6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6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6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6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6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6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6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6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6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6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6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6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6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6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6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6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6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6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6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6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6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6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6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6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6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6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6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6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6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6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6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6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6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6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6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6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6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6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6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6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6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6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6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6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6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6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6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6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6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6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6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6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6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6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6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6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6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6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6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6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6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6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6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6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6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6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6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6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6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6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6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6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6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6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6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6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6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6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6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6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6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6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6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6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6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6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6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6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6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6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6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6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6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6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6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6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6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6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6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6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6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6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6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6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6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6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6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6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6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6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6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6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6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6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6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6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16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16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16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16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16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16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16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16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16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16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16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16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16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16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16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16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16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16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16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16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6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16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6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16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16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16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16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16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16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16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16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16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16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16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16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16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16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16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16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16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16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16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16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16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16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16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16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16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16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16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16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16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</sheetData>
  <conditionalFormatting sqref="I65">
    <cfRule type="expression" dxfId="2" priority="1">
      <formula>AND($I65="Вышло",N($AA70)=0,N($W70)=0)</formula>
    </cfRule>
  </conditionalFormatting>
  <conditionalFormatting sqref="I65">
    <cfRule type="expression" dxfId="0" priority="2">
      <formula>AND($I65="Вышло",$H70="")</formula>
    </cfRule>
  </conditionalFormatting>
  <conditionalFormatting sqref="I65">
    <cfRule type="expression" dxfId="2" priority="3">
      <formula>AND($H70="Вышло",N($Z70)=0,N($V70)=0)</formula>
    </cfRule>
  </conditionalFormatting>
  <conditionalFormatting sqref="I65">
    <cfRule type="expression" dxfId="0" priority="4">
      <formula>AND($H70="Вышло",$G70="")</formula>
    </cfRule>
  </conditionalFormatting>
  <conditionalFormatting sqref="I65">
    <cfRule type="expression" dxfId="2" priority="5">
      <formula>AND($H70="Вышло",N($Z70)=0,N($V70)=0)</formula>
    </cfRule>
  </conditionalFormatting>
  <conditionalFormatting sqref="I65">
    <cfRule type="expression" dxfId="0" priority="6">
      <formula>AND($H70="Вышло",$G70="")</formula>
    </cfRule>
  </conditionalFormatting>
  <conditionalFormatting sqref="I65">
    <cfRule type="expression" dxfId="2" priority="7">
      <formula>AND($H70="Вышло",N($Z70)=0,N($V70)=0)</formula>
    </cfRule>
  </conditionalFormatting>
  <conditionalFormatting sqref="I65">
    <cfRule type="expression" dxfId="0" priority="8">
      <formula>AND($H70="Вышло",$G70="")</formula>
    </cfRule>
  </conditionalFormatting>
  <conditionalFormatting sqref="I69:I75 I77:I81">
    <cfRule type="expression" dxfId="0" priority="9">
      <formula>AND($H68="Вышло",$G68="")</formula>
    </cfRule>
  </conditionalFormatting>
  <conditionalFormatting sqref="I69:I75 I77:I81">
    <cfRule type="expression" dxfId="2" priority="10">
      <formula>AND($H68="Вышло",N($Z68)=0,N($V68)=0)</formula>
    </cfRule>
  </conditionalFormatting>
  <conditionalFormatting sqref="I69:I75 I77:I81">
    <cfRule type="expression" dxfId="0" priority="11">
      <formula>AND($H68="Вышло",$G68="")</formula>
    </cfRule>
  </conditionalFormatting>
  <conditionalFormatting sqref="I69:I75 I77:I81">
    <cfRule type="expression" dxfId="2" priority="12">
      <formula>AND($H68="Вышло",N($Z68)=0,N($V68)=0)</formula>
    </cfRule>
  </conditionalFormatting>
  <conditionalFormatting sqref="I69:I75 I77:I81">
    <cfRule type="expression" dxfId="0" priority="13">
      <formula>AND($H68="Вышло",$G68="")</formula>
    </cfRule>
  </conditionalFormatting>
  <conditionalFormatting sqref="I69:I75 I77:I81">
    <cfRule type="expression" dxfId="2" priority="14">
      <formula>AND($H68="Вышло",N($Z68)=0,N($V68)=0)</formula>
    </cfRule>
  </conditionalFormatting>
  <conditionalFormatting sqref="I69:I75 I77:I81">
    <cfRule type="expression" dxfId="0" priority="15">
      <formula>AND($I69="Вышло",$H68="")</formula>
    </cfRule>
  </conditionalFormatting>
  <conditionalFormatting sqref="I69:I75 I77:I81">
    <cfRule type="expression" dxfId="2" priority="16">
      <formula>AND($I69="Вышло",N($AA68)=0,N($W68)=0)</formula>
    </cfRule>
  </conditionalFormatting>
  <conditionalFormatting sqref="E7 T7:T14 E14 E17:E18 G17:G18 E36 E62:E63">
    <cfRule type="expression" dxfId="0" priority="17">
      <formula>AND($H7="Вышло",$G7="")</formula>
    </cfRule>
  </conditionalFormatting>
  <conditionalFormatting sqref="E7 T7:T14 E14 E17:E18 G17:G18 E36 E62:E63">
    <cfRule type="expression" dxfId="2" priority="18">
      <formula>AND($H7="Вышло",N($Z7)=0,N($V7)=0)</formula>
    </cfRule>
  </conditionalFormatting>
  <conditionalFormatting sqref="E7 T7:T14 E14 E17:E18 G17:G18 E36 E62:E63">
    <cfRule type="expression" dxfId="0" priority="19">
      <formula>AND($I7="Вышло",$H7="")</formula>
    </cfRule>
  </conditionalFormatting>
  <conditionalFormatting sqref="E7 T7:T14 E14 E17:E18 G17:G18 E36 E62:E63">
    <cfRule type="expression" dxfId="2" priority="20">
      <formula>AND($I7="Вышло",N($AA7)=0,N($W7)=0)</formula>
    </cfRule>
  </conditionalFormatting>
  <conditionalFormatting sqref="D7:F7 J7 M7 T7:T14 U7 V7:V31 AB8:AB12 B9:B12 D9:D14 E9:F12 G9:G14 H9:H12 J9:J14 K9:L12 M9:M14 N9:S12 U9:U12 W9:AA12 AC9:AC12 AD9 C10:C14 AD12:AD13 AF12:AF13 D17:D20 F19:F31 V34:V53 D36 F38:F53 V56:V71 D61:D64 V78:V82">
    <cfRule type="expression" dxfId="0" priority="21">
      <formula>AND($H7="Вышло",$G7="")</formula>
    </cfRule>
  </conditionalFormatting>
  <conditionalFormatting sqref="D7:F7 J7 M7 T7:T14 U7 V7:V31 AB8:AB12 B9:B12 D9:D14 E9:F12 G9:G14 H9:H12 J9:J14 K9:L12 M9:M14 N9:S12 U9:U12 W9:AA12 AC9:AC12 AD9 C10:C14 AD12:AD13 AF12:AF13 D17:D20 F19:F31 V34:V53 D36 F38:F53 V56:V71 D61:D64 V78:V82">
    <cfRule type="expression" dxfId="1" priority="22">
      <formula>AND($H7="Вышло",N($Z7)=0,N($V7)=0)</formula>
    </cfRule>
  </conditionalFormatting>
  <conditionalFormatting sqref="B7 D7:H7 J7:S7 T7:T33 U7 V7:V53 W7:AC7 S10 E13:F33 B14:C33 D14:D20 G14:S33 U14:U33 W14:AC33 A15 A17 A32:A33 D32:D33 AD32:AH32 A36:U36 W36:AC36 C38:C53 F38:F53 J38:J53 M38:M53 E56:E75 H56:H57 V56:V75 B59:D59 F59:G59 H59:H64 I59:J59 K59:K64 L59:S59 T59:T64 U59 W59:AC64 B61:B64 C61:C69 D61:D64 F61:G64 I61:I64 J61:J75 L61:L64 M61:M67 N61:S64 U61:U64 A62:A63 H71:H72 AB72 H74:H75 AA75 E77:E81 H77:H81 J77:J81 V77:V82 AA77:AA81 Z78:Z79">
    <cfRule type="expression" dxfId="0" priority="23">
      <formula>AND(#ref!="Вышло",#ref!="")</formula>
    </cfRule>
  </conditionalFormatting>
  <conditionalFormatting sqref="B7 D7:H7 J7:S7 T7:T33 U7 V7:V53 W7:AC7 S10 E13:F33 B14:C33 D14:D20 G14:S33 U14:U33 W14:AC33 A15 A17 A32:A33 D32:D33 AD32:AH32 A36:U36 W36:AC36 C38:C53 F38:F53 J38:J53 M38:M53 E56:E75 H56:H57 V56:V75 B59:D59 F59:G59 H59:H64 I59:J59 K59:K64 L59:S59 T59:T64 U59 W59:AC64 B61:B64 C61:C69 D61:D64 F61:G64 I61:I64 J61:J75 L61:L64 M61:M67 N61:S64 U61:U64 A62:A63 H71:H72 AB72 H74:H75 AA75 E77:E81 H77:H81 J77:J81 V77:V82 AA77:AA81 Z78:Z79">
    <cfRule type="expression" dxfId="1" priority="24">
      <formula>AND(#ref!="Вышло",N(#ref!)=0,N(#ref!)=0)</formula>
    </cfRule>
  </conditionalFormatting>
  <conditionalFormatting sqref="B34:G35 H34:H53 I34:I36 J34:U35 V34:V53 W34:W35 X34:X36 Y34:Y53 Z34:AC35 G37:G53 N37:N53 B38:C53 E38:F53 I38:M53 O38:U53 W38:X53 Z38:AC53 B56:D58 E56:E75 F56:G58 H56:H64 I56:U58 V56:V71 W56:AB75 AC56:AC58 B61:D61 F61:G61 I61:I63 J61:S61 T61:T64 U61 AC61 AD66 H71:H72 E77:E81 W77:X81 Y77:Y84 Z77:AB81 T78:T79 V78:V82">
    <cfRule type="expression" dxfId="0" priority="25">
      <formula>AND($H34="Вышло",$G34="")</formula>
    </cfRule>
  </conditionalFormatting>
  <conditionalFormatting sqref="B34:G35 H34:H53 I34:I36 J34:U35 V34:V53 W34:W35 X34:X36 Y34:Y53 Z34:AC35 G37:G53 N37:N53 B38:C53 E38:F53 I38:M53 O38:U53 W38:X53 Z38:AC53 B56:D58 E56:E75 F56:G58 H56:H64 I56:U58 V56:V71 W56:AB75 AC56:AC58 B61:D61 F61:G61 I61:I63 J61:S61 T61:T64 U61 AC61 AD66 H71:H72 E77:E81 W77:X81 Y77:Y84 Z77:AB81 T78:T79 V78:V82">
    <cfRule type="expression" dxfId="1" priority="26">
      <formula>AND($H34="Вышло",N($Z34)=0,N($V34)=0)</formula>
    </cfRule>
  </conditionalFormatting>
  <conditionalFormatting sqref="H34:H35 I34 B37:X37 Y37:Y55 Z37:AC37 V48 A54:X55 Z54:AC55 AD54:AJ54 AA57 AA59:AA61 E61 I61:I63 AA63 H65:I65 AA65 B67:D69 E67:E70 F67:G69 H67:I75 J67:S69 T67:U70 V67:AC69 AA71 AA74:AA75 A77:G77 H77:I81 J77:Y77 Z77:Z79 AA77:AA81 AB77:AC77">
    <cfRule type="expression" dxfId="0" priority="27">
      <formula>AND($H34="Вышло",$G34="")</formula>
    </cfRule>
  </conditionalFormatting>
  <conditionalFormatting sqref="H34:H35 I34 B37:X37 Y37:Y55 Z37:AC37 V48 A54:X55 Z54:AC55 AD54:AJ54 AA57 AA59:AA61 E61 I61:I63 AA63 H65:I65 AA65 B67:D69 E67:E70 F67:G69 H67:I75 J67:S69 T67:U70 V67:AC69 AA71 AA74:AA75 A77:G77 H77:I81 J77:Y77 Z77:Z79 AA77:AA81 AB77:AC77">
    <cfRule type="expression" dxfId="1" priority="28">
      <formula>AND($H34="Вышло",N($Z34)=0,N($V34)=0)</formula>
    </cfRule>
  </conditionalFormatting>
  <conditionalFormatting sqref="B7 D7:G7 H7:H15 J7:S7 T7:T15 U7 V7:V31 W7:AA7 AB7:AB15 AC7 B9:B15 D9:G15 J9:S15 U9:U15 W9:AA15 AC9:AC15 AD9 C10:C15 AD12:AD13 AF12:AF13 I14:I15 A15 B17:C18 D17:D20 E17:E18 F17:F31 G17:H18 J17:U18 W17:AC18 Y20:Y21 Y23 Y25:Y26 Y28:Y29 V34:V53 B36:H36 J36:U36 W36:AC36 C38:C53 F38:F53 J38:J53 M38:M53 V56:V71 H59:H64 D61:D64 B62:C63 E62:G63 J62:U63 W62:AC63 H71:H72 H74:H75 H77 V78:V82 H80:H81">
    <cfRule type="expression" dxfId="0" priority="29">
      <formula>AND(#ref!="Вышло",#ref!="")</formula>
    </cfRule>
  </conditionalFormatting>
  <conditionalFormatting sqref="B7 D7:G7 H7:H15 J7:S7 T7:T15 U7 V7:V31 W7:AA7 AB7:AB15 AC7 B9:B15 D9:G15 J9:S15 U9:U15 W9:AA15 AC9:AC15 AD9 C10:C15 AD12:AD13 AF12:AF13 I14:I15 A15 B17:C18 D17:D20 E17:E18 F17:F31 G17:H18 J17:U18 W17:AC18 Y20:Y21 Y23 Y25:Y26 Y28:Y29 V34:V53 B36:H36 J36:U36 W36:AC36 C38:C53 F38:F53 J38:J53 M38:M53 V56:V71 H59:H64 D61:D64 B62:C63 E62:G63 J62:U63 W62:AC63 H71:H72 H74:H75 H77 V78:V82 H80:H81">
    <cfRule type="expression" dxfId="2" priority="30">
      <formula>AND(#ref!="Вышло",N(#ref!)=0,N(#ref!)=0)</formula>
    </cfRule>
  </conditionalFormatting>
  <conditionalFormatting sqref="B7 D7:G7 H7:H15 J7:S7 T7:T15 U7 V7:V31 W7:AA7 AB7:AB15 AC7 B9:B15 D9:G15 J9:S15 U9:U15 W9:AA15 AC9:AC15 AD9 C10:C15 AD12:AD13 AF12:AF13 I14:I15 A15 B17:C18 D17:D20 E17:E18 F17:F31 G17:H18 J17:U18 W17:AC18 Y20:Y21 Y23 Y25:Y26 Y28:Y29 V34:V53 B36:H36 J36:U36 W36:AC36 C38:C53 F38:F53 J38:J53 M38:M53 V56:V71 H59:H64 D61:D64 B62:C63 E62:G63 J62:U63 W62:AC63 H71:H72 H74:H75 H77 V78:V82 H80:H81">
    <cfRule type="expression" dxfId="0" priority="31">
      <formula>AND(#ref!="Вышло",#ref!="")</formula>
    </cfRule>
  </conditionalFormatting>
  <conditionalFormatting sqref="B7 D7:G7 H7:H15 J7:S7 T7:T15 U7 V7:V31 W7:AA7 AB7:AB15 AC7 B9:B15 D9:G15 J9:S15 U9:U15 W9:AA15 AC9:AC15 AD9 C10:C15 AD12:AD13 AF12:AF13 I14:I15 A15 B17:C18 D17:D20 E17:E18 F17:F31 G17:H18 J17:U18 W17:AC18 Y20:Y21 Y23 Y25:Y26 Y28:Y29 V34:V53 B36:H36 J36:U36 W36:AC36 C38:C53 F38:F53 J38:J53 M38:M53 V56:V71 H59:H64 D61:D64 B62:C63 E62:G63 J62:U63 W62:AC63 H71:H72 H74:H75 H77 V78:V82 H80:H81">
    <cfRule type="expression" dxfId="2" priority="32">
      <formula>AND(#ref!="Вышло",N(#ref!)=0,N(#ref!)=0)</formula>
    </cfRule>
  </conditionalFormatting>
  <conditionalFormatting sqref="Y17:Y32 B19:C32 D19:D20 E19:X32 Z19:AC32 A32 D32 AD32:AH32 V34:V53 F38:F53 V56:V71 V78:V82">
    <cfRule type="expression" dxfId="0" priority="33">
      <formula>AND($H17="Вышло",$G17="")</formula>
    </cfRule>
  </conditionalFormatting>
  <conditionalFormatting sqref="Y17:Y32 B19:C32 D19:D20 E19:X32 Z19:AC32 A32 D32 AD32:AH32 V34:V53 F38:F53 V56:V71 V78:V82">
    <cfRule type="expression" dxfId="2" priority="34">
      <formula>AND($H17="Вышло",N($Z17)=0,N($V17)=0)</formula>
    </cfRule>
  </conditionalFormatting>
  <conditionalFormatting sqref="Y17:Y32 B19:C32 D19:D20 E19:X32 Z19:AC32 A32 D32 AD32:AH32 V34:V53 F38:F53 V56:V71 V78:V82">
    <cfRule type="expression" dxfId="0" priority="35">
      <formula>AND($H17="Вышло",$G17="")</formula>
    </cfRule>
  </conditionalFormatting>
  <conditionalFormatting sqref="Y17:Y32 B19:C32 D19:D20 E19:X32 Z19:AC32 A32 D32 AD32:AH32 V34:V53 F38:F53 V56:V71 V78:V82">
    <cfRule type="expression" dxfId="2" priority="36">
      <formula>AND($H17="Вышло",N($Z17)=0,N($V17)=0)</formula>
    </cfRule>
  </conditionalFormatting>
  <conditionalFormatting sqref="G7:G14 G19:G31 B34:F36 G34:H54 I34:M36 N34:N54 O34:U36 V34:V54 W34:X36 Y34:Y54 Z34:AC36 B38:C54 E38:F54 I38:M54 O38:U54 W38:X54 Z38:AC54 A54 D54 AD54:AJ54 B56:B66 C56:C69 D56:D66 E56:E75 F56:F66 G56:G70 H56:J75 K56:L66 M56:M67 N56:N70 O56:U66 V56:AB75 AC56:AC66 AD66 E77:E81 H77:J81 V77:V82 W77:X81 Y77:Y84 Z77:AB81 T78:T79">
    <cfRule type="expression" dxfId="0" priority="37">
      <formula>AND($H7="Вышло",$G7="")</formula>
    </cfRule>
  </conditionalFormatting>
  <conditionalFormatting sqref="G7:G14 G19:G31 B34:F36 G34:H54 I34:M36 N34:N54 O34:U36 V34:V54 W34:X36 Y34:Y54 Z34:AC36 B38:C54 E38:F54 I38:M54 O38:U54 W38:X54 Z38:AC54 A54 D54 AD54:AJ54 B56:B66 C56:C69 D56:D66 E56:E75 F56:F66 G56:G70 H56:J75 K56:L66 M56:M67 N56:N70 O56:U66 V56:AB75 AC56:AC66 AD66 E77:E81 H77:J81 V77:V82 W77:X81 Y77:Y84 Z77:AB81 T78:T79">
    <cfRule type="expression" dxfId="2" priority="38">
      <formula>AND($H7="Вышло",N($Z7)=0,N($V7)=0)</formula>
    </cfRule>
  </conditionalFormatting>
  <conditionalFormatting sqref="G7:G14 G19:G31 B34:F36 G34:H54 I34:M36 N34:N54 O34:U36 V34:V54 W34:X36 Y34:Y54 Z34:AC36 B38:C54 E38:F54 I38:M54 O38:U54 W38:X54 Z38:AC54 A54 D54 AD54:AJ54 B56:B66 C56:C69 D56:D66 E56:E75 F56:F66 G56:G70 H56:J75 K56:L66 M56:M67 N56:N70 O56:U66 V56:AB75 AC56:AC66 AD66 E77:E81 H77:J81 V77:V82 W77:X81 Y77:Y84 Z77:AB81 T78:T79">
    <cfRule type="expression" dxfId="0" priority="39">
      <formula>AND($H7="Вышло",$G7="")</formula>
    </cfRule>
  </conditionalFormatting>
  <conditionalFormatting sqref="G7:G14 G19:G31 B34:F36 G34:H54 I34:M36 N34:N54 O34:U36 V34:V54 W34:X36 Y34:Y54 Z34:AC36 B38:C54 E38:F54 I38:M54 O38:U54 W38:X54 Z38:AC54 A54 D54 AD54:AJ54 B56:B66 C56:C69 D56:D66 E56:E75 F56:F66 G56:G70 H56:J75 K56:L66 M56:M67 N56:N70 O56:U66 V56:AB75 AC56:AC66 AD66 E77:E81 H77:J81 V77:V82 W77:X81 Y77:Y84 Z77:AB81 T78:T79">
    <cfRule type="expression" dxfId="2" priority="40">
      <formula>AND($H7="Вышло",N($Z7)=0,N($V7)=0)</formula>
    </cfRule>
  </conditionalFormatting>
  <conditionalFormatting sqref="G7:G14 G19:G31 H34:H35 I34 B37:X37 Y37:Y53 Z37:AC37 V48 E61 I61:I63 B65:F65 G65:G81 H65:M65 N65:N81 O65:AC65 B67:F81 H67:M81 O67:U81 V67:V82 W67:X81 Y67:Y84 Z67:AC81 A76 AD76:AF76">
    <cfRule type="expression" dxfId="0" priority="41">
      <formula>AND($H7="Вышло",$G7="")</formula>
    </cfRule>
  </conditionalFormatting>
  <conditionalFormatting sqref="G7:G14 G19:G31 H34:H35 I34 B37:X37 Y37:Y53 Z37:AC37 V48 E61 I61:I63 B65:F65 G65:G81 H65:M65 N65:N81 O65:AC65 B67:F81 H67:M81 O67:U81 V67:V82 W67:X81 Y67:Y84 Z67:AC81 A76 AD76:AF76">
    <cfRule type="expression" dxfId="2" priority="42">
      <formula>AND($H7="Вышло",N($Z7)=0,N($V7)=0)</formula>
    </cfRule>
  </conditionalFormatting>
  <conditionalFormatting sqref="G7:G14 G19:G31 H34:H35 I34 B37:X37 Y37:Y53 Z37:AC37 V48 E61 I61:I63 B65:F65 G65:G81 H65:M65 N65:N81 O65:AC65 B67:F81 H67:M81 O67:U81 V67:V82 W67:X81 Y67:Y84 Z67:AC81 A76 AD76:AF76">
    <cfRule type="expression" dxfId="0" priority="43">
      <formula>AND($H7="Вышло",$G7="")</formula>
    </cfRule>
  </conditionalFormatting>
  <conditionalFormatting sqref="G7:G14 G19:G31 H34:H35 I34 B37:X37 Y37:Y53 Z37:AC37 V48 E61 I61:I63 B65:F65 G65:G81 H65:M65 N65:N81 O65:AC65 B67:F81 H67:M81 O67:U81 V67:V82 W67:X81 Y67:Y84 Z67:AC81 A76 AD76:AF76">
    <cfRule type="expression" dxfId="2" priority="44">
      <formula>AND($H7="Вышло",N($Z7)=0,N($V7)=0)</formula>
    </cfRule>
  </conditionalFormatting>
  <conditionalFormatting sqref="A77:AC85 AD85 AF85:AH85">
    <cfRule type="expression" dxfId="0" priority="45">
      <formula>AND($H77="Вышло",$G77="")</formula>
    </cfRule>
  </conditionalFormatting>
  <conditionalFormatting sqref="A77:AC85 AD85 AF85:AH85">
    <cfRule type="expression" dxfId="2" priority="46">
      <formula>AND($H77="Вышло",N($Z77)=0,N($V77)=0)</formula>
    </cfRule>
  </conditionalFormatting>
  <conditionalFormatting sqref="A77:AC85 AD85 AF85:AH85">
    <cfRule type="expression" dxfId="0" priority="47">
      <formula>AND($H77="Вышло",$G77="")</formula>
    </cfRule>
  </conditionalFormatting>
  <conditionalFormatting sqref="A77:AC85 AD85 AF85:AH85">
    <cfRule type="expression" dxfId="2" priority="48">
      <formula>AND($H77="Вышло",N($Z77)=0,N($V77)=0)</formula>
    </cfRule>
  </conditionalFormatting>
  <conditionalFormatting sqref="B7 D7:H7 J7:S7 T7:T15 U7 V7:V31 W7:AH7 B9 D9:D15 E9 F9:F15 G9:H9 J9:R9 S9:S10 U9 W9:AH9 B14:C15 E14:E15 G14:S15 U14:U15 W14:AH15 A15 B17:C18 D17:D20 E17:E18 G17:H18 J17:U18 W17:AH18 Y20:Y21 Y23 Y25:Y26 Y28:Y29 AG32:AH32 V34:V53 B36:E36 G36:H36 J36:U36 W36:AH36 C38:C53 J38:J53 M38:M53 AG42:AH42 V56:V71 H59:H64 D61:D64 B62:C63 E62:E63 G62:G63 J62:U63 W62:AH63 H71:H72 H74:H75 H77 V78:V82 H80:H81">
    <cfRule type="expression" dxfId="0" priority="49">
      <formula>AND(#ref!="Вышло",#ref!="")</formula>
    </cfRule>
  </conditionalFormatting>
  <conditionalFormatting sqref="B7 D7:H7 J7:S7 T7:T15 U7 V7:V31 W7:AH7 B9 D9:D15 E9 F9:F15 G9:H9 J9:R9 S9:S10 U9 W9:AH9 B14:C15 E14:E15 G14:S15 U14:U15 W14:AH15 A15 B17:C18 D17:D20 E17:E18 G17:H18 J17:U18 W17:AH18 Y20:Y21 Y23 Y25:Y26 Y28:Y29 AG32:AH32 V34:V53 B36:E36 G36:H36 J36:U36 W36:AH36 C38:C53 J38:J53 M38:M53 AG42:AH42 V56:V71 H59:H64 D61:D64 B62:C63 E62:E63 G62:G63 J62:U63 W62:AH63 H71:H72 H74:H75 H77 V78:V82 H80:H81">
    <cfRule type="expression" dxfId="2" priority="50">
      <formula>AND(#ref!="Вышло",N(#ref!)=0,N(#ref!)=0)</formula>
    </cfRule>
  </conditionalFormatting>
  <conditionalFormatting sqref="D7:E7 H7:H14 J7 M7 T7:T14 V7:V32 AB8 AD9:AD13 B10:B13 C10:G14 J10:J14 K10:L13 M10:M14 N10:S13 U10:U13 W10:X13 Y10:Y14 Z10:AC13 AE10:AH13 D17:D20 F17:F32 Y17:Y32 AG17:AH32 B19:C32 E19:E32 G19:U32 W19:X32 Z19:AF32 A32 D32 V34:V53 D36 F36 F38:F53 AG42:AH42 AG46:AH46 AG50:AH50 V56:V71 D61:D64 F62:F63 V78:V82">
    <cfRule type="expression" dxfId="0" priority="51">
      <formula>AND(#ref!="Вышло",#ref!="")</formula>
    </cfRule>
  </conditionalFormatting>
  <conditionalFormatting sqref="D7:E7 H7:H14 J7 M7 T7:T14 V7:V32 AB8 AD9:AD13 B10:B13 C10:G14 J10:J14 K10:L13 M10:M14 N10:S13 U10:U13 W10:X13 Y10:Y14 Z10:AC13 AE10:AH13 D17:D20 F17:F32 Y17:Y32 AG17:AH32 B19:C32 E19:E32 G19:U32 W19:X32 Z19:AF32 A32 D32 V34:V53 D36 F36 F38:F53 AG42:AH42 AG46:AH46 AG50:AH50 V56:V71 D61:D64 F62:F63 V78:V82">
    <cfRule type="expression" dxfId="2" priority="52">
      <formula>AND(#ref!="Вышло",N(#ref!)=0,N(#ref!)=0)</formula>
    </cfRule>
  </conditionalFormatting>
  <conditionalFormatting sqref="G7:G14 G19:G31 B34:F36 G34:H54 I34:M36 N34:N54 O34:U36 V34:V54 W34:X36 Y34:Y54 Z34:AH36 B38:C54 E38:F54 I38:M54 O38:U54 W38:X54 Z38:AH54 A54 D54 AI54:AJ54 B56:B66 C56:C69 D56:D66 E56:E75 F56:F66 G56:G70 H56:J75 K56:L66 M56:M67 N56:N70 O56:U66 V56:AB75 AC56:AD66 AE56:AE72 AF56:AH66 E77:E81 H77:J81 V77:V82 W77:X81 Y77:Y84 Z77:AB81 T78:T79">
    <cfRule type="expression" dxfId="0" priority="53">
      <formula>AND($H7="Вышло",$G7="")</formula>
    </cfRule>
  </conditionalFormatting>
  <conditionalFormatting sqref="G7:G14 G19:G31 B34:F36 G34:H54 I34:M36 N34:N54 O34:U36 V34:V54 W34:X36 Y34:Y54 Z34:AH36 B38:C54 E38:F54 I38:M54 O38:U54 W38:X54 Z38:AH54 A54 D54 AI54:AJ54 B56:B66 C56:C69 D56:D66 E56:E75 F56:F66 G56:G70 H56:J75 K56:L66 M56:M67 N56:N70 O56:U66 V56:AB75 AC56:AD66 AE56:AE72 AF56:AH66 E77:E81 H77:J81 V77:V82 W77:X81 Y77:Y84 Z77:AB81 T78:T79">
    <cfRule type="expression" dxfId="2" priority="54">
      <formula>AND($H7="Вышло",N($Z7)=0,N($V7)=0)</formula>
    </cfRule>
  </conditionalFormatting>
  <conditionalFormatting sqref="G7:G14 G19:G31 H34:H35 I34 B37:X37 Y37:Y53 Z37:AH37 V48 E61 I61:I63 B65:F65 G65:G81 H65:M65 N65:N81 O65:AH65 B67:F81 H67:M81 O67:U81 V67:V82 W67:X81 Y67:Y84 Z67:AH81 A76">
    <cfRule type="expression" dxfId="0" priority="55">
      <formula>AND($H7="Вышло",$G7="")</formula>
    </cfRule>
  </conditionalFormatting>
  <conditionalFormatting sqref="G7:G14 G19:G31 H34:H35 I34 B37:X37 Y37:Y53 Z37:AH37 V48 E61 I61:I63 B65:F65 G65:G81 H65:M65 N65:N81 O65:AH65 B67:F81 H67:M81 O67:U81 V67:V82 W67:X81 Y67:Y84 Z67:AH81 A76">
    <cfRule type="expression" dxfId="2" priority="56">
      <formula>AND($H7="Вышло",N($Z7)=0,N($V7)=0)</formula>
    </cfRule>
  </conditionalFormatting>
  <conditionalFormatting sqref="A77:AH85">
    <cfRule type="expression" dxfId="0" priority="57">
      <formula>AND($H77="Вышло",$G77="")</formula>
    </cfRule>
  </conditionalFormatting>
  <conditionalFormatting sqref="A77:AH85">
    <cfRule type="expression" dxfId="2" priority="58">
      <formula>AND($H77="Вышло",N($Z77)=0,N($V77)=0)</formula>
    </cfRule>
  </conditionalFormatting>
  <conditionalFormatting sqref="B7:B9 D7:F14 G7:H9 I7:I14 J7:R9 S7:S10 T7:T14 U7:U9 V7:V31 W7:AH9 AI7:AJ10 B14:C14 G14:H14 J14:S14 U14 W14:AJ14 B17:C18 D17:D20 E17:E18 G17:H18 I17:I31 J17:U18 W17:AJ18 Y20:Y21 Y23 Y25:Y26 Y28:Y29 V34:V53 B36:E36 G36:U36 W36:AJ36 C38:C53 J38:J53 M38:M53 AG42:AH42 V56:V71 AI57:AI63 H59:H64 D61:D64 B62:C63 E62:E63 G62:G63 I62:U63 W62:AH63 AJ62:AJ63 H71:H72 H74:H75 H77 V78:V82 H80:H81">
    <cfRule type="expression" dxfId="0" priority="59">
      <formula>AND(#ref!="Вышло",#ref!="")</formula>
    </cfRule>
  </conditionalFormatting>
  <conditionalFormatting sqref="B7:B9 D7:F14 G7:H9 I7:I14 J7:R9 S7:S10 T7:T14 U7:U9 V7:V31 W7:AH9 AI7:AJ10 B14:C14 G14:H14 J14:S14 U14 W14:AJ14 B17:C18 D17:D20 E17:E18 G17:H18 I17:I31 J17:U18 W17:AJ18 Y20:Y21 Y23 Y25:Y26 Y28:Y29 V34:V53 B36:E36 G36:U36 W36:AJ36 C38:C53 J38:J53 M38:M53 AG42:AH42 V56:V71 AI57:AI63 H59:H64 D61:D64 B62:C63 E62:E63 G62:G63 I62:U63 W62:AH63 AJ62:AJ63 H71:H72 H74:H75 H77 V78:V82 H80:H81">
    <cfRule type="expression" dxfId="2" priority="60">
      <formula>AND(#ref!="Вышло",N(#ref!)=0,N(#ref!)=0)</formula>
    </cfRule>
  </conditionalFormatting>
  <conditionalFormatting sqref="D7:E7 H7:H14 J7 M7 T7:T14 V7:V31 AI7:AJ7 AB8 AD9:AD13 B10:B13 C10:G14 J10:J14 K10:L13 M10:M14 N10:S13 U10:U13 W10:X13 Y10:Y14 Z10:AC13 AE10:AH13 AI10:AJ14 D17:D20 F17:F31 Y17:Y31 AG17:AH31 B19:C31 E19:E31 G19:U31 W19:X31 Z19:AF31 AI19:AJ31 V34:V53 B36:U36 W36:AJ36 F38:F53 AG42:AH42 AG46:AH46 AG50:AH50 V56:V75 AI57:AI64 H59:H64 B61:B64 C61:C69 D61:G64 I61:I64 J61:J75 K61:L64 M61:M67 N61:U64 W61:AH64 AJ61:AJ64 H71:H72 H74:H75 H77:H81 J77:J81 V77:V82">
    <cfRule type="expression" dxfId="0" priority="61">
      <formula>AND(#ref!="Вышло",#ref!="")</formula>
    </cfRule>
  </conditionalFormatting>
  <conditionalFormatting sqref="D7:E7 H7:H14 J7 M7 T7:T14 V7:V31 AI7:AJ7 AB8 AD9:AD13 B10:B13 C10:G14 J10:J14 K10:L13 M10:M14 N10:S13 U10:U13 W10:X13 Y10:Y14 Z10:AC13 AE10:AH13 AI10:AJ14 D17:D20 F17:F31 Y17:Y31 AG17:AH31 B19:C31 E19:E31 G19:U31 W19:X31 Z19:AF31 AI19:AJ31 V34:V53 B36:U36 W36:AJ36 F38:F53 AG42:AH42 AG46:AH46 AG50:AH50 V56:V75 AI57:AI64 H59:H64 B61:B64 C61:C69 D61:G64 I61:I64 J61:J75 K61:L64 M61:M67 N61:U64 W61:AH64 AJ61:AJ64 H71:H72 H74:H75 H77:H81 J77:J81 V77:V82">
    <cfRule type="expression" dxfId="2" priority="62">
      <formula>AND(#ref!="Вышло",N(#ref!)=0,N(#ref!)=0)</formula>
    </cfRule>
  </conditionalFormatting>
  <conditionalFormatting sqref="G7:G14 G19:G31 B34:F36 G34:H53 I34:M36 N34:N53 O34:U36 V34:V53 W34:X36 Y34:Y53 Z34:AH36 AI34:AJ53 B38:C53 E38:F53 I38:M53 O38:U53 W38:X53 Z38:AH53 B56:B66 C56:C69 D56:D66 E56:E75 F56:F66 G56:G70 H56:J75 K56:L66 M56:M67 N56:N70 O56:U66 V56:AB75 AC56:AD66 AE56:AE72 AF56:AH66 AI56:AI75 AJ56:AJ66 E77:E81 H77:J81 V77:V82 W77:X81 Y77:Y84 Z77:AB81 AI77:AI81 T78:T79">
    <cfRule type="expression" dxfId="0" priority="63">
      <formula>AND($I7="Вышло",$H7="")</formula>
    </cfRule>
  </conditionalFormatting>
  <conditionalFormatting sqref="G7:G14 G19:G31 B34:F36 G34:H53 I34:M36 N34:N53 O34:U36 V34:V53 W34:X36 Y34:Y53 Z34:AH36 AI34:AJ53 B38:C53 E38:F53 I38:M53 O38:U53 W38:X53 Z38:AH53 B56:B66 C56:C69 D56:D66 E56:E75 F56:F66 G56:G70 H56:J75 K56:L66 M56:M67 N56:N70 O56:U66 V56:AB75 AC56:AD66 AE56:AE72 AF56:AH66 AI56:AI75 AJ56:AJ66 E77:E81 H77:J81 V77:V82 W77:X81 Y77:Y84 Z77:AB81 AI77:AI81 T78:T79">
    <cfRule type="expression" dxfId="2" priority="64">
      <formula>AND($I7="Вышло",N($AA7)=0,N($W7)=0)</formula>
    </cfRule>
  </conditionalFormatting>
  <conditionalFormatting sqref="G7:G14 G19:G31 H34:H35 I34 B37:X37 Y37:Y53 Z37:AJ37 AI41:AJ41 V48 AI48:AJ48 AI53:AJ53 E61 I61:I63 B65:F65 G65:G75 H65:M65 N65:N75 O65:AJ65 B67:F75 H67:M75 O67:AJ75 B77:U81 V77:V82 W77:X81 Y77:Y84 Z77:AJ81">
    <cfRule type="expression" dxfId="0" priority="65">
      <formula>AND($I7="Вышло",$H7="")</formula>
    </cfRule>
  </conditionalFormatting>
  <conditionalFormatting sqref="G7:G14 G19:G31 H34:H35 I34 B37:X37 Y37:Y53 Z37:AJ37 AI41:AJ41 V48 AI48:AJ48 AI53:AJ53 E61 I61:I63 B65:F65 G65:G75 H65:M65 N65:N75 O65:AJ65 B67:F75 H67:M75 O67:AJ75 B77:U81 V77:V82 W77:X81 Y77:Y84 Z77:AJ81">
    <cfRule type="expression" dxfId="2" priority="66">
      <formula>AND($I7="Вышло",N($AA7)=0,N($W7)=0)</formula>
    </cfRule>
  </conditionalFormatting>
  <conditionalFormatting sqref="A77:AJ84">
    <cfRule type="expression" dxfId="0" priority="67">
      <formula>AND($I77="Вышло",$H77="")</formula>
    </cfRule>
  </conditionalFormatting>
  <conditionalFormatting sqref="A77:AJ84">
    <cfRule type="expression" dxfId="2" priority="68">
      <formula>AND($I77="Вышло",N($AA77)=0,N($W77)=0)</formula>
    </cfRule>
  </conditionalFormatting>
  <dataValidations>
    <dataValidation type="date" allowBlank="1" showInputMessage="1" showErrorMessage="1" prompt="Только дата - Введи дату, например 14.07.2026" sqref="G16 G33 G55 G59 G64 G77">
      <formula1>DATE(2026,1,1)</formula1>
      <formula2>DATE(2027,12,31)</formula2>
    </dataValidation>
    <dataValidation type="list" allowBlank="1" sqref="I7:I14 H15 I17:I31 H32 I34:I53 H54 I56:I75 H76 I78:I84 H85">
      <formula1>"Ожидаем выхода,Вышло,Перенос,Отказ,оплачено,договор на подписании"</formula1>
    </dataValidation>
    <dataValidation type="list" allowBlank="1" showErrorMessage="1" sqref="H16 H33 H55 H77">
      <formula1>"Ожидаем выхода,Вышло,Перенос,Отказ"</formula1>
    </dataValidation>
    <dataValidation type="list" allowBlank="1" sqref="E7:E14 T7:T14 D15:D16 T17:T18 E17:E31 D32:D33 D34:E35 E36 T34:T36 D37:E37 E38:E53 D54:D55 D56:E61 E62:E64 T56:T64 D65:E75 D76:D77 T78:T79 D78:E84 D85">
      <formula1>"Да,Нет"</formula1>
    </dataValidation>
    <dataValidation type="list" allowBlank="1" sqref="A15 A32:A33 A54:A55 A76:A77 A82:A85">
      <formula1>bloggers_list</formula1>
    </dataValidation>
    <dataValidation type="list" allowBlank="1" sqref="D21:D31 D38:D53">
      <formula1>"Telegram,YouTube,MAX,VK,TikTok,Rutube,Instagram,Дзен"</formula1>
    </dataValidation>
    <dataValidation type="date" allowBlank="1" sqref="G7:H14 G15 G17:H31 G32 G34:H36 H37:H53 G54 G56:H58 H59 G60:H63 H64 G65:H75 G76 G78:H84 G85">
      <formula1>DATE(2026,1,1)</formula1>
      <formula2>0.0</formula2>
    </dataValidation>
  </dataValidations>
  <hyperlinks>
    <hyperlink r:id="rId1" ref="A7"/>
    <hyperlink r:id="rId2" ref="O7"/>
    <hyperlink r:id="rId3" ref="S7"/>
    <hyperlink r:id="rId4" ref="A8"/>
    <hyperlink r:id="rId5" ref="O8"/>
    <hyperlink r:id="rId6" ref="S8"/>
    <hyperlink r:id="rId7" ref="A9"/>
    <hyperlink r:id="rId8" ref="O9"/>
    <hyperlink r:id="rId9" ref="S9"/>
    <hyperlink r:id="rId10" ref="A10"/>
    <hyperlink r:id="rId11" ref="O10"/>
    <hyperlink r:id="rId12" ref="S10"/>
    <hyperlink r:id="rId13" ref="A11"/>
    <hyperlink r:id="rId14" ref="O11"/>
    <hyperlink r:id="rId15" ref="S11"/>
    <hyperlink r:id="rId16" ref="A12"/>
    <hyperlink r:id="rId17" ref="O12"/>
    <hyperlink r:id="rId18" ref="S12"/>
    <hyperlink r:id="rId19" ref="A13"/>
    <hyperlink r:id="rId20" ref="O13"/>
    <hyperlink r:id="rId21" ref="S13"/>
    <hyperlink r:id="rId22" ref="A14"/>
    <hyperlink r:id="rId23" ref="O14"/>
    <hyperlink r:id="rId24" ref="S14"/>
    <hyperlink r:id="rId25" ref="A17"/>
    <hyperlink r:id="rId26" ref="O17"/>
    <hyperlink r:id="rId27" ref="P17"/>
    <hyperlink r:id="rId28" ref="S17"/>
    <hyperlink r:id="rId29" ref="A18"/>
    <hyperlink r:id="rId30" ref="O18"/>
    <hyperlink r:id="rId31" ref="P18"/>
    <hyperlink r:id="rId32" ref="S18"/>
    <hyperlink r:id="rId33" ref="A19"/>
    <hyperlink r:id="rId34" ref="O19"/>
    <hyperlink r:id="rId35" ref="S19"/>
    <hyperlink r:id="rId36" ref="A20"/>
    <hyperlink r:id="rId37" ref="O20"/>
    <hyperlink r:id="rId38" ref="S20"/>
    <hyperlink r:id="rId39" ref="A21"/>
    <hyperlink r:id="rId40" ref="O21"/>
    <hyperlink r:id="rId41" ref="S21"/>
    <hyperlink r:id="rId42" ref="A22"/>
    <hyperlink r:id="rId43" ref="O22"/>
    <hyperlink r:id="rId44" ref="S22"/>
    <hyperlink r:id="rId45" ref="A23"/>
    <hyperlink r:id="rId46" ref="O23"/>
    <hyperlink r:id="rId47" ref="S23"/>
    <hyperlink r:id="rId48" ref="A24"/>
    <hyperlink r:id="rId49" ref="O24"/>
    <hyperlink r:id="rId50" ref="S24"/>
    <hyperlink r:id="rId51" ref="A25"/>
    <hyperlink r:id="rId52" ref="O25"/>
    <hyperlink r:id="rId53" ref="S25"/>
    <hyperlink r:id="rId54" ref="A26"/>
    <hyperlink r:id="rId55" ref="O26"/>
    <hyperlink r:id="rId56" ref="S26"/>
    <hyperlink r:id="rId57" ref="A27"/>
    <hyperlink r:id="rId58" ref="O27"/>
    <hyperlink r:id="rId59" ref="S27"/>
    <hyperlink r:id="rId60" ref="A28"/>
    <hyperlink r:id="rId61" ref="O28"/>
    <hyperlink r:id="rId62" ref="S28"/>
    <hyperlink r:id="rId63" ref="A29"/>
    <hyperlink r:id="rId64" ref="O29"/>
    <hyperlink r:id="rId65" ref="S29"/>
    <hyperlink r:id="rId66" ref="A30"/>
    <hyperlink r:id="rId67" ref="O30"/>
    <hyperlink r:id="rId68" ref="S30"/>
    <hyperlink r:id="rId69" ref="A31"/>
    <hyperlink r:id="rId70" ref="O31"/>
    <hyperlink r:id="rId71" ref="S31"/>
    <hyperlink r:id="rId72" ref="A34"/>
    <hyperlink r:id="rId73" ref="O34"/>
    <hyperlink r:id="rId74" ref="P34"/>
    <hyperlink r:id="rId75" ref="S34"/>
    <hyperlink r:id="rId76" ref="A35"/>
    <hyperlink r:id="rId77" ref="O35"/>
    <hyperlink r:id="rId78" ref="P35"/>
    <hyperlink r:id="rId79" ref="S35"/>
    <hyperlink r:id="rId80" ref="A36"/>
    <hyperlink r:id="rId81" ref="O36"/>
    <hyperlink r:id="rId82" ref="S36"/>
    <hyperlink r:id="rId83" ref="A37"/>
    <hyperlink r:id="rId84" ref="S37"/>
    <hyperlink r:id="rId85" ref="A38"/>
    <hyperlink r:id="rId86" ref="O38"/>
    <hyperlink r:id="rId87" ref="S38"/>
    <hyperlink r:id="rId88" ref="A39"/>
    <hyperlink r:id="rId89" ref="O39"/>
    <hyperlink r:id="rId90" ref="S39"/>
    <hyperlink r:id="rId91" ref="A40"/>
    <hyperlink r:id="rId92" ref="O40"/>
    <hyperlink r:id="rId93" ref="S40"/>
    <hyperlink r:id="rId94" ref="A41"/>
    <hyperlink r:id="rId95" ref="O41"/>
    <hyperlink r:id="rId96" ref="S41"/>
    <hyperlink r:id="rId97" ref="A42"/>
    <hyperlink r:id="rId98" ref="O42"/>
    <hyperlink r:id="rId99" ref="S42"/>
    <hyperlink r:id="rId100" ref="A43"/>
    <hyperlink r:id="rId101" ref="O43"/>
    <hyperlink r:id="rId102" ref="S43"/>
    <hyperlink r:id="rId103" ref="A44"/>
    <hyperlink r:id="rId104" ref="O44"/>
    <hyperlink r:id="rId105" ref="S44"/>
    <hyperlink r:id="rId106" ref="A45"/>
    <hyperlink r:id="rId107" ref="O45"/>
    <hyperlink r:id="rId108" ref="S45"/>
    <hyperlink r:id="rId109" ref="A46"/>
    <hyperlink r:id="rId110" ref="O46"/>
    <hyperlink r:id="rId111" ref="S46"/>
    <hyperlink r:id="rId112" ref="A47"/>
    <hyperlink r:id="rId113" ref="O47"/>
    <hyperlink r:id="rId114" ref="S47"/>
    <hyperlink r:id="rId115" ref="A48"/>
    <hyperlink r:id="rId116" ref="O48"/>
    <hyperlink r:id="rId117" ref="S48"/>
    <hyperlink r:id="rId118" ref="A49"/>
    <hyperlink r:id="rId119" ref="O49"/>
    <hyperlink r:id="rId120" ref="S49"/>
    <hyperlink r:id="rId121" ref="A50"/>
    <hyperlink r:id="rId122" ref="O50"/>
    <hyperlink r:id="rId123" ref="S50"/>
    <hyperlink r:id="rId124" ref="A51"/>
    <hyperlink r:id="rId125" ref="O51"/>
    <hyperlink r:id="rId126" ref="S51"/>
    <hyperlink r:id="rId127" ref="A52"/>
    <hyperlink r:id="rId128" ref="O52"/>
    <hyperlink r:id="rId129" ref="S52"/>
    <hyperlink r:id="rId130" ref="A53"/>
    <hyperlink r:id="rId131" ref="O53"/>
    <hyperlink r:id="rId132" ref="S53"/>
    <hyperlink r:id="rId133" ref="A56"/>
    <hyperlink r:id="rId134" ref="O56"/>
    <hyperlink r:id="rId135" ref="S56"/>
    <hyperlink r:id="rId136" ref="A57"/>
    <hyperlink r:id="rId137" ref="O57"/>
    <hyperlink r:id="rId138" ref="S57"/>
    <hyperlink r:id="rId139" ref="A58"/>
    <hyperlink r:id="rId140" ref="O58"/>
    <hyperlink r:id="rId141" ref="S58"/>
    <hyperlink r:id="rId142" ref="A59"/>
    <hyperlink r:id="rId143" ref="O59"/>
    <hyperlink r:id="rId144" ref="S59"/>
    <hyperlink r:id="rId145" ref="A60"/>
    <hyperlink r:id="rId146" ref="O60"/>
    <hyperlink r:id="rId147" ref="S60"/>
    <hyperlink r:id="rId148" ref="A61"/>
    <hyperlink r:id="rId149" ref="O61"/>
    <hyperlink r:id="rId150" ref="S61"/>
    <hyperlink r:id="rId151" ref="A62"/>
    <hyperlink r:id="rId152" ref="O62"/>
    <hyperlink r:id="rId153" ref="S62"/>
    <hyperlink r:id="rId154" ref="A63"/>
    <hyperlink r:id="rId155" ref="O63"/>
    <hyperlink r:id="rId156" ref="S63"/>
    <hyperlink r:id="rId157" ref="A64"/>
    <hyperlink r:id="rId158" ref="S64"/>
    <hyperlink r:id="rId159" ref="A65"/>
    <hyperlink r:id="rId160" ref="O65"/>
    <hyperlink r:id="rId161" ref="P65"/>
    <hyperlink r:id="rId162" ref="S65"/>
    <hyperlink r:id="rId163" ref="A66"/>
    <hyperlink r:id="rId164" ref="O66"/>
    <hyperlink r:id="rId165" ref="P66"/>
    <hyperlink r:id="rId166" ref="S66"/>
    <hyperlink r:id="rId167" ref="A67"/>
    <hyperlink r:id="rId168" ref="O67"/>
    <hyperlink r:id="rId169" ref="P67"/>
    <hyperlink r:id="rId170" ref="S67"/>
    <hyperlink r:id="rId171" ref="A68"/>
    <hyperlink r:id="rId172" ref="O68"/>
    <hyperlink r:id="rId173" ref="P68"/>
    <hyperlink r:id="rId174" ref="S68"/>
    <hyperlink r:id="rId175" ref="A69"/>
    <hyperlink r:id="rId176" ref="O69"/>
    <hyperlink r:id="rId177" ref="P69"/>
    <hyperlink r:id="rId178" ref="S69"/>
    <hyperlink r:id="rId179" ref="A70"/>
    <hyperlink r:id="rId180" ref="O70"/>
    <hyperlink r:id="rId181" ref="P70"/>
    <hyperlink r:id="rId182" ref="S70"/>
    <hyperlink r:id="rId183" ref="A71"/>
    <hyperlink r:id="rId184" ref="O71"/>
    <hyperlink r:id="rId185" ref="P71"/>
    <hyperlink r:id="rId186" ref="S71"/>
    <hyperlink r:id="rId187" ref="A72"/>
    <hyperlink r:id="rId188" ref="O72"/>
    <hyperlink r:id="rId189" ref="P72"/>
    <hyperlink r:id="rId190" ref="S72"/>
    <hyperlink r:id="rId191" ref="A73"/>
    <hyperlink r:id="rId192" ref="O73"/>
    <hyperlink r:id="rId193" ref="P73"/>
    <hyperlink r:id="rId194" ref="S73"/>
    <hyperlink r:id="rId195" ref="A74"/>
    <hyperlink r:id="rId196" ref="O74"/>
    <hyperlink r:id="rId197" ref="P74"/>
    <hyperlink r:id="rId198" ref="S74"/>
    <hyperlink r:id="rId199" ref="A75"/>
    <hyperlink r:id="rId200" ref="O75"/>
    <hyperlink r:id="rId201" ref="P75"/>
    <hyperlink r:id="rId202" ref="S75"/>
    <hyperlink r:id="rId203" ref="A78"/>
    <hyperlink r:id="rId204" ref="O78"/>
    <hyperlink r:id="rId205" ref="S78"/>
    <hyperlink r:id="rId206" ref="A79"/>
    <hyperlink r:id="rId207" ref="O79"/>
    <hyperlink r:id="rId208" ref="S79"/>
    <hyperlink r:id="rId209" ref="A80"/>
    <hyperlink r:id="rId210" ref="O80"/>
    <hyperlink r:id="rId211" ref="S80"/>
    <hyperlink r:id="rId212" ref="A81"/>
    <hyperlink r:id="rId213" ref="S81"/>
  </hyperlinks>
  <printOptions/>
  <pageMargins bottom="1.0" footer="0.0" header="0.0" left="0.75" right="0.75" top="1.0"/>
  <pageSetup paperSize="9" orientation="portrait"/>
  <drawing r:id="rId2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75" outlineLevelCol="1" outlineLevelRow="1"/>
  <cols>
    <col customWidth="1" min="1" max="1" width="35.86"/>
    <col customWidth="1" hidden="1" min="2" max="2" width="14.0"/>
    <col customWidth="1" min="3" max="4" width="10.0"/>
    <col customWidth="1" min="5" max="6" width="11.0" outlineLevel="1"/>
    <col customWidth="1" min="7" max="7" width="15.0"/>
    <col customWidth="1" min="8" max="9" width="10.0"/>
    <col customWidth="1" min="10" max="10" width="12.0"/>
    <col customWidth="1" min="11" max="12" width="8.0"/>
    <col customWidth="1" min="13" max="16" width="12.0" outlineLevel="1"/>
    <col customWidth="1" min="17" max="17" width="15.14" outlineLevel="1"/>
    <col customWidth="1" min="18" max="18" width="12.0" outlineLevel="1"/>
    <col customWidth="1" min="19" max="19" width="15.0"/>
    <col customWidth="1" min="20" max="20" width="9.0"/>
    <col customWidth="1" min="21" max="21" width="15.57"/>
    <col customWidth="1" min="22" max="22" width="8.0"/>
    <col customWidth="1" min="23" max="23" width="10.0"/>
    <col customWidth="1" min="24" max="24" width="13.86"/>
    <col customWidth="1" min="25" max="26" width="10.0"/>
    <col customWidth="1" min="27" max="27" width="8.0"/>
    <col customWidth="1" min="28" max="29" width="11.0"/>
    <col customWidth="1" min="30" max="30" width="11.43"/>
    <col customWidth="1" min="31" max="31" width="10.0"/>
    <col customWidth="1" min="32" max="32" width="12.0"/>
    <col customWidth="1" min="33" max="33" width="11.0"/>
    <col customWidth="1" min="34" max="34" width="8.0"/>
    <col customWidth="1" min="35" max="35" width="19.43"/>
    <col customWidth="1" min="36" max="36" width="7.43"/>
    <col customWidth="1" min="37" max="37" width="6.86"/>
    <col customWidth="1" min="38" max="38" width="16.0"/>
  </cols>
  <sheetData>
    <row r="1" ht="15.0" customHeight="1" collapsed="1">
      <c r="A1" s="161" t="s">
        <v>2328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6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5.0" hidden="1" customHeight="1" outlineLevel="1">
      <c r="A2" s="107" t="s">
        <v>2329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6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.0" hidden="1" customHeight="1" outlineLevel="1">
      <c r="A3" s="107" t="s">
        <v>2330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6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.0" hidden="1" customHeight="1" outlineLevel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6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40.5" customHeight="1">
      <c r="A5" s="163" t="s">
        <v>2331</v>
      </c>
      <c r="B5" s="163" t="s">
        <v>2332</v>
      </c>
      <c r="C5" s="163" t="s">
        <v>6</v>
      </c>
      <c r="D5" s="163" t="s">
        <v>3</v>
      </c>
      <c r="E5" s="163" t="s">
        <v>2333</v>
      </c>
      <c r="F5" s="163" t="s">
        <v>2334</v>
      </c>
      <c r="G5" s="163" t="s">
        <v>2335</v>
      </c>
      <c r="H5" s="163" t="s">
        <v>2336</v>
      </c>
      <c r="I5" s="163" t="s">
        <v>2337</v>
      </c>
      <c r="J5" s="163" t="s">
        <v>2338</v>
      </c>
      <c r="K5" s="163" t="s">
        <v>2339</v>
      </c>
      <c r="L5" s="163" t="s">
        <v>2340</v>
      </c>
      <c r="M5" s="163" t="s">
        <v>2341</v>
      </c>
      <c r="N5" s="163" t="s">
        <v>2342</v>
      </c>
      <c r="O5" s="163" t="s">
        <v>2343</v>
      </c>
      <c r="P5" s="163" t="s">
        <v>2344</v>
      </c>
      <c r="Q5" s="163" t="s">
        <v>2345</v>
      </c>
      <c r="R5" s="163" t="s">
        <v>2346</v>
      </c>
      <c r="S5" s="163" t="s">
        <v>2347</v>
      </c>
      <c r="T5" s="164" t="s">
        <v>2348</v>
      </c>
      <c r="U5" s="164" t="s">
        <v>2551</v>
      </c>
      <c r="V5" s="165" t="s">
        <v>2350</v>
      </c>
      <c r="W5" s="164" t="s">
        <v>2351</v>
      </c>
      <c r="X5" s="164" t="s">
        <v>2352</v>
      </c>
      <c r="Y5" s="163" t="s">
        <v>2353</v>
      </c>
      <c r="Z5" s="163" t="s">
        <v>2354</v>
      </c>
      <c r="AA5" s="163" t="s">
        <v>2306</v>
      </c>
      <c r="AB5" s="163" t="s">
        <v>2355</v>
      </c>
      <c r="AC5" s="163" t="s">
        <v>2314</v>
      </c>
      <c r="AD5" s="163" t="s">
        <v>2308</v>
      </c>
      <c r="AE5" s="163" t="s">
        <v>2356</v>
      </c>
      <c r="AF5" s="163" t="s">
        <v>2357</v>
      </c>
      <c r="AG5" s="163" t="s">
        <v>2309</v>
      </c>
      <c r="AH5" s="163" t="s">
        <v>2307</v>
      </c>
      <c r="AI5" s="164" t="s">
        <v>2358</v>
      </c>
      <c r="AJ5" s="164" t="s">
        <v>2552</v>
      </c>
      <c r="AK5" s="164" t="s">
        <v>2553</v>
      </c>
      <c r="AL5" s="163" t="s">
        <v>14</v>
      </c>
    </row>
    <row r="6">
      <c r="A6" s="203" t="s">
        <v>2554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7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</row>
    <row r="7" ht="21.75" customHeight="1" outlineLevel="1">
      <c r="A7" s="232" t="s">
        <v>1998</v>
      </c>
      <c r="B7" s="169" t="str">
        <f>IF($A7="","",IFERROR(HYPERLINK(VLOOKUP($A7,'Мои блогеры'!$A:$N,14,0),"🔗 открыть"),""))</f>
        <v>🔗 открыть</v>
      </c>
      <c r="C7" s="18">
        <f>IFERROR(VLOOKUP($A7,'Мои блогеры'!$A:$N,5,0),"")</f>
        <v>84300</v>
      </c>
      <c r="D7" s="171" t="str">
        <f>IFERROR(VLOOKUP($A7,'Мои блогеры'!$A:$N,2,0),"")</f>
        <v>TikTok</v>
      </c>
      <c r="E7" s="172" t="s">
        <v>2429</v>
      </c>
      <c r="F7" s="172">
        <v>22.0</v>
      </c>
      <c r="G7" s="172" t="s">
        <v>2387</v>
      </c>
      <c r="H7" s="174">
        <v>46266.0</v>
      </c>
      <c r="I7" s="172" t="s">
        <v>2363</v>
      </c>
      <c r="J7" s="18">
        <f>IFERROR(VLOOKUP($A7,'Мои блогеры'!$A:$N,8,0),"")</f>
        <v>30000</v>
      </c>
      <c r="K7" s="172">
        <v>1500.0</v>
      </c>
      <c r="L7" s="176"/>
      <c r="M7" s="18">
        <f t="shared" ref="M7:M8" si="1">IF(N($J7)+N($K7)+N($L7)=0,"",N($J7)+N($K7)+N($L7))</f>
        <v>31500</v>
      </c>
      <c r="N7" s="172" t="s">
        <v>2555</v>
      </c>
      <c r="O7" s="172" t="s">
        <v>2367</v>
      </c>
      <c r="P7" s="173"/>
      <c r="Q7" s="185" t="s">
        <v>2556</v>
      </c>
      <c r="R7" s="172" t="s">
        <v>2367</v>
      </c>
      <c r="S7" s="177" t="s">
        <v>2557</v>
      </c>
      <c r="T7" s="172" t="s">
        <v>2393</v>
      </c>
      <c r="U7" s="179">
        <v>585100.0</v>
      </c>
      <c r="V7" s="180">
        <f t="shared" ref="V7:V11" si="2">IF(N($U7)=0,"",$M7/$U7)</f>
        <v>0.05383695095</v>
      </c>
      <c r="W7" s="179" t="s">
        <v>2367</v>
      </c>
      <c r="X7" s="176"/>
      <c r="Y7" s="18" t="str">
        <f t="shared" ref="Y7:Y10" si="3">IF(N($W7)=0,"",$M7/$W7)</f>
        <v/>
      </c>
      <c r="Z7" s="179"/>
      <c r="AA7" s="179">
        <v>2.0</v>
      </c>
      <c r="AB7" s="179">
        <v>2160.0</v>
      </c>
      <c r="AC7" s="181"/>
      <c r="AD7" s="175">
        <v>2.0</v>
      </c>
      <c r="AE7" s="179">
        <f t="shared" ref="AE7:AE10" si="4">AB7/AD7</f>
        <v>1080</v>
      </c>
      <c r="AF7" s="18">
        <f t="shared" ref="AF7:AF10" si="5">IF(OR(N($AD7)=0,$AE7=""),"",ROUND($AD7*$AE7,0))</f>
        <v>2160</v>
      </c>
      <c r="AG7" s="18">
        <f t="shared" ref="AG7:AG10" si="6">IF(N($AD7)=0,"",ROUND($M7/$AD7,0))</f>
        <v>15750</v>
      </c>
      <c r="AH7" s="18">
        <f t="shared" ref="AH7:AH11" si="7">IF(N($AA7)=0,"",ROUND($M7/$AA7,0))</f>
        <v>15750</v>
      </c>
      <c r="AI7" s="172" t="s">
        <v>2558</v>
      </c>
      <c r="AJ7" s="172"/>
      <c r="AK7" s="185"/>
      <c r="AL7" s="173"/>
    </row>
    <row r="8" outlineLevel="1">
      <c r="A8" s="204" t="s">
        <v>2000</v>
      </c>
      <c r="B8" s="169" t="str">
        <f>IF($A8="","",IFERROR(HYPERLINK(VLOOKUP($A8,'Мои блогеры'!$A:$N,14,0),"🔗 открыть"),""))</f>
        <v>🔗 открыть</v>
      </c>
      <c r="C8" s="18">
        <f>IFERROR(VLOOKUP($A8,'Мои блогеры'!$A:$N,5,0),"")</f>
        <v>60500</v>
      </c>
      <c r="D8" s="171" t="str">
        <f>IFERROR(VLOOKUP($A8,'Мои блогеры'!$A:$N,2,0),"")</f>
        <v>VK</v>
      </c>
      <c r="E8" s="172" t="s">
        <v>2429</v>
      </c>
      <c r="F8" s="172">
        <v>22.0</v>
      </c>
      <c r="G8" s="172" t="s">
        <v>2387</v>
      </c>
      <c r="H8" s="174">
        <v>46270.0</v>
      </c>
      <c r="I8" s="172" t="s">
        <v>2363</v>
      </c>
      <c r="J8" s="18">
        <f>IFERROR(VLOOKUP($A8,'Мои блогеры'!$A:$N,8,0),"")</f>
        <v>20000</v>
      </c>
      <c r="K8" s="172">
        <v>1500.0</v>
      </c>
      <c r="L8" s="176"/>
      <c r="M8" s="18">
        <f t="shared" si="1"/>
        <v>21500</v>
      </c>
      <c r="N8" s="172" t="s">
        <v>2559</v>
      </c>
      <c r="O8" s="178" t="s">
        <v>2560</v>
      </c>
      <c r="P8" s="173"/>
      <c r="Q8" s="171"/>
      <c r="R8" s="172" t="s">
        <v>2367</v>
      </c>
      <c r="S8" s="177" t="s">
        <v>2561</v>
      </c>
      <c r="T8" s="172" t="s">
        <v>2393</v>
      </c>
      <c r="U8" s="179">
        <v>148800.0</v>
      </c>
      <c r="V8" s="180">
        <f t="shared" si="2"/>
        <v>0.1444892473</v>
      </c>
      <c r="W8" s="179">
        <v>318.0</v>
      </c>
      <c r="X8" s="179">
        <v>201.0</v>
      </c>
      <c r="Y8" s="18">
        <f t="shared" si="3"/>
        <v>67.61006289</v>
      </c>
      <c r="Z8" s="179">
        <v>101.0</v>
      </c>
      <c r="AA8" s="179">
        <v>6.0</v>
      </c>
      <c r="AB8" s="179">
        <v>11800.0</v>
      </c>
      <c r="AC8" s="181"/>
      <c r="AD8" s="175">
        <v>6.0</v>
      </c>
      <c r="AE8" s="179">
        <f t="shared" si="4"/>
        <v>1966.666667</v>
      </c>
      <c r="AF8" s="18">
        <f t="shared" si="5"/>
        <v>11800</v>
      </c>
      <c r="AG8" s="18">
        <f t="shared" si="6"/>
        <v>3583</v>
      </c>
      <c r="AH8" s="18">
        <f t="shared" si="7"/>
        <v>3583</v>
      </c>
      <c r="AI8" s="172" t="s">
        <v>2558</v>
      </c>
      <c r="AJ8" s="172"/>
      <c r="AK8" s="185"/>
      <c r="AL8" s="173"/>
    </row>
    <row r="9" outlineLevel="1">
      <c r="A9" s="223" t="s">
        <v>2001</v>
      </c>
      <c r="B9" s="169" t="str">
        <f>IF($A9="","",IFERROR(HYPERLINK(VLOOKUP($A9,'Мои блогеры'!$A:$N,14,0),"🔗 открыть"),""))</f>
        <v>🔗 открыть</v>
      </c>
      <c r="C9" s="18">
        <f>IFERROR(VLOOKUP($A9,'Мои блогеры'!$A:$N,5,0),"")</f>
        <v>2600</v>
      </c>
      <c r="D9" s="171" t="str">
        <f>IFERROR(VLOOKUP($A9,'Мои блогеры'!$A:$N,2,0),"")</f>
        <v>MAX</v>
      </c>
      <c r="E9" s="172" t="s">
        <v>2429</v>
      </c>
      <c r="F9" s="172">
        <v>22.0</v>
      </c>
      <c r="G9" s="172" t="s">
        <v>2387</v>
      </c>
      <c r="H9" s="174">
        <v>46266.0</v>
      </c>
      <c r="I9" s="172" t="s">
        <v>2363</v>
      </c>
      <c r="J9" s="18">
        <f>IFERROR(VLOOKUP($A9,'Мои блогеры'!$A:$N,8,0),"")</f>
        <v>0</v>
      </c>
      <c r="K9" s="173"/>
      <c r="L9" s="176"/>
      <c r="M9" s="175">
        <v>0.0</v>
      </c>
      <c r="N9" s="172" t="s">
        <v>2562</v>
      </c>
      <c r="O9" s="178" t="s">
        <v>2563</v>
      </c>
      <c r="P9" s="173"/>
      <c r="Q9" s="171"/>
      <c r="R9" s="172" t="s">
        <v>2367</v>
      </c>
      <c r="S9" s="205" t="s">
        <v>2564</v>
      </c>
      <c r="T9" s="172" t="s">
        <v>2393</v>
      </c>
      <c r="U9" s="179">
        <v>1823.0</v>
      </c>
      <c r="V9" s="180">
        <f t="shared" si="2"/>
        <v>0</v>
      </c>
      <c r="W9" s="179">
        <v>34.0</v>
      </c>
      <c r="X9" s="179">
        <v>34.0</v>
      </c>
      <c r="Y9" s="18">
        <f t="shared" si="3"/>
        <v>0</v>
      </c>
      <c r="Z9" s="179">
        <v>8.0</v>
      </c>
      <c r="AA9" s="179">
        <v>2.0</v>
      </c>
      <c r="AB9" s="179">
        <v>3800.0</v>
      </c>
      <c r="AC9" s="181"/>
      <c r="AD9" s="175">
        <v>2.0</v>
      </c>
      <c r="AE9" s="179">
        <f t="shared" si="4"/>
        <v>1900</v>
      </c>
      <c r="AF9" s="18">
        <f t="shared" si="5"/>
        <v>3800</v>
      </c>
      <c r="AG9" s="18">
        <f t="shared" si="6"/>
        <v>0</v>
      </c>
      <c r="AH9" s="18">
        <f t="shared" si="7"/>
        <v>0</v>
      </c>
      <c r="AI9" s="172" t="s">
        <v>2558</v>
      </c>
      <c r="AJ9" s="172"/>
      <c r="AK9" s="185"/>
      <c r="AL9" s="173"/>
    </row>
    <row r="10" outlineLevel="1">
      <c r="A10" s="204" t="s">
        <v>2061</v>
      </c>
      <c r="B10" s="169" t="str">
        <f>IF($A10="","",IFERROR(HYPERLINK(VLOOKUP($A10,'Мои блогеры'!$A:$N,14,0),"🔗 открыть"),""))</f>
        <v>🔗 открыть</v>
      </c>
      <c r="C10" s="18">
        <f>IFERROR(VLOOKUP($A10,'Мои блогеры'!$A:$N,5,0),"")</f>
        <v>7800</v>
      </c>
      <c r="D10" s="233" t="str">
        <f>IFERROR(VLOOKUP($A10,'Мои блогеры'!$A:$N,2,0),"")</f>
        <v>VK</v>
      </c>
      <c r="E10" s="172" t="s">
        <v>2429</v>
      </c>
      <c r="F10" s="173"/>
      <c r="G10" s="172" t="s">
        <v>2565</v>
      </c>
      <c r="H10" s="174">
        <v>46268.0</v>
      </c>
      <c r="I10" s="172" t="s">
        <v>2363</v>
      </c>
      <c r="J10" s="175" t="s">
        <v>2566</v>
      </c>
      <c r="K10" s="173"/>
      <c r="L10" s="176"/>
      <c r="M10" s="175">
        <v>0.0</v>
      </c>
      <c r="N10" s="173"/>
      <c r="O10" s="178" t="s">
        <v>2567</v>
      </c>
      <c r="P10" s="173"/>
      <c r="Q10" s="171"/>
      <c r="R10" s="172" t="s">
        <v>2367</v>
      </c>
      <c r="S10" s="178" t="s">
        <v>2568</v>
      </c>
      <c r="T10" s="172" t="s">
        <v>2393</v>
      </c>
      <c r="U10" s="179">
        <v>1002.0</v>
      </c>
      <c r="V10" s="180">
        <f t="shared" si="2"/>
        <v>0</v>
      </c>
      <c r="W10" s="179">
        <v>51.0</v>
      </c>
      <c r="X10" s="179" t="s">
        <v>2367</v>
      </c>
      <c r="Y10" s="18">
        <f t="shared" si="3"/>
        <v>0</v>
      </c>
      <c r="Z10" s="179">
        <v>21.0</v>
      </c>
      <c r="AA10" s="179">
        <v>9.0</v>
      </c>
      <c r="AB10" s="179">
        <f>1900+13300+1900</f>
        <v>17100</v>
      </c>
      <c r="AC10" s="181"/>
      <c r="AD10" s="175">
        <v>9.0</v>
      </c>
      <c r="AE10" s="179">
        <f t="shared" si="4"/>
        <v>1900</v>
      </c>
      <c r="AF10" s="18">
        <f t="shared" si="5"/>
        <v>17100</v>
      </c>
      <c r="AG10" s="18">
        <f t="shared" si="6"/>
        <v>0</v>
      </c>
      <c r="AH10" s="18">
        <f t="shared" si="7"/>
        <v>0</v>
      </c>
      <c r="AI10" s="172" t="s">
        <v>2558</v>
      </c>
      <c r="AJ10" s="172"/>
      <c r="AK10" s="185"/>
      <c r="AL10" s="173"/>
    </row>
    <row r="11" outlineLevel="1">
      <c r="A11" s="201" t="s">
        <v>2569</v>
      </c>
      <c r="B11" s="188"/>
      <c r="C11" s="189"/>
      <c r="D11" s="188"/>
      <c r="E11" s="188"/>
      <c r="F11" s="188"/>
      <c r="G11" s="188"/>
      <c r="H11" s="188"/>
      <c r="I11" s="188" t="str">
        <f>COUNTIF(I7:I10,"Вышло")&amp;" / "&amp;COUNTA(A7:A10)</f>
        <v>4 / 4</v>
      </c>
      <c r="J11" s="189">
        <f t="shared" ref="J11:U11" si="8">SUM(J7:J10)</f>
        <v>50000</v>
      </c>
      <c r="K11" s="189">
        <f t="shared" si="8"/>
        <v>3000</v>
      </c>
      <c r="L11" s="189">
        <f t="shared" si="8"/>
        <v>0</v>
      </c>
      <c r="M11" s="189">
        <f t="shared" si="8"/>
        <v>53000</v>
      </c>
      <c r="N11" s="189">
        <f t="shared" si="8"/>
        <v>0</v>
      </c>
      <c r="O11" s="189">
        <f t="shared" si="8"/>
        <v>0</v>
      </c>
      <c r="P11" s="189">
        <f t="shared" si="8"/>
        <v>0</v>
      </c>
      <c r="Q11" s="189">
        <f t="shared" si="8"/>
        <v>0</v>
      </c>
      <c r="R11" s="189">
        <f t="shared" si="8"/>
        <v>0</v>
      </c>
      <c r="S11" s="189">
        <f t="shared" si="8"/>
        <v>0</v>
      </c>
      <c r="T11" s="189">
        <f t="shared" si="8"/>
        <v>0</v>
      </c>
      <c r="U11" s="189">
        <f t="shared" si="8"/>
        <v>736725</v>
      </c>
      <c r="V11" s="234">
        <f t="shared" si="2"/>
        <v>0.07194000475</v>
      </c>
      <c r="W11" s="189">
        <f t="shared" ref="W11:X11" si="9">SUM(W7:W10)</f>
        <v>403</v>
      </c>
      <c r="X11" s="189">
        <f t="shared" si="9"/>
        <v>235</v>
      </c>
      <c r="Y11" s="235">
        <f>IF(N($W11)=0,"",$M11/$W11)</f>
        <v>131.5136476</v>
      </c>
      <c r="Z11" s="189">
        <f t="shared" ref="Z11:AF11" si="10">SUM(Z7:Z10)</f>
        <v>130</v>
      </c>
      <c r="AA11" s="189">
        <f t="shared" si="10"/>
        <v>19</v>
      </c>
      <c r="AB11" s="189">
        <f t="shared" si="10"/>
        <v>34860</v>
      </c>
      <c r="AC11" s="189">
        <f t="shared" si="10"/>
        <v>0</v>
      </c>
      <c r="AD11" s="189">
        <f t="shared" si="10"/>
        <v>19</v>
      </c>
      <c r="AE11" s="189">
        <f t="shared" si="10"/>
        <v>6846.666667</v>
      </c>
      <c r="AF11" s="189">
        <f t="shared" si="10"/>
        <v>34860</v>
      </c>
      <c r="AG11" s="189">
        <f>AF11/AD11</f>
        <v>1834.736842</v>
      </c>
      <c r="AH11" s="235">
        <f t="shared" si="7"/>
        <v>2789</v>
      </c>
      <c r="AI11" s="188"/>
      <c r="AJ11" s="188"/>
      <c r="AK11" s="188"/>
      <c r="AL11" s="188"/>
    </row>
    <row r="12">
      <c r="A12" s="203" t="s">
        <v>2570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7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</row>
    <row r="13" ht="15.0" customHeight="1" outlineLevel="1">
      <c r="A13" s="236" t="s">
        <v>130</v>
      </c>
      <c r="B13" s="169" t="str">
        <f>IF($A13="","",IFERROR(HYPERLINK(VLOOKUP($A13,'Мои блогеры'!$A:$N,14,0),"🔗 открыть"),""))</f>
        <v>🔗 открыть</v>
      </c>
      <c r="C13" s="18">
        <f>IFERROR(VLOOKUP($A13,'Мои блогеры'!$A:$N,5,0),"")</f>
        <v>171000</v>
      </c>
      <c r="D13" s="233" t="str">
        <f>IFERROR(VLOOKUP($A13,'Мои блогеры'!$A:$N,2,0),"")</f>
        <v>YouTube</v>
      </c>
      <c r="E13" s="172" t="s">
        <v>2429</v>
      </c>
      <c r="F13" s="172">
        <v>10.0</v>
      </c>
      <c r="G13" s="172" t="s">
        <v>2571</v>
      </c>
      <c r="H13" s="237">
        <v>46273.0</v>
      </c>
      <c r="I13" s="172" t="s">
        <v>2363</v>
      </c>
      <c r="J13" s="18">
        <f>IFERROR(VLOOKUP($A13,'Мои блогеры'!$A:$N,8,0),"")</f>
        <v>35000</v>
      </c>
      <c r="K13" s="172">
        <v>1000.0</v>
      </c>
      <c r="L13" s="179">
        <v>750.0</v>
      </c>
      <c r="M13" s="18">
        <f>IF(N($J13)+N($K13)+N($L13)=0,"",N($J13)+N($K13)+N($L13))</f>
        <v>36750</v>
      </c>
      <c r="N13" s="173"/>
      <c r="O13" s="177" t="s">
        <v>2572</v>
      </c>
      <c r="P13" s="177" t="s">
        <v>2573</v>
      </c>
      <c r="Q13" s="171"/>
      <c r="R13" s="173"/>
      <c r="S13" s="238" t="s">
        <v>2574</v>
      </c>
      <c r="T13" s="172" t="s">
        <v>2487</v>
      </c>
      <c r="U13" s="179">
        <v>17000.0</v>
      </c>
      <c r="V13" s="180">
        <f t="shared" ref="V13:V36" si="11">IF(N($U13)=0,"",$M13/$U13)</f>
        <v>2.161764706</v>
      </c>
      <c r="W13" s="179">
        <v>27.0</v>
      </c>
      <c r="X13" s="179">
        <v>27.0</v>
      </c>
      <c r="Y13" s="18">
        <f t="shared" ref="Y13:Y16" si="12">IF(N($W13)=0,"",$M13/$W13)</f>
        <v>1361.111111</v>
      </c>
      <c r="Z13" s="179">
        <v>12.0</v>
      </c>
      <c r="AA13" s="179">
        <v>6.0</v>
      </c>
      <c r="AB13" s="179">
        <v>11400.0</v>
      </c>
      <c r="AC13" s="181"/>
      <c r="AD13" s="175">
        <v>6.0</v>
      </c>
      <c r="AE13" s="179">
        <f t="shared" ref="AE13:AE16" si="13">AB13/AD13</f>
        <v>1900</v>
      </c>
      <c r="AF13" s="18">
        <f t="shared" ref="AF13:AF16" si="14">IF(OR(N($AD13)=0,$AE13=""),"",ROUND($AD13*$AE13,0))</f>
        <v>11400</v>
      </c>
      <c r="AG13" s="18">
        <f t="shared" ref="AG13:AG29" si="15">IF(N($AD13)=0,"",ROUND($M13/$AD13,0))</f>
        <v>6125</v>
      </c>
      <c r="AH13" s="18">
        <f t="shared" ref="AH13:AH29" si="16">IF(N($AA13)=0,"",ROUND($M13/$AA13,0))</f>
        <v>6125</v>
      </c>
      <c r="AI13" s="172" t="s">
        <v>2558</v>
      </c>
      <c r="AJ13" s="172"/>
      <c r="AK13" s="172"/>
      <c r="AL13" s="172" t="s">
        <v>2575</v>
      </c>
    </row>
    <row r="14" outlineLevel="1">
      <c r="A14" s="178" t="s">
        <v>134</v>
      </c>
      <c r="B14" s="169"/>
      <c r="C14" s="18">
        <f>IFERROR(VLOOKUP($A14,'Мои блогеры'!$A:$N,5,0),"")</f>
        <v>7500</v>
      </c>
      <c r="D14" s="233" t="str">
        <f>IFERROR(VLOOKUP($A14,'Мои блогеры'!$A:$N,2,0),"")</f>
        <v>VK</v>
      </c>
      <c r="E14" s="172" t="s">
        <v>2429</v>
      </c>
      <c r="F14" s="172">
        <v>10.0</v>
      </c>
      <c r="G14" s="172" t="s">
        <v>2571</v>
      </c>
      <c r="H14" s="237">
        <v>46273.0</v>
      </c>
      <c r="I14" s="172" t="s">
        <v>2363</v>
      </c>
      <c r="J14" s="18">
        <f>IFERROR(VLOOKUP($A14,'Мои блогеры'!$A:$N,8,0),"")</f>
        <v>0</v>
      </c>
      <c r="K14" s="173"/>
      <c r="L14" s="176"/>
      <c r="M14" s="175">
        <v>0.0</v>
      </c>
      <c r="N14" s="173"/>
      <c r="O14" s="177" t="s">
        <v>2576</v>
      </c>
      <c r="P14" s="177" t="s">
        <v>2577</v>
      </c>
      <c r="Q14" s="171"/>
      <c r="R14" s="173"/>
      <c r="S14" s="213" t="s">
        <v>2578</v>
      </c>
      <c r="T14" s="172" t="s">
        <v>2487</v>
      </c>
      <c r="U14" s="179">
        <v>5200.0</v>
      </c>
      <c r="V14" s="180">
        <f t="shared" si="11"/>
        <v>0</v>
      </c>
      <c r="W14" s="179">
        <v>11.0</v>
      </c>
      <c r="X14" s="179">
        <v>11.0</v>
      </c>
      <c r="Y14" s="18">
        <f t="shared" si="12"/>
        <v>0</v>
      </c>
      <c r="Z14" s="179">
        <v>1.0</v>
      </c>
      <c r="AA14" s="179">
        <v>1.0</v>
      </c>
      <c r="AB14" s="179">
        <v>2100.0</v>
      </c>
      <c r="AC14" s="181"/>
      <c r="AD14" s="175">
        <v>1.0</v>
      </c>
      <c r="AE14" s="179">
        <f t="shared" si="13"/>
        <v>2100</v>
      </c>
      <c r="AF14" s="18">
        <f t="shared" si="14"/>
        <v>2100</v>
      </c>
      <c r="AG14" s="18">
        <f t="shared" si="15"/>
        <v>0</v>
      </c>
      <c r="AH14" s="18">
        <f t="shared" si="16"/>
        <v>0</v>
      </c>
      <c r="AI14" s="172" t="s">
        <v>2558</v>
      </c>
      <c r="AJ14" s="172"/>
      <c r="AK14" s="172"/>
      <c r="AL14" s="173"/>
    </row>
    <row r="15" ht="15.0" customHeight="1" outlineLevel="1">
      <c r="A15" s="204" t="s">
        <v>2152</v>
      </c>
      <c r="B15" s="169" t="str">
        <f>IF($A15="","",IFERROR(HYPERLINK(VLOOKUP($A15,'Мои блогеры'!$A:$N,14,0),"🔗 открыть"),""))</f>
        <v>🔗 открыть</v>
      </c>
      <c r="C15" s="175">
        <v>72000.0</v>
      </c>
      <c r="D15" s="233" t="str">
        <f>IFERROR(VLOOKUP($A15,'Мои блогеры'!$A:$N,2,0),"")</f>
        <v>VK</v>
      </c>
      <c r="E15" s="172" t="s">
        <v>2429</v>
      </c>
      <c r="F15" s="172" t="s">
        <v>2579</v>
      </c>
      <c r="G15" s="172" t="s">
        <v>2571</v>
      </c>
      <c r="H15" s="237">
        <v>46273.0</v>
      </c>
      <c r="I15" s="172" t="s">
        <v>2363</v>
      </c>
      <c r="J15" s="175" t="s">
        <v>2566</v>
      </c>
      <c r="K15" s="172"/>
      <c r="L15" s="179"/>
      <c r="M15" s="175">
        <v>0.0</v>
      </c>
      <c r="N15" s="173"/>
      <c r="O15" s="177" t="s">
        <v>2580</v>
      </c>
      <c r="P15" s="177" t="s">
        <v>2581</v>
      </c>
      <c r="Q15" s="171"/>
      <c r="R15" s="173"/>
      <c r="S15" s="216" t="s">
        <v>2582</v>
      </c>
      <c r="T15" s="172" t="s">
        <v>2487</v>
      </c>
      <c r="U15" s="179">
        <v>28930.0</v>
      </c>
      <c r="V15" s="180">
        <f t="shared" si="11"/>
        <v>0</v>
      </c>
      <c r="W15" s="179">
        <v>68.0</v>
      </c>
      <c r="X15" s="179">
        <v>68.0</v>
      </c>
      <c r="Y15" s="18">
        <f t="shared" si="12"/>
        <v>0</v>
      </c>
      <c r="Z15" s="179">
        <v>1.0</v>
      </c>
      <c r="AA15" s="179">
        <v>1.0</v>
      </c>
      <c r="AB15" s="179">
        <v>2400.0</v>
      </c>
      <c r="AC15" s="181"/>
      <c r="AD15" s="175">
        <v>1.0</v>
      </c>
      <c r="AE15" s="179">
        <f t="shared" si="13"/>
        <v>2400</v>
      </c>
      <c r="AF15" s="18">
        <f t="shared" si="14"/>
        <v>2400</v>
      </c>
      <c r="AG15" s="18">
        <f t="shared" si="15"/>
        <v>0</v>
      </c>
      <c r="AH15" s="18">
        <f t="shared" si="16"/>
        <v>0</v>
      </c>
      <c r="AI15" s="172" t="s">
        <v>2558</v>
      </c>
      <c r="AJ15" s="172"/>
      <c r="AK15" s="172"/>
      <c r="AL15" s="173"/>
    </row>
    <row r="16" outlineLevel="1">
      <c r="A16" s="239" t="s">
        <v>2145</v>
      </c>
      <c r="B16" s="169"/>
      <c r="C16" s="18">
        <f>IFERROR(VLOOKUP($A16,'Мои блогеры'!$A:$N,5,0),"")</f>
        <v>18700</v>
      </c>
      <c r="D16" s="233" t="str">
        <f>IFERROR(VLOOKUP($A16,'Мои блогеры'!$A:$N,2,0),"")</f>
        <v>VK</v>
      </c>
      <c r="E16" s="172" t="s">
        <v>2429</v>
      </c>
      <c r="F16" s="172" t="s">
        <v>2583</v>
      </c>
      <c r="G16" s="172" t="s">
        <v>2584</v>
      </c>
      <c r="H16" s="174">
        <v>46276.0</v>
      </c>
      <c r="I16" s="172" t="s">
        <v>2363</v>
      </c>
      <c r="J16" s="18">
        <f>IFERROR(VLOOKUP($A16,'Мои блогеры'!$A:$N,8,0),"")</f>
        <v>27000</v>
      </c>
      <c r="K16" s="172">
        <v>2150.0</v>
      </c>
      <c r="L16" s="179">
        <v>800.0</v>
      </c>
      <c r="M16" s="18">
        <f t="shared" ref="M16:M25" si="18">IF(N($J16)+N($K16)+N($L16)=0,"",N($J16)+N($K16)+N($L16))</f>
        <v>29950</v>
      </c>
      <c r="N16" s="173"/>
      <c r="O16" s="177" t="s">
        <v>2585</v>
      </c>
      <c r="P16" s="240"/>
      <c r="Q16" s="171"/>
      <c r="R16" s="173"/>
      <c r="S16" s="178" t="s">
        <v>2586</v>
      </c>
      <c r="T16" s="172" t="s">
        <v>2393</v>
      </c>
      <c r="U16" s="179">
        <v>307900.0</v>
      </c>
      <c r="V16" s="180">
        <f t="shared" si="11"/>
        <v>0.09727184151</v>
      </c>
      <c r="W16" s="179">
        <f t="shared" ref="W16:X16" si="17">545+58</f>
        <v>603</v>
      </c>
      <c r="X16" s="179">
        <f t="shared" si="17"/>
        <v>603</v>
      </c>
      <c r="Y16" s="18">
        <f t="shared" si="12"/>
        <v>49.66832504</v>
      </c>
      <c r="Z16" s="179">
        <f>25+267</f>
        <v>292</v>
      </c>
      <c r="AA16" s="179">
        <v>61.0</v>
      </c>
      <c r="AB16" s="179">
        <f>55700+12000+2600</f>
        <v>70300</v>
      </c>
      <c r="AC16" s="181"/>
      <c r="AD16" s="175">
        <v>61.0</v>
      </c>
      <c r="AE16" s="179">
        <f t="shared" si="13"/>
        <v>1152.459016</v>
      </c>
      <c r="AF16" s="18">
        <f t="shared" si="14"/>
        <v>70300</v>
      </c>
      <c r="AG16" s="18">
        <f t="shared" si="15"/>
        <v>491</v>
      </c>
      <c r="AH16" s="241">
        <f t="shared" si="16"/>
        <v>491</v>
      </c>
      <c r="AI16" s="172" t="s">
        <v>2558</v>
      </c>
      <c r="AJ16" s="172"/>
      <c r="AK16" s="172"/>
      <c r="AL16" s="173"/>
    </row>
    <row r="17" outlineLevel="1">
      <c r="A17" s="239" t="s">
        <v>2146</v>
      </c>
      <c r="B17" s="169"/>
      <c r="C17" s="18">
        <f>IFERROR(VLOOKUP($A17,'Мои блогеры'!$A:$N,5,0),"")</f>
        <v>40700</v>
      </c>
      <c r="D17" s="233" t="str">
        <f>IFERROR(VLOOKUP($A17,'Мои блогеры'!$A:$N,2,0),"")</f>
        <v>TikTok</v>
      </c>
      <c r="E17" s="172" t="s">
        <v>2429</v>
      </c>
      <c r="F17" s="172" t="s">
        <v>2583</v>
      </c>
      <c r="G17" s="172" t="s">
        <v>2584</v>
      </c>
      <c r="H17" s="174">
        <v>46276.0</v>
      </c>
      <c r="I17" s="172" t="s">
        <v>2363</v>
      </c>
      <c r="J17" s="18">
        <f>IFERROR(VLOOKUP($A17,'Мои блогеры'!$A:$N,8,0),"")</f>
        <v>30000</v>
      </c>
      <c r="K17" s="172">
        <v>2150.0</v>
      </c>
      <c r="L17" s="176"/>
      <c r="M17" s="18">
        <f t="shared" si="18"/>
        <v>32150</v>
      </c>
      <c r="N17" s="173"/>
      <c r="O17" s="210" t="s">
        <v>2587</v>
      </c>
      <c r="P17" s="240"/>
      <c r="Q17" s="185" t="s">
        <v>2588</v>
      </c>
      <c r="R17" s="173"/>
      <c r="S17" s="178" t="s">
        <v>2589</v>
      </c>
      <c r="T17" s="172" t="s">
        <v>2393</v>
      </c>
      <c r="U17" s="179">
        <v>111900.0</v>
      </c>
      <c r="V17" s="180">
        <f t="shared" si="11"/>
        <v>0.2873100983</v>
      </c>
      <c r="W17" s="179" t="s">
        <v>2367</v>
      </c>
      <c r="X17" s="179" t="s">
        <v>2367</v>
      </c>
      <c r="Y17" s="175" t="s">
        <v>2367</v>
      </c>
      <c r="Z17" s="179" t="s">
        <v>2367</v>
      </c>
      <c r="AA17" s="179" t="s">
        <v>2367</v>
      </c>
      <c r="AB17" s="179" t="s">
        <v>2367</v>
      </c>
      <c r="AC17" s="181"/>
      <c r="AD17" s="175"/>
      <c r="AE17" s="179"/>
      <c r="AF17" s="175"/>
      <c r="AG17" s="18" t="str">
        <f t="shared" si="15"/>
        <v/>
      </c>
      <c r="AH17" s="18" t="str">
        <f t="shared" si="16"/>
        <v/>
      </c>
      <c r="AI17" s="172" t="s">
        <v>2558</v>
      </c>
      <c r="AJ17" s="172"/>
      <c r="AK17" s="172"/>
      <c r="AL17" s="173"/>
    </row>
    <row r="18" outlineLevel="1">
      <c r="A18" s="239" t="s">
        <v>2147</v>
      </c>
      <c r="B18" s="169" t="str">
        <f>IF($A18="","",IFERROR(HYPERLINK(VLOOKUP($A18,'Мои блогеры'!$A:$N,14,0),"🔗 открыть"),""))</f>
        <v>🔗 открыть</v>
      </c>
      <c r="C18" s="18">
        <f>IFERROR(VLOOKUP($A18,'Мои блогеры'!$A:$N,5,0),"")</f>
        <v>7220</v>
      </c>
      <c r="D18" s="233" t="str">
        <f>IFERROR(VLOOKUP($A18,'Мои блогеры'!$A:$N,2,0),"")</f>
        <v>MAX</v>
      </c>
      <c r="E18" s="172" t="s">
        <v>2429</v>
      </c>
      <c r="F18" s="172" t="s">
        <v>2583</v>
      </c>
      <c r="G18" s="172" t="s">
        <v>2584</v>
      </c>
      <c r="H18" s="174">
        <v>46276.0</v>
      </c>
      <c r="I18" s="172" t="s">
        <v>2363</v>
      </c>
      <c r="J18" s="18">
        <f>IFERROR(VLOOKUP($A18,'Мои блогеры'!$A:$N,8,0),"")</f>
        <v>3000</v>
      </c>
      <c r="K18" s="172"/>
      <c r="L18" s="179"/>
      <c r="M18" s="18">
        <f t="shared" si="18"/>
        <v>3000</v>
      </c>
      <c r="N18" s="173"/>
      <c r="O18" s="177" t="s">
        <v>2590</v>
      </c>
      <c r="P18" s="240"/>
      <c r="Q18" s="171"/>
      <c r="R18" s="173"/>
      <c r="S18" s="178" t="s">
        <v>2147</v>
      </c>
      <c r="T18" s="172" t="s">
        <v>2393</v>
      </c>
      <c r="U18" s="179">
        <v>3789.0</v>
      </c>
      <c r="V18" s="180">
        <f t="shared" si="11"/>
        <v>0.7917656374</v>
      </c>
      <c r="W18" s="179">
        <v>109.0</v>
      </c>
      <c r="X18" s="179">
        <v>109.0</v>
      </c>
      <c r="Y18" s="18">
        <f t="shared" ref="Y18:Y35" si="19">IF(N($W18)=0,"",$M18/$W18)</f>
        <v>27.52293578</v>
      </c>
      <c r="Z18" s="179">
        <v>25.0</v>
      </c>
      <c r="AA18" s="179">
        <v>4.0</v>
      </c>
      <c r="AB18" s="179">
        <v>5900.0</v>
      </c>
      <c r="AC18" s="181"/>
      <c r="AD18" s="175">
        <v>4.0</v>
      </c>
      <c r="AE18" s="179">
        <f t="shared" ref="AE18:AE21" si="20">AB18/AD18</f>
        <v>1475</v>
      </c>
      <c r="AF18" s="18">
        <f t="shared" ref="AF18:AF21" si="21">IF(OR(N($AD18)=0,$AE18=""),"",ROUND($AD18*$AE18,0))</f>
        <v>5900</v>
      </c>
      <c r="AG18" s="18">
        <f t="shared" si="15"/>
        <v>750</v>
      </c>
      <c r="AH18" s="18">
        <f t="shared" si="16"/>
        <v>750</v>
      </c>
      <c r="AI18" s="172" t="s">
        <v>2558</v>
      </c>
      <c r="AJ18" s="172"/>
      <c r="AK18" s="172"/>
      <c r="AL18" s="173"/>
    </row>
    <row r="19" outlineLevel="1">
      <c r="A19" s="204" t="s">
        <v>2155</v>
      </c>
      <c r="B19" s="169"/>
      <c r="C19" s="18">
        <f>IFERROR(VLOOKUP($A19,'Мои блогеры'!$A:$N,5,0),"")</f>
        <v>152000</v>
      </c>
      <c r="D19" s="233" t="str">
        <f>IFERROR(VLOOKUP($A19,'Мои блогеры'!$A:$N,2,0),"")</f>
        <v>Telegram</v>
      </c>
      <c r="E19" s="172" t="s">
        <v>2429</v>
      </c>
      <c r="F19" s="172" t="s">
        <v>2591</v>
      </c>
      <c r="G19" s="172" t="s">
        <v>2565</v>
      </c>
      <c r="H19" s="237">
        <v>46275.0</v>
      </c>
      <c r="I19" s="172" t="s">
        <v>2363</v>
      </c>
      <c r="J19" s="18">
        <f>IFERROR(VLOOKUP($A19,'Мои блогеры'!$A:$N,8,0),"")</f>
        <v>20979</v>
      </c>
      <c r="K19" s="173"/>
      <c r="L19" s="176"/>
      <c r="M19" s="18">
        <f t="shared" si="18"/>
        <v>20979</v>
      </c>
      <c r="N19" s="173"/>
      <c r="O19" s="177" t="s">
        <v>2592</v>
      </c>
      <c r="P19" s="177" t="s">
        <v>2593</v>
      </c>
      <c r="Q19" s="171"/>
      <c r="R19" s="173"/>
      <c r="S19" s="178" t="s">
        <v>2594</v>
      </c>
      <c r="T19" s="172"/>
      <c r="U19" s="179">
        <v>24302.0</v>
      </c>
      <c r="V19" s="180">
        <f t="shared" si="11"/>
        <v>0.8632622829</v>
      </c>
      <c r="W19" s="179">
        <v>59.0</v>
      </c>
      <c r="X19" s="179">
        <v>39.0</v>
      </c>
      <c r="Y19" s="18">
        <f t="shared" si="19"/>
        <v>355.5762712</v>
      </c>
      <c r="Z19" s="179">
        <v>12.0</v>
      </c>
      <c r="AA19" s="179">
        <v>2.0</v>
      </c>
      <c r="AB19" s="179">
        <v>3800.0</v>
      </c>
      <c r="AC19" s="181"/>
      <c r="AD19" s="175">
        <v>2.0</v>
      </c>
      <c r="AE19" s="179">
        <f t="shared" si="20"/>
        <v>1900</v>
      </c>
      <c r="AF19" s="18">
        <f t="shared" si="21"/>
        <v>3800</v>
      </c>
      <c r="AG19" s="18">
        <f t="shared" si="15"/>
        <v>10490</v>
      </c>
      <c r="AH19" s="18">
        <f t="shared" si="16"/>
        <v>10490</v>
      </c>
      <c r="AI19" s="172" t="s">
        <v>2558</v>
      </c>
      <c r="AJ19" s="172"/>
      <c r="AK19" s="172"/>
      <c r="AL19" s="173"/>
    </row>
    <row r="20" outlineLevel="1">
      <c r="A20" s="184" t="s">
        <v>1983</v>
      </c>
      <c r="B20" s="169"/>
      <c r="C20" s="18">
        <f>IFERROR(VLOOKUP($A20,'Мои блогеры'!$A:$N,5,0),"")</f>
        <v>5000</v>
      </c>
      <c r="D20" s="233" t="str">
        <f>IFERROR(VLOOKUP($A20,'Мои блогеры'!$A:$N,2,0),"")</f>
        <v>MAX</v>
      </c>
      <c r="E20" s="172" t="s">
        <v>2429</v>
      </c>
      <c r="F20" s="172" t="s">
        <v>2591</v>
      </c>
      <c r="G20" s="172" t="s">
        <v>2565</v>
      </c>
      <c r="H20" s="242">
        <v>46275.0</v>
      </c>
      <c r="I20" s="172" t="s">
        <v>2363</v>
      </c>
      <c r="J20" s="175">
        <v>1510.0</v>
      </c>
      <c r="K20" s="172"/>
      <c r="L20" s="179"/>
      <c r="M20" s="18">
        <f t="shared" si="18"/>
        <v>1510</v>
      </c>
      <c r="N20" s="173"/>
      <c r="O20" s="178" t="s">
        <v>2595</v>
      </c>
      <c r="P20" s="205" t="s">
        <v>2596</v>
      </c>
      <c r="Q20" s="171"/>
      <c r="R20" s="173"/>
      <c r="S20" s="178" t="s">
        <v>2597</v>
      </c>
      <c r="T20" s="172"/>
      <c r="U20" s="179">
        <v>1814.0</v>
      </c>
      <c r="V20" s="180">
        <f t="shared" si="11"/>
        <v>0.8324145535</v>
      </c>
      <c r="W20" s="179">
        <v>50.0</v>
      </c>
      <c r="X20" s="179">
        <v>37.0</v>
      </c>
      <c r="Y20" s="18">
        <f t="shared" si="19"/>
        <v>30.2</v>
      </c>
      <c r="Z20" s="179">
        <v>11.0</v>
      </c>
      <c r="AA20" s="179">
        <v>7.0</v>
      </c>
      <c r="AB20" s="179">
        <v>7600.0</v>
      </c>
      <c r="AC20" s="181"/>
      <c r="AD20" s="175">
        <v>7.0</v>
      </c>
      <c r="AE20" s="179">
        <f t="shared" si="20"/>
        <v>1085.714286</v>
      </c>
      <c r="AF20" s="18">
        <f t="shared" si="21"/>
        <v>7600</v>
      </c>
      <c r="AG20" s="18">
        <f t="shared" si="15"/>
        <v>216</v>
      </c>
      <c r="AH20" s="18">
        <f t="shared" si="16"/>
        <v>216</v>
      </c>
      <c r="AI20" s="172" t="s">
        <v>2558</v>
      </c>
      <c r="AJ20" s="172"/>
      <c r="AK20" s="172"/>
      <c r="AL20" s="173"/>
    </row>
    <row r="21" outlineLevel="1">
      <c r="A21" s="223" t="s">
        <v>1987</v>
      </c>
      <c r="B21" s="169"/>
      <c r="C21" s="18">
        <f>IFERROR(VLOOKUP($A21,'Мои блогеры'!$A:$N,5,0),"")</f>
        <v>71500</v>
      </c>
      <c r="D21" s="233" t="str">
        <f>IFERROR(VLOOKUP($A21,'Мои блогеры'!$A:$N,2,0),"")</f>
        <v>MAX</v>
      </c>
      <c r="E21" s="172" t="s">
        <v>2429</v>
      </c>
      <c r="F21" s="172" t="s">
        <v>2591</v>
      </c>
      <c r="G21" s="172" t="s">
        <v>2565</v>
      </c>
      <c r="H21" s="242">
        <v>46276.0</v>
      </c>
      <c r="I21" s="172" t="s">
        <v>2363</v>
      </c>
      <c r="J21" s="18">
        <f>IFERROR(VLOOKUP($A21,'Мои блогеры'!$A:$N,8,0),"")</f>
        <v>11328</v>
      </c>
      <c r="K21" s="172"/>
      <c r="L21" s="179"/>
      <c r="M21" s="18">
        <f t="shared" si="18"/>
        <v>11328</v>
      </c>
      <c r="N21" s="173"/>
      <c r="O21" s="177" t="s">
        <v>2598</v>
      </c>
      <c r="P21" s="177" t="s">
        <v>2599</v>
      </c>
      <c r="Q21" s="171"/>
      <c r="R21" s="173"/>
      <c r="S21" s="178" t="s">
        <v>2600</v>
      </c>
      <c r="T21" s="172"/>
      <c r="U21" s="179">
        <v>19700.0</v>
      </c>
      <c r="V21" s="180">
        <f t="shared" si="11"/>
        <v>0.5750253807</v>
      </c>
      <c r="W21" s="179">
        <v>307.0</v>
      </c>
      <c r="X21" s="179">
        <v>298.0</v>
      </c>
      <c r="Y21" s="18">
        <f t="shared" si="19"/>
        <v>36.8990228</v>
      </c>
      <c r="Z21" s="179">
        <v>89.0</v>
      </c>
      <c r="AA21" s="179">
        <v>20.0</v>
      </c>
      <c r="AB21" s="179">
        <f>30400+4800</f>
        <v>35200</v>
      </c>
      <c r="AC21" s="181"/>
      <c r="AD21" s="179">
        <v>20.0</v>
      </c>
      <c r="AE21" s="179">
        <f t="shared" si="20"/>
        <v>1760</v>
      </c>
      <c r="AF21" s="18">
        <f t="shared" si="21"/>
        <v>35200</v>
      </c>
      <c r="AG21" s="18">
        <f t="shared" si="15"/>
        <v>566</v>
      </c>
      <c r="AH21" s="18">
        <f t="shared" si="16"/>
        <v>566</v>
      </c>
      <c r="AI21" s="172" t="s">
        <v>2558</v>
      </c>
      <c r="AJ21" s="172"/>
      <c r="AK21" s="172"/>
      <c r="AL21" s="173"/>
    </row>
    <row r="22" outlineLevel="1">
      <c r="A22" s="204" t="s">
        <v>2102</v>
      </c>
      <c r="B22" s="169"/>
      <c r="C22" s="18">
        <f>IFERROR(VLOOKUP($A22,'Мои блогеры'!$A:$N,5,0),"")</f>
        <v>1300</v>
      </c>
      <c r="D22" s="233" t="str">
        <f>IFERROR(VLOOKUP($A22,'Мои блогеры'!$A:$N,2,0),"")</f>
        <v>Telegram</v>
      </c>
      <c r="E22" s="172" t="s">
        <v>2429</v>
      </c>
      <c r="F22" s="172" t="s">
        <v>2591</v>
      </c>
      <c r="G22" s="172" t="s">
        <v>2565</v>
      </c>
      <c r="H22" s="242">
        <v>46276.0</v>
      </c>
      <c r="I22" s="172" t="s">
        <v>2363</v>
      </c>
      <c r="J22" s="18">
        <f>IFERROR(VLOOKUP($A22,'Мои блогеры'!$A:$N,8,0),"")</f>
        <v>2097</v>
      </c>
      <c r="K22" s="172"/>
      <c r="L22" s="179"/>
      <c r="M22" s="18">
        <f t="shared" si="18"/>
        <v>2097</v>
      </c>
      <c r="N22" s="173"/>
      <c r="O22" s="205" t="s">
        <v>2601</v>
      </c>
      <c r="P22" s="177" t="s">
        <v>2602</v>
      </c>
      <c r="Q22" s="171"/>
      <c r="R22" s="173"/>
      <c r="S22" s="178" t="s">
        <v>2603</v>
      </c>
      <c r="T22" s="172"/>
      <c r="U22" s="179">
        <v>2302.0</v>
      </c>
      <c r="V22" s="180">
        <f t="shared" si="11"/>
        <v>0.9109470026</v>
      </c>
      <c r="W22" s="179">
        <v>28.0</v>
      </c>
      <c r="X22" s="179">
        <v>28.0</v>
      </c>
      <c r="Y22" s="18">
        <f t="shared" si="19"/>
        <v>74.89285714</v>
      </c>
      <c r="Z22" s="179">
        <v>1.0</v>
      </c>
      <c r="AA22" s="179">
        <v>0.0</v>
      </c>
      <c r="AB22" s="179">
        <v>0.0</v>
      </c>
      <c r="AC22" s="181"/>
      <c r="AD22" s="179">
        <v>0.0</v>
      </c>
      <c r="AE22" s="179"/>
      <c r="AF22" s="18"/>
      <c r="AG22" s="18" t="str">
        <f t="shared" si="15"/>
        <v/>
      </c>
      <c r="AH22" s="18" t="str">
        <f t="shared" si="16"/>
        <v/>
      </c>
      <c r="AI22" s="172" t="s">
        <v>2558</v>
      </c>
      <c r="AJ22" s="172"/>
      <c r="AK22" s="172"/>
      <c r="AL22" s="173"/>
    </row>
    <row r="23" outlineLevel="1">
      <c r="A23" s="168" t="s">
        <v>32</v>
      </c>
      <c r="B23" s="169"/>
      <c r="C23" s="18">
        <f>IFERROR(VLOOKUP($A23,'Мои блогеры'!$A:$N,5,0),"")</f>
        <v>25900</v>
      </c>
      <c r="D23" s="233" t="str">
        <f>IFERROR(VLOOKUP($A23,'Мои блогеры'!$A:$N,2,0),"")</f>
        <v>MAX</v>
      </c>
      <c r="E23" s="172" t="s">
        <v>2429</v>
      </c>
      <c r="F23" s="172" t="s">
        <v>2591</v>
      </c>
      <c r="G23" s="172" t="s">
        <v>2565</v>
      </c>
      <c r="H23" s="242">
        <v>46278.0</v>
      </c>
      <c r="I23" s="172" t="s">
        <v>2363</v>
      </c>
      <c r="J23" s="175">
        <v>3496.0</v>
      </c>
      <c r="K23" s="172"/>
      <c r="L23" s="179"/>
      <c r="M23" s="18">
        <f t="shared" si="18"/>
        <v>3496</v>
      </c>
      <c r="N23" s="173"/>
      <c r="O23" s="213" t="s">
        <v>2604</v>
      </c>
      <c r="P23" s="205" t="s">
        <v>2605</v>
      </c>
      <c r="Q23" s="171"/>
      <c r="R23" s="173"/>
      <c r="S23" s="213" t="s">
        <v>2606</v>
      </c>
      <c r="T23" s="172"/>
      <c r="U23" s="179">
        <v>4906.0</v>
      </c>
      <c r="V23" s="180">
        <f t="shared" si="11"/>
        <v>0.7125968202</v>
      </c>
      <c r="W23" s="179">
        <v>150.0</v>
      </c>
      <c r="X23" s="179">
        <v>143.0</v>
      </c>
      <c r="Y23" s="18">
        <f t="shared" si="19"/>
        <v>23.30666667</v>
      </c>
      <c r="Z23" s="179">
        <v>38.0</v>
      </c>
      <c r="AA23" s="179">
        <v>16.0</v>
      </c>
      <c r="AB23" s="179">
        <f>30500+2400</f>
        <v>32900</v>
      </c>
      <c r="AC23" s="181"/>
      <c r="AD23" s="175">
        <v>16.0</v>
      </c>
      <c r="AE23" s="179">
        <f t="shared" ref="AE23:AE25" si="22">AB23/AD23</f>
        <v>2056.25</v>
      </c>
      <c r="AF23" s="18">
        <f t="shared" ref="AF23:AF25" si="23">IF(OR(N($AD23)=0,$AE23=""),"",ROUND($AD23*$AE23,0))</f>
        <v>32900</v>
      </c>
      <c r="AG23" s="18">
        <f t="shared" si="15"/>
        <v>219</v>
      </c>
      <c r="AH23" s="18">
        <f t="shared" si="16"/>
        <v>219</v>
      </c>
      <c r="AI23" s="172" t="s">
        <v>2558</v>
      </c>
      <c r="AJ23" s="172"/>
      <c r="AK23" s="172"/>
      <c r="AL23" s="172"/>
    </row>
    <row r="24" outlineLevel="1">
      <c r="A24" s="204" t="s">
        <v>2061</v>
      </c>
      <c r="B24" s="169" t="str">
        <f>IF($A24="","",IFERROR(HYPERLINK(VLOOKUP($A24,'Мои блогеры'!$A:$N,14,0),"🔗 открыть"),""))</f>
        <v>🔗 открыть</v>
      </c>
      <c r="C24" s="18">
        <f>IFERROR(VLOOKUP($A24,'Мои блогеры'!$A:$N,5,0),"")</f>
        <v>7800</v>
      </c>
      <c r="D24" s="233" t="str">
        <f>IFERROR(VLOOKUP($A24,'Мои блогеры'!$A:$N,2,0),"")</f>
        <v>VK</v>
      </c>
      <c r="E24" s="172" t="s">
        <v>2429</v>
      </c>
      <c r="F24" s="172" t="s">
        <v>2583</v>
      </c>
      <c r="G24" s="172" t="s">
        <v>2584</v>
      </c>
      <c r="H24" s="242">
        <v>46276.0</v>
      </c>
      <c r="I24" s="172" t="s">
        <v>2363</v>
      </c>
      <c r="J24" s="175">
        <v>22000.0</v>
      </c>
      <c r="K24" s="173"/>
      <c r="L24" s="176"/>
      <c r="M24" s="18">
        <f t="shared" si="18"/>
        <v>22000</v>
      </c>
      <c r="N24" s="173"/>
      <c r="O24" s="178" t="s">
        <v>2567</v>
      </c>
      <c r="P24" s="173"/>
      <c r="Q24" s="171"/>
      <c r="R24" s="172" t="s">
        <v>2367</v>
      </c>
      <c r="S24" s="178" t="s">
        <v>2607</v>
      </c>
      <c r="T24" s="172" t="s">
        <v>2393</v>
      </c>
      <c r="U24" s="179">
        <v>23983.0</v>
      </c>
      <c r="V24" s="180">
        <f t="shared" si="11"/>
        <v>0.9173164325</v>
      </c>
      <c r="W24" s="179">
        <v>263.0</v>
      </c>
      <c r="X24" s="179">
        <v>263.0</v>
      </c>
      <c r="Y24" s="18">
        <f t="shared" si="19"/>
        <v>83.65019011</v>
      </c>
      <c r="Z24" s="179">
        <v>141.0</v>
      </c>
      <c r="AA24" s="179">
        <v>11.0</v>
      </c>
      <c r="AB24" s="179">
        <v>20100.0</v>
      </c>
      <c r="AC24" s="181"/>
      <c r="AD24" s="175">
        <v>11.0</v>
      </c>
      <c r="AE24" s="179">
        <f t="shared" si="22"/>
        <v>1827.272727</v>
      </c>
      <c r="AF24" s="18">
        <f t="shared" si="23"/>
        <v>20100</v>
      </c>
      <c r="AG24" s="18">
        <f t="shared" si="15"/>
        <v>2000</v>
      </c>
      <c r="AH24" s="18">
        <f t="shared" si="16"/>
        <v>2000</v>
      </c>
      <c r="AI24" s="172" t="s">
        <v>2558</v>
      </c>
      <c r="AJ24" s="172"/>
      <c r="AK24" s="172"/>
      <c r="AL24" s="173"/>
    </row>
    <row r="25" ht="16.5" customHeight="1" outlineLevel="1">
      <c r="A25" s="243" t="s">
        <v>2608</v>
      </c>
      <c r="B25" s="169" t="str">
        <f>IF($A25="","",IFERROR(HYPERLINK(VLOOKUP($A25,'Мои блогеры'!$A:$N,14,0),"🔗 открыть"),""))</f>
        <v>🔗 открыть</v>
      </c>
      <c r="C25" s="18">
        <f>IFERROR(VLOOKUP($A25,'Мои блогеры'!$A:$N,5,0),"")</f>
        <v>305000</v>
      </c>
      <c r="D25" s="233" t="str">
        <f>IFERROR(VLOOKUP($A25,'Мои блогеры'!$A:$N,2,0),"")</f>
        <v>YouTube</v>
      </c>
      <c r="E25" s="172" t="s">
        <v>2429</v>
      </c>
      <c r="F25" s="172" t="s">
        <v>2583</v>
      </c>
      <c r="G25" s="172" t="s">
        <v>2584</v>
      </c>
      <c r="H25" s="174">
        <v>46277.0</v>
      </c>
      <c r="I25" s="172" t="s">
        <v>2363</v>
      </c>
      <c r="J25" s="18">
        <f>IFERROR(VLOOKUP($A25,'Мои блогеры'!$A:$N,8,0),"")</f>
        <v>26824</v>
      </c>
      <c r="K25" s="172">
        <v>1824.0</v>
      </c>
      <c r="L25" s="179">
        <v>800.0</v>
      </c>
      <c r="M25" s="18">
        <f t="shared" si="18"/>
        <v>29448</v>
      </c>
      <c r="N25" s="173"/>
      <c r="O25" s="226" t="s">
        <v>2367</v>
      </c>
      <c r="P25" s="173"/>
      <c r="Q25" s="185" t="s">
        <v>2609</v>
      </c>
      <c r="R25" s="173"/>
      <c r="S25" s="213" t="s">
        <v>2610</v>
      </c>
      <c r="T25" s="172" t="s">
        <v>2393</v>
      </c>
      <c r="U25" s="179">
        <v>279000.0</v>
      </c>
      <c r="V25" s="180">
        <f t="shared" si="11"/>
        <v>0.1055483871</v>
      </c>
      <c r="W25" s="179">
        <v>4.0</v>
      </c>
      <c r="X25" s="179">
        <v>4.0</v>
      </c>
      <c r="Y25" s="18">
        <f t="shared" si="19"/>
        <v>7362</v>
      </c>
      <c r="Z25" s="179">
        <v>2.0</v>
      </c>
      <c r="AA25" s="244">
        <v>6.0</v>
      </c>
      <c r="AB25" s="244">
        <v>3538.0</v>
      </c>
      <c r="AC25" s="181"/>
      <c r="AD25" s="175">
        <v>6.0</v>
      </c>
      <c r="AE25" s="179">
        <f t="shared" si="22"/>
        <v>589.6666667</v>
      </c>
      <c r="AF25" s="18">
        <f t="shared" si="23"/>
        <v>3538</v>
      </c>
      <c r="AG25" s="18">
        <f t="shared" si="15"/>
        <v>4908</v>
      </c>
      <c r="AH25" s="18">
        <f t="shared" si="16"/>
        <v>4908</v>
      </c>
      <c r="AI25" s="172" t="s">
        <v>2558</v>
      </c>
      <c r="AJ25" s="172"/>
      <c r="AK25" s="172"/>
      <c r="AL25" s="172" t="s">
        <v>2611</v>
      </c>
    </row>
    <row r="26" outlineLevel="1">
      <c r="A26" s="243" t="s">
        <v>2612</v>
      </c>
      <c r="B26" s="169" t="str">
        <f>IF($A26="","",IFERROR(HYPERLINK(VLOOKUP($A26,'Мои блогеры'!$A:$N,14,0),"🔗 открыть"),""))</f>
        <v>🔗 открыть</v>
      </c>
      <c r="C26" s="18">
        <f>IFERROR(VLOOKUP($A26,'Мои блогеры'!$A:$N,5,0),"")</f>
        <v>4900</v>
      </c>
      <c r="D26" s="233" t="str">
        <f>IFERROR(VLOOKUP($A26,'Мои блогеры'!$A:$N,2,0),"")</f>
        <v>Telegram</v>
      </c>
      <c r="E26" s="172" t="s">
        <v>2429</v>
      </c>
      <c r="F26" s="172" t="s">
        <v>2583</v>
      </c>
      <c r="G26" s="172" t="s">
        <v>2584</v>
      </c>
      <c r="H26" s="174">
        <v>46277.0</v>
      </c>
      <c r="I26" s="172" t="s">
        <v>2363</v>
      </c>
      <c r="J26" s="175">
        <v>0.0</v>
      </c>
      <c r="K26" s="172"/>
      <c r="L26" s="176"/>
      <c r="M26" s="175">
        <v>0.0</v>
      </c>
      <c r="N26" s="173"/>
      <c r="O26" s="177" t="s">
        <v>2613</v>
      </c>
      <c r="P26" s="173"/>
      <c r="Q26" s="185" t="s">
        <v>2367</v>
      </c>
      <c r="R26" s="173"/>
      <c r="S26" s="213" t="s">
        <v>2614</v>
      </c>
      <c r="T26" s="172" t="s">
        <v>2393</v>
      </c>
      <c r="U26" s="179">
        <v>609.0</v>
      </c>
      <c r="V26" s="180">
        <f t="shared" si="11"/>
        <v>0</v>
      </c>
      <c r="W26" s="179">
        <v>23.0</v>
      </c>
      <c r="X26" s="179">
        <v>23.0</v>
      </c>
      <c r="Y26" s="18">
        <f t="shared" si="19"/>
        <v>0</v>
      </c>
      <c r="Z26" s="179">
        <v>2.0</v>
      </c>
      <c r="AA26" s="176"/>
      <c r="AB26" s="179">
        <v>0.0</v>
      </c>
      <c r="AC26" s="181"/>
      <c r="AD26" s="175">
        <v>0.0</v>
      </c>
      <c r="AE26" s="179"/>
      <c r="AF26" s="18"/>
      <c r="AG26" s="18" t="str">
        <f t="shared" si="15"/>
        <v/>
      </c>
      <c r="AH26" s="18" t="str">
        <f t="shared" si="16"/>
        <v/>
      </c>
      <c r="AI26" s="172" t="s">
        <v>2558</v>
      </c>
      <c r="AJ26" s="172"/>
      <c r="AK26" s="172"/>
      <c r="AL26" s="172"/>
    </row>
    <row r="27" outlineLevel="1">
      <c r="A27" s="239" t="s">
        <v>2143</v>
      </c>
      <c r="B27" s="169"/>
      <c r="C27" s="18">
        <f>IFERROR(VLOOKUP($A27,'Мои блогеры'!$A:$N,5,0),"")</f>
        <v>178000</v>
      </c>
      <c r="D27" s="233" t="str">
        <f>IFERROR(VLOOKUP($A27,'Мои блогеры'!$A:$N,2,0),"")</f>
        <v>TikTok</v>
      </c>
      <c r="E27" s="172" t="s">
        <v>2429</v>
      </c>
      <c r="F27" s="172" t="s">
        <v>2583</v>
      </c>
      <c r="G27" s="172" t="s">
        <v>2584</v>
      </c>
      <c r="H27" s="174">
        <v>46277.0</v>
      </c>
      <c r="I27" s="172" t="s">
        <v>2363</v>
      </c>
      <c r="J27" s="18">
        <f>IFERROR(VLOOKUP($A27,'Мои блогеры'!$A:$N,8,0),"")</f>
        <v>37200</v>
      </c>
      <c r="K27" s="172">
        <v>912.0</v>
      </c>
      <c r="L27" s="176"/>
      <c r="M27" s="18">
        <f>IF(N($J27)+N($K27)+N($L27)=0,"",N($J27)+N($K27)+N($L27))</f>
        <v>38112</v>
      </c>
      <c r="N27" s="173"/>
      <c r="O27" s="226" t="s">
        <v>2367</v>
      </c>
      <c r="P27" s="173"/>
      <c r="Q27" s="185" t="s">
        <v>2615</v>
      </c>
      <c r="R27" s="173"/>
      <c r="S27" s="178" t="s">
        <v>2616</v>
      </c>
      <c r="T27" s="172" t="s">
        <v>2393</v>
      </c>
      <c r="U27" s="179">
        <v>313000.0</v>
      </c>
      <c r="V27" s="180">
        <f t="shared" si="11"/>
        <v>0.1217635783</v>
      </c>
      <c r="W27" s="179"/>
      <c r="X27" s="179" t="s">
        <v>2367</v>
      </c>
      <c r="Y27" s="18" t="str">
        <f t="shared" si="19"/>
        <v/>
      </c>
      <c r="Z27" s="179"/>
      <c r="AA27" s="179">
        <v>4.0</v>
      </c>
      <c r="AB27" s="225">
        <v>2418.0</v>
      </c>
      <c r="AC27" s="181"/>
      <c r="AD27" s="175">
        <v>4.0</v>
      </c>
      <c r="AE27" s="179">
        <f>AB27/AD27</f>
        <v>604.5</v>
      </c>
      <c r="AF27" s="18">
        <f>IF(OR(N($AD27)=0,$AE27=""),"",ROUND($AD27*$AE27,0))</f>
        <v>2418</v>
      </c>
      <c r="AG27" s="18">
        <f t="shared" si="15"/>
        <v>9528</v>
      </c>
      <c r="AH27" s="18">
        <f t="shared" si="16"/>
        <v>9528</v>
      </c>
      <c r="AI27" s="172" t="s">
        <v>2558</v>
      </c>
      <c r="AJ27" s="172"/>
      <c r="AK27" s="172"/>
      <c r="AL27" s="172" t="s">
        <v>2611</v>
      </c>
    </row>
    <row r="28" outlineLevel="1">
      <c r="A28" s="204" t="s">
        <v>2153</v>
      </c>
      <c r="B28" s="169"/>
      <c r="C28" s="18">
        <f>IFERROR(VLOOKUP($A28,'Мои блогеры'!$A:$N,5,0),"")</f>
        <v>3600</v>
      </c>
      <c r="D28" s="233" t="str">
        <f>IFERROR(VLOOKUP($A28,'Мои блогеры'!$A:$N,2,0),"")</f>
        <v>MAX</v>
      </c>
      <c r="E28" s="172" t="s">
        <v>2429</v>
      </c>
      <c r="F28" s="172" t="s">
        <v>2583</v>
      </c>
      <c r="G28" s="172" t="s">
        <v>2584</v>
      </c>
      <c r="H28" s="174">
        <v>46277.0</v>
      </c>
      <c r="I28" s="172" t="s">
        <v>2363</v>
      </c>
      <c r="J28" s="175">
        <v>0.0</v>
      </c>
      <c r="K28" s="172"/>
      <c r="L28" s="176"/>
      <c r="M28" s="175">
        <v>0.0</v>
      </c>
      <c r="N28" s="173"/>
      <c r="O28" s="177" t="s">
        <v>2617</v>
      </c>
      <c r="P28" s="173"/>
      <c r="Q28" s="185" t="s">
        <v>2367</v>
      </c>
      <c r="R28" s="173"/>
      <c r="S28" s="178" t="s">
        <v>2154</v>
      </c>
      <c r="T28" s="172" t="s">
        <v>2393</v>
      </c>
      <c r="U28" s="179">
        <v>503.0</v>
      </c>
      <c r="V28" s="180">
        <f t="shared" si="11"/>
        <v>0</v>
      </c>
      <c r="W28" s="179"/>
      <c r="X28" s="179" t="s">
        <v>2367</v>
      </c>
      <c r="Y28" s="18" t="str">
        <f t="shared" si="19"/>
        <v/>
      </c>
      <c r="Z28" s="179">
        <v>1.0</v>
      </c>
      <c r="AA28" s="179">
        <v>0.0</v>
      </c>
      <c r="AB28" s="179">
        <v>0.0</v>
      </c>
      <c r="AC28" s="181"/>
      <c r="AD28" s="175"/>
      <c r="AE28" s="179"/>
      <c r="AF28" s="18"/>
      <c r="AG28" s="18" t="str">
        <f t="shared" si="15"/>
        <v/>
      </c>
      <c r="AH28" s="18" t="str">
        <f t="shared" si="16"/>
        <v/>
      </c>
      <c r="AI28" s="172" t="s">
        <v>2558</v>
      </c>
      <c r="AJ28" s="172"/>
      <c r="AK28" s="172"/>
      <c r="AL28" s="245"/>
    </row>
    <row r="29" outlineLevel="1">
      <c r="A29" s="239" t="s">
        <v>2144</v>
      </c>
      <c r="B29" s="169"/>
      <c r="C29" s="18">
        <f>IFERROR(VLOOKUP($A29,'Мои блогеры'!$A:$N,5,0),"")</f>
        <v>9700</v>
      </c>
      <c r="D29" s="233" t="str">
        <f>IFERROR(VLOOKUP($A29,'Мои блогеры'!$A:$N,2,0),"")</f>
        <v>VK</v>
      </c>
      <c r="E29" s="172" t="s">
        <v>2429</v>
      </c>
      <c r="F29" s="172" t="s">
        <v>2583</v>
      </c>
      <c r="G29" s="172" t="s">
        <v>2584</v>
      </c>
      <c r="H29" s="174">
        <v>46277.0</v>
      </c>
      <c r="I29" s="172" t="s">
        <v>2363</v>
      </c>
      <c r="J29" s="18">
        <f>IFERROR(VLOOKUP($A29,'Мои блогеры'!$A:$N,8,0),"")</f>
        <v>19000</v>
      </c>
      <c r="K29" s="172">
        <v>912.0</v>
      </c>
      <c r="L29" s="176"/>
      <c r="M29" s="18">
        <f t="shared" ref="M29:M32" si="24">IF(N($J29)+N($K29)+N($L29)=0,"",N($J29)+N($K29)+N($L29))</f>
        <v>19912</v>
      </c>
      <c r="N29" s="173"/>
      <c r="O29" s="177" t="s">
        <v>2618</v>
      </c>
      <c r="P29" s="240"/>
      <c r="Q29" s="185" t="s">
        <v>2367</v>
      </c>
      <c r="R29" s="173"/>
      <c r="S29" s="178" t="s">
        <v>2619</v>
      </c>
      <c r="T29" s="172" t="s">
        <v>2393</v>
      </c>
      <c r="U29" s="179">
        <v>213000.0</v>
      </c>
      <c r="V29" s="180">
        <f t="shared" si="11"/>
        <v>0.09348356808</v>
      </c>
      <c r="W29" s="179">
        <v>368.0</v>
      </c>
      <c r="X29" s="179">
        <v>368.0</v>
      </c>
      <c r="Y29" s="18">
        <f t="shared" si="19"/>
        <v>54.10869565</v>
      </c>
      <c r="Z29" s="179">
        <v>201.0</v>
      </c>
      <c r="AA29" s="179">
        <v>16.0</v>
      </c>
      <c r="AB29" s="179">
        <f>34500+2400+2600</f>
        <v>39500</v>
      </c>
      <c r="AC29" s="181"/>
      <c r="AD29" s="175">
        <v>16.0</v>
      </c>
      <c r="AE29" s="179">
        <f>AB29/AD29</f>
        <v>2468.75</v>
      </c>
      <c r="AF29" s="18">
        <f>IF(OR(N($AD29)=0,$AE29=""),"",ROUND($AD29*$AE29,0))</f>
        <v>39500</v>
      </c>
      <c r="AG29" s="18">
        <f t="shared" si="15"/>
        <v>1245</v>
      </c>
      <c r="AH29" s="18">
        <f t="shared" si="16"/>
        <v>1245</v>
      </c>
      <c r="AI29" s="172" t="s">
        <v>2558</v>
      </c>
      <c r="AJ29" s="172"/>
      <c r="AK29" s="172"/>
      <c r="AL29" s="172"/>
    </row>
    <row r="30" outlineLevel="1">
      <c r="A30" s="204" t="s">
        <v>2157</v>
      </c>
      <c r="B30" s="169"/>
      <c r="C30" s="18">
        <f>IFERROR(VLOOKUP($A30,'Мои блогеры'!$A:$N,5,0),"")</f>
        <v>58400</v>
      </c>
      <c r="D30" s="233" t="str">
        <f>IFERROR(VLOOKUP($A30,'Мои блогеры'!$A:$N,2,0),"")</f>
        <v>MAX</v>
      </c>
      <c r="E30" s="172" t="s">
        <v>2386</v>
      </c>
      <c r="F30" s="172" t="s">
        <v>2591</v>
      </c>
      <c r="G30" s="173"/>
      <c r="H30" s="174">
        <v>46276.0</v>
      </c>
      <c r="I30" s="172" t="s">
        <v>2363</v>
      </c>
      <c r="J30" s="18">
        <f>IFERROR(VLOOKUP($A30,'Мои блогеры'!$A:$N,8,0),"")</f>
        <v>19580</v>
      </c>
      <c r="K30" s="172"/>
      <c r="L30" s="179"/>
      <c r="M30" s="18">
        <f t="shared" si="24"/>
        <v>19580</v>
      </c>
      <c r="N30" s="173"/>
      <c r="O30" s="177" t="s">
        <v>2620</v>
      </c>
      <c r="P30" s="205" t="s">
        <v>2621</v>
      </c>
      <c r="Q30" s="171"/>
      <c r="R30" s="173"/>
      <c r="S30" s="213" t="s">
        <v>2158</v>
      </c>
      <c r="T30" s="172"/>
      <c r="U30" s="179">
        <v>24890.0</v>
      </c>
      <c r="V30" s="180">
        <f t="shared" si="11"/>
        <v>0.7866613098</v>
      </c>
      <c r="W30" s="179">
        <v>75.0</v>
      </c>
      <c r="X30" s="179">
        <v>70.0</v>
      </c>
      <c r="Y30" s="18">
        <f t="shared" si="19"/>
        <v>261.0666667</v>
      </c>
      <c r="Z30" s="179">
        <v>1.0</v>
      </c>
      <c r="AA30" s="176"/>
      <c r="AB30" s="176"/>
      <c r="AC30" s="181"/>
      <c r="AD30" s="18"/>
      <c r="AE30" s="179"/>
      <c r="AF30" s="18"/>
      <c r="AG30" s="18"/>
      <c r="AH30" s="18"/>
      <c r="AI30" s="172" t="s">
        <v>2622</v>
      </c>
      <c r="AJ30" s="172"/>
      <c r="AK30" s="172"/>
      <c r="AL30" s="173"/>
    </row>
    <row r="31" outlineLevel="1">
      <c r="A31" s="204" t="s">
        <v>2159</v>
      </c>
      <c r="B31" s="169"/>
      <c r="C31" s="18">
        <f>IFERROR(VLOOKUP($A31,'Мои блогеры'!$A:$N,5,0),"")</f>
        <v>29300</v>
      </c>
      <c r="D31" s="233" t="str">
        <f>IFERROR(VLOOKUP($A31,'Мои блогеры'!$A:$N,2,0),"")</f>
        <v>MAX</v>
      </c>
      <c r="E31" s="172" t="s">
        <v>2386</v>
      </c>
      <c r="F31" s="172" t="s">
        <v>2591</v>
      </c>
      <c r="G31" s="173"/>
      <c r="H31" s="174">
        <v>46277.0</v>
      </c>
      <c r="I31" s="172" t="s">
        <v>2363</v>
      </c>
      <c r="J31" s="18">
        <f>IFERROR(VLOOKUP($A31,'Мои блогеры'!$A:$N,8,0),"")</f>
        <v>2097</v>
      </c>
      <c r="K31" s="172"/>
      <c r="L31" s="179"/>
      <c r="M31" s="18">
        <f t="shared" si="24"/>
        <v>2097</v>
      </c>
      <c r="N31" s="173"/>
      <c r="O31" s="177" t="s">
        <v>2623</v>
      </c>
      <c r="P31" s="177" t="s">
        <v>2624</v>
      </c>
      <c r="Q31" s="171"/>
      <c r="R31" s="173"/>
      <c r="S31" s="213" t="s">
        <v>2625</v>
      </c>
      <c r="T31" s="172"/>
      <c r="U31" s="179">
        <v>3097.0</v>
      </c>
      <c r="V31" s="180">
        <f t="shared" si="11"/>
        <v>0.6771068776</v>
      </c>
      <c r="W31" s="179">
        <v>20.0</v>
      </c>
      <c r="X31" s="179">
        <v>14.0</v>
      </c>
      <c r="Y31" s="18">
        <f t="shared" si="19"/>
        <v>104.85</v>
      </c>
      <c r="Z31" s="179">
        <v>2.0</v>
      </c>
      <c r="AA31" s="176"/>
      <c r="AB31" s="176"/>
      <c r="AC31" s="181"/>
      <c r="AD31" s="18"/>
      <c r="AE31" s="179"/>
      <c r="AF31" s="18"/>
      <c r="AG31" s="18"/>
      <c r="AH31" s="18"/>
      <c r="AI31" s="172" t="s">
        <v>2622</v>
      </c>
      <c r="AJ31" s="172"/>
      <c r="AK31" s="172"/>
      <c r="AL31" s="173"/>
    </row>
    <row r="32" outlineLevel="1">
      <c r="A32" s="204" t="s">
        <v>2161</v>
      </c>
      <c r="B32" s="169"/>
      <c r="C32" s="18">
        <f>IFERROR(VLOOKUP($A32,'Мои блогеры'!$A:$N,5,0),"")</f>
        <v>30100</v>
      </c>
      <c r="D32" s="233" t="str">
        <f>IFERROR(VLOOKUP($A32,'Мои блогеры'!$A:$N,2,0),"")</f>
        <v>MAX</v>
      </c>
      <c r="E32" s="172" t="s">
        <v>2386</v>
      </c>
      <c r="F32" s="172" t="s">
        <v>2591</v>
      </c>
      <c r="G32" s="173"/>
      <c r="H32" s="242">
        <v>46276.0</v>
      </c>
      <c r="I32" s="172" t="s">
        <v>2363</v>
      </c>
      <c r="J32" s="18">
        <f>IFERROR(VLOOKUP($A32,'Мои блогеры'!$A:$N,8,0),"")</f>
        <v>4195</v>
      </c>
      <c r="K32" s="172"/>
      <c r="L32" s="179"/>
      <c r="M32" s="18">
        <f t="shared" si="24"/>
        <v>4195</v>
      </c>
      <c r="N32" s="173"/>
      <c r="O32" s="177" t="s">
        <v>2626</v>
      </c>
      <c r="P32" s="177" t="s">
        <v>2627</v>
      </c>
      <c r="Q32" s="171"/>
      <c r="R32" s="173"/>
      <c r="S32" s="178" t="s">
        <v>2162</v>
      </c>
      <c r="T32" s="172"/>
      <c r="U32" s="179">
        <v>11390.0</v>
      </c>
      <c r="V32" s="180">
        <f t="shared" si="11"/>
        <v>0.3683055312</v>
      </c>
      <c r="W32" s="179">
        <v>20.0</v>
      </c>
      <c r="X32" s="179">
        <v>17.0</v>
      </c>
      <c r="Y32" s="18">
        <f t="shared" si="19"/>
        <v>209.75</v>
      </c>
      <c r="Z32" s="179">
        <v>1.0</v>
      </c>
      <c r="AA32" s="176"/>
      <c r="AB32" s="176"/>
      <c r="AC32" s="181"/>
      <c r="AD32" s="18"/>
      <c r="AE32" s="179"/>
      <c r="AF32" s="18"/>
      <c r="AG32" s="18"/>
      <c r="AH32" s="18"/>
      <c r="AI32" s="172" t="s">
        <v>2622</v>
      </c>
      <c r="AJ32" s="172"/>
      <c r="AK32" s="172"/>
      <c r="AL32" s="173"/>
    </row>
    <row r="33" ht="19.5" customHeight="1" outlineLevel="1">
      <c r="A33" s="204" t="s">
        <v>963</v>
      </c>
      <c r="B33" s="169"/>
      <c r="C33" s="18">
        <f>IFERROR(VLOOKUP($A33,'Мои блогеры'!$A:$N,5,0),"")</f>
        <v>10400</v>
      </c>
      <c r="D33" s="233" t="str">
        <f>IFERROR(VLOOKUP($A33,'Мои блогеры'!$A:$N,2,0),"")</f>
        <v>Telegram</v>
      </c>
      <c r="E33" s="172" t="s">
        <v>2386</v>
      </c>
      <c r="F33" s="172" t="s">
        <v>2591</v>
      </c>
      <c r="G33" s="173"/>
      <c r="H33" s="174">
        <v>46278.0</v>
      </c>
      <c r="I33" s="172" t="s">
        <v>2363</v>
      </c>
      <c r="J33" s="175">
        <v>8391.0</v>
      </c>
      <c r="K33" s="172"/>
      <c r="L33" s="179"/>
      <c r="M33" s="175">
        <v>8391.0</v>
      </c>
      <c r="N33" s="173"/>
      <c r="O33" s="177" t="s">
        <v>2628</v>
      </c>
      <c r="P33" s="177" t="s">
        <v>2629</v>
      </c>
      <c r="Q33" s="171"/>
      <c r="R33" s="173"/>
      <c r="S33" s="178" t="s">
        <v>2630</v>
      </c>
      <c r="T33" s="172"/>
      <c r="U33" s="179">
        <v>8963.0</v>
      </c>
      <c r="V33" s="180">
        <f t="shared" si="11"/>
        <v>0.9361820819</v>
      </c>
      <c r="W33" s="179">
        <v>29.0</v>
      </c>
      <c r="X33" s="179">
        <v>27.0</v>
      </c>
      <c r="Y33" s="18">
        <f t="shared" si="19"/>
        <v>289.3448276</v>
      </c>
      <c r="Z33" s="179">
        <v>3.0</v>
      </c>
      <c r="AA33" s="176"/>
      <c r="AB33" s="176"/>
      <c r="AC33" s="181"/>
      <c r="AD33" s="18"/>
      <c r="AE33" s="179"/>
      <c r="AF33" s="18"/>
      <c r="AG33" s="18"/>
      <c r="AH33" s="18"/>
      <c r="AI33" s="172" t="s">
        <v>2622</v>
      </c>
      <c r="AJ33" s="172"/>
      <c r="AK33" s="172"/>
      <c r="AL33" s="222"/>
    </row>
    <row r="34" outlineLevel="1">
      <c r="A34" s="204" t="s">
        <v>2164</v>
      </c>
      <c r="B34" s="169"/>
      <c r="C34" s="18">
        <f>IFERROR(VLOOKUP($A34,'Мои блогеры'!$A:$N,5,0),"")</f>
        <v>4200</v>
      </c>
      <c r="D34" s="233" t="str">
        <f>IFERROR(VLOOKUP($A34,'Мои блогеры'!$A:$N,2,0),"")</f>
        <v>MAX</v>
      </c>
      <c r="E34" s="172" t="s">
        <v>2386</v>
      </c>
      <c r="F34" s="172" t="s">
        <v>2591</v>
      </c>
      <c r="G34" s="173"/>
      <c r="H34" s="174">
        <v>46276.0</v>
      </c>
      <c r="I34" s="172" t="s">
        <v>2363</v>
      </c>
      <c r="J34" s="18">
        <f>IFERROR(VLOOKUP($A34,'Мои блогеры'!$A:$N,8,0),"")</f>
        <v>907</v>
      </c>
      <c r="K34" s="172"/>
      <c r="L34" s="179"/>
      <c r="M34" s="18">
        <f t="shared" ref="M34:M35" si="25">IF(N($J34)+N($K34)+N($L34)=0,"",N($J34)+N($K34)+N($L34))</f>
        <v>907</v>
      </c>
      <c r="N34" s="173"/>
      <c r="O34" s="177" t="s">
        <v>2631</v>
      </c>
      <c r="P34" s="177" t="s">
        <v>2632</v>
      </c>
      <c r="Q34" s="171"/>
      <c r="R34" s="173"/>
      <c r="S34" s="178" t="s">
        <v>2165</v>
      </c>
      <c r="T34" s="172"/>
      <c r="U34" s="179">
        <v>1078.0</v>
      </c>
      <c r="V34" s="180">
        <f t="shared" si="11"/>
        <v>0.8413729128</v>
      </c>
      <c r="W34" s="179">
        <v>15.0</v>
      </c>
      <c r="X34" s="179">
        <v>13.0</v>
      </c>
      <c r="Y34" s="18">
        <f t="shared" si="19"/>
        <v>60.46666667</v>
      </c>
      <c r="Z34" s="179">
        <v>2.0</v>
      </c>
      <c r="AA34" s="179">
        <v>0.0</v>
      </c>
      <c r="AB34" s="176"/>
      <c r="AC34" s="181"/>
      <c r="AD34" s="18"/>
      <c r="AE34" s="179"/>
      <c r="AF34" s="18"/>
      <c r="AG34" s="18"/>
      <c r="AH34" s="18"/>
      <c r="AI34" s="172" t="s">
        <v>2622</v>
      </c>
      <c r="AJ34" s="172"/>
      <c r="AK34" s="172"/>
      <c r="AL34" s="173"/>
    </row>
    <row r="35" outlineLevel="1">
      <c r="A35" s="204" t="s">
        <v>2166</v>
      </c>
      <c r="B35" s="169"/>
      <c r="C35" s="18">
        <f>IFERROR(VLOOKUP($A35,'Мои блогеры'!$A:$N,5,0),"")</f>
        <v>286000</v>
      </c>
      <c r="D35" s="233" t="str">
        <f>IFERROR(VLOOKUP($A35,'Мои блогеры'!$A:$N,2,0),"")</f>
        <v>Telegram</v>
      </c>
      <c r="E35" s="172" t="s">
        <v>2386</v>
      </c>
      <c r="F35" s="172" t="s">
        <v>2591</v>
      </c>
      <c r="G35" s="173"/>
      <c r="H35" s="174">
        <v>46276.0</v>
      </c>
      <c r="I35" s="172" t="s">
        <v>2363</v>
      </c>
      <c r="J35" s="18">
        <f>IFERROR(VLOOKUP($A35,'Мои блогеры'!$A:$N,8,0),"")</f>
        <v>2097</v>
      </c>
      <c r="K35" s="172"/>
      <c r="L35" s="179"/>
      <c r="M35" s="18">
        <f t="shared" si="25"/>
        <v>2097</v>
      </c>
      <c r="N35" s="173"/>
      <c r="O35" s="177" t="s">
        <v>2633</v>
      </c>
      <c r="P35" s="205" t="s">
        <v>2634</v>
      </c>
      <c r="Q35" s="171"/>
      <c r="R35" s="173"/>
      <c r="S35" s="178" t="s">
        <v>2167</v>
      </c>
      <c r="T35" s="172"/>
      <c r="U35" s="179">
        <v>4905.0</v>
      </c>
      <c r="V35" s="180">
        <f t="shared" si="11"/>
        <v>0.4275229358</v>
      </c>
      <c r="W35" s="179">
        <v>31.0</v>
      </c>
      <c r="X35" s="179">
        <v>25.0</v>
      </c>
      <c r="Y35" s="18">
        <f t="shared" si="19"/>
        <v>67.64516129</v>
      </c>
      <c r="Z35" s="179">
        <v>1.0</v>
      </c>
      <c r="AA35" s="179">
        <v>0.0</v>
      </c>
      <c r="AB35" s="176"/>
      <c r="AC35" s="181"/>
      <c r="AD35" s="18"/>
      <c r="AE35" s="179"/>
      <c r="AF35" s="18"/>
      <c r="AG35" s="18"/>
      <c r="AH35" s="18"/>
      <c r="AI35" s="172" t="s">
        <v>2622</v>
      </c>
      <c r="AJ35" s="172"/>
      <c r="AK35" s="172"/>
      <c r="AL35" s="173"/>
    </row>
    <row r="36" outlineLevel="1">
      <c r="A36" s="201" t="s">
        <v>2635</v>
      </c>
      <c r="B36" s="188"/>
      <c r="C36" s="189"/>
      <c r="D36" s="188"/>
      <c r="E36" s="188"/>
      <c r="F36" s="188"/>
      <c r="G36" s="188"/>
      <c r="H36" s="188"/>
      <c r="I36" s="188" t="str">
        <f>COUNTIF(I13:I35,"Вышло")&amp;" / "&amp;COUNTA(A13:A35)</f>
        <v>23 / 23</v>
      </c>
      <c r="J36" s="189">
        <f t="shared" ref="J36:M36" si="26">SUM(J13:J35)</f>
        <v>276701</v>
      </c>
      <c r="K36" s="189">
        <f t="shared" si="26"/>
        <v>8948</v>
      </c>
      <c r="L36" s="189">
        <f t="shared" si="26"/>
        <v>2350</v>
      </c>
      <c r="M36" s="189">
        <f t="shared" si="26"/>
        <v>287999</v>
      </c>
      <c r="N36" s="189"/>
      <c r="O36" s="189"/>
      <c r="P36" s="189"/>
      <c r="Q36" s="189"/>
      <c r="R36" s="189"/>
      <c r="S36" s="189"/>
      <c r="T36" s="189"/>
      <c r="U36" s="189">
        <f>SUM(U13:U35)</f>
        <v>1412161</v>
      </c>
      <c r="V36" s="234">
        <f t="shared" si="11"/>
        <v>0.2039420434</v>
      </c>
      <c r="W36" s="189">
        <f t="shared" ref="W36:X36" si="27">SUM(W13:W35)</f>
        <v>2260</v>
      </c>
      <c r="X36" s="189">
        <f t="shared" si="27"/>
        <v>2187</v>
      </c>
      <c r="Y36" s="235">
        <f>IF(N($W36)=0,"",$M36/$W36)</f>
        <v>127.4331858</v>
      </c>
      <c r="Z36" s="189">
        <f t="shared" ref="Z36:AB36" si="28">SUM(Z13:Z35)</f>
        <v>839</v>
      </c>
      <c r="AA36" s="189">
        <f t="shared" si="28"/>
        <v>155</v>
      </c>
      <c r="AB36" s="189">
        <f t="shared" si="28"/>
        <v>237156</v>
      </c>
      <c r="AC36" s="189"/>
      <c r="AD36" s="189">
        <f t="shared" ref="AD36:AF36" si="29">SUM(AD13:AD35)</f>
        <v>155</v>
      </c>
      <c r="AE36" s="189">
        <f t="shared" si="29"/>
        <v>21319.6127</v>
      </c>
      <c r="AF36" s="189">
        <f t="shared" si="29"/>
        <v>237156</v>
      </c>
      <c r="AG36" s="189">
        <f>AF36/AD36</f>
        <v>1530.03871</v>
      </c>
      <c r="AH36" s="235">
        <f>IF(N($AA36)=0,"",ROUND($M36/$AA36,0))</f>
        <v>1858</v>
      </c>
      <c r="AI36" s="188"/>
      <c r="AJ36" s="188"/>
      <c r="AK36" s="188"/>
      <c r="AL36" s="188"/>
    </row>
    <row r="37">
      <c r="A37" s="203" t="s">
        <v>2636</v>
      </c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7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</row>
    <row r="38" outlineLevel="1">
      <c r="A38" s="246" t="s">
        <v>2130</v>
      </c>
      <c r="B38" s="169" t="str">
        <f>IF($A38="","",IFERROR(HYPERLINK(VLOOKUP($A38,'Мои блогеры'!$A:$N,14,0),"🔗 открыть"),""))</f>
        <v>🔗 открыть</v>
      </c>
      <c r="C38" s="18">
        <f>IFERROR(VLOOKUP($A38,'Мои блогеры'!$A:$N,5,0),"")</f>
        <v>11700</v>
      </c>
      <c r="D38" s="171" t="str">
        <f>IFERROR(VLOOKUP($A38,'Мои блогеры'!$A:$N,2,0),"")</f>
        <v>TikTok</v>
      </c>
      <c r="E38" s="172" t="s">
        <v>2429</v>
      </c>
      <c r="F38" s="172" t="s">
        <v>2583</v>
      </c>
      <c r="G38" s="172" t="s">
        <v>2387</v>
      </c>
      <c r="H38" s="174">
        <v>46282.0</v>
      </c>
      <c r="I38" s="172" t="s">
        <v>2363</v>
      </c>
      <c r="J38" s="18">
        <f>IFERROR(VLOOKUP($A38,'Мои блогеры'!$A:$N,8,0),"")</f>
        <v>7000</v>
      </c>
      <c r="K38" s="172">
        <v>553.0</v>
      </c>
      <c r="L38" s="179">
        <v>800.0</v>
      </c>
      <c r="M38" s="18">
        <f t="shared" ref="M38:M53" si="30">IF(N($J38)+N($K38)+N($L38)=0,"",N($J38)+N($K38)+N($L38))</f>
        <v>8353</v>
      </c>
      <c r="N38" s="173"/>
      <c r="O38" s="173"/>
      <c r="P38" s="173"/>
      <c r="Q38" s="185" t="s">
        <v>2637</v>
      </c>
      <c r="R38" s="173"/>
      <c r="S38" s="213" t="s">
        <v>2638</v>
      </c>
      <c r="T38" s="172" t="s">
        <v>2393</v>
      </c>
      <c r="U38" s="179">
        <v>56500.0</v>
      </c>
      <c r="V38" s="180">
        <f t="shared" ref="V38:V68" si="31">IF(N($U38)=0,"",$M38/$U38)</f>
        <v>0.147840708</v>
      </c>
      <c r="W38" s="179" t="s">
        <v>2367</v>
      </c>
      <c r="X38" s="179" t="s">
        <v>2367</v>
      </c>
      <c r="Y38" s="175" t="s">
        <v>2367</v>
      </c>
      <c r="Z38" s="179" t="s">
        <v>2367</v>
      </c>
      <c r="AA38" s="176"/>
      <c r="AB38" s="176"/>
      <c r="AC38" s="181"/>
      <c r="AD38" s="18"/>
      <c r="AE38" s="179"/>
      <c r="AF38" s="18"/>
      <c r="AG38" s="18" t="str">
        <f t="shared" ref="AG38:AG51" si="32">IF(N($AD38)=0,"",ROUND($M38/$AD38,0))</f>
        <v/>
      </c>
      <c r="AH38" s="18" t="str">
        <f t="shared" ref="AH38:AH51" si="33">IF(N($AA38)=0,"",ROUND($M38/$AA38,0))</f>
        <v/>
      </c>
      <c r="AI38" s="172" t="s">
        <v>2558</v>
      </c>
      <c r="AJ38" s="173"/>
      <c r="AK38" s="171"/>
      <c r="AL38" s="173"/>
    </row>
    <row r="39" outlineLevel="1">
      <c r="A39" s="204" t="s">
        <v>2131</v>
      </c>
      <c r="B39" s="169" t="str">
        <f>IF($A39="","",IFERROR(HYPERLINK(VLOOKUP($A39,'Мои блогеры'!$A:$N,14,0),"🔗 открыть"),""))</f>
        <v>🔗 открыть</v>
      </c>
      <c r="C39" s="18">
        <f>IFERROR(VLOOKUP($A39,'Мои блогеры'!$A:$N,5,0),"")</f>
        <v>3700</v>
      </c>
      <c r="D39" s="171" t="str">
        <f>IFERROR(VLOOKUP($A39,'Мои блогеры'!$A:$N,2,0),"")</f>
        <v>VK</v>
      </c>
      <c r="E39" s="172" t="s">
        <v>2429</v>
      </c>
      <c r="F39" s="172" t="s">
        <v>2583</v>
      </c>
      <c r="G39" s="172" t="s">
        <v>2387</v>
      </c>
      <c r="H39" s="174">
        <v>46282.0</v>
      </c>
      <c r="I39" s="172" t="s">
        <v>2363</v>
      </c>
      <c r="J39" s="18">
        <f>IFERROR(VLOOKUP($A39,'Мои блогеры'!$A:$N,8,0),"")</f>
        <v>3000</v>
      </c>
      <c r="K39" s="172">
        <v>553.0</v>
      </c>
      <c r="L39" s="176"/>
      <c r="M39" s="18">
        <f t="shared" si="30"/>
        <v>3553</v>
      </c>
      <c r="N39" s="173"/>
      <c r="O39" s="173"/>
      <c r="P39" s="173"/>
      <c r="Q39" s="171"/>
      <c r="R39" s="173"/>
      <c r="S39" s="247" t="s">
        <v>2639</v>
      </c>
      <c r="T39" s="172" t="s">
        <v>2393</v>
      </c>
      <c r="U39" s="179">
        <v>7600.0</v>
      </c>
      <c r="V39" s="180">
        <f t="shared" si="31"/>
        <v>0.4675</v>
      </c>
      <c r="W39" s="179">
        <v>6.0</v>
      </c>
      <c r="X39" s="176"/>
      <c r="Y39" s="18">
        <f>IF(N($W39)=0,"",$M39/$W39)</f>
        <v>592.1666667</v>
      </c>
      <c r="Z39" s="179">
        <v>1.0</v>
      </c>
      <c r="AA39" s="179">
        <v>1.0</v>
      </c>
      <c r="AB39" s="179">
        <v>2400.0</v>
      </c>
      <c r="AC39" s="181"/>
      <c r="AD39" s="175">
        <v>1.0</v>
      </c>
      <c r="AE39" s="179">
        <f>AB39/AD39</f>
        <v>2400</v>
      </c>
      <c r="AF39" s="18">
        <f>IF(OR(N($AD39)=0,$AE39=""),"",ROUND($AD39*$AE39,0))</f>
        <v>2400</v>
      </c>
      <c r="AG39" s="18">
        <f t="shared" si="32"/>
        <v>3553</v>
      </c>
      <c r="AH39" s="18">
        <f t="shared" si="33"/>
        <v>3553</v>
      </c>
      <c r="AI39" s="172" t="s">
        <v>2558</v>
      </c>
      <c r="AJ39" s="173"/>
      <c r="AK39" s="171"/>
      <c r="AL39" s="173"/>
    </row>
    <row r="40" outlineLevel="1">
      <c r="A40" s="248" t="s">
        <v>2640</v>
      </c>
      <c r="B40" s="169" t="str">
        <f>IF($A40="","",IFERROR(HYPERLINK(VLOOKUP($A40,'Мои блогеры'!$A:$N,14,0),"🔗 открыть"),""))</f>
        <v>🔗 открыть</v>
      </c>
      <c r="C40" s="18">
        <f>IFERROR(VLOOKUP($A40,'Мои блогеры'!$A:$N,5,0),"")</f>
        <v>3000</v>
      </c>
      <c r="D40" s="171" t="str">
        <f>IFERROR(VLOOKUP($A40,'Мои блогеры'!$A:$N,2,0),"")</f>
        <v>YouTube</v>
      </c>
      <c r="E40" s="172" t="s">
        <v>2429</v>
      </c>
      <c r="F40" s="172" t="s">
        <v>2583</v>
      </c>
      <c r="G40" s="172" t="s">
        <v>2387</v>
      </c>
      <c r="H40" s="174">
        <v>46282.0</v>
      </c>
      <c r="I40" s="172" t="s">
        <v>2363</v>
      </c>
      <c r="J40" s="18">
        <f>IFERROR(VLOOKUP($A40,'Мои блогеры'!$A:$N,8,0),"")</f>
        <v>5000</v>
      </c>
      <c r="K40" s="172"/>
      <c r="L40" s="176"/>
      <c r="M40" s="18">
        <f t="shared" si="30"/>
        <v>5000</v>
      </c>
      <c r="N40" s="173"/>
      <c r="O40" s="240"/>
      <c r="P40" s="173"/>
      <c r="Q40" s="185" t="s">
        <v>2641</v>
      </c>
      <c r="R40" s="173"/>
      <c r="S40" s="213" t="s">
        <v>2642</v>
      </c>
      <c r="T40" s="172" t="s">
        <v>2393</v>
      </c>
      <c r="U40" s="179">
        <v>27000.0</v>
      </c>
      <c r="V40" s="180">
        <f t="shared" si="31"/>
        <v>0.1851851852</v>
      </c>
      <c r="W40" s="179" t="s">
        <v>2367</v>
      </c>
      <c r="X40" s="179" t="s">
        <v>2367</v>
      </c>
      <c r="Y40" s="175" t="s">
        <v>2367</v>
      </c>
      <c r="Z40" s="179" t="s">
        <v>2367</v>
      </c>
      <c r="AA40" s="176"/>
      <c r="AB40" s="176"/>
      <c r="AC40" s="181"/>
      <c r="AD40" s="18"/>
      <c r="AE40" s="179"/>
      <c r="AF40" s="18"/>
      <c r="AG40" s="18" t="str">
        <f t="shared" si="32"/>
        <v/>
      </c>
      <c r="AH40" s="18" t="str">
        <f t="shared" si="33"/>
        <v/>
      </c>
      <c r="AI40" s="172" t="s">
        <v>2558</v>
      </c>
      <c r="AJ40" s="173"/>
      <c r="AK40" s="171"/>
      <c r="AL40" s="173"/>
    </row>
    <row r="41" outlineLevel="1">
      <c r="A41" s="204" t="s">
        <v>2135</v>
      </c>
      <c r="B41" s="169" t="str">
        <f>IF($A41="","",IFERROR(HYPERLINK(VLOOKUP($A41,'Мои блогеры'!$A:$N,14,0),"🔗 открыть"),""))</f>
        <v>🔗 открыть</v>
      </c>
      <c r="C41" s="18">
        <f>IFERROR(VLOOKUP($A41,'Мои блогеры'!$A:$N,5,0),"")</f>
        <v>106800</v>
      </c>
      <c r="D41" s="233" t="str">
        <f>IFERROR(VLOOKUP($A41,'Мои блогеры'!$A:$N,2,0),"")</f>
        <v>TikTok</v>
      </c>
      <c r="E41" s="172" t="s">
        <v>2429</v>
      </c>
      <c r="F41" s="172" t="s">
        <v>2583</v>
      </c>
      <c r="G41" s="172" t="s">
        <v>2643</v>
      </c>
      <c r="H41" s="174">
        <v>46280.0</v>
      </c>
      <c r="I41" s="172" t="s">
        <v>2363</v>
      </c>
      <c r="J41" s="18">
        <f>IFERROR(VLOOKUP($A41,'Мои блогеры'!$A:$N,8,0),"")</f>
        <v>50000</v>
      </c>
      <c r="K41" s="172">
        <v>2300.0</v>
      </c>
      <c r="L41" s="179">
        <v>800.0</v>
      </c>
      <c r="M41" s="18">
        <f t="shared" si="30"/>
        <v>53100</v>
      </c>
      <c r="N41" s="173"/>
      <c r="O41" s="210" t="s">
        <v>2367</v>
      </c>
      <c r="P41" s="173"/>
      <c r="Q41" s="185" t="s">
        <v>2644</v>
      </c>
      <c r="R41" s="173"/>
      <c r="S41" s="178" t="s">
        <v>2645</v>
      </c>
      <c r="T41" s="172" t="s">
        <v>2393</v>
      </c>
      <c r="U41" s="179">
        <v>260400.0</v>
      </c>
      <c r="V41" s="180">
        <f t="shared" si="31"/>
        <v>0.2039170507</v>
      </c>
      <c r="W41" s="179" t="s">
        <v>2367</v>
      </c>
      <c r="X41" s="179" t="s">
        <v>2367</v>
      </c>
      <c r="Y41" s="175" t="s">
        <v>2367</v>
      </c>
      <c r="Z41" s="176"/>
      <c r="AA41" s="176"/>
      <c r="AB41" s="176"/>
      <c r="AC41" s="181"/>
      <c r="AD41" s="18"/>
      <c r="AE41" s="179"/>
      <c r="AF41" s="18"/>
      <c r="AG41" s="18" t="str">
        <f t="shared" si="32"/>
        <v/>
      </c>
      <c r="AH41" s="18" t="str">
        <f t="shared" si="33"/>
        <v/>
      </c>
      <c r="AI41" s="172" t="s">
        <v>2558</v>
      </c>
      <c r="AJ41" s="172"/>
      <c r="AK41" s="185"/>
      <c r="AL41" s="173"/>
    </row>
    <row r="42" outlineLevel="1">
      <c r="A42" s="204" t="s">
        <v>2136</v>
      </c>
      <c r="B42" s="169" t="str">
        <f>IF($A42="","",IFERROR(HYPERLINK(VLOOKUP($A42,'Мои блогеры'!$A:$N,14,0),"🔗 открыть"),""))</f>
        <v>🔗 открыть</v>
      </c>
      <c r="C42" s="18">
        <f>IFERROR(VLOOKUP($A42,'Мои блогеры'!$A:$N,5,0),"")</f>
        <v>9500</v>
      </c>
      <c r="D42" s="233" t="str">
        <f>IFERROR(VLOOKUP($A42,'Мои блогеры'!$A:$N,2,0),"")</f>
        <v>YouTube</v>
      </c>
      <c r="E42" s="172" t="s">
        <v>2429</v>
      </c>
      <c r="F42" s="172" t="s">
        <v>2583</v>
      </c>
      <c r="G42" s="172" t="s">
        <v>2643</v>
      </c>
      <c r="H42" s="174">
        <v>46280.0</v>
      </c>
      <c r="I42" s="172" t="s">
        <v>2363</v>
      </c>
      <c r="J42" s="18">
        <f>IFERROR(VLOOKUP($A42,'Мои блогеры'!$A:$N,8,0),"")</f>
        <v>15000</v>
      </c>
      <c r="K42" s="172">
        <v>2300.0</v>
      </c>
      <c r="L42" s="176"/>
      <c r="M42" s="18">
        <f t="shared" si="30"/>
        <v>17300</v>
      </c>
      <c r="N42" s="173"/>
      <c r="O42" s="210" t="s">
        <v>2367</v>
      </c>
      <c r="P42" s="173"/>
      <c r="Q42" s="185" t="s">
        <v>2646</v>
      </c>
      <c r="R42" s="173"/>
      <c r="S42" s="178" t="s">
        <v>2647</v>
      </c>
      <c r="T42" s="172" t="s">
        <v>2393</v>
      </c>
      <c r="U42" s="179">
        <v>97000.0</v>
      </c>
      <c r="V42" s="180">
        <f t="shared" si="31"/>
        <v>0.1783505155</v>
      </c>
      <c r="W42" s="179" t="s">
        <v>2367</v>
      </c>
      <c r="X42" s="179" t="s">
        <v>2367</v>
      </c>
      <c r="Y42" s="175" t="s">
        <v>2367</v>
      </c>
      <c r="Z42" s="176"/>
      <c r="AA42" s="176"/>
      <c r="AB42" s="176"/>
      <c r="AC42" s="181"/>
      <c r="AD42" s="18"/>
      <c r="AE42" s="179"/>
      <c r="AF42" s="18"/>
      <c r="AG42" s="18" t="str">
        <f t="shared" si="32"/>
        <v/>
      </c>
      <c r="AH42" s="18" t="str">
        <f t="shared" si="33"/>
        <v/>
      </c>
      <c r="AI42" s="172" t="s">
        <v>2558</v>
      </c>
      <c r="AJ42" s="172"/>
      <c r="AK42" s="185"/>
      <c r="AL42" s="173"/>
    </row>
    <row r="43" outlineLevel="1">
      <c r="A43" s="204" t="s">
        <v>2150</v>
      </c>
      <c r="B43" s="169"/>
      <c r="C43" s="18">
        <f>IFERROR(VLOOKUP($A43,'Мои блогеры'!$A:$N,5,0),"")</f>
        <v>137000</v>
      </c>
      <c r="D43" s="233" t="str">
        <f>IFERROR(VLOOKUP($A43,'Мои блогеры'!$A:$N,2,0),"")</f>
        <v>VK</v>
      </c>
      <c r="E43" s="172" t="s">
        <v>2386</v>
      </c>
      <c r="F43" s="172" t="s">
        <v>2583</v>
      </c>
      <c r="G43" s="173"/>
      <c r="H43" s="249">
        <v>46283.0</v>
      </c>
      <c r="I43" s="172" t="s">
        <v>2363</v>
      </c>
      <c r="J43" s="18">
        <f>IFERROR(VLOOKUP($A43,'Мои блогеры'!$A:$N,8,0),"")</f>
        <v>25000</v>
      </c>
      <c r="K43" s="172">
        <v>2870.0</v>
      </c>
      <c r="L43" s="179">
        <v>3700.0</v>
      </c>
      <c r="M43" s="18">
        <f t="shared" si="30"/>
        <v>31570</v>
      </c>
      <c r="N43" s="173"/>
      <c r="O43" s="193" t="s">
        <v>2648</v>
      </c>
      <c r="P43" s="173"/>
      <c r="Q43" s="194"/>
      <c r="R43" s="172" t="s">
        <v>2649</v>
      </c>
      <c r="S43" s="178" t="s">
        <v>2650</v>
      </c>
      <c r="T43" s="172" t="s">
        <v>2487</v>
      </c>
      <c r="U43" s="179">
        <v>38290.0</v>
      </c>
      <c r="V43" s="180">
        <f t="shared" si="31"/>
        <v>0.8244972578</v>
      </c>
      <c r="W43" s="179">
        <v>409.0</v>
      </c>
      <c r="X43" s="179">
        <v>339.0</v>
      </c>
      <c r="Y43" s="18">
        <f t="shared" ref="Y43:Y55" si="34">IF(N($W43)=0,"",$M43/$W43)</f>
        <v>77.18826406</v>
      </c>
      <c r="Z43" s="179">
        <v>97.0</v>
      </c>
      <c r="AA43" s="179">
        <v>0.0</v>
      </c>
      <c r="AB43" s="176"/>
      <c r="AC43" s="181"/>
      <c r="AD43" s="18"/>
      <c r="AE43" s="179"/>
      <c r="AF43" s="18"/>
      <c r="AG43" s="18" t="str">
        <f t="shared" si="32"/>
        <v/>
      </c>
      <c r="AH43" s="18" t="str">
        <f t="shared" si="33"/>
        <v/>
      </c>
      <c r="AI43" s="172" t="s">
        <v>2622</v>
      </c>
      <c r="AJ43" s="172"/>
      <c r="AK43" s="185"/>
      <c r="AL43" s="172" t="s">
        <v>2651</v>
      </c>
    </row>
    <row r="44" ht="14.25" customHeight="1" outlineLevel="1">
      <c r="A44" s="204" t="s">
        <v>2652</v>
      </c>
      <c r="B44" s="169"/>
      <c r="C44" s="18">
        <f>IFERROR(VLOOKUP($A44,'Мои блогеры'!$A:$N,5,0),"")</f>
        <v>10890</v>
      </c>
      <c r="D44" s="233" t="str">
        <f>IFERROR(VLOOKUP($A44,'Мои блогеры'!$A:$N,2,0),"")</f>
        <v>Telegram</v>
      </c>
      <c r="E44" s="172" t="s">
        <v>2429</v>
      </c>
      <c r="F44" s="172" t="s">
        <v>2583</v>
      </c>
      <c r="G44" s="172" t="s">
        <v>2653</v>
      </c>
      <c r="H44" s="250">
        <v>46284.0</v>
      </c>
      <c r="I44" s="172" t="s">
        <v>2363</v>
      </c>
      <c r="J44" s="18">
        <f>IFERROR(VLOOKUP($A44,'Мои блогеры'!$A:$N,8,0),"")</f>
        <v>5000</v>
      </c>
      <c r="K44" s="172">
        <v>500.0</v>
      </c>
      <c r="L44" s="179"/>
      <c r="M44" s="18">
        <f t="shared" si="30"/>
        <v>5500</v>
      </c>
      <c r="N44" s="173"/>
      <c r="O44" s="177" t="s">
        <v>2654</v>
      </c>
      <c r="P44" s="173"/>
      <c r="Q44" s="171"/>
      <c r="R44" s="173"/>
      <c r="S44" s="178" t="s">
        <v>2655</v>
      </c>
      <c r="T44" s="172" t="s">
        <v>2393</v>
      </c>
      <c r="U44" s="179">
        <v>1500.0</v>
      </c>
      <c r="V44" s="180">
        <f t="shared" si="31"/>
        <v>3.666666667</v>
      </c>
      <c r="W44" s="179">
        <v>7.0</v>
      </c>
      <c r="X44" s="179">
        <v>7.0</v>
      </c>
      <c r="Y44" s="18">
        <f t="shared" si="34"/>
        <v>785.7142857</v>
      </c>
      <c r="Z44" s="179">
        <v>3.0</v>
      </c>
      <c r="AA44" s="251">
        <v>1.0</v>
      </c>
      <c r="AB44" s="179">
        <v>2400.0</v>
      </c>
      <c r="AC44" s="181"/>
      <c r="AD44" s="175">
        <v>1.0</v>
      </c>
      <c r="AE44" s="179">
        <f t="shared" ref="AE44:AE48" si="35">AB44/AD44</f>
        <v>2400</v>
      </c>
      <c r="AF44" s="18">
        <f t="shared" ref="AF44:AF48" si="36">IF(OR(N($AD44)=0,$AE44=""),"",ROUND($AD44*$AE44,0))</f>
        <v>2400</v>
      </c>
      <c r="AG44" s="18">
        <f t="shared" si="32"/>
        <v>5500</v>
      </c>
      <c r="AH44" s="18">
        <f t="shared" si="33"/>
        <v>5500</v>
      </c>
      <c r="AI44" s="172" t="s">
        <v>2558</v>
      </c>
      <c r="AJ44" s="252"/>
      <c r="AK44" s="253"/>
      <c r="AL44" s="222" t="s">
        <v>2656</v>
      </c>
    </row>
    <row r="45" ht="15.0" customHeight="1" outlineLevel="1">
      <c r="A45" s="254" t="s">
        <v>2657</v>
      </c>
      <c r="B45" s="169"/>
      <c r="C45" s="18">
        <f>IFERROR(VLOOKUP($A45,'Мои блогеры'!$A:$N,5,0),"")</f>
        <v>5900</v>
      </c>
      <c r="D45" s="233" t="str">
        <f>IFERROR(VLOOKUP($A45,'Мои блогеры'!$A:$N,2,0),"")</f>
        <v>MAX</v>
      </c>
      <c r="E45" s="172" t="s">
        <v>2429</v>
      </c>
      <c r="F45" s="172" t="s">
        <v>2583</v>
      </c>
      <c r="G45" s="172" t="s">
        <v>2653</v>
      </c>
      <c r="H45" s="250">
        <v>46284.0</v>
      </c>
      <c r="I45" s="172" t="s">
        <v>2363</v>
      </c>
      <c r="J45" s="18">
        <f>IFERROR(VLOOKUP($A45,'Мои блогеры'!$A:$N,8,0),"")</f>
        <v>10000</v>
      </c>
      <c r="K45" s="172">
        <v>500.0</v>
      </c>
      <c r="L45" s="176"/>
      <c r="M45" s="18">
        <f t="shared" si="30"/>
        <v>10500</v>
      </c>
      <c r="N45" s="173"/>
      <c r="O45" s="177" t="s">
        <v>2658</v>
      </c>
      <c r="P45" s="173"/>
      <c r="Q45" s="171"/>
      <c r="R45" s="173"/>
      <c r="S45" s="178" t="s">
        <v>2659</v>
      </c>
      <c r="T45" s="172" t="s">
        <v>2393</v>
      </c>
      <c r="U45" s="179">
        <v>3544.0</v>
      </c>
      <c r="V45" s="180">
        <f t="shared" si="31"/>
        <v>2.96275395</v>
      </c>
      <c r="W45" s="179">
        <v>38.0</v>
      </c>
      <c r="X45" s="179">
        <v>38.0</v>
      </c>
      <c r="Y45" s="18">
        <f t="shared" si="34"/>
        <v>276.3157895</v>
      </c>
      <c r="Z45" s="255">
        <v>14.0</v>
      </c>
      <c r="AA45" s="256">
        <v>1.0</v>
      </c>
      <c r="AB45" s="257">
        <v>1529.0</v>
      </c>
      <c r="AC45" s="181"/>
      <c r="AD45" s="175">
        <v>1.0</v>
      </c>
      <c r="AE45" s="179">
        <f t="shared" si="35"/>
        <v>1529</v>
      </c>
      <c r="AF45" s="18">
        <f t="shared" si="36"/>
        <v>1529</v>
      </c>
      <c r="AG45" s="18">
        <f t="shared" si="32"/>
        <v>10500</v>
      </c>
      <c r="AH45" s="18">
        <f t="shared" si="33"/>
        <v>10500</v>
      </c>
      <c r="AI45" s="172" t="s">
        <v>2558</v>
      </c>
      <c r="AJ45" s="173"/>
      <c r="AK45" s="171"/>
      <c r="AL45" s="172" t="s">
        <v>2656</v>
      </c>
    </row>
    <row r="46" outlineLevel="1">
      <c r="A46" s="204" t="s">
        <v>2182</v>
      </c>
      <c r="B46" s="169"/>
      <c r="C46" s="18">
        <f>IFERROR(VLOOKUP($A46,'Мои блогеры'!$A:$N,5,0),"")</f>
        <v>52000</v>
      </c>
      <c r="D46" s="233" t="str">
        <f>IFERROR(VLOOKUP($A46,'Мои блогеры'!$A:$N,2,0),"")</f>
        <v>VK</v>
      </c>
      <c r="E46" s="172" t="s">
        <v>2429</v>
      </c>
      <c r="F46" s="172" t="s">
        <v>2583</v>
      </c>
      <c r="G46" s="172" t="s">
        <v>2653</v>
      </c>
      <c r="H46" s="174">
        <v>46281.0</v>
      </c>
      <c r="I46" s="172" t="s">
        <v>2363</v>
      </c>
      <c r="J46" s="18">
        <f>IFERROR(VLOOKUP($A46,'Мои блогеры'!$A:$N,8,0),"")</f>
        <v>20000</v>
      </c>
      <c r="K46" s="172">
        <v>2000.0</v>
      </c>
      <c r="L46" s="176"/>
      <c r="M46" s="18">
        <f t="shared" si="30"/>
        <v>22000</v>
      </c>
      <c r="N46" s="173"/>
      <c r="O46" s="177" t="s">
        <v>2660</v>
      </c>
      <c r="P46" s="173"/>
      <c r="Q46" s="171"/>
      <c r="R46" s="173"/>
      <c r="S46" s="177" t="s">
        <v>2661</v>
      </c>
      <c r="T46" s="172" t="s">
        <v>2393</v>
      </c>
      <c r="U46" s="179">
        <v>75000.0</v>
      </c>
      <c r="V46" s="180">
        <f t="shared" si="31"/>
        <v>0.2933333333</v>
      </c>
      <c r="W46" s="179">
        <v>159.0</v>
      </c>
      <c r="X46" s="179">
        <v>159.0</v>
      </c>
      <c r="Y46" s="18">
        <f t="shared" si="34"/>
        <v>138.3647799</v>
      </c>
      <c r="Z46" s="179">
        <v>23.0</v>
      </c>
      <c r="AA46" s="258">
        <v>11.0</v>
      </c>
      <c r="AB46" s="179">
        <v>33000.0</v>
      </c>
      <c r="AC46" s="181"/>
      <c r="AD46" s="175">
        <v>11.0</v>
      </c>
      <c r="AE46" s="179">
        <f t="shared" si="35"/>
        <v>3000</v>
      </c>
      <c r="AF46" s="18">
        <f t="shared" si="36"/>
        <v>33000</v>
      </c>
      <c r="AG46" s="18">
        <f t="shared" si="32"/>
        <v>2000</v>
      </c>
      <c r="AH46" s="18">
        <f t="shared" si="33"/>
        <v>2000</v>
      </c>
      <c r="AI46" s="172" t="s">
        <v>2558</v>
      </c>
      <c r="AJ46" s="173"/>
      <c r="AK46" s="171"/>
      <c r="AL46" s="172" t="s">
        <v>2662</v>
      </c>
    </row>
    <row r="47" outlineLevel="1">
      <c r="A47" s="204" t="s">
        <v>2186</v>
      </c>
      <c r="B47" s="169"/>
      <c r="C47" s="18">
        <f>IFERROR(VLOOKUP($A47,'Мои блогеры'!$A:$N,5,0),"")</f>
        <v>9700</v>
      </c>
      <c r="D47" s="233" t="str">
        <f>IFERROR(VLOOKUP($A47,'Мои блогеры'!$A:$N,2,0),"")</f>
        <v>VK</v>
      </c>
      <c r="E47" s="172" t="s">
        <v>2429</v>
      </c>
      <c r="F47" s="172" t="s">
        <v>2583</v>
      </c>
      <c r="G47" s="172" t="s">
        <v>2653</v>
      </c>
      <c r="H47" s="174">
        <v>46281.0</v>
      </c>
      <c r="I47" s="172" t="s">
        <v>2363</v>
      </c>
      <c r="J47" s="18">
        <f>IFERROR(VLOOKUP($A47,'Мои блогеры'!$A:$N,8,0),"")</f>
        <v>15000</v>
      </c>
      <c r="K47" s="173"/>
      <c r="L47" s="176"/>
      <c r="M47" s="18">
        <f t="shared" si="30"/>
        <v>15000</v>
      </c>
      <c r="N47" s="173"/>
      <c r="O47" s="177" t="s">
        <v>2663</v>
      </c>
      <c r="P47" s="173"/>
      <c r="Q47" s="171"/>
      <c r="R47" s="173"/>
      <c r="S47" s="177" t="s">
        <v>2664</v>
      </c>
      <c r="T47" s="172" t="s">
        <v>2393</v>
      </c>
      <c r="U47" s="179">
        <v>43900.0</v>
      </c>
      <c r="V47" s="180">
        <f t="shared" si="31"/>
        <v>0.3416856492</v>
      </c>
      <c r="W47" s="179">
        <v>13.0</v>
      </c>
      <c r="X47" s="179">
        <v>13.0</v>
      </c>
      <c r="Y47" s="18">
        <f t="shared" si="34"/>
        <v>1153.846154</v>
      </c>
      <c r="Z47" s="179">
        <v>8.0</v>
      </c>
      <c r="AA47" s="179">
        <v>7.0</v>
      </c>
      <c r="AB47" s="179">
        <v>21300.0</v>
      </c>
      <c r="AC47" s="181"/>
      <c r="AD47" s="175">
        <v>7.0</v>
      </c>
      <c r="AE47" s="179">
        <f t="shared" si="35"/>
        <v>3042.857143</v>
      </c>
      <c r="AF47" s="18">
        <f t="shared" si="36"/>
        <v>21300</v>
      </c>
      <c r="AG47" s="18">
        <f t="shared" si="32"/>
        <v>2143</v>
      </c>
      <c r="AH47" s="18">
        <f t="shared" si="33"/>
        <v>2143</v>
      </c>
      <c r="AI47" s="172" t="s">
        <v>2558</v>
      </c>
      <c r="AJ47" s="173"/>
      <c r="AK47" s="171"/>
      <c r="AL47" s="172" t="s">
        <v>2656</v>
      </c>
    </row>
    <row r="48" ht="18.0" customHeight="1" outlineLevel="1">
      <c r="A48" s="204" t="s">
        <v>2184</v>
      </c>
      <c r="B48" s="169"/>
      <c r="C48" s="18">
        <f>IFERROR(VLOOKUP($A48,'Мои блогеры'!$A:$N,5,0),"")</f>
        <v>10200</v>
      </c>
      <c r="D48" s="233" t="str">
        <f>IFERROR(VLOOKUP($A48,'Мои блогеры'!$A:$N,2,0),"")</f>
        <v>VK</v>
      </c>
      <c r="E48" s="172" t="s">
        <v>2429</v>
      </c>
      <c r="F48" s="172" t="s">
        <v>2583</v>
      </c>
      <c r="G48" s="172" t="s">
        <v>2653</v>
      </c>
      <c r="H48" s="174">
        <v>46283.0</v>
      </c>
      <c r="I48" s="172" t="s">
        <v>2363</v>
      </c>
      <c r="J48" s="175">
        <v>15000.0</v>
      </c>
      <c r="K48" s="173">
        <f>J48*0.09</f>
        <v>1350</v>
      </c>
      <c r="L48" s="176"/>
      <c r="M48" s="18">
        <f t="shared" si="30"/>
        <v>16350</v>
      </c>
      <c r="N48" s="173"/>
      <c r="O48" s="205" t="s">
        <v>2665</v>
      </c>
      <c r="P48" s="240"/>
      <c r="Q48" s="171"/>
      <c r="R48" s="173"/>
      <c r="S48" s="177" t="s">
        <v>2666</v>
      </c>
      <c r="T48" s="172" t="s">
        <v>2393</v>
      </c>
      <c r="U48" s="179">
        <v>56000.0</v>
      </c>
      <c r="V48" s="180">
        <f t="shared" si="31"/>
        <v>0.2919642857</v>
      </c>
      <c r="W48" s="179">
        <v>59.0</v>
      </c>
      <c r="X48" s="179">
        <v>59.0</v>
      </c>
      <c r="Y48" s="18">
        <f t="shared" si="34"/>
        <v>277.1186441</v>
      </c>
      <c r="Z48" s="179">
        <v>49.0</v>
      </c>
      <c r="AA48" s="179">
        <v>13.0</v>
      </c>
      <c r="AB48" s="179">
        <f>28800</f>
        <v>28800</v>
      </c>
      <c r="AC48" s="181"/>
      <c r="AD48" s="175">
        <v>13.0</v>
      </c>
      <c r="AE48" s="179">
        <f t="shared" si="35"/>
        <v>2215.384615</v>
      </c>
      <c r="AF48" s="18">
        <f t="shared" si="36"/>
        <v>28800</v>
      </c>
      <c r="AG48" s="18">
        <f t="shared" si="32"/>
        <v>1258</v>
      </c>
      <c r="AH48" s="18">
        <f t="shared" si="33"/>
        <v>1258</v>
      </c>
      <c r="AI48" s="172" t="s">
        <v>2558</v>
      </c>
      <c r="AJ48" s="173"/>
      <c r="AK48" s="171"/>
      <c r="AL48" s="172" t="s">
        <v>2667</v>
      </c>
    </row>
    <row r="49" ht="14.25" customHeight="1" outlineLevel="1">
      <c r="A49" s="204" t="s">
        <v>2172</v>
      </c>
      <c r="B49" s="169"/>
      <c r="C49" s="18">
        <f>IFERROR(VLOOKUP($A49,'Мои блогеры'!$A:$N,5,0),"")</f>
        <v>1900</v>
      </c>
      <c r="D49" s="233" t="str">
        <f>IFERROR(VLOOKUP($A49,'Мои блогеры'!$A:$N,2,0),"")</f>
        <v>Telegram</v>
      </c>
      <c r="E49" s="172" t="s">
        <v>2429</v>
      </c>
      <c r="F49" s="172" t="s">
        <v>2583</v>
      </c>
      <c r="G49" s="172" t="s">
        <v>2653</v>
      </c>
      <c r="H49" s="174">
        <v>46283.0</v>
      </c>
      <c r="I49" s="172" t="s">
        <v>2363</v>
      </c>
      <c r="J49" s="18">
        <f>IFERROR(VLOOKUP($A49,'Мои блогеры'!$A:$N,8,0),"")</f>
        <v>4000</v>
      </c>
      <c r="K49" s="173"/>
      <c r="L49" s="176"/>
      <c r="M49" s="18">
        <f t="shared" si="30"/>
        <v>4000</v>
      </c>
      <c r="N49" s="173"/>
      <c r="O49" s="177" t="s">
        <v>2668</v>
      </c>
      <c r="P49" s="173"/>
      <c r="Q49" s="171"/>
      <c r="R49" s="173"/>
      <c r="S49" s="178" t="s">
        <v>2669</v>
      </c>
      <c r="T49" s="172" t="s">
        <v>2393</v>
      </c>
      <c r="U49" s="179">
        <v>4309.0</v>
      </c>
      <c r="V49" s="180">
        <f t="shared" si="31"/>
        <v>0.9282896264</v>
      </c>
      <c r="W49" s="179">
        <v>43.0</v>
      </c>
      <c r="X49" s="179">
        <v>43.0</v>
      </c>
      <c r="Y49" s="18">
        <f t="shared" si="34"/>
        <v>93.02325581</v>
      </c>
      <c r="Z49" s="179">
        <v>9.0</v>
      </c>
      <c r="AA49" s="179">
        <v>0.0</v>
      </c>
      <c r="AB49" s="179">
        <v>0.0</v>
      </c>
      <c r="AC49" s="181"/>
      <c r="AD49" s="175">
        <v>0.0</v>
      </c>
      <c r="AE49" s="179"/>
      <c r="AF49" s="18"/>
      <c r="AG49" s="18" t="str">
        <f t="shared" si="32"/>
        <v/>
      </c>
      <c r="AH49" s="18" t="str">
        <f t="shared" si="33"/>
        <v/>
      </c>
      <c r="AI49" s="172" t="s">
        <v>2558</v>
      </c>
      <c r="AJ49" s="173"/>
      <c r="AK49" s="171"/>
      <c r="AL49" s="172" t="s">
        <v>2670</v>
      </c>
    </row>
    <row r="50" outlineLevel="1">
      <c r="A50" s="204" t="s">
        <v>2174</v>
      </c>
      <c r="B50" s="169"/>
      <c r="C50" s="18">
        <f>IFERROR(VLOOKUP($A50,'Мои блогеры'!$A:$N,5,0),"")</f>
        <v>28000</v>
      </c>
      <c r="D50" s="233" t="str">
        <f>IFERROR(VLOOKUP($A50,'Мои блогеры'!$A:$N,2,0),"")</f>
        <v>VK</v>
      </c>
      <c r="E50" s="172" t="s">
        <v>2429</v>
      </c>
      <c r="F50" s="172" t="s">
        <v>2583</v>
      </c>
      <c r="G50" s="172" t="s">
        <v>2653</v>
      </c>
      <c r="H50" s="174">
        <v>46283.0</v>
      </c>
      <c r="I50" s="172" t="s">
        <v>2363</v>
      </c>
      <c r="J50" s="18">
        <f>IFERROR(VLOOKUP($A50,'Мои блогеры'!$A:$N,8,0),"")</f>
        <v>26000</v>
      </c>
      <c r="K50" s="172"/>
      <c r="L50" s="176"/>
      <c r="M50" s="18">
        <f t="shared" si="30"/>
        <v>26000</v>
      </c>
      <c r="N50" s="173"/>
      <c r="O50" s="177" t="s">
        <v>2671</v>
      </c>
      <c r="P50" s="173"/>
      <c r="Q50" s="171"/>
      <c r="R50" s="173"/>
      <c r="S50" s="178" t="s">
        <v>2672</v>
      </c>
      <c r="T50" s="172" t="s">
        <v>2393</v>
      </c>
      <c r="U50" s="179">
        <v>24379.0</v>
      </c>
      <c r="V50" s="180">
        <f t="shared" si="31"/>
        <v>1.066491653</v>
      </c>
      <c r="W50" s="179">
        <v>302.0</v>
      </c>
      <c r="X50" s="179">
        <v>302.0</v>
      </c>
      <c r="Y50" s="18">
        <f t="shared" si="34"/>
        <v>86.09271523</v>
      </c>
      <c r="Z50" s="179">
        <v>17.0</v>
      </c>
      <c r="AA50" s="179">
        <v>6.0</v>
      </c>
      <c r="AB50" s="179">
        <f>9600+7000</f>
        <v>16600</v>
      </c>
      <c r="AC50" s="181"/>
      <c r="AD50" s="175">
        <v>6.0</v>
      </c>
      <c r="AE50" s="179">
        <f t="shared" ref="AE50:AE51" si="37">AB50/AD50</f>
        <v>2766.666667</v>
      </c>
      <c r="AF50" s="18">
        <f t="shared" ref="AF50:AF51" si="38">IF(OR(N($AD50)=0,$AE50=""),"",ROUND($AD50*$AE50,0))</f>
        <v>16600</v>
      </c>
      <c r="AG50" s="18">
        <f t="shared" si="32"/>
        <v>4333</v>
      </c>
      <c r="AH50" s="18">
        <f t="shared" si="33"/>
        <v>4333</v>
      </c>
      <c r="AI50" s="172" t="s">
        <v>2558</v>
      </c>
      <c r="AJ50" s="173"/>
      <c r="AK50" s="171"/>
      <c r="AL50" s="172" t="s">
        <v>2670</v>
      </c>
    </row>
    <row r="51" ht="15.0" customHeight="1" outlineLevel="1">
      <c r="A51" s="259" t="s">
        <v>1978</v>
      </c>
      <c r="B51" s="169"/>
      <c r="C51" s="18">
        <f>IFERROR(VLOOKUP($A51,'Мои блогеры'!$A:$N,5,0),"")</f>
        <v>33000</v>
      </c>
      <c r="D51" s="233" t="str">
        <f>IFERROR(VLOOKUP($A51,'Мои блогеры'!$A:$N,2,0),"")</f>
        <v>MAX</v>
      </c>
      <c r="E51" s="172" t="s">
        <v>2429</v>
      </c>
      <c r="F51" s="172" t="s">
        <v>2673</v>
      </c>
      <c r="G51" s="172" t="s">
        <v>2653</v>
      </c>
      <c r="H51" s="174">
        <v>46282.0</v>
      </c>
      <c r="I51" s="172" t="s">
        <v>2363</v>
      </c>
      <c r="J51" s="175">
        <v>4755.0</v>
      </c>
      <c r="K51" s="172"/>
      <c r="L51" s="179"/>
      <c r="M51" s="18">
        <f t="shared" si="30"/>
        <v>4755</v>
      </c>
      <c r="N51" s="173"/>
      <c r="O51" s="177" t="s">
        <v>2674</v>
      </c>
      <c r="P51" s="177" t="s">
        <v>2675</v>
      </c>
      <c r="Q51" s="171"/>
      <c r="R51" s="173"/>
      <c r="S51" s="205" t="s">
        <v>1980</v>
      </c>
      <c r="T51" s="172" t="s">
        <v>2393</v>
      </c>
      <c r="U51" s="179">
        <v>6790.0</v>
      </c>
      <c r="V51" s="180">
        <f t="shared" si="31"/>
        <v>0.7002945508</v>
      </c>
      <c r="W51" s="179">
        <v>189.0</v>
      </c>
      <c r="X51" s="179">
        <v>168.0</v>
      </c>
      <c r="Y51" s="18">
        <f t="shared" si="34"/>
        <v>25.15873016</v>
      </c>
      <c r="Z51" s="179">
        <v>33.0</v>
      </c>
      <c r="AA51" s="179">
        <v>8.0</v>
      </c>
      <c r="AB51" s="179">
        <v>21000.0</v>
      </c>
      <c r="AC51" s="181"/>
      <c r="AD51" s="175">
        <v>8.0</v>
      </c>
      <c r="AE51" s="179">
        <f t="shared" si="37"/>
        <v>2625</v>
      </c>
      <c r="AF51" s="18">
        <f t="shared" si="38"/>
        <v>21000</v>
      </c>
      <c r="AG51" s="18">
        <f t="shared" si="32"/>
        <v>594</v>
      </c>
      <c r="AH51" s="18">
        <f t="shared" si="33"/>
        <v>594</v>
      </c>
      <c r="AI51" s="172" t="s">
        <v>2558</v>
      </c>
      <c r="AJ51" s="172"/>
      <c r="AK51" s="185"/>
      <c r="AL51" s="172" t="s">
        <v>2676</v>
      </c>
    </row>
    <row r="52" outlineLevel="1">
      <c r="A52" s="204" t="s">
        <v>2021</v>
      </c>
      <c r="B52" s="169"/>
      <c r="C52" s="175">
        <v>8100.0</v>
      </c>
      <c r="D52" s="233" t="str">
        <f>IFERROR(VLOOKUP($A52,'Мои блогеры'!$A:$N,2,0),"")</f>
        <v>MAX</v>
      </c>
      <c r="E52" s="172" t="s">
        <v>2429</v>
      </c>
      <c r="F52" s="172" t="s">
        <v>2673</v>
      </c>
      <c r="G52" s="172" t="s">
        <v>2653</v>
      </c>
      <c r="H52" s="174">
        <v>46282.0</v>
      </c>
      <c r="I52" s="172" t="s">
        <v>2363</v>
      </c>
      <c r="J52" s="175">
        <v>1888.0</v>
      </c>
      <c r="K52" s="173"/>
      <c r="L52" s="176"/>
      <c r="M52" s="18">
        <f t="shared" si="30"/>
        <v>1888</v>
      </c>
      <c r="N52" s="173"/>
      <c r="O52" s="177" t="s">
        <v>2677</v>
      </c>
      <c r="P52" s="177" t="s">
        <v>2678</v>
      </c>
      <c r="Q52" s="171"/>
      <c r="R52" s="173"/>
      <c r="S52" s="205" t="s">
        <v>2679</v>
      </c>
      <c r="T52" s="172" t="s">
        <v>2393</v>
      </c>
      <c r="U52" s="179">
        <v>2543.0</v>
      </c>
      <c r="V52" s="180">
        <f t="shared" si="31"/>
        <v>0.7424302006</v>
      </c>
      <c r="W52" s="179">
        <v>58.0</v>
      </c>
      <c r="X52" s="179">
        <v>47.0</v>
      </c>
      <c r="Y52" s="18">
        <f t="shared" si="34"/>
        <v>32.55172414</v>
      </c>
      <c r="Z52" s="179">
        <v>3.0</v>
      </c>
      <c r="AA52" s="179">
        <v>0.0</v>
      </c>
      <c r="AB52" s="176"/>
      <c r="AC52" s="181"/>
      <c r="AD52" s="18"/>
      <c r="AE52" s="179"/>
      <c r="AF52" s="18"/>
      <c r="AG52" s="18"/>
      <c r="AH52" s="18"/>
      <c r="AI52" s="172" t="s">
        <v>2558</v>
      </c>
      <c r="AJ52" s="172"/>
      <c r="AK52" s="185"/>
      <c r="AL52" s="172" t="s">
        <v>2670</v>
      </c>
    </row>
    <row r="53" outlineLevel="1">
      <c r="A53" s="260" t="s">
        <v>1996</v>
      </c>
      <c r="B53" s="169"/>
      <c r="C53" s="18">
        <f>IFERROR(VLOOKUP($A53,'Мои блогеры'!$A:$N,5,0),"")</f>
        <v>35500</v>
      </c>
      <c r="D53" s="233" t="str">
        <f>IFERROR(VLOOKUP($A53,'Мои блогеры'!$A:$N,2,0),"")</f>
        <v>Telegram</v>
      </c>
      <c r="E53" s="172" t="s">
        <v>2429</v>
      </c>
      <c r="F53" s="172" t="s">
        <v>2673</v>
      </c>
      <c r="G53" s="172" t="s">
        <v>2653</v>
      </c>
      <c r="H53" s="174">
        <v>46283.0</v>
      </c>
      <c r="I53" s="172" t="s">
        <v>2363</v>
      </c>
      <c r="J53" s="175">
        <v>3356.0</v>
      </c>
      <c r="K53" s="173"/>
      <c r="L53" s="176"/>
      <c r="M53" s="18">
        <f t="shared" si="30"/>
        <v>3356</v>
      </c>
      <c r="N53" s="173"/>
      <c r="O53" s="177" t="s">
        <v>2680</v>
      </c>
      <c r="P53" s="177" t="s">
        <v>2681</v>
      </c>
      <c r="Q53" s="171"/>
      <c r="R53" s="173"/>
      <c r="S53" s="177" t="s">
        <v>2682</v>
      </c>
      <c r="T53" s="172" t="s">
        <v>2393</v>
      </c>
      <c r="U53" s="179">
        <v>4192.0</v>
      </c>
      <c r="V53" s="180">
        <f t="shared" si="31"/>
        <v>0.8005725191</v>
      </c>
      <c r="W53" s="179">
        <v>26.0</v>
      </c>
      <c r="X53" s="179">
        <v>24.0</v>
      </c>
      <c r="Y53" s="18">
        <f t="shared" si="34"/>
        <v>129.0769231</v>
      </c>
      <c r="Z53" s="179">
        <v>1.0</v>
      </c>
      <c r="AA53" s="179">
        <v>0.0</v>
      </c>
      <c r="AB53" s="176"/>
      <c r="AC53" s="181"/>
      <c r="AD53" s="18"/>
      <c r="AE53" s="179"/>
      <c r="AF53" s="18"/>
      <c r="AG53" s="18" t="str">
        <f t="shared" ref="AG53:AG67" si="39">IF(N($AD53)=0,"",ROUND($M53/$AD53,0))</f>
        <v/>
      </c>
      <c r="AH53" s="18" t="str">
        <f t="shared" ref="AH53:AH68" si="40">IF(N($AA53)=0,"",ROUND($M53/$AA53,0))</f>
        <v/>
      </c>
      <c r="AI53" s="172" t="s">
        <v>2558</v>
      </c>
      <c r="AJ53" s="173"/>
      <c r="AK53" s="171"/>
      <c r="AL53" s="172" t="s">
        <v>2670</v>
      </c>
    </row>
    <row r="54" outlineLevel="1">
      <c r="A54" s="204" t="s">
        <v>2188</v>
      </c>
      <c r="B54" s="169"/>
      <c r="C54" s="18">
        <f>IFERROR(VLOOKUP($A54,'Мои блогеры'!$A:$N,5,0),"")</f>
        <v>11300</v>
      </c>
      <c r="D54" s="233" t="str">
        <f>IFERROR(VLOOKUP($A54,'Мои блогеры'!$A:$N,2,0),"")</f>
        <v>Telegram</v>
      </c>
      <c r="E54" s="172" t="s">
        <v>2429</v>
      </c>
      <c r="F54" s="172" t="s">
        <v>2673</v>
      </c>
      <c r="G54" s="172" t="s">
        <v>2653</v>
      </c>
      <c r="H54" s="174">
        <v>46282.0</v>
      </c>
      <c r="I54" s="172" t="s">
        <v>2363</v>
      </c>
      <c r="J54" s="18">
        <f>IFERROR(VLOOKUP($A54,'Мои блогеры'!$A:$N,8,0),"")</f>
        <v>1398</v>
      </c>
      <c r="K54" s="173"/>
      <c r="L54" s="176"/>
      <c r="M54" s="18">
        <f>IFERROR(VLOOKUP($A54,'Мои блогеры'!$A:$N,8,0),"")</f>
        <v>1398</v>
      </c>
      <c r="N54" s="173"/>
      <c r="O54" s="177" t="s">
        <v>2683</v>
      </c>
      <c r="P54" s="177" t="s">
        <v>2684</v>
      </c>
      <c r="Q54" s="171"/>
      <c r="R54" s="173"/>
      <c r="S54" s="205" t="s">
        <v>2685</v>
      </c>
      <c r="T54" s="172" t="s">
        <v>2393</v>
      </c>
      <c r="U54" s="179">
        <v>2682.0</v>
      </c>
      <c r="V54" s="180">
        <f t="shared" si="31"/>
        <v>0.5212527964</v>
      </c>
      <c r="W54" s="179">
        <v>21.0</v>
      </c>
      <c r="X54" s="179">
        <v>21.0</v>
      </c>
      <c r="Y54" s="18">
        <f t="shared" si="34"/>
        <v>66.57142857</v>
      </c>
      <c r="Z54" s="179">
        <v>1.0</v>
      </c>
      <c r="AA54" s="179">
        <v>0.0</v>
      </c>
      <c r="AB54" s="176"/>
      <c r="AC54" s="181"/>
      <c r="AD54" s="18"/>
      <c r="AE54" s="179"/>
      <c r="AF54" s="18"/>
      <c r="AG54" s="18" t="str">
        <f t="shared" si="39"/>
        <v/>
      </c>
      <c r="AH54" s="18" t="str">
        <f t="shared" si="40"/>
        <v/>
      </c>
      <c r="AI54" s="172" t="s">
        <v>2558</v>
      </c>
      <c r="AJ54" s="173"/>
      <c r="AK54" s="171"/>
      <c r="AL54" s="172" t="s">
        <v>2670</v>
      </c>
    </row>
    <row r="55" outlineLevel="1">
      <c r="A55" s="204" t="s">
        <v>2190</v>
      </c>
      <c r="B55" s="169" t="str">
        <f>IF($A55="","",IFERROR(HYPERLINK(VLOOKUP($A55,'Мои блогеры'!$A:$N,14,0),"🔗 открыть"),""))</f>
        <v>🔗 открыть</v>
      </c>
      <c r="C55" s="18">
        <f>IFERROR(VLOOKUP($A55,'Мои блогеры'!$A:$N,5,0),"")</f>
        <v>3400</v>
      </c>
      <c r="D55" s="171" t="str">
        <f>IFERROR(VLOOKUP($A55,'Мои блогеры'!$A:$N,2,0),"")</f>
        <v>Telegram</v>
      </c>
      <c r="E55" s="172" t="s">
        <v>2429</v>
      </c>
      <c r="F55" s="172" t="s">
        <v>2673</v>
      </c>
      <c r="G55" s="172" t="s">
        <v>2653</v>
      </c>
      <c r="H55" s="174">
        <v>46282.0</v>
      </c>
      <c r="I55" s="172" t="s">
        <v>2363</v>
      </c>
      <c r="J55" s="18">
        <f>IFERROR(VLOOKUP($A55,'Мои блогеры'!$A:$N,8,0),"")</f>
        <v>839</v>
      </c>
      <c r="K55" s="173"/>
      <c r="L55" s="176"/>
      <c r="M55" s="18">
        <f t="shared" ref="M55:M62" si="41">IF(N($J55)+N($K55)+N($L55)=0,"",N($J55)+N($K55)+N($L55))</f>
        <v>839</v>
      </c>
      <c r="N55" s="173"/>
      <c r="O55" s="205" t="s">
        <v>2686</v>
      </c>
      <c r="P55" s="177" t="s">
        <v>2687</v>
      </c>
      <c r="Q55" s="171"/>
      <c r="R55" s="173"/>
      <c r="S55" s="177" t="s">
        <v>2688</v>
      </c>
      <c r="T55" s="172" t="s">
        <v>2393</v>
      </c>
      <c r="U55" s="179">
        <v>1928.0</v>
      </c>
      <c r="V55" s="180">
        <f t="shared" si="31"/>
        <v>0.4351659751</v>
      </c>
      <c r="W55" s="179">
        <v>33.0</v>
      </c>
      <c r="X55" s="179">
        <v>33.0</v>
      </c>
      <c r="Y55" s="18">
        <f t="shared" si="34"/>
        <v>25.42424242</v>
      </c>
      <c r="Z55" s="179">
        <v>2.0</v>
      </c>
      <c r="AA55" s="179">
        <v>1.0</v>
      </c>
      <c r="AB55" s="179">
        <v>1529.0</v>
      </c>
      <c r="AC55" s="181"/>
      <c r="AD55" s="175">
        <v>1.0</v>
      </c>
      <c r="AE55" s="179">
        <f>AB55/AD55</f>
        <v>1529</v>
      </c>
      <c r="AF55" s="18">
        <f>IF(OR(N($AD55)=0,$AE55=""),"",ROUND($AD55*$AE55,0))</f>
        <v>1529</v>
      </c>
      <c r="AG55" s="18">
        <f t="shared" si="39"/>
        <v>839</v>
      </c>
      <c r="AH55" s="18">
        <f t="shared" si="40"/>
        <v>839</v>
      </c>
      <c r="AI55" s="172" t="s">
        <v>2558</v>
      </c>
      <c r="AJ55" s="173"/>
      <c r="AK55" s="171"/>
      <c r="AL55" s="172" t="s">
        <v>2670</v>
      </c>
    </row>
    <row r="56" outlineLevel="1">
      <c r="A56" s="204" t="s">
        <v>2192</v>
      </c>
      <c r="B56" s="169" t="str">
        <f>IF($A56="","",IFERROR(HYPERLINK(VLOOKUP($A56,'Мои блогеры'!$A:$N,14,0),"🔗 открыть"),""))</f>
        <v>🔗 открыть</v>
      </c>
      <c r="C56" s="18">
        <f>IFERROR(VLOOKUP($A56,'Мои блогеры'!$A:$N,5,0),"")</f>
        <v>6933</v>
      </c>
      <c r="D56" s="171" t="str">
        <f>IFERROR(VLOOKUP($A56,'Мои блогеры'!$A:$N,2,0),"")</f>
        <v>MAX</v>
      </c>
      <c r="E56" s="172" t="s">
        <v>2429</v>
      </c>
      <c r="F56" s="172" t="s">
        <v>2673</v>
      </c>
      <c r="G56" s="172" t="s">
        <v>2689</v>
      </c>
      <c r="H56" s="174">
        <v>46283.0</v>
      </c>
      <c r="I56" s="172" t="s">
        <v>2363</v>
      </c>
      <c r="J56" s="18">
        <f>IFERROR(VLOOKUP($A56,'Мои блогеры'!$A:$N,8,0),"")</f>
        <v>314</v>
      </c>
      <c r="K56" s="173"/>
      <c r="L56" s="176"/>
      <c r="M56" s="18">
        <f t="shared" si="41"/>
        <v>314</v>
      </c>
      <c r="N56" s="173"/>
      <c r="O56" s="226"/>
      <c r="P56" s="240"/>
      <c r="Q56" s="171"/>
      <c r="R56" s="173"/>
      <c r="S56" s="178" t="s">
        <v>2690</v>
      </c>
      <c r="T56" s="172" t="s">
        <v>2393</v>
      </c>
      <c r="U56" s="179">
        <v>973.0</v>
      </c>
      <c r="V56" s="180">
        <f t="shared" si="31"/>
        <v>0.322713258</v>
      </c>
      <c r="W56" s="179">
        <v>50.0</v>
      </c>
      <c r="X56" s="179"/>
      <c r="Y56" s="18"/>
      <c r="Z56" s="176"/>
      <c r="AA56" s="176"/>
      <c r="AB56" s="176"/>
      <c r="AC56" s="181"/>
      <c r="AD56" s="18"/>
      <c r="AE56" s="179"/>
      <c r="AF56" s="18"/>
      <c r="AG56" s="18" t="str">
        <f t="shared" si="39"/>
        <v/>
      </c>
      <c r="AH56" s="18" t="str">
        <f t="shared" si="40"/>
        <v/>
      </c>
      <c r="AI56" s="172" t="s">
        <v>2691</v>
      </c>
      <c r="AJ56" s="173"/>
      <c r="AK56" s="171"/>
      <c r="AL56" s="172" t="s">
        <v>2670</v>
      </c>
    </row>
    <row r="57" outlineLevel="1">
      <c r="A57" s="204" t="s">
        <v>2019</v>
      </c>
      <c r="B57" s="169" t="str">
        <f>IF($A57="","",IFERROR(HYPERLINK(VLOOKUP($A57,'Мои блогеры'!$A:$N,14,0),"🔗 открыть"),""))</f>
        <v>🔗 открыть</v>
      </c>
      <c r="C57" s="18">
        <f>IFERROR(VLOOKUP($A57,'Мои блогеры'!$A:$N,5,0),"")</f>
        <v>3300</v>
      </c>
      <c r="D57" s="171" t="str">
        <f>IFERROR(VLOOKUP($A57,'Мои блогеры'!$A:$N,2,0),"")</f>
        <v>MAX</v>
      </c>
      <c r="E57" s="172" t="s">
        <v>2429</v>
      </c>
      <c r="F57" s="172" t="s">
        <v>2673</v>
      </c>
      <c r="G57" s="172" t="s">
        <v>2689</v>
      </c>
      <c r="H57" s="174">
        <v>46283.0</v>
      </c>
      <c r="I57" s="172" t="s">
        <v>2363</v>
      </c>
      <c r="J57" s="175">
        <v>503.0</v>
      </c>
      <c r="K57" s="173"/>
      <c r="L57" s="176"/>
      <c r="M57" s="18">
        <f t="shared" si="41"/>
        <v>503</v>
      </c>
      <c r="N57" s="173"/>
      <c r="O57" s="261"/>
      <c r="P57" s="173"/>
      <c r="Q57" s="171"/>
      <c r="R57" s="173"/>
      <c r="S57" s="178" t="s">
        <v>2692</v>
      </c>
      <c r="T57" s="172" t="s">
        <v>2393</v>
      </c>
      <c r="U57" s="179">
        <v>696.0</v>
      </c>
      <c r="V57" s="180">
        <f t="shared" si="31"/>
        <v>0.7227011494</v>
      </c>
      <c r="W57" s="179">
        <v>16.0</v>
      </c>
      <c r="X57" s="176"/>
      <c r="Y57" s="18"/>
      <c r="Z57" s="176"/>
      <c r="AA57" s="176"/>
      <c r="AB57" s="176"/>
      <c r="AC57" s="181"/>
      <c r="AD57" s="18"/>
      <c r="AE57" s="179"/>
      <c r="AF57" s="18"/>
      <c r="AG57" s="18" t="str">
        <f t="shared" si="39"/>
        <v/>
      </c>
      <c r="AH57" s="18" t="str">
        <f t="shared" si="40"/>
        <v/>
      </c>
      <c r="AI57" s="172" t="s">
        <v>2691</v>
      </c>
      <c r="AJ57" s="173"/>
      <c r="AK57" s="171"/>
      <c r="AL57" s="172" t="s">
        <v>2670</v>
      </c>
    </row>
    <row r="58" outlineLevel="1">
      <c r="A58" s="204" t="s">
        <v>32</v>
      </c>
      <c r="B58" s="169" t="str">
        <f>IF($A58="","",IFERROR(HYPERLINK(VLOOKUP($A58,'Мои блогеры'!$A:$N,14,0),"🔗 открыть"),""))</f>
        <v>🔗 открыть</v>
      </c>
      <c r="C58" s="175">
        <v>10240.0</v>
      </c>
      <c r="D58" s="171" t="str">
        <f>IFERROR(VLOOKUP($A58,'Мои блогеры'!$A:$N,2,0),"")</f>
        <v>MAX</v>
      </c>
      <c r="E58" s="172" t="s">
        <v>2429</v>
      </c>
      <c r="F58" s="172" t="s">
        <v>2673</v>
      </c>
      <c r="G58" s="172" t="s">
        <v>2689</v>
      </c>
      <c r="H58" s="174">
        <v>46283.0</v>
      </c>
      <c r="I58" s="172" t="s">
        <v>2363</v>
      </c>
      <c r="J58" s="175">
        <v>1188.0</v>
      </c>
      <c r="K58" s="173"/>
      <c r="L58" s="176"/>
      <c r="M58" s="18">
        <f t="shared" si="41"/>
        <v>1188</v>
      </c>
      <c r="N58" s="173"/>
      <c r="O58" s="226"/>
      <c r="P58" s="173"/>
      <c r="Q58" s="171"/>
      <c r="R58" s="173"/>
      <c r="S58" s="178" t="s">
        <v>2693</v>
      </c>
      <c r="T58" s="172" t="s">
        <v>2393</v>
      </c>
      <c r="U58" s="179">
        <v>1439.0</v>
      </c>
      <c r="V58" s="180">
        <f t="shared" si="31"/>
        <v>0.8255733148</v>
      </c>
      <c r="W58" s="179">
        <v>32.0</v>
      </c>
      <c r="X58" s="176"/>
      <c r="Y58" s="18"/>
      <c r="Z58" s="176"/>
      <c r="AA58" s="176"/>
      <c r="AB58" s="176"/>
      <c r="AC58" s="181"/>
      <c r="AD58" s="18"/>
      <c r="AE58" s="179"/>
      <c r="AF58" s="18"/>
      <c r="AG58" s="18" t="str">
        <f t="shared" si="39"/>
        <v/>
      </c>
      <c r="AH58" s="18" t="str">
        <f t="shared" si="40"/>
        <v/>
      </c>
      <c r="AI58" s="172" t="s">
        <v>2691</v>
      </c>
      <c r="AJ58" s="173"/>
      <c r="AK58" s="171"/>
      <c r="AL58" s="172" t="s">
        <v>2670</v>
      </c>
    </row>
    <row r="59" outlineLevel="1">
      <c r="A59" s="204" t="s">
        <v>2194</v>
      </c>
      <c r="B59" s="169" t="str">
        <f>IF($A59="","",IFERROR(HYPERLINK(VLOOKUP($A59,'Мои блогеры'!$A:$N,14,0),"🔗 открыть"),""))</f>
        <v>🔗 открыть</v>
      </c>
      <c r="C59" s="18">
        <f>IFERROR(VLOOKUP($A59,'Мои блогеры'!$A:$N,5,0),"")</f>
        <v>2204</v>
      </c>
      <c r="D59" s="171" t="str">
        <f>IFERROR(VLOOKUP($A59,'Мои блогеры'!$A:$N,2,0),"")</f>
        <v>MAX</v>
      </c>
      <c r="E59" s="172" t="s">
        <v>2429</v>
      </c>
      <c r="F59" s="172" t="s">
        <v>2673</v>
      </c>
      <c r="G59" s="172" t="s">
        <v>2689</v>
      </c>
      <c r="H59" s="174">
        <v>46283.0</v>
      </c>
      <c r="I59" s="172" t="s">
        <v>2363</v>
      </c>
      <c r="J59" s="18">
        <f>IFERROR(VLOOKUP($A59,'Мои блогеры'!$A:$N,8,0),"")</f>
        <v>587</v>
      </c>
      <c r="K59" s="173"/>
      <c r="L59" s="176"/>
      <c r="M59" s="18">
        <f t="shared" si="41"/>
        <v>587</v>
      </c>
      <c r="N59" s="173"/>
      <c r="O59" s="226"/>
      <c r="P59" s="173"/>
      <c r="Q59" s="171"/>
      <c r="R59" s="173"/>
      <c r="S59" s="178" t="s">
        <v>2694</v>
      </c>
      <c r="T59" s="172" t="s">
        <v>2393</v>
      </c>
      <c r="U59" s="179">
        <v>570.0</v>
      </c>
      <c r="V59" s="180">
        <f t="shared" si="31"/>
        <v>1.029824561</v>
      </c>
      <c r="W59" s="179">
        <v>6.0</v>
      </c>
      <c r="X59" s="176"/>
      <c r="Y59" s="18"/>
      <c r="Z59" s="176"/>
      <c r="AA59" s="176"/>
      <c r="AB59" s="176"/>
      <c r="AC59" s="181"/>
      <c r="AD59" s="18"/>
      <c r="AE59" s="179"/>
      <c r="AF59" s="18"/>
      <c r="AG59" s="18" t="str">
        <f t="shared" si="39"/>
        <v/>
      </c>
      <c r="AH59" s="18" t="str">
        <f t="shared" si="40"/>
        <v/>
      </c>
      <c r="AI59" s="172" t="s">
        <v>2691</v>
      </c>
      <c r="AJ59" s="173"/>
      <c r="AK59" s="171"/>
      <c r="AL59" s="172" t="s">
        <v>2670</v>
      </c>
    </row>
    <row r="60" outlineLevel="1">
      <c r="A60" s="232" t="s">
        <v>1990</v>
      </c>
      <c r="B60" s="169" t="str">
        <f>IF($A60="","",IFERROR(HYPERLINK(VLOOKUP($A60,'Мои блогеры'!$A:$N,14,0),"🔗 открыть"),""))</f>
        <v>🔗 открыть</v>
      </c>
      <c r="C60" s="18">
        <f>IFERROR(VLOOKUP($A60,'Мои блогеры'!$A:$N,5,0),"")</f>
        <v>8699</v>
      </c>
      <c r="D60" s="171" t="str">
        <f>IFERROR(VLOOKUP($A60,'Мои блогеры'!$A:$N,2,0),"")</f>
        <v>Telegram</v>
      </c>
      <c r="E60" s="172" t="s">
        <v>2429</v>
      </c>
      <c r="F60" s="172" t="s">
        <v>2673</v>
      </c>
      <c r="G60" s="172" t="s">
        <v>2689</v>
      </c>
      <c r="H60" s="174">
        <v>46283.0</v>
      </c>
      <c r="I60" s="172" t="s">
        <v>2363</v>
      </c>
      <c r="J60" s="175">
        <v>419.0</v>
      </c>
      <c r="K60" s="173"/>
      <c r="L60" s="176"/>
      <c r="M60" s="18">
        <f t="shared" si="41"/>
        <v>419</v>
      </c>
      <c r="N60" s="173"/>
      <c r="O60" s="226"/>
      <c r="P60" s="173"/>
      <c r="Q60" s="171"/>
      <c r="R60" s="173"/>
      <c r="S60" s="178" t="s">
        <v>2695</v>
      </c>
      <c r="T60" s="172" t="s">
        <v>2393</v>
      </c>
      <c r="U60" s="179">
        <v>810.0</v>
      </c>
      <c r="V60" s="180">
        <f t="shared" si="31"/>
        <v>0.5172839506</v>
      </c>
      <c r="W60" s="179">
        <v>10.0</v>
      </c>
      <c r="X60" s="176"/>
      <c r="Y60" s="18"/>
      <c r="Z60" s="176"/>
      <c r="AA60" s="176"/>
      <c r="AB60" s="176"/>
      <c r="AC60" s="181"/>
      <c r="AD60" s="18"/>
      <c r="AE60" s="179"/>
      <c r="AF60" s="18"/>
      <c r="AG60" s="18" t="str">
        <f t="shared" si="39"/>
        <v/>
      </c>
      <c r="AH60" s="18" t="str">
        <f t="shared" si="40"/>
        <v/>
      </c>
      <c r="AI60" s="172" t="s">
        <v>2691</v>
      </c>
      <c r="AJ60" s="173"/>
      <c r="AK60" s="171"/>
      <c r="AL60" s="172" t="s">
        <v>2670</v>
      </c>
    </row>
    <row r="61" outlineLevel="1">
      <c r="A61" s="204" t="s">
        <v>2196</v>
      </c>
      <c r="B61" s="169" t="str">
        <f>IF($A61="","",IFERROR(HYPERLINK(VLOOKUP($A61,'Мои блогеры'!$A:$N,14,0),"🔗 открыть"),""))</f>
        <v>🔗 открыть</v>
      </c>
      <c r="C61" s="18">
        <f>IFERROR(VLOOKUP($A61,'Мои блогеры'!$A:$N,5,0),"")</f>
        <v>32100</v>
      </c>
      <c r="D61" s="171" t="str">
        <f>IFERROR(VLOOKUP($A61,'Мои блогеры'!$A:$N,2,0),"")</f>
        <v>VK</v>
      </c>
      <c r="E61" s="172" t="s">
        <v>2429</v>
      </c>
      <c r="F61" s="172" t="s">
        <v>2583</v>
      </c>
      <c r="G61" s="172" t="s">
        <v>2653</v>
      </c>
      <c r="H61" s="174">
        <v>46283.0</v>
      </c>
      <c r="I61" s="172" t="s">
        <v>2363</v>
      </c>
      <c r="J61" s="18">
        <f>IFERROR(VLOOKUP($A61,'Мои блогеры'!$A:$N,8,0),"")</f>
        <v>15000</v>
      </c>
      <c r="K61" s="173">
        <f>J61*0.09</f>
        <v>1350</v>
      </c>
      <c r="L61" s="176"/>
      <c r="M61" s="18">
        <f t="shared" si="41"/>
        <v>16350</v>
      </c>
      <c r="N61" s="173"/>
      <c r="O61" s="177" t="s">
        <v>2696</v>
      </c>
      <c r="P61" s="173"/>
      <c r="Q61" s="171"/>
      <c r="R61" s="173"/>
      <c r="S61" s="178" t="s">
        <v>2697</v>
      </c>
      <c r="T61" s="172" t="s">
        <v>2393</v>
      </c>
      <c r="U61" s="179">
        <v>17900.0</v>
      </c>
      <c r="V61" s="180">
        <f t="shared" si="31"/>
        <v>0.9134078212</v>
      </c>
      <c r="W61" s="179">
        <v>194.0</v>
      </c>
      <c r="X61" s="179">
        <v>186.0</v>
      </c>
      <c r="Y61" s="18">
        <f t="shared" ref="Y61:Y67" si="42">IF(N($W61)=0,"",$M61/$W61)</f>
        <v>84.27835052</v>
      </c>
      <c r="Z61" s="179">
        <v>140.0</v>
      </c>
      <c r="AA61" s="179">
        <v>5.0</v>
      </c>
      <c r="AB61" s="179">
        <f>9600+2400</f>
        <v>12000</v>
      </c>
      <c r="AC61" s="181"/>
      <c r="AD61" s="175">
        <v>5.0</v>
      </c>
      <c r="AE61" s="179">
        <f t="shared" ref="AE61:AE62" si="43">AB61/AD61</f>
        <v>2400</v>
      </c>
      <c r="AF61" s="18">
        <f t="shared" ref="AF61:AF62" si="44">IF(OR(N($AD61)=0,$AE61=""),"",ROUND($AD61*$AE61,0))</f>
        <v>12000</v>
      </c>
      <c r="AG61" s="18">
        <f t="shared" si="39"/>
        <v>3270</v>
      </c>
      <c r="AH61" s="18">
        <f t="shared" si="40"/>
        <v>3270</v>
      </c>
      <c r="AI61" s="172" t="s">
        <v>2558</v>
      </c>
      <c r="AJ61" s="173"/>
      <c r="AK61" s="171"/>
      <c r="AL61" s="172" t="s">
        <v>2698</v>
      </c>
    </row>
    <row r="62" outlineLevel="1">
      <c r="A62" s="204" t="s">
        <v>2000</v>
      </c>
      <c r="B62" s="169"/>
      <c r="C62" s="18">
        <f>IFERROR(VLOOKUP($A62,'Мои блогеры'!$A:$N,5,0),"")</f>
        <v>60500</v>
      </c>
      <c r="D62" s="171" t="str">
        <f>IFERROR(VLOOKUP($A62,'Мои блогеры'!$A:$N,2,0),"")</f>
        <v>VK</v>
      </c>
      <c r="E62" s="172" t="s">
        <v>2429</v>
      </c>
      <c r="F62" s="172" t="s">
        <v>2583</v>
      </c>
      <c r="G62" s="172" t="s">
        <v>2653</v>
      </c>
      <c r="H62" s="174">
        <v>46284.0</v>
      </c>
      <c r="I62" s="172" t="s">
        <v>2363</v>
      </c>
      <c r="J62" s="175">
        <v>15000.0</v>
      </c>
      <c r="K62" s="172">
        <v>1350.0</v>
      </c>
      <c r="L62" s="176"/>
      <c r="M62" s="18">
        <f t="shared" si="41"/>
        <v>16350</v>
      </c>
      <c r="N62" s="173"/>
      <c r="O62" s="177" t="s">
        <v>2699</v>
      </c>
      <c r="P62" s="173"/>
      <c r="Q62" s="171"/>
      <c r="R62" s="173"/>
      <c r="S62" s="262" t="s">
        <v>2700</v>
      </c>
      <c r="T62" s="172" t="s">
        <v>2393</v>
      </c>
      <c r="U62" s="179">
        <v>21200.0</v>
      </c>
      <c r="V62" s="180">
        <f t="shared" si="31"/>
        <v>0.7712264151</v>
      </c>
      <c r="W62" s="179">
        <v>29.0</v>
      </c>
      <c r="X62" s="179">
        <v>29.0</v>
      </c>
      <c r="Y62" s="18">
        <f t="shared" si="42"/>
        <v>563.7931034</v>
      </c>
      <c r="Z62" s="179">
        <v>12.0</v>
      </c>
      <c r="AA62" s="179">
        <v>8.0</v>
      </c>
      <c r="AB62" s="179">
        <f>7200+1900+4800</f>
        <v>13900</v>
      </c>
      <c r="AC62" s="181"/>
      <c r="AD62" s="175">
        <v>8.0</v>
      </c>
      <c r="AE62" s="179">
        <f t="shared" si="43"/>
        <v>1737.5</v>
      </c>
      <c r="AF62" s="18">
        <f t="shared" si="44"/>
        <v>13900</v>
      </c>
      <c r="AG62" s="18">
        <f t="shared" si="39"/>
        <v>2044</v>
      </c>
      <c r="AH62" s="18">
        <f t="shared" si="40"/>
        <v>2044</v>
      </c>
      <c r="AI62" s="172" t="s">
        <v>2558</v>
      </c>
      <c r="AJ62" s="173"/>
      <c r="AK62" s="171"/>
      <c r="AL62" s="172" t="s">
        <v>2698</v>
      </c>
    </row>
    <row r="63" outlineLevel="1">
      <c r="A63" s="223" t="s">
        <v>2001</v>
      </c>
      <c r="B63" s="169"/>
      <c r="C63" s="18">
        <f>IFERROR(VLOOKUP($A63,'Мои блогеры'!$A:$N,5,0),"")</f>
        <v>2600</v>
      </c>
      <c r="D63" s="171" t="str">
        <f>IFERROR(VLOOKUP($A63,'Мои блогеры'!$A:$N,2,0),"")</f>
        <v>MAX</v>
      </c>
      <c r="E63" s="172" t="s">
        <v>2429</v>
      </c>
      <c r="F63" s="172" t="s">
        <v>2583</v>
      </c>
      <c r="G63" s="172" t="s">
        <v>2653</v>
      </c>
      <c r="H63" s="174">
        <v>46284.0</v>
      </c>
      <c r="I63" s="172" t="s">
        <v>2363</v>
      </c>
      <c r="J63" s="18">
        <f>IFERROR(VLOOKUP($A63,'Мои блогеры'!$A:$N,8,0),"")</f>
        <v>0</v>
      </c>
      <c r="K63" s="173"/>
      <c r="L63" s="176"/>
      <c r="M63" s="175">
        <v>0.0</v>
      </c>
      <c r="N63" s="173"/>
      <c r="O63" s="177" t="s">
        <v>2701</v>
      </c>
      <c r="P63" s="173"/>
      <c r="Q63" s="171"/>
      <c r="R63" s="173"/>
      <c r="S63" s="178" t="s">
        <v>2702</v>
      </c>
      <c r="T63" s="172" t="s">
        <v>2393</v>
      </c>
      <c r="U63" s="179">
        <v>1000.0</v>
      </c>
      <c r="V63" s="180">
        <f t="shared" si="31"/>
        <v>0</v>
      </c>
      <c r="W63" s="179">
        <v>19.0</v>
      </c>
      <c r="X63" s="179">
        <v>19.0</v>
      </c>
      <c r="Y63" s="18">
        <f t="shared" si="42"/>
        <v>0</v>
      </c>
      <c r="Z63" s="179">
        <v>13.0</v>
      </c>
      <c r="AA63" s="176"/>
      <c r="AB63" s="176"/>
      <c r="AC63" s="181"/>
      <c r="AD63" s="18"/>
      <c r="AE63" s="179"/>
      <c r="AF63" s="18"/>
      <c r="AG63" s="18" t="str">
        <f t="shared" si="39"/>
        <v/>
      </c>
      <c r="AH63" s="18" t="str">
        <f t="shared" si="40"/>
        <v/>
      </c>
      <c r="AI63" s="172" t="s">
        <v>2558</v>
      </c>
      <c r="AJ63" s="173"/>
      <c r="AK63" s="171"/>
      <c r="AL63" s="172" t="s">
        <v>2698</v>
      </c>
    </row>
    <row r="64" outlineLevel="1">
      <c r="A64" s="204" t="s">
        <v>2201</v>
      </c>
      <c r="B64" s="169"/>
      <c r="C64" s="18">
        <f>IFERROR(VLOOKUP($A64,'Мои блогеры'!$A:$N,5,0),"")</f>
        <v>9000</v>
      </c>
      <c r="D64" s="171" t="str">
        <f>IFERROR(VLOOKUP($A64,'Мои блогеры'!$A:$N,2,0),"")</f>
        <v>MAX</v>
      </c>
      <c r="E64" s="172" t="s">
        <v>2429</v>
      </c>
      <c r="F64" s="172" t="s">
        <v>2673</v>
      </c>
      <c r="G64" s="172" t="s">
        <v>2653</v>
      </c>
      <c r="H64" s="174">
        <v>46285.0</v>
      </c>
      <c r="I64" s="172" t="s">
        <v>2363</v>
      </c>
      <c r="J64" s="18">
        <f>IFERROR(VLOOKUP($A64,'Мои блогеры'!$A:$N,8,0),"")</f>
        <v>2937</v>
      </c>
      <c r="K64" s="173"/>
      <c r="L64" s="176"/>
      <c r="M64" s="18">
        <f>IFERROR(VLOOKUP($A64,'Мои блогеры'!$A:$N,8,0),"")</f>
        <v>2937</v>
      </c>
      <c r="N64" s="173"/>
      <c r="O64" s="177" t="s">
        <v>2703</v>
      </c>
      <c r="P64" s="173"/>
      <c r="Q64" s="171"/>
      <c r="R64" s="173"/>
      <c r="S64" s="178" t="s">
        <v>2202</v>
      </c>
      <c r="T64" s="172" t="s">
        <v>2393</v>
      </c>
      <c r="U64" s="179">
        <v>3436.0</v>
      </c>
      <c r="V64" s="180">
        <f t="shared" si="31"/>
        <v>0.8547729919</v>
      </c>
      <c r="W64" s="179">
        <v>118.0</v>
      </c>
      <c r="X64" s="179">
        <v>118.0</v>
      </c>
      <c r="Y64" s="18">
        <f t="shared" si="42"/>
        <v>24.88983051</v>
      </c>
      <c r="Z64" s="179">
        <v>67.0</v>
      </c>
      <c r="AA64" s="179">
        <v>1.0</v>
      </c>
      <c r="AB64" s="179">
        <v>2400.0</v>
      </c>
      <c r="AC64" s="181"/>
      <c r="AD64" s="175">
        <v>1.0</v>
      </c>
      <c r="AE64" s="179">
        <f t="shared" ref="AE64:AE67" si="45">AB64/AD64</f>
        <v>2400</v>
      </c>
      <c r="AF64" s="18">
        <f t="shared" ref="AF64:AF67" si="46">IF(OR(N($AD64)=0,$AE64=""),"",ROUND($AD64*$AE64,0))</f>
        <v>2400</v>
      </c>
      <c r="AG64" s="18">
        <f t="shared" si="39"/>
        <v>2937</v>
      </c>
      <c r="AH64" s="18">
        <f t="shared" si="40"/>
        <v>2937</v>
      </c>
      <c r="AI64" s="172" t="s">
        <v>2558</v>
      </c>
      <c r="AJ64" s="173"/>
      <c r="AK64" s="171"/>
      <c r="AL64" s="172" t="s">
        <v>2670</v>
      </c>
    </row>
    <row r="65" outlineLevel="1">
      <c r="A65" s="204" t="s">
        <v>2203</v>
      </c>
      <c r="B65" s="169"/>
      <c r="C65" s="18">
        <f>IFERROR(VLOOKUP($A65,'Мои блогеры'!$A:$N,5,0),"")</f>
        <v>11565</v>
      </c>
      <c r="D65" s="171" t="str">
        <f>IFERROR(VLOOKUP($A65,'Мои блогеры'!$A:$N,2,0),"")</f>
        <v>Telegram</v>
      </c>
      <c r="E65" s="172" t="s">
        <v>2429</v>
      </c>
      <c r="F65" s="172" t="s">
        <v>2673</v>
      </c>
      <c r="G65" s="172" t="s">
        <v>2653</v>
      </c>
      <c r="H65" s="174">
        <v>46285.0</v>
      </c>
      <c r="I65" s="172" t="s">
        <v>2363</v>
      </c>
      <c r="J65" s="18">
        <f>IFERROR(VLOOKUP($A65,'Мои блогеры'!$A:$N,8,0),"")</f>
        <v>352</v>
      </c>
      <c r="K65" s="173"/>
      <c r="L65" s="176"/>
      <c r="M65" s="18">
        <f>IFERROR(VLOOKUP($A65,'Мои блогеры'!$A:$N,8,0),"")</f>
        <v>352</v>
      </c>
      <c r="N65" s="173"/>
      <c r="O65" s="263" t="s">
        <v>2704</v>
      </c>
      <c r="P65" s="173"/>
      <c r="Q65" s="171"/>
      <c r="R65" s="173"/>
      <c r="S65" s="178" t="s">
        <v>2705</v>
      </c>
      <c r="T65" s="172" t="s">
        <v>2393</v>
      </c>
      <c r="U65" s="179">
        <v>690.0</v>
      </c>
      <c r="V65" s="180">
        <f t="shared" si="31"/>
        <v>0.5101449275</v>
      </c>
      <c r="W65" s="179">
        <v>3.0</v>
      </c>
      <c r="X65" s="179">
        <v>3.0</v>
      </c>
      <c r="Y65" s="18">
        <f t="shared" si="42"/>
        <v>117.3333333</v>
      </c>
      <c r="Z65" s="179">
        <v>3.0</v>
      </c>
      <c r="AA65" s="179">
        <v>1.0</v>
      </c>
      <c r="AB65" s="179">
        <v>2400.0</v>
      </c>
      <c r="AC65" s="181"/>
      <c r="AD65" s="175">
        <v>1.0</v>
      </c>
      <c r="AE65" s="179">
        <f t="shared" si="45"/>
        <v>2400</v>
      </c>
      <c r="AF65" s="18">
        <f t="shared" si="46"/>
        <v>2400</v>
      </c>
      <c r="AG65" s="18">
        <f t="shared" si="39"/>
        <v>352</v>
      </c>
      <c r="AH65" s="18">
        <f t="shared" si="40"/>
        <v>352</v>
      </c>
      <c r="AI65" s="172" t="s">
        <v>2558</v>
      </c>
      <c r="AJ65" s="173"/>
      <c r="AK65" s="171"/>
      <c r="AL65" s="172" t="s">
        <v>2670</v>
      </c>
    </row>
    <row r="66" ht="14.25" customHeight="1" outlineLevel="1">
      <c r="A66" s="204" t="s">
        <v>2198</v>
      </c>
      <c r="B66" s="169"/>
      <c r="C66" s="18">
        <f>IFERROR(VLOOKUP($A66,'Мои блогеры'!$A:$N,5,0),"")</f>
        <v>38200</v>
      </c>
      <c r="D66" s="171" t="str">
        <f>IFERROR(VLOOKUP($A66,'Мои блогеры'!$A:$N,2,0),"")</f>
        <v>VK</v>
      </c>
      <c r="E66" s="172" t="s">
        <v>2429</v>
      </c>
      <c r="F66" s="172" t="s">
        <v>2583</v>
      </c>
      <c r="G66" s="172" t="s">
        <v>2653</v>
      </c>
      <c r="H66" s="174">
        <v>46285.0</v>
      </c>
      <c r="I66" s="172" t="s">
        <v>2363</v>
      </c>
      <c r="J66" s="18">
        <f>IFERROR(VLOOKUP($A66,'Мои блогеры'!$A:$N,8,0),"")</f>
        <v>15000</v>
      </c>
      <c r="K66" s="172">
        <v>1350.0</v>
      </c>
      <c r="L66" s="176"/>
      <c r="M66" s="18">
        <f t="shared" ref="M66:M67" si="47">IF(N($J66)+N($K66)+N($L66)=0,"",N($J66)+N($K66)+N($L66))</f>
        <v>16350</v>
      </c>
      <c r="N66" s="173"/>
      <c r="O66" s="177" t="s">
        <v>2706</v>
      </c>
      <c r="P66" s="173"/>
      <c r="Q66" s="171"/>
      <c r="R66" s="173"/>
      <c r="S66" s="178" t="s">
        <v>2707</v>
      </c>
      <c r="T66" s="172" t="s">
        <v>2393</v>
      </c>
      <c r="U66" s="179">
        <v>18290.0</v>
      </c>
      <c r="V66" s="180">
        <f t="shared" si="31"/>
        <v>0.8939311099</v>
      </c>
      <c r="W66" s="179">
        <v>534.0</v>
      </c>
      <c r="X66" s="179">
        <v>534.0</v>
      </c>
      <c r="Y66" s="18">
        <f t="shared" si="42"/>
        <v>30.61797753</v>
      </c>
      <c r="Z66" s="179">
        <v>32.0</v>
      </c>
      <c r="AA66" s="179">
        <v>1.0</v>
      </c>
      <c r="AB66" s="179">
        <v>2600.0</v>
      </c>
      <c r="AC66" s="181"/>
      <c r="AD66" s="175">
        <v>1.0</v>
      </c>
      <c r="AE66" s="179">
        <f t="shared" si="45"/>
        <v>2600</v>
      </c>
      <c r="AF66" s="18">
        <f t="shared" si="46"/>
        <v>2600</v>
      </c>
      <c r="AG66" s="18">
        <f t="shared" si="39"/>
        <v>16350</v>
      </c>
      <c r="AH66" s="18">
        <f t="shared" si="40"/>
        <v>16350</v>
      </c>
      <c r="AI66" s="172" t="s">
        <v>2558</v>
      </c>
      <c r="AJ66" s="172"/>
      <c r="AK66" s="185"/>
      <c r="AL66" s="172" t="s">
        <v>2670</v>
      </c>
    </row>
    <row r="67" outlineLevel="1">
      <c r="A67" s="204" t="s">
        <v>2200</v>
      </c>
      <c r="B67" s="169"/>
      <c r="C67" s="18">
        <f>IFERROR(VLOOKUP($A67,'Мои блогеры'!$A:$N,5,0),"")</f>
        <v>32890</v>
      </c>
      <c r="D67" s="171" t="str">
        <f>IFERROR(VLOOKUP($A67,'Мои блогеры'!$A:$N,2,0),"")</f>
        <v>Telegram</v>
      </c>
      <c r="E67" s="172" t="s">
        <v>2429</v>
      </c>
      <c r="F67" s="172" t="s">
        <v>2583</v>
      </c>
      <c r="G67" s="172" t="s">
        <v>2653</v>
      </c>
      <c r="H67" s="174">
        <v>46285.0</v>
      </c>
      <c r="I67" s="172" t="s">
        <v>2363</v>
      </c>
      <c r="J67" s="18">
        <f>IFERROR(VLOOKUP($A67,'Мои блогеры'!$A:$N,8,0),"")</f>
        <v>15000</v>
      </c>
      <c r="K67" s="172">
        <v>1350.0</v>
      </c>
      <c r="L67" s="176"/>
      <c r="M67" s="18">
        <f t="shared" si="47"/>
        <v>16350</v>
      </c>
      <c r="N67" s="173"/>
      <c r="O67" s="177" t="s">
        <v>2708</v>
      </c>
      <c r="P67" s="173"/>
      <c r="Q67" s="171"/>
      <c r="R67" s="173"/>
      <c r="S67" s="178" t="s">
        <v>2709</v>
      </c>
      <c r="T67" s="172" t="s">
        <v>2393</v>
      </c>
      <c r="U67" s="179">
        <v>21090.0</v>
      </c>
      <c r="V67" s="180">
        <f t="shared" si="31"/>
        <v>0.7752489331</v>
      </c>
      <c r="W67" s="179">
        <v>69.0</v>
      </c>
      <c r="X67" s="179">
        <v>69.0</v>
      </c>
      <c r="Y67" s="18">
        <f t="shared" si="42"/>
        <v>236.9565217</v>
      </c>
      <c r="Z67" s="179">
        <v>11.0</v>
      </c>
      <c r="AA67" s="179">
        <v>1.0</v>
      </c>
      <c r="AB67" s="179">
        <v>2600.0</v>
      </c>
      <c r="AC67" s="181"/>
      <c r="AD67" s="175">
        <v>1.0</v>
      </c>
      <c r="AE67" s="179">
        <f t="shared" si="45"/>
        <v>2600</v>
      </c>
      <c r="AF67" s="18">
        <f t="shared" si="46"/>
        <v>2600</v>
      </c>
      <c r="AG67" s="18">
        <f t="shared" si="39"/>
        <v>16350</v>
      </c>
      <c r="AH67" s="18">
        <f t="shared" si="40"/>
        <v>16350</v>
      </c>
      <c r="AI67" s="172" t="s">
        <v>2558</v>
      </c>
      <c r="AJ67" s="173"/>
      <c r="AK67" s="171"/>
      <c r="AL67" s="172" t="s">
        <v>2670</v>
      </c>
    </row>
    <row r="68" outlineLevel="1">
      <c r="A68" s="201" t="s">
        <v>2710</v>
      </c>
      <c r="B68" s="188"/>
      <c r="C68" s="189"/>
      <c r="D68" s="188"/>
      <c r="E68" s="188"/>
      <c r="F68" s="188"/>
      <c r="G68" s="188"/>
      <c r="H68" s="188"/>
      <c r="I68" s="188" t="str">
        <f>COUNTIF(I38:I67,"Вышло")&amp;" / "&amp;COUNTA(A38:A67)</f>
        <v>30 / 30</v>
      </c>
      <c r="J68" s="189">
        <f t="shared" ref="J68:M68" si="48">SUM(J38:J67)</f>
        <v>278536</v>
      </c>
      <c r="K68" s="189">
        <f t="shared" si="48"/>
        <v>18326</v>
      </c>
      <c r="L68" s="189">
        <f t="shared" si="48"/>
        <v>5300</v>
      </c>
      <c r="M68" s="189">
        <f t="shared" si="48"/>
        <v>302162</v>
      </c>
      <c r="N68" s="188"/>
      <c r="O68" s="188"/>
      <c r="P68" s="188"/>
      <c r="Q68" s="188"/>
      <c r="R68" s="188"/>
      <c r="S68" s="188"/>
      <c r="T68" s="189"/>
      <c r="U68" s="189">
        <f>SUM(U38:U67)</f>
        <v>801651</v>
      </c>
      <c r="V68" s="234">
        <f t="shared" si="31"/>
        <v>0.3769246218</v>
      </c>
      <c r="W68" s="189">
        <f t="shared" ref="W68:X68" si="49">SUM(W38:W67)</f>
        <v>2443</v>
      </c>
      <c r="X68" s="189">
        <f t="shared" si="49"/>
        <v>2211</v>
      </c>
      <c r="Y68" s="235">
        <f>IF(N($W68)=0,"",$M68/$W68)</f>
        <v>123.6848138</v>
      </c>
      <c r="Z68" s="189">
        <f t="shared" ref="Z68:AB68" si="50">SUM(Z38:Z67)</f>
        <v>539</v>
      </c>
      <c r="AA68" s="189">
        <f t="shared" si="50"/>
        <v>66</v>
      </c>
      <c r="AB68" s="189">
        <f t="shared" si="50"/>
        <v>164458</v>
      </c>
      <c r="AC68" s="189"/>
      <c r="AD68" s="189">
        <f t="shared" ref="AD68:AF68" si="51">SUM(AD38:AD67)</f>
        <v>66</v>
      </c>
      <c r="AE68" s="189">
        <f t="shared" si="51"/>
        <v>35645.40842</v>
      </c>
      <c r="AF68" s="189">
        <f t="shared" si="51"/>
        <v>164458</v>
      </c>
      <c r="AG68" s="189">
        <f>AF68/AD68</f>
        <v>2491.787879</v>
      </c>
      <c r="AH68" s="235">
        <f t="shared" si="40"/>
        <v>4578</v>
      </c>
      <c r="AI68" s="189">
        <f>SUM(AI38:AI67)</f>
        <v>0</v>
      </c>
      <c r="AJ68" s="188"/>
      <c r="AK68" s="188"/>
      <c r="AL68" s="188"/>
    </row>
    <row r="69">
      <c r="A69" s="203" t="s">
        <v>2711</v>
      </c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7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</row>
    <row r="70" ht="25.5" customHeight="1" outlineLevel="1">
      <c r="A70" s="264" t="s">
        <v>53</v>
      </c>
      <c r="B70" s="169"/>
      <c r="C70" s="18">
        <f>IFERROR(VLOOKUP($A70,'Мои блогеры'!$A:$N,5,0),"")</f>
        <v>119000</v>
      </c>
      <c r="D70" s="265" t="s">
        <v>19</v>
      </c>
      <c r="E70" s="172" t="s">
        <v>2429</v>
      </c>
      <c r="F70" s="172" t="s">
        <v>2712</v>
      </c>
      <c r="G70" s="172" t="s">
        <v>2387</v>
      </c>
      <c r="H70" s="266">
        <v>46292.0</v>
      </c>
      <c r="I70" s="172" t="s">
        <v>2363</v>
      </c>
      <c r="J70" s="18">
        <f>IFERROR(VLOOKUP($A70,'Мои блогеры'!$A:$N,8,0),"")</f>
        <v>78335</v>
      </c>
      <c r="K70" s="172">
        <v>5106.85</v>
      </c>
      <c r="L70" s="179">
        <v>492.0</v>
      </c>
      <c r="M70" s="18">
        <f t="shared" ref="M70:M100" si="52">IF(N($J70)+N($K70)+N($L70)=0,"",N($J70)+N($K70)+N($L70))</f>
        <v>83933.85</v>
      </c>
      <c r="N70" s="173"/>
      <c r="O70" s="177" t="s">
        <v>2713</v>
      </c>
      <c r="P70" s="173"/>
      <c r="Q70" s="171"/>
      <c r="R70" s="173"/>
      <c r="S70" s="178" t="s">
        <v>2714</v>
      </c>
      <c r="T70" s="172" t="s">
        <v>2487</v>
      </c>
      <c r="U70" s="179">
        <v>63000.0</v>
      </c>
      <c r="V70" s="180">
        <f t="shared" ref="V70:V101" si="53">IF(N($U70)=0,"",$M70/$U70)</f>
        <v>1.332283333</v>
      </c>
      <c r="W70" s="179">
        <v>144.0</v>
      </c>
      <c r="X70" s="179">
        <v>144.0</v>
      </c>
      <c r="Y70" s="18">
        <f t="shared" ref="Y70:Y101" si="54">IF(N($W70)=0,"",$M70/$W70)</f>
        <v>582.8739583</v>
      </c>
      <c r="Z70" s="179">
        <v>41.0</v>
      </c>
      <c r="AA70" s="179">
        <v>39.0</v>
      </c>
      <c r="AB70" s="179">
        <v>105180.0</v>
      </c>
      <c r="AC70" s="181"/>
      <c r="AD70" s="175">
        <v>39.0</v>
      </c>
      <c r="AE70" s="179">
        <f t="shared" ref="AE70:AE73" si="55">AB70/AD70</f>
        <v>2696.923077</v>
      </c>
      <c r="AF70" s="18">
        <f t="shared" ref="AF70:AF94" si="56">IF(OR(N($AD70)=0,$AE70=""),"",ROUND($AD70*$AE70,0))</f>
        <v>105180</v>
      </c>
      <c r="AG70" s="18">
        <f t="shared" ref="AG70:AG100" si="57">IF(N($AD70)=0,"",ROUND($M70/$AD70,0))</f>
        <v>2152</v>
      </c>
      <c r="AH70" s="18">
        <f t="shared" ref="AH70:AH101" si="58">IF(N($AA70)=0,"",ROUND($M70/$AA70,0))</f>
        <v>2152</v>
      </c>
      <c r="AI70" s="172" t="s">
        <v>2558</v>
      </c>
      <c r="AJ70" s="172"/>
      <c r="AK70" s="185"/>
      <c r="AL70" s="172" t="s">
        <v>2715</v>
      </c>
    </row>
    <row r="71" outlineLevel="1">
      <c r="A71" s="204" t="s">
        <v>2207</v>
      </c>
      <c r="B71" s="169" t="str">
        <f>IF($A71="","",IFERROR(HYPERLINK(VLOOKUP($A71,'Мои блогеры'!$A:$N,14,0),"🔗 открыть"),""))</f>
        <v>🔗 открыть</v>
      </c>
      <c r="C71" s="18">
        <f>IFERROR(VLOOKUP($A71,'Мои блогеры'!$A:$N,5,0),"")</f>
        <v>15100</v>
      </c>
      <c r="D71" s="171" t="str">
        <f>IFERROR(VLOOKUP($A71,'Мои блогеры'!$A:$N,2,0),"")</f>
        <v>Telegram</v>
      </c>
      <c r="E71" s="172" t="s">
        <v>2429</v>
      </c>
      <c r="F71" s="172" t="s">
        <v>2583</v>
      </c>
      <c r="G71" s="172" t="s">
        <v>2653</v>
      </c>
      <c r="H71" s="174">
        <v>46287.0</v>
      </c>
      <c r="I71" s="172" t="s">
        <v>2363</v>
      </c>
      <c r="J71" s="175">
        <v>14000.0</v>
      </c>
      <c r="K71" s="173">
        <f>J71*0.07</f>
        <v>980</v>
      </c>
      <c r="L71" s="176"/>
      <c r="M71" s="18">
        <f t="shared" si="52"/>
        <v>14980</v>
      </c>
      <c r="N71" s="173"/>
      <c r="O71" s="205" t="s">
        <v>2716</v>
      </c>
      <c r="P71" s="240"/>
      <c r="Q71" s="171"/>
      <c r="R71" s="173"/>
      <c r="S71" s="177" t="s">
        <v>2717</v>
      </c>
      <c r="T71" s="176"/>
      <c r="U71" s="179">
        <v>14700.0</v>
      </c>
      <c r="V71" s="180">
        <f t="shared" si="53"/>
        <v>1.019047619</v>
      </c>
      <c r="W71" s="179">
        <v>219.0</v>
      </c>
      <c r="X71" s="179" t="s">
        <v>2367</v>
      </c>
      <c r="Y71" s="18">
        <f t="shared" si="54"/>
        <v>68.40182648</v>
      </c>
      <c r="Z71" s="179">
        <v>4.0</v>
      </c>
      <c r="AA71" s="179">
        <v>1.0</v>
      </c>
      <c r="AB71" s="179">
        <v>2400.0</v>
      </c>
      <c r="AC71" s="181"/>
      <c r="AD71" s="175">
        <v>1.0</v>
      </c>
      <c r="AE71" s="179">
        <f t="shared" si="55"/>
        <v>2400</v>
      </c>
      <c r="AF71" s="18">
        <f t="shared" si="56"/>
        <v>2400</v>
      </c>
      <c r="AG71" s="18">
        <f t="shared" si="57"/>
        <v>14980</v>
      </c>
      <c r="AH71" s="18">
        <f t="shared" si="58"/>
        <v>14980</v>
      </c>
      <c r="AI71" s="172" t="s">
        <v>2558</v>
      </c>
      <c r="AJ71" s="173"/>
      <c r="AK71" s="171"/>
      <c r="AL71" s="172" t="s">
        <v>2718</v>
      </c>
    </row>
    <row r="72" outlineLevel="1">
      <c r="A72" s="204" t="s">
        <v>2205</v>
      </c>
      <c r="B72" s="169"/>
      <c r="C72" s="18">
        <f>IFERROR(VLOOKUP($A72,'Мои блогеры'!$A:$N,5,0),"")</f>
        <v>22564</v>
      </c>
      <c r="D72" s="171" t="str">
        <f>IFERROR(VLOOKUP($A72,'Мои блогеры'!$A:$N,2,0),"")</f>
        <v>Telegram</v>
      </c>
      <c r="E72" s="172" t="s">
        <v>2429</v>
      </c>
      <c r="F72" s="172" t="s">
        <v>2583</v>
      </c>
      <c r="G72" s="172" t="s">
        <v>2653</v>
      </c>
      <c r="H72" s="174">
        <v>46287.0</v>
      </c>
      <c r="I72" s="172" t="s">
        <v>2363</v>
      </c>
      <c r="J72" s="18">
        <f>IFERROR(VLOOKUP($A72,'Мои блогеры'!$A:$N,8,0),"")</f>
        <v>17120</v>
      </c>
      <c r="K72" s="173"/>
      <c r="L72" s="176"/>
      <c r="M72" s="18">
        <f t="shared" si="52"/>
        <v>17120</v>
      </c>
      <c r="N72" s="173"/>
      <c r="O72" s="177" t="s">
        <v>2719</v>
      </c>
      <c r="P72" s="177" t="s">
        <v>2720</v>
      </c>
      <c r="Q72" s="171"/>
      <c r="R72" s="173"/>
      <c r="S72" s="177" t="s">
        <v>2721</v>
      </c>
      <c r="T72" s="176"/>
      <c r="U72" s="179">
        <v>20120.0</v>
      </c>
      <c r="V72" s="180">
        <f t="shared" si="53"/>
        <v>0.8508946322</v>
      </c>
      <c r="W72" s="179">
        <v>126.0</v>
      </c>
      <c r="X72" s="179">
        <v>126.0</v>
      </c>
      <c r="Y72" s="18">
        <f t="shared" si="54"/>
        <v>135.8730159</v>
      </c>
      <c r="Z72" s="179">
        <v>26.0</v>
      </c>
      <c r="AA72" s="179">
        <v>4.0</v>
      </c>
      <c r="AB72" s="179">
        <v>5200.0</v>
      </c>
      <c r="AC72" s="181"/>
      <c r="AD72" s="175">
        <v>4.0</v>
      </c>
      <c r="AE72" s="179">
        <f t="shared" si="55"/>
        <v>1300</v>
      </c>
      <c r="AF72" s="18">
        <f t="shared" si="56"/>
        <v>5200</v>
      </c>
      <c r="AG72" s="18">
        <f t="shared" si="57"/>
        <v>4280</v>
      </c>
      <c r="AH72" s="18">
        <f t="shared" si="58"/>
        <v>4280</v>
      </c>
      <c r="AI72" s="172" t="s">
        <v>2558</v>
      </c>
      <c r="AJ72" s="173"/>
      <c r="AK72" s="171"/>
      <c r="AL72" s="172" t="s">
        <v>2670</v>
      </c>
    </row>
    <row r="73" outlineLevel="1">
      <c r="A73" s="204" t="s">
        <v>2211</v>
      </c>
      <c r="B73" s="169" t="str">
        <f>IF($A73="","",IFERROR(HYPERLINK(VLOOKUP($A73,'Мои блогеры'!$A:$N,14,0),"🔗 открыть"),""))</f>
        <v>🔗 открыть</v>
      </c>
      <c r="C73" s="18">
        <f>IFERROR(VLOOKUP($A73,'Мои блогеры'!$A:$N,5,0),"")</f>
        <v>27700</v>
      </c>
      <c r="D73" s="171" t="str">
        <f>IFERROR(VLOOKUP($A73,'Мои блогеры'!$A:$N,2,0),"")</f>
        <v>VK</v>
      </c>
      <c r="E73" s="172" t="s">
        <v>2429</v>
      </c>
      <c r="F73" s="172" t="s">
        <v>2583</v>
      </c>
      <c r="G73" s="172" t="s">
        <v>2653</v>
      </c>
      <c r="H73" s="174">
        <v>46287.0</v>
      </c>
      <c r="I73" s="172" t="s">
        <v>2363</v>
      </c>
      <c r="J73" s="175">
        <v>20000.0</v>
      </c>
      <c r="K73" s="172">
        <v>1400.0</v>
      </c>
      <c r="L73" s="176"/>
      <c r="M73" s="18">
        <f t="shared" si="52"/>
        <v>21400</v>
      </c>
      <c r="N73" s="173"/>
      <c r="O73" s="177" t="s">
        <v>2722</v>
      </c>
      <c r="P73" s="177" t="s">
        <v>2723</v>
      </c>
      <c r="Q73" s="171"/>
      <c r="R73" s="173"/>
      <c r="S73" s="177" t="s">
        <v>2724</v>
      </c>
      <c r="T73" s="176"/>
      <c r="U73" s="179">
        <v>38290.0</v>
      </c>
      <c r="V73" s="180">
        <f t="shared" si="53"/>
        <v>0.5588926613</v>
      </c>
      <c r="W73" s="179">
        <v>118.0</v>
      </c>
      <c r="X73" s="179">
        <v>118.0</v>
      </c>
      <c r="Y73" s="18">
        <f t="shared" si="54"/>
        <v>181.3559322</v>
      </c>
      <c r="Z73" s="179">
        <v>21.0</v>
      </c>
      <c r="AA73" s="179">
        <v>3.0</v>
      </c>
      <c r="AB73" s="179">
        <v>8300.0</v>
      </c>
      <c r="AC73" s="181"/>
      <c r="AD73" s="175">
        <v>3.0</v>
      </c>
      <c r="AE73" s="179">
        <f t="shared" si="55"/>
        <v>2766.666667</v>
      </c>
      <c r="AF73" s="18">
        <f t="shared" si="56"/>
        <v>8300</v>
      </c>
      <c r="AG73" s="18">
        <f t="shared" si="57"/>
        <v>7133</v>
      </c>
      <c r="AH73" s="18">
        <f t="shared" si="58"/>
        <v>7133</v>
      </c>
      <c r="AI73" s="172" t="s">
        <v>2558</v>
      </c>
      <c r="AJ73" s="173"/>
      <c r="AK73" s="171"/>
      <c r="AL73" s="172" t="s">
        <v>2670</v>
      </c>
    </row>
    <row r="74" outlineLevel="1">
      <c r="A74" s="204" t="s">
        <v>2227</v>
      </c>
      <c r="B74" s="169" t="str">
        <f>IF($A74="","",IFERROR(HYPERLINK(VLOOKUP($A74,'Мои блогеры'!$A:$N,14,0),"🔗 открыть"),""))</f>
        <v>🔗 открыть</v>
      </c>
      <c r="C74" s="18">
        <f>IFERROR(VLOOKUP($A74,'Мои блогеры'!$A:$N,5,0),"")</f>
        <v>18082</v>
      </c>
      <c r="D74" s="171" t="str">
        <f>IFERROR(VLOOKUP($A74,'Мои блогеры'!$A:$N,2,0),"")</f>
        <v>Telegram</v>
      </c>
      <c r="E74" s="172" t="s">
        <v>2429</v>
      </c>
      <c r="F74" s="172" t="s">
        <v>2583</v>
      </c>
      <c r="G74" s="172" t="s">
        <v>2653</v>
      </c>
      <c r="H74" s="174">
        <v>46288.0</v>
      </c>
      <c r="I74" s="172" t="s">
        <v>2363</v>
      </c>
      <c r="J74" s="18">
        <f>IFERROR(VLOOKUP($A74,'Мои блогеры'!$A:$N,8,0),"")</f>
        <v>16500</v>
      </c>
      <c r="K74" s="173"/>
      <c r="L74" s="176"/>
      <c r="M74" s="18">
        <f t="shared" si="52"/>
        <v>16500</v>
      </c>
      <c r="N74" s="173"/>
      <c r="O74" s="177" t="s">
        <v>2725</v>
      </c>
      <c r="P74" s="177" t="s">
        <v>2726</v>
      </c>
      <c r="Q74" s="171"/>
      <c r="R74" s="173"/>
      <c r="S74" s="177" t="s">
        <v>2727</v>
      </c>
      <c r="T74" s="176"/>
      <c r="U74" s="179">
        <v>18300.0</v>
      </c>
      <c r="V74" s="180">
        <f t="shared" si="53"/>
        <v>0.9016393443</v>
      </c>
      <c r="W74" s="179">
        <v>39.0</v>
      </c>
      <c r="X74" s="179">
        <v>36.0</v>
      </c>
      <c r="Y74" s="18">
        <f t="shared" si="54"/>
        <v>423.0769231</v>
      </c>
      <c r="Z74" s="179">
        <v>3.0</v>
      </c>
      <c r="AA74" s="179">
        <v>1.0</v>
      </c>
      <c r="AB74" s="179">
        <v>2600.0</v>
      </c>
      <c r="AC74" s="181"/>
      <c r="AD74" s="175">
        <v>1.0</v>
      </c>
      <c r="AE74" s="179">
        <v>2600.0</v>
      </c>
      <c r="AF74" s="18">
        <f t="shared" si="56"/>
        <v>2600</v>
      </c>
      <c r="AG74" s="18">
        <f t="shared" si="57"/>
        <v>16500</v>
      </c>
      <c r="AH74" s="18">
        <f t="shared" si="58"/>
        <v>16500</v>
      </c>
      <c r="AI74" s="172" t="s">
        <v>2558</v>
      </c>
      <c r="AJ74" s="173"/>
      <c r="AK74" s="171"/>
      <c r="AL74" s="172" t="s">
        <v>2670</v>
      </c>
    </row>
    <row r="75" outlineLevel="1">
      <c r="A75" s="204" t="s">
        <v>2209</v>
      </c>
      <c r="B75" s="169" t="str">
        <f>IF($A75="","",IFERROR(HYPERLINK(VLOOKUP($A75,'Мои блогеры'!$A:$N,14,0),"🔗 открыть"),""))</f>
        <v>🔗 открыть</v>
      </c>
      <c r="C75" s="18">
        <f>IFERROR(VLOOKUP($A75,'Мои блогеры'!$A:$N,5,0),"")</f>
        <v>34057</v>
      </c>
      <c r="D75" s="171" t="str">
        <f>IFERROR(VLOOKUP($A75,'Мои блогеры'!$A:$N,2,0),"")</f>
        <v>Telegram</v>
      </c>
      <c r="E75" s="172" t="s">
        <v>2429</v>
      </c>
      <c r="F75" s="172" t="s">
        <v>2583</v>
      </c>
      <c r="G75" s="172" t="s">
        <v>2653</v>
      </c>
      <c r="H75" s="174">
        <v>46291.0</v>
      </c>
      <c r="I75" s="172" t="s">
        <v>2363</v>
      </c>
      <c r="J75" s="18">
        <f>IFERROR(VLOOKUP($A75,'Мои блогеры'!$A:$N,8,0),"")</f>
        <v>15000</v>
      </c>
      <c r="K75" s="173">
        <f>J75*0.1</f>
        <v>1500</v>
      </c>
      <c r="L75" s="176"/>
      <c r="M75" s="18">
        <f t="shared" si="52"/>
        <v>16500</v>
      </c>
      <c r="N75" s="173"/>
      <c r="O75" s="177" t="s">
        <v>2728</v>
      </c>
      <c r="P75" s="177" t="s">
        <v>2729</v>
      </c>
      <c r="Q75" s="171"/>
      <c r="R75" s="173"/>
      <c r="S75" s="177" t="s">
        <v>2730</v>
      </c>
      <c r="T75" s="176"/>
      <c r="U75" s="179">
        <v>31400.0</v>
      </c>
      <c r="V75" s="180">
        <f t="shared" si="53"/>
        <v>0.525477707</v>
      </c>
      <c r="W75" s="179">
        <v>20.0</v>
      </c>
      <c r="X75" s="179">
        <v>20.0</v>
      </c>
      <c r="Y75" s="18">
        <f t="shared" si="54"/>
        <v>825</v>
      </c>
      <c r="Z75" s="179">
        <v>4.0</v>
      </c>
      <c r="AA75" s="179">
        <v>2.0</v>
      </c>
      <c r="AB75" s="179">
        <v>2400.0</v>
      </c>
      <c r="AC75" s="181"/>
      <c r="AD75" s="175">
        <v>2.0</v>
      </c>
      <c r="AE75" s="179">
        <f>AB75/AD75</f>
        <v>1200</v>
      </c>
      <c r="AF75" s="18">
        <f t="shared" si="56"/>
        <v>2400</v>
      </c>
      <c r="AG75" s="18">
        <f t="shared" si="57"/>
        <v>8250</v>
      </c>
      <c r="AH75" s="18">
        <f t="shared" si="58"/>
        <v>8250</v>
      </c>
      <c r="AI75" s="172" t="s">
        <v>2558</v>
      </c>
      <c r="AJ75" s="173"/>
      <c r="AK75" s="171"/>
      <c r="AL75" s="172" t="s">
        <v>2731</v>
      </c>
    </row>
    <row r="76" outlineLevel="1">
      <c r="A76" s="204" t="s">
        <v>2213</v>
      </c>
      <c r="B76" s="169"/>
      <c r="C76" s="18">
        <f>IFERROR(VLOOKUP($A76,'Мои блогеры'!$A:$N,5,0),"")</f>
        <v>3300</v>
      </c>
      <c r="D76" s="171" t="str">
        <f>IFERROR(VLOOKUP($A76,'Мои блогеры'!$A:$N,2,0),"")</f>
        <v>MAX</v>
      </c>
      <c r="E76" s="172" t="s">
        <v>2429</v>
      </c>
      <c r="F76" s="172" t="s">
        <v>2591</v>
      </c>
      <c r="G76" s="172" t="s">
        <v>2653</v>
      </c>
      <c r="H76" s="174">
        <v>46288.0</v>
      </c>
      <c r="I76" s="172" t="s">
        <v>2363</v>
      </c>
      <c r="J76" s="18">
        <f>IFERROR(VLOOKUP($A76,'Мои блогеры'!$A:$N,8,0),"")</f>
        <v>594</v>
      </c>
      <c r="K76" s="173"/>
      <c r="L76" s="176"/>
      <c r="M76" s="18">
        <f t="shared" si="52"/>
        <v>594</v>
      </c>
      <c r="N76" s="173"/>
      <c r="O76" s="177" t="s">
        <v>2732</v>
      </c>
      <c r="P76" s="177" t="s">
        <v>2733</v>
      </c>
      <c r="Q76" s="171"/>
      <c r="R76" s="173"/>
      <c r="S76" s="177" t="s">
        <v>2734</v>
      </c>
      <c r="T76" s="176"/>
      <c r="U76" s="179">
        <v>993.0</v>
      </c>
      <c r="V76" s="180">
        <f t="shared" si="53"/>
        <v>0.5981873112</v>
      </c>
      <c r="W76" s="179">
        <v>28.0</v>
      </c>
      <c r="X76" s="179">
        <v>28.0</v>
      </c>
      <c r="Y76" s="18">
        <f t="shared" si="54"/>
        <v>21.21428571</v>
      </c>
      <c r="Z76" s="179">
        <v>7.0</v>
      </c>
      <c r="AA76" s="179">
        <v>0.0</v>
      </c>
      <c r="AB76" s="179">
        <v>0.0</v>
      </c>
      <c r="AC76" s="181"/>
      <c r="AD76" s="18"/>
      <c r="AE76" s="179"/>
      <c r="AF76" s="18" t="str">
        <f t="shared" si="56"/>
        <v/>
      </c>
      <c r="AG76" s="18" t="str">
        <f t="shared" si="57"/>
        <v/>
      </c>
      <c r="AH76" s="18" t="str">
        <f t="shared" si="58"/>
        <v/>
      </c>
      <c r="AI76" s="172" t="s">
        <v>2558</v>
      </c>
      <c r="AJ76" s="173"/>
      <c r="AK76" s="171"/>
      <c r="AL76" s="172" t="s">
        <v>2670</v>
      </c>
    </row>
    <row r="77" outlineLevel="1">
      <c r="A77" s="204" t="s">
        <v>2215</v>
      </c>
      <c r="B77" s="169"/>
      <c r="C77" s="18">
        <f>IFERROR(VLOOKUP($A77,'Мои блогеры'!$A:$N,5,0),"")</f>
        <v>9500</v>
      </c>
      <c r="D77" s="171" t="str">
        <f>IFERROR(VLOOKUP($A77,'Мои блогеры'!$A:$N,2,0),"")</f>
        <v>MAX</v>
      </c>
      <c r="E77" s="172" t="s">
        <v>2429</v>
      </c>
      <c r="F77" s="172" t="s">
        <v>2591</v>
      </c>
      <c r="G77" s="172" t="s">
        <v>2653</v>
      </c>
      <c r="H77" s="174">
        <v>46288.0</v>
      </c>
      <c r="I77" s="172" t="s">
        <v>2363</v>
      </c>
      <c r="J77" s="18">
        <f>IFERROR(VLOOKUP($A77,'Мои блогеры'!$A:$N,8,0),"")</f>
        <v>1118</v>
      </c>
      <c r="K77" s="173"/>
      <c r="L77" s="176"/>
      <c r="M77" s="18">
        <f t="shared" si="52"/>
        <v>1118</v>
      </c>
      <c r="N77" s="173"/>
      <c r="O77" s="177" t="s">
        <v>2735</v>
      </c>
      <c r="P77" s="177" t="s">
        <v>2736</v>
      </c>
      <c r="Q77" s="171"/>
      <c r="R77" s="173"/>
      <c r="S77" s="177" t="s">
        <v>2216</v>
      </c>
      <c r="T77" s="176"/>
      <c r="U77" s="179">
        <v>1864.0</v>
      </c>
      <c r="V77" s="180">
        <f t="shared" si="53"/>
        <v>0.5997854077</v>
      </c>
      <c r="W77" s="179">
        <v>77.0</v>
      </c>
      <c r="X77" s="179">
        <v>77.0</v>
      </c>
      <c r="Y77" s="18">
        <f t="shared" si="54"/>
        <v>14.51948052</v>
      </c>
      <c r="Z77" s="179">
        <v>25.0</v>
      </c>
      <c r="AA77" s="179">
        <v>3.0</v>
      </c>
      <c r="AB77" s="179">
        <v>7200.0</v>
      </c>
      <c r="AC77" s="181"/>
      <c r="AD77" s="175">
        <v>3.0</v>
      </c>
      <c r="AE77" s="179">
        <f t="shared" ref="AE77:AE79" si="59">AB77/AD77</f>
        <v>2400</v>
      </c>
      <c r="AF77" s="18">
        <f t="shared" si="56"/>
        <v>7200</v>
      </c>
      <c r="AG77" s="18">
        <f t="shared" si="57"/>
        <v>373</v>
      </c>
      <c r="AH77" s="18">
        <f t="shared" si="58"/>
        <v>373</v>
      </c>
      <c r="AI77" s="172" t="s">
        <v>2558</v>
      </c>
      <c r="AJ77" s="173"/>
      <c r="AK77" s="171"/>
      <c r="AL77" s="172" t="s">
        <v>2670</v>
      </c>
    </row>
    <row r="78" outlineLevel="1">
      <c r="A78" s="204" t="s">
        <v>2217</v>
      </c>
      <c r="B78" s="169"/>
      <c r="C78" s="18">
        <f>IFERROR(VLOOKUP($A78,'Мои блогеры'!$A:$N,5,0),"")</f>
        <v>3100</v>
      </c>
      <c r="D78" s="171" t="str">
        <f>IFERROR(VLOOKUP($A78,'Мои блогеры'!$A:$N,2,0),"")</f>
        <v>MAX</v>
      </c>
      <c r="E78" s="172" t="s">
        <v>2429</v>
      </c>
      <c r="F78" s="172" t="s">
        <v>2591</v>
      </c>
      <c r="G78" s="172" t="s">
        <v>2653</v>
      </c>
      <c r="H78" s="174">
        <v>46286.0</v>
      </c>
      <c r="I78" s="172" t="s">
        <v>2363</v>
      </c>
      <c r="J78" s="18">
        <f>IFERROR(VLOOKUP($A78,'Мои блогеры'!$A:$N,8,0),"")</f>
        <v>1888</v>
      </c>
      <c r="K78" s="173"/>
      <c r="L78" s="176"/>
      <c r="M78" s="18">
        <f t="shared" si="52"/>
        <v>1888</v>
      </c>
      <c r="N78" s="173"/>
      <c r="O78" s="177" t="s">
        <v>2737</v>
      </c>
      <c r="P78" s="177" t="s">
        <v>2738</v>
      </c>
      <c r="Q78" s="171"/>
      <c r="R78" s="173"/>
      <c r="S78" s="177" t="s">
        <v>2739</v>
      </c>
      <c r="T78" s="176"/>
      <c r="U78" s="179">
        <v>1989.0</v>
      </c>
      <c r="V78" s="180">
        <f t="shared" si="53"/>
        <v>0.9492207139</v>
      </c>
      <c r="W78" s="179">
        <v>53.0</v>
      </c>
      <c r="X78" s="179">
        <v>53.0</v>
      </c>
      <c r="Y78" s="18">
        <f t="shared" si="54"/>
        <v>35.62264151</v>
      </c>
      <c r="Z78" s="179">
        <v>12.0</v>
      </c>
      <c r="AA78" s="179">
        <v>4.0</v>
      </c>
      <c r="AB78" s="179">
        <v>12000.0</v>
      </c>
      <c r="AC78" s="181"/>
      <c r="AD78" s="175">
        <v>4.0</v>
      </c>
      <c r="AE78" s="179">
        <f t="shared" si="59"/>
        <v>3000</v>
      </c>
      <c r="AF78" s="18">
        <f t="shared" si="56"/>
        <v>12000</v>
      </c>
      <c r="AG78" s="18">
        <f t="shared" si="57"/>
        <v>472</v>
      </c>
      <c r="AH78" s="18">
        <f t="shared" si="58"/>
        <v>472</v>
      </c>
      <c r="AI78" s="172" t="s">
        <v>2558</v>
      </c>
      <c r="AJ78" s="173"/>
      <c r="AK78" s="171"/>
      <c r="AL78" s="172" t="s">
        <v>2670</v>
      </c>
    </row>
    <row r="79" outlineLevel="1">
      <c r="A79" s="204" t="s">
        <v>2219</v>
      </c>
      <c r="B79" s="169"/>
      <c r="C79" s="18">
        <f>IFERROR(VLOOKUP($A79,'Мои блогеры'!$A:$N,5,0),"")</f>
        <v>7600</v>
      </c>
      <c r="D79" s="171" t="str">
        <f>IFERROR(VLOOKUP($A79,'Мои блогеры'!$A:$N,2,0),"")</f>
        <v>MAX</v>
      </c>
      <c r="E79" s="172" t="s">
        <v>2429</v>
      </c>
      <c r="F79" s="172" t="s">
        <v>2591</v>
      </c>
      <c r="G79" s="172" t="s">
        <v>2653</v>
      </c>
      <c r="H79" s="174">
        <v>46286.0</v>
      </c>
      <c r="I79" s="172" t="s">
        <v>2363</v>
      </c>
      <c r="J79" s="18">
        <f>IFERROR(VLOOKUP($A79,'Мои блогеры'!$A:$N,8,0),"")</f>
        <v>2797</v>
      </c>
      <c r="K79" s="173"/>
      <c r="L79" s="176"/>
      <c r="M79" s="18">
        <f t="shared" si="52"/>
        <v>2797</v>
      </c>
      <c r="N79" s="173"/>
      <c r="O79" s="177" t="s">
        <v>2740</v>
      </c>
      <c r="P79" s="177" t="s">
        <v>2741</v>
      </c>
      <c r="Q79" s="171"/>
      <c r="R79" s="173"/>
      <c r="S79" s="177" t="s">
        <v>2742</v>
      </c>
      <c r="T79" s="176"/>
      <c r="U79" s="179">
        <v>4134.0</v>
      </c>
      <c r="V79" s="180">
        <f t="shared" si="53"/>
        <v>0.6765844219</v>
      </c>
      <c r="W79" s="179">
        <v>45.0</v>
      </c>
      <c r="X79" s="179">
        <v>42.0</v>
      </c>
      <c r="Y79" s="18">
        <f t="shared" si="54"/>
        <v>62.15555556</v>
      </c>
      <c r="Z79" s="179">
        <v>10.0</v>
      </c>
      <c r="AA79" s="179">
        <v>4.0</v>
      </c>
      <c r="AB79" s="179">
        <v>4800.0</v>
      </c>
      <c r="AC79" s="181"/>
      <c r="AD79" s="175">
        <v>4.0</v>
      </c>
      <c r="AE79" s="179">
        <f t="shared" si="59"/>
        <v>1200</v>
      </c>
      <c r="AF79" s="18">
        <f t="shared" si="56"/>
        <v>4800</v>
      </c>
      <c r="AG79" s="18">
        <f t="shared" si="57"/>
        <v>699</v>
      </c>
      <c r="AH79" s="18">
        <f t="shared" si="58"/>
        <v>699</v>
      </c>
      <c r="AI79" s="172" t="s">
        <v>2558</v>
      </c>
      <c r="AJ79" s="173"/>
      <c r="AK79" s="171"/>
      <c r="AL79" s="172" t="s">
        <v>2670</v>
      </c>
    </row>
    <row r="80" outlineLevel="1">
      <c r="A80" s="204" t="s">
        <v>2221</v>
      </c>
      <c r="B80" s="169"/>
      <c r="C80" s="18">
        <f>IFERROR(VLOOKUP($A80,'Мои блогеры'!$A:$N,5,0),"")</f>
        <v>586</v>
      </c>
      <c r="D80" s="171" t="str">
        <f>IFERROR(VLOOKUP($A80,'Мои блогеры'!$A:$N,2,0),"")</f>
        <v>MAX</v>
      </c>
      <c r="E80" s="172" t="s">
        <v>2429</v>
      </c>
      <c r="F80" s="172" t="s">
        <v>2591</v>
      </c>
      <c r="G80" s="172" t="s">
        <v>2653</v>
      </c>
      <c r="H80" s="174">
        <v>46286.0</v>
      </c>
      <c r="I80" s="172" t="s">
        <v>2363</v>
      </c>
      <c r="J80" s="18">
        <f>IFERROR(VLOOKUP($A80,'Мои блогеры'!$A:$N,8,0),"")</f>
        <v>293</v>
      </c>
      <c r="K80" s="173"/>
      <c r="L80" s="176"/>
      <c r="M80" s="18">
        <f t="shared" si="52"/>
        <v>293</v>
      </c>
      <c r="N80" s="173"/>
      <c r="O80" s="177" t="s">
        <v>2743</v>
      </c>
      <c r="P80" s="177" t="s">
        <v>2744</v>
      </c>
      <c r="Q80" s="171"/>
      <c r="R80" s="173"/>
      <c r="S80" s="177" t="s">
        <v>2745</v>
      </c>
      <c r="T80" s="176"/>
      <c r="U80" s="179">
        <v>498.0</v>
      </c>
      <c r="V80" s="180">
        <f t="shared" si="53"/>
        <v>0.5883534137</v>
      </c>
      <c r="W80" s="179">
        <v>13.0</v>
      </c>
      <c r="X80" s="179">
        <v>13.0</v>
      </c>
      <c r="Y80" s="18">
        <f t="shared" si="54"/>
        <v>22.53846154</v>
      </c>
      <c r="Z80" s="179">
        <v>1.0</v>
      </c>
      <c r="AA80" s="179">
        <v>0.0</v>
      </c>
      <c r="AB80" s="179">
        <v>0.0</v>
      </c>
      <c r="AC80" s="181"/>
      <c r="AD80" s="18"/>
      <c r="AE80" s="179"/>
      <c r="AF80" s="18" t="str">
        <f t="shared" si="56"/>
        <v/>
      </c>
      <c r="AG80" s="18" t="str">
        <f t="shared" si="57"/>
        <v/>
      </c>
      <c r="AH80" s="18" t="str">
        <f t="shared" si="58"/>
        <v/>
      </c>
      <c r="AI80" s="172" t="s">
        <v>2558</v>
      </c>
      <c r="AJ80" s="173"/>
      <c r="AK80" s="171"/>
      <c r="AL80" s="172" t="s">
        <v>2670</v>
      </c>
    </row>
    <row r="81" outlineLevel="1">
      <c r="A81" s="204" t="s">
        <v>2223</v>
      </c>
      <c r="B81" s="169"/>
      <c r="C81" s="18">
        <f>IFERROR(VLOOKUP($A81,'Мои блогеры'!$A:$N,5,0),"")</f>
        <v>2800</v>
      </c>
      <c r="D81" s="171" t="str">
        <f>IFERROR(VLOOKUP($A81,'Мои блогеры'!$A:$N,2,0),"")</f>
        <v>MAX</v>
      </c>
      <c r="E81" s="172" t="s">
        <v>2429</v>
      </c>
      <c r="F81" s="172" t="s">
        <v>2591</v>
      </c>
      <c r="G81" s="172" t="s">
        <v>2653</v>
      </c>
      <c r="H81" s="174">
        <v>46288.0</v>
      </c>
      <c r="I81" s="172" t="s">
        <v>2363</v>
      </c>
      <c r="J81" s="18">
        <f>IFERROR(VLOOKUP($A81,'Мои блогеры'!$A:$N,8,0),"")</f>
        <v>377</v>
      </c>
      <c r="K81" s="173"/>
      <c r="L81" s="176"/>
      <c r="M81" s="18">
        <f t="shared" si="52"/>
        <v>377</v>
      </c>
      <c r="N81" s="173"/>
      <c r="O81" s="177" t="s">
        <v>2746</v>
      </c>
      <c r="P81" s="177" t="s">
        <v>2747</v>
      </c>
      <c r="Q81" s="171"/>
      <c r="R81" s="173"/>
      <c r="S81" s="177" t="s">
        <v>2224</v>
      </c>
      <c r="T81" s="176"/>
      <c r="U81" s="179">
        <v>1034.0</v>
      </c>
      <c r="V81" s="180">
        <f t="shared" si="53"/>
        <v>0.3646034816</v>
      </c>
      <c r="W81" s="179">
        <v>24.0</v>
      </c>
      <c r="X81" s="179">
        <v>24.0</v>
      </c>
      <c r="Y81" s="18">
        <f t="shared" si="54"/>
        <v>15.70833333</v>
      </c>
      <c r="Z81" s="179">
        <v>2.0</v>
      </c>
      <c r="AA81" s="179">
        <v>1.0</v>
      </c>
      <c r="AB81" s="179">
        <v>2400.0</v>
      </c>
      <c r="AC81" s="181"/>
      <c r="AD81" s="175">
        <v>1.0</v>
      </c>
      <c r="AE81" s="179">
        <f t="shared" ref="AE81:AE84" si="60">AB81/AD81</f>
        <v>2400</v>
      </c>
      <c r="AF81" s="18">
        <f t="shared" si="56"/>
        <v>2400</v>
      </c>
      <c r="AG81" s="18">
        <f t="shared" si="57"/>
        <v>377</v>
      </c>
      <c r="AH81" s="18">
        <f t="shared" si="58"/>
        <v>377</v>
      </c>
      <c r="AI81" s="172" t="s">
        <v>2558</v>
      </c>
      <c r="AJ81" s="173"/>
      <c r="AK81" s="171"/>
      <c r="AL81" s="172" t="s">
        <v>2670</v>
      </c>
    </row>
    <row r="82" outlineLevel="1">
      <c r="A82" s="204" t="s">
        <v>2225</v>
      </c>
      <c r="B82" s="169" t="str">
        <f>IF($A82="","",IFERROR(HYPERLINK(VLOOKUP($A82,'Мои блогеры'!$A:$N,14,0),"🔗 открыть"),""))</f>
        <v>🔗 открыть</v>
      </c>
      <c r="C82" s="18">
        <f>IFERROR(VLOOKUP($A82,'Мои блогеры'!$A:$N,5,0),"")</f>
        <v>1800</v>
      </c>
      <c r="D82" s="171" t="str">
        <f>IFERROR(VLOOKUP($A82,'Мои блогеры'!$A:$N,2,0),"")</f>
        <v>MAX</v>
      </c>
      <c r="E82" s="172" t="s">
        <v>2429</v>
      </c>
      <c r="F82" s="172" t="s">
        <v>2591</v>
      </c>
      <c r="G82" s="172" t="s">
        <v>2653</v>
      </c>
      <c r="H82" s="174">
        <v>46288.0</v>
      </c>
      <c r="I82" s="172" t="s">
        <v>2363</v>
      </c>
      <c r="J82" s="18">
        <f>IFERROR(VLOOKUP($A82,'Мои блогеры'!$A:$N,8,0),"")</f>
        <v>1069</v>
      </c>
      <c r="K82" s="173"/>
      <c r="L82" s="176"/>
      <c r="M82" s="18">
        <f t="shared" si="52"/>
        <v>1069</v>
      </c>
      <c r="N82" s="173"/>
      <c r="O82" s="177" t="s">
        <v>2748</v>
      </c>
      <c r="P82" s="205" t="s">
        <v>2749</v>
      </c>
      <c r="Q82" s="171"/>
      <c r="R82" s="173"/>
      <c r="S82" s="205" t="s">
        <v>2750</v>
      </c>
      <c r="T82" s="176"/>
      <c r="U82" s="179">
        <v>1296.0</v>
      </c>
      <c r="V82" s="180">
        <f t="shared" si="53"/>
        <v>0.824845679</v>
      </c>
      <c r="W82" s="179">
        <v>23.0</v>
      </c>
      <c r="X82" s="179">
        <v>23.0</v>
      </c>
      <c r="Y82" s="18">
        <f t="shared" si="54"/>
        <v>46.47826087</v>
      </c>
      <c r="Z82" s="179">
        <v>4.0</v>
      </c>
      <c r="AA82" s="179">
        <v>2.0</v>
      </c>
      <c r="AB82" s="179">
        <v>7000.0</v>
      </c>
      <c r="AC82" s="181"/>
      <c r="AD82" s="175">
        <v>2.0</v>
      </c>
      <c r="AE82" s="179">
        <f t="shared" si="60"/>
        <v>3500</v>
      </c>
      <c r="AF82" s="18">
        <f t="shared" si="56"/>
        <v>7000</v>
      </c>
      <c r="AG82" s="18">
        <f t="shared" si="57"/>
        <v>535</v>
      </c>
      <c r="AH82" s="18">
        <f t="shared" si="58"/>
        <v>535</v>
      </c>
      <c r="AI82" s="172" t="s">
        <v>2558</v>
      </c>
      <c r="AJ82" s="173"/>
      <c r="AK82" s="171"/>
      <c r="AL82" s="172" t="s">
        <v>2670</v>
      </c>
    </row>
    <row r="83" outlineLevel="1">
      <c r="A83" s="204" t="s">
        <v>2229</v>
      </c>
      <c r="B83" s="169"/>
      <c r="C83" s="18">
        <f>IFERROR(VLOOKUP($A83,'Мои блогеры'!$A:$N,5,0),"")</f>
        <v>25500</v>
      </c>
      <c r="D83" s="171" t="str">
        <f>IFERROR(VLOOKUP($A83,'Мои блогеры'!$A:$N,2,0),"")</f>
        <v>MAX</v>
      </c>
      <c r="E83" s="172" t="s">
        <v>2429</v>
      </c>
      <c r="F83" s="172" t="s">
        <v>2591</v>
      </c>
      <c r="G83" s="172" t="s">
        <v>2751</v>
      </c>
      <c r="H83" s="174">
        <v>46289.0</v>
      </c>
      <c r="I83" s="172" t="s">
        <v>2363</v>
      </c>
      <c r="J83" s="18">
        <f>IFERROR(VLOOKUP($A83,'Мои блогеры'!$A:$N,8,0),"")</f>
        <v>4195</v>
      </c>
      <c r="K83" s="173"/>
      <c r="L83" s="176"/>
      <c r="M83" s="18">
        <f t="shared" si="52"/>
        <v>4195</v>
      </c>
      <c r="N83" s="173"/>
      <c r="O83" s="177" t="s">
        <v>2752</v>
      </c>
      <c r="P83" s="177" t="s">
        <v>2753</v>
      </c>
      <c r="Q83" s="171"/>
      <c r="R83" s="173"/>
      <c r="S83" s="177" t="s">
        <v>2754</v>
      </c>
      <c r="T83" s="176"/>
      <c r="U83" s="179">
        <v>5339.0</v>
      </c>
      <c r="V83" s="180">
        <f t="shared" si="53"/>
        <v>0.7857276644</v>
      </c>
      <c r="W83" s="179">
        <v>60.0</v>
      </c>
      <c r="X83" s="179">
        <v>53.0</v>
      </c>
      <c r="Y83" s="18">
        <f t="shared" si="54"/>
        <v>69.91666667</v>
      </c>
      <c r="Z83" s="179">
        <v>6.0</v>
      </c>
      <c r="AA83" s="179">
        <v>2.0</v>
      </c>
      <c r="AB83" s="179">
        <f>2600+2600</f>
        <v>5200</v>
      </c>
      <c r="AC83" s="181"/>
      <c r="AD83" s="175">
        <v>2.0</v>
      </c>
      <c r="AE83" s="179">
        <f t="shared" si="60"/>
        <v>2600</v>
      </c>
      <c r="AF83" s="18">
        <f t="shared" si="56"/>
        <v>5200</v>
      </c>
      <c r="AG83" s="18">
        <f t="shared" si="57"/>
        <v>2098</v>
      </c>
      <c r="AH83" s="267">
        <f t="shared" si="58"/>
        <v>2098</v>
      </c>
      <c r="AI83" s="172" t="s">
        <v>2558</v>
      </c>
      <c r="AJ83" s="173"/>
      <c r="AK83" s="171"/>
      <c r="AL83" s="172" t="s">
        <v>2670</v>
      </c>
    </row>
    <row r="84" outlineLevel="1">
      <c r="A84" s="223" t="s">
        <v>1987</v>
      </c>
      <c r="B84" s="169"/>
      <c r="C84" s="18">
        <f>IFERROR(VLOOKUP($A84,'Мои блогеры'!$A:$N,5,0),"")</f>
        <v>71500</v>
      </c>
      <c r="D84" s="171" t="str">
        <f>IFERROR(VLOOKUP($A84,'Мои блогеры'!$A:$N,2,0),"")</f>
        <v>MAX</v>
      </c>
      <c r="E84" s="172" t="s">
        <v>2429</v>
      </c>
      <c r="F84" s="172" t="s">
        <v>2591</v>
      </c>
      <c r="G84" s="172" t="s">
        <v>2751</v>
      </c>
      <c r="H84" s="174">
        <v>46289.0</v>
      </c>
      <c r="I84" s="172" t="s">
        <v>2363</v>
      </c>
      <c r="J84" s="18">
        <f>IFERROR(VLOOKUP($A84,'Мои блогеры'!$A:$N,8,0),"")</f>
        <v>11328</v>
      </c>
      <c r="K84" s="173"/>
      <c r="L84" s="176"/>
      <c r="M84" s="18">
        <f t="shared" si="52"/>
        <v>11328</v>
      </c>
      <c r="N84" s="173"/>
      <c r="O84" s="177" t="s">
        <v>2755</v>
      </c>
      <c r="P84" s="177" t="s">
        <v>2756</v>
      </c>
      <c r="Q84" s="171"/>
      <c r="R84" s="173"/>
      <c r="S84" s="177" t="s">
        <v>2757</v>
      </c>
      <c r="T84" s="176"/>
      <c r="U84" s="179">
        <v>13928.0</v>
      </c>
      <c r="V84" s="180">
        <f t="shared" si="53"/>
        <v>0.8133256749</v>
      </c>
      <c r="W84" s="179">
        <v>594.0</v>
      </c>
      <c r="X84" s="179">
        <v>594.0</v>
      </c>
      <c r="Y84" s="18">
        <f t="shared" si="54"/>
        <v>19.07070707</v>
      </c>
      <c r="Z84" s="179">
        <v>112.0</v>
      </c>
      <c r="AA84" s="179">
        <v>17.0</v>
      </c>
      <c r="AB84" s="179">
        <v>41000.0</v>
      </c>
      <c r="AC84" s="181"/>
      <c r="AD84" s="175">
        <v>17.0</v>
      </c>
      <c r="AE84" s="179">
        <f t="shared" si="60"/>
        <v>2411.764706</v>
      </c>
      <c r="AF84" s="18">
        <f t="shared" si="56"/>
        <v>41000</v>
      </c>
      <c r="AG84" s="18">
        <f t="shared" si="57"/>
        <v>666</v>
      </c>
      <c r="AH84" s="18">
        <f t="shared" si="58"/>
        <v>666</v>
      </c>
      <c r="AI84" s="172" t="s">
        <v>2558</v>
      </c>
      <c r="AJ84" s="173"/>
      <c r="AK84" s="171"/>
      <c r="AL84" s="172" t="s">
        <v>2670</v>
      </c>
    </row>
    <row r="85" outlineLevel="1">
      <c r="A85" s="204" t="s">
        <v>2231</v>
      </c>
      <c r="B85" s="169"/>
      <c r="C85" s="18">
        <f>IFERROR(VLOOKUP($A85,'Мои блогеры'!$A:$N,5,0),"")</f>
        <v>6800</v>
      </c>
      <c r="D85" s="171" t="str">
        <f>IFERROR(VLOOKUP($A85,'Мои блогеры'!$A:$N,2,0),"")</f>
        <v>MAX</v>
      </c>
      <c r="E85" s="172" t="s">
        <v>2429</v>
      </c>
      <c r="F85" s="172" t="s">
        <v>2591</v>
      </c>
      <c r="G85" s="172" t="s">
        <v>2751</v>
      </c>
      <c r="H85" s="174">
        <v>46290.0</v>
      </c>
      <c r="I85" s="172" t="s">
        <v>2363</v>
      </c>
      <c r="J85" s="18">
        <f>IFERROR(VLOOKUP($A85,'Мои блогеры'!$A:$N,8,0),"")</f>
        <v>1538</v>
      </c>
      <c r="K85" s="173"/>
      <c r="L85" s="176"/>
      <c r="M85" s="18">
        <f t="shared" si="52"/>
        <v>1538</v>
      </c>
      <c r="N85" s="173"/>
      <c r="O85" s="177" t="s">
        <v>2758</v>
      </c>
      <c r="P85" s="177" t="s">
        <v>2759</v>
      </c>
      <c r="Q85" s="171"/>
      <c r="R85" s="173"/>
      <c r="S85" s="177" t="s">
        <v>2760</v>
      </c>
      <c r="T85" s="176"/>
      <c r="U85" s="179">
        <v>3789.0</v>
      </c>
      <c r="V85" s="180">
        <f t="shared" si="53"/>
        <v>0.4059118501</v>
      </c>
      <c r="W85" s="179">
        <v>18.0</v>
      </c>
      <c r="X85" s="179">
        <v>18.0</v>
      </c>
      <c r="Y85" s="18">
        <f t="shared" si="54"/>
        <v>85.44444444</v>
      </c>
      <c r="Z85" s="179">
        <v>7.0</v>
      </c>
      <c r="AA85" s="179">
        <v>0.0</v>
      </c>
      <c r="AB85" s="179">
        <v>0.0</v>
      </c>
      <c r="AC85" s="181"/>
      <c r="AD85" s="18"/>
      <c r="AE85" s="179"/>
      <c r="AF85" s="18" t="str">
        <f t="shared" si="56"/>
        <v/>
      </c>
      <c r="AG85" s="18" t="str">
        <f t="shared" si="57"/>
        <v/>
      </c>
      <c r="AH85" s="18" t="str">
        <f t="shared" si="58"/>
        <v/>
      </c>
      <c r="AI85" s="172" t="s">
        <v>2558</v>
      </c>
      <c r="AJ85" s="173"/>
      <c r="AK85" s="171"/>
      <c r="AL85" s="172" t="s">
        <v>2670</v>
      </c>
    </row>
    <row r="86" outlineLevel="1">
      <c r="A86" s="204" t="s">
        <v>2233</v>
      </c>
      <c r="B86" s="169"/>
      <c r="C86" s="18">
        <f>IFERROR(VLOOKUP($A86,'Мои блогеры'!$A:$N,5,0),"")</f>
        <v>8900</v>
      </c>
      <c r="D86" s="171" t="str">
        <f>IFERROR(VLOOKUP($A86,'Мои блогеры'!$A:$N,2,0),"")</f>
        <v>MAX</v>
      </c>
      <c r="E86" s="172" t="s">
        <v>2429</v>
      </c>
      <c r="F86" s="172" t="s">
        <v>2591</v>
      </c>
      <c r="G86" s="172" t="s">
        <v>2751</v>
      </c>
      <c r="H86" s="174">
        <v>46289.0</v>
      </c>
      <c r="I86" s="172" t="s">
        <v>2363</v>
      </c>
      <c r="J86" s="18">
        <f>IFERROR(VLOOKUP($A86,'Мои блогеры'!$A:$N,8,0),"")</f>
        <v>1398</v>
      </c>
      <c r="K86" s="173"/>
      <c r="L86" s="176"/>
      <c r="M86" s="18">
        <f t="shared" si="52"/>
        <v>1398</v>
      </c>
      <c r="N86" s="173"/>
      <c r="O86" s="177" t="s">
        <v>2761</v>
      </c>
      <c r="P86" s="177" t="s">
        <v>2762</v>
      </c>
      <c r="Q86" s="171"/>
      <c r="R86" s="173"/>
      <c r="S86" s="268" t="s">
        <v>2763</v>
      </c>
      <c r="T86" s="176"/>
      <c r="U86" s="179">
        <v>3448.0</v>
      </c>
      <c r="V86" s="180">
        <f t="shared" si="53"/>
        <v>0.4054524362</v>
      </c>
      <c r="W86" s="179">
        <v>27.0</v>
      </c>
      <c r="X86" s="179">
        <v>27.0</v>
      </c>
      <c r="Y86" s="18">
        <f t="shared" si="54"/>
        <v>51.77777778</v>
      </c>
      <c r="Z86" s="179">
        <v>3.0</v>
      </c>
      <c r="AA86" s="179">
        <v>1.0</v>
      </c>
      <c r="AB86" s="179">
        <v>2400.0</v>
      </c>
      <c r="AC86" s="181"/>
      <c r="AD86" s="175">
        <v>1.0</v>
      </c>
      <c r="AE86" s="179">
        <f t="shared" ref="AE86:AE92" si="61">AB86/AD86</f>
        <v>2400</v>
      </c>
      <c r="AF86" s="18">
        <f t="shared" si="56"/>
        <v>2400</v>
      </c>
      <c r="AG86" s="18">
        <f t="shared" si="57"/>
        <v>1398</v>
      </c>
      <c r="AH86" s="18">
        <f t="shared" si="58"/>
        <v>1398</v>
      </c>
      <c r="AI86" s="172" t="s">
        <v>2558</v>
      </c>
      <c r="AJ86" s="173"/>
      <c r="AK86" s="171"/>
      <c r="AL86" s="172" t="s">
        <v>2670</v>
      </c>
    </row>
    <row r="87" outlineLevel="1">
      <c r="A87" s="204" t="s">
        <v>2235</v>
      </c>
      <c r="B87" s="169"/>
      <c r="C87" s="18">
        <f>IFERROR(VLOOKUP($A87,'Мои блогеры'!$A:$N,5,0),"")</f>
        <v>12800</v>
      </c>
      <c r="D87" s="171" t="str">
        <f>IFERROR(VLOOKUP($A87,'Мои блогеры'!$A:$N,2,0),"")</f>
        <v>MAX</v>
      </c>
      <c r="E87" s="172" t="s">
        <v>2429</v>
      </c>
      <c r="F87" s="172" t="s">
        <v>2591</v>
      </c>
      <c r="G87" s="172" t="s">
        <v>2751</v>
      </c>
      <c r="H87" s="174">
        <v>46288.0</v>
      </c>
      <c r="I87" s="172" t="s">
        <v>2363</v>
      </c>
      <c r="J87" s="18">
        <f>IFERROR(VLOOKUP($A87,'Мои блогеры'!$A:$N,8,0),"")</f>
        <v>5594</v>
      </c>
      <c r="K87" s="173"/>
      <c r="L87" s="176"/>
      <c r="M87" s="18">
        <f t="shared" si="52"/>
        <v>5594</v>
      </c>
      <c r="N87" s="173"/>
      <c r="O87" s="177" t="s">
        <v>2764</v>
      </c>
      <c r="P87" s="177" t="s">
        <v>2765</v>
      </c>
      <c r="Q87" s="171"/>
      <c r="R87" s="173"/>
      <c r="S87" s="268" t="s">
        <v>2766</v>
      </c>
      <c r="T87" s="176"/>
      <c r="U87" s="179">
        <v>6733.0</v>
      </c>
      <c r="V87" s="180">
        <f t="shared" si="53"/>
        <v>0.8308332096</v>
      </c>
      <c r="W87" s="179">
        <v>38.0</v>
      </c>
      <c r="X87" s="179">
        <v>38.0</v>
      </c>
      <c r="Y87" s="18">
        <f t="shared" si="54"/>
        <v>147.2105263</v>
      </c>
      <c r="Z87" s="179">
        <v>15.0</v>
      </c>
      <c r="AA87" s="179">
        <v>1.0</v>
      </c>
      <c r="AB87" s="179">
        <v>2400.0</v>
      </c>
      <c r="AC87" s="181"/>
      <c r="AD87" s="175">
        <v>1.0</v>
      </c>
      <c r="AE87" s="179">
        <f t="shared" si="61"/>
        <v>2400</v>
      </c>
      <c r="AF87" s="18">
        <f t="shared" si="56"/>
        <v>2400</v>
      </c>
      <c r="AG87" s="18">
        <f t="shared" si="57"/>
        <v>5594</v>
      </c>
      <c r="AH87" s="18">
        <f t="shared" si="58"/>
        <v>5594</v>
      </c>
      <c r="AI87" s="172" t="s">
        <v>2558</v>
      </c>
      <c r="AJ87" s="173"/>
      <c r="AK87" s="171"/>
      <c r="AL87" s="172" t="s">
        <v>2670</v>
      </c>
    </row>
    <row r="88" outlineLevel="1">
      <c r="A88" s="204" t="s">
        <v>2237</v>
      </c>
      <c r="B88" s="169"/>
      <c r="C88" s="18">
        <f>IFERROR(VLOOKUP($A88,'Мои блогеры'!$A:$N,5,0),"")</f>
        <v>39200</v>
      </c>
      <c r="D88" s="171" t="str">
        <f>IFERROR(VLOOKUP($A88,'Мои блогеры'!$A:$N,2,0),"")</f>
        <v>MAX</v>
      </c>
      <c r="E88" s="172" t="s">
        <v>2429</v>
      </c>
      <c r="F88" s="172" t="s">
        <v>2591</v>
      </c>
      <c r="G88" s="172" t="s">
        <v>2751</v>
      </c>
      <c r="H88" s="174">
        <v>46289.0</v>
      </c>
      <c r="I88" s="172" t="s">
        <v>2363</v>
      </c>
      <c r="J88" s="18">
        <f>IFERROR(VLOOKUP($A88,'Мои блогеры'!$A:$N,8,0),"")</f>
        <v>5734</v>
      </c>
      <c r="K88" s="173"/>
      <c r="L88" s="176"/>
      <c r="M88" s="18">
        <f t="shared" si="52"/>
        <v>5734</v>
      </c>
      <c r="N88" s="173"/>
      <c r="O88" s="177" t="s">
        <v>2767</v>
      </c>
      <c r="P88" s="177" t="s">
        <v>2768</v>
      </c>
      <c r="Q88" s="171"/>
      <c r="R88" s="173"/>
      <c r="S88" s="268" t="s">
        <v>2769</v>
      </c>
      <c r="T88" s="176"/>
      <c r="U88" s="179">
        <v>6645.0</v>
      </c>
      <c r="V88" s="180">
        <f t="shared" si="53"/>
        <v>0.8629044394</v>
      </c>
      <c r="W88" s="179">
        <v>67.0</v>
      </c>
      <c r="X88" s="179">
        <v>67.0</v>
      </c>
      <c r="Y88" s="18">
        <f t="shared" si="54"/>
        <v>85.58208955</v>
      </c>
      <c r="Z88" s="179">
        <v>17.0</v>
      </c>
      <c r="AA88" s="179">
        <v>1.0</v>
      </c>
      <c r="AB88" s="179">
        <v>2600.0</v>
      </c>
      <c r="AC88" s="181"/>
      <c r="AD88" s="175">
        <v>1.0</v>
      </c>
      <c r="AE88" s="179">
        <f t="shared" si="61"/>
        <v>2600</v>
      </c>
      <c r="AF88" s="18">
        <f t="shared" si="56"/>
        <v>2600</v>
      </c>
      <c r="AG88" s="18">
        <f t="shared" si="57"/>
        <v>5734</v>
      </c>
      <c r="AH88" s="18">
        <f t="shared" si="58"/>
        <v>5734</v>
      </c>
      <c r="AI88" s="172" t="s">
        <v>2558</v>
      </c>
      <c r="AJ88" s="173"/>
      <c r="AK88" s="171"/>
      <c r="AL88" s="172" t="s">
        <v>2670</v>
      </c>
    </row>
    <row r="89" outlineLevel="1">
      <c r="A89" s="232" t="s">
        <v>1978</v>
      </c>
      <c r="B89" s="169"/>
      <c r="C89" s="18">
        <f>IFERROR(VLOOKUP($A89,'Мои блогеры'!$A:$N,5,0),"")</f>
        <v>33000</v>
      </c>
      <c r="D89" s="171" t="str">
        <f>IFERROR(VLOOKUP($A89,'Мои блогеры'!$A:$N,2,0),"")</f>
        <v>MAX</v>
      </c>
      <c r="E89" s="172" t="s">
        <v>2429</v>
      </c>
      <c r="F89" s="172" t="s">
        <v>2591</v>
      </c>
      <c r="G89" s="172" t="s">
        <v>2751</v>
      </c>
      <c r="H89" s="174">
        <v>46289.0</v>
      </c>
      <c r="I89" s="172" t="s">
        <v>2363</v>
      </c>
      <c r="J89" s="175">
        <v>3566.0</v>
      </c>
      <c r="K89" s="173"/>
      <c r="L89" s="176"/>
      <c r="M89" s="18">
        <f t="shared" si="52"/>
        <v>3566</v>
      </c>
      <c r="N89" s="173"/>
      <c r="O89" s="177" t="s">
        <v>2770</v>
      </c>
      <c r="P89" s="177" t="s">
        <v>2771</v>
      </c>
      <c r="Q89" s="171"/>
      <c r="R89" s="173"/>
      <c r="S89" s="268" t="s">
        <v>1980</v>
      </c>
      <c r="T89" s="176"/>
      <c r="U89" s="179">
        <v>5016.0</v>
      </c>
      <c r="V89" s="180">
        <f t="shared" si="53"/>
        <v>0.7109250399</v>
      </c>
      <c r="W89" s="179">
        <v>248.0</v>
      </c>
      <c r="X89" s="179">
        <v>248.0</v>
      </c>
      <c r="Y89" s="18">
        <f t="shared" si="54"/>
        <v>14.37903226</v>
      </c>
      <c r="Z89" s="179">
        <v>49.0</v>
      </c>
      <c r="AA89" s="179">
        <v>3.0</v>
      </c>
      <c r="AB89" s="179">
        <v>7400.0</v>
      </c>
      <c r="AC89" s="181"/>
      <c r="AD89" s="175">
        <v>3.0</v>
      </c>
      <c r="AE89" s="179">
        <f t="shared" si="61"/>
        <v>2466.666667</v>
      </c>
      <c r="AF89" s="18">
        <f t="shared" si="56"/>
        <v>7400</v>
      </c>
      <c r="AG89" s="18">
        <f t="shared" si="57"/>
        <v>1189</v>
      </c>
      <c r="AH89" s="18">
        <f t="shared" si="58"/>
        <v>1189</v>
      </c>
      <c r="AI89" s="172" t="s">
        <v>2558</v>
      </c>
      <c r="AJ89" s="173"/>
      <c r="AK89" s="171"/>
      <c r="AL89" s="172" t="s">
        <v>2670</v>
      </c>
    </row>
    <row r="90" outlineLevel="1">
      <c r="A90" s="204" t="s">
        <v>2104</v>
      </c>
      <c r="B90" s="169"/>
      <c r="C90" s="18">
        <f>IFERROR(VLOOKUP($A90,'Мои блогеры'!$A:$N,5,0),"")</f>
        <v>19200</v>
      </c>
      <c r="D90" s="171" t="str">
        <f>IFERROR(VLOOKUP($A90,'Мои блогеры'!$A:$N,2,0),"")</f>
        <v>MAX</v>
      </c>
      <c r="E90" s="172" t="s">
        <v>2429</v>
      </c>
      <c r="F90" s="172" t="s">
        <v>2591</v>
      </c>
      <c r="G90" s="172" t="s">
        <v>2751</v>
      </c>
      <c r="H90" s="174">
        <v>46289.0</v>
      </c>
      <c r="I90" s="172" t="s">
        <v>2363</v>
      </c>
      <c r="J90" s="175">
        <v>3776.0</v>
      </c>
      <c r="K90" s="173"/>
      <c r="L90" s="176"/>
      <c r="M90" s="18">
        <f t="shared" si="52"/>
        <v>3776</v>
      </c>
      <c r="N90" s="173"/>
      <c r="O90" s="177" t="s">
        <v>2772</v>
      </c>
      <c r="P90" s="177" t="s">
        <v>2773</v>
      </c>
      <c r="Q90" s="171"/>
      <c r="R90" s="173"/>
      <c r="S90" s="268" t="s">
        <v>2774</v>
      </c>
      <c r="T90" s="176"/>
      <c r="U90" s="179">
        <v>4707.0</v>
      </c>
      <c r="V90" s="180">
        <f t="shared" si="53"/>
        <v>0.8022094752</v>
      </c>
      <c r="W90" s="179">
        <v>193.0</v>
      </c>
      <c r="X90" s="179">
        <v>193.0</v>
      </c>
      <c r="Y90" s="18">
        <f t="shared" si="54"/>
        <v>19.56476684</v>
      </c>
      <c r="Z90" s="179">
        <v>36.0</v>
      </c>
      <c r="AA90" s="179">
        <v>4.0</v>
      </c>
      <c r="AB90" s="179">
        <v>9600.0</v>
      </c>
      <c r="AC90" s="181"/>
      <c r="AD90" s="175">
        <v>4.0</v>
      </c>
      <c r="AE90" s="179">
        <f t="shared" si="61"/>
        <v>2400</v>
      </c>
      <c r="AF90" s="18">
        <f t="shared" si="56"/>
        <v>9600</v>
      </c>
      <c r="AG90" s="18">
        <f t="shared" si="57"/>
        <v>944</v>
      </c>
      <c r="AH90" s="18">
        <f t="shared" si="58"/>
        <v>944</v>
      </c>
      <c r="AI90" s="172" t="s">
        <v>2558</v>
      </c>
      <c r="AJ90" s="173"/>
      <c r="AK90" s="171"/>
      <c r="AL90" s="172" t="s">
        <v>2670</v>
      </c>
    </row>
    <row r="91" outlineLevel="1">
      <c r="A91" s="204" t="s">
        <v>2021</v>
      </c>
      <c r="B91" s="169"/>
      <c r="C91" s="18">
        <f>IFERROR(VLOOKUP($A91,'Мои блогеры'!$A:$N,5,0),"")</f>
        <v>7800</v>
      </c>
      <c r="D91" s="171" t="str">
        <f>IFERROR(VLOOKUP($A91,'Мои блогеры'!$A:$N,2,0),"")</f>
        <v>MAX</v>
      </c>
      <c r="E91" s="172" t="s">
        <v>2429</v>
      </c>
      <c r="F91" s="172" t="s">
        <v>2591</v>
      </c>
      <c r="G91" s="172" t="s">
        <v>2751</v>
      </c>
      <c r="H91" s="174">
        <v>46289.0</v>
      </c>
      <c r="I91" s="172" t="s">
        <v>2363</v>
      </c>
      <c r="J91" s="175">
        <v>1258.0</v>
      </c>
      <c r="K91" s="173"/>
      <c r="L91" s="176"/>
      <c r="M91" s="18">
        <f t="shared" si="52"/>
        <v>1258</v>
      </c>
      <c r="N91" s="173"/>
      <c r="O91" s="177" t="s">
        <v>2775</v>
      </c>
      <c r="P91" s="177" t="s">
        <v>2776</v>
      </c>
      <c r="Q91" s="171"/>
      <c r="R91" s="173"/>
      <c r="S91" s="268" t="s">
        <v>2777</v>
      </c>
      <c r="T91" s="176"/>
      <c r="U91" s="179">
        <v>1278.0</v>
      </c>
      <c r="V91" s="180">
        <f t="shared" si="53"/>
        <v>0.9843505477</v>
      </c>
      <c r="W91" s="179">
        <v>64.0</v>
      </c>
      <c r="X91" s="179">
        <v>64.0</v>
      </c>
      <c r="Y91" s="18">
        <f t="shared" si="54"/>
        <v>19.65625</v>
      </c>
      <c r="Z91" s="179">
        <v>12.0</v>
      </c>
      <c r="AA91" s="179">
        <v>1.0</v>
      </c>
      <c r="AB91" s="179">
        <v>2400.0</v>
      </c>
      <c r="AC91" s="181"/>
      <c r="AD91" s="175">
        <v>1.0</v>
      </c>
      <c r="AE91" s="179">
        <f t="shared" si="61"/>
        <v>2400</v>
      </c>
      <c r="AF91" s="18">
        <f t="shared" si="56"/>
        <v>2400</v>
      </c>
      <c r="AG91" s="18">
        <f t="shared" si="57"/>
        <v>1258</v>
      </c>
      <c r="AH91" s="18">
        <f t="shared" si="58"/>
        <v>1258</v>
      </c>
      <c r="AI91" s="172" t="s">
        <v>2558</v>
      </c>
      <c r="AJ91" s="173"/>
      <c r="AK91" s="171"/>
      <c r="AL91" s="172" t="s">
        <v>2670</v>
      </c>
    </row>
    <row r="92" outlineLevel="1">
      <c r="A92" s="204" t="s">
        <v>2239</v>
      </c>
      <c r="B92" s="169"/>
      <c r="C92" s="18">
        <f>IFERROR(VLOOKUP($A92,'Мои блогеры'!$A:$N,5,0),"")</f>
        <v>13700</v>
      </c>
      <c r="D92" s="171" t="str">
        <f>IFERROR(VLOOKUP($A92,'Мои блогеры'!$A:$N,2,0),"")</f>
        <v>MAX</v>
      </c>
      <c r="E92" s="172" t="s">
        <v>2429</v>
      </c>
      <c r="F92" s="172" t="s">
        <v>2591</v>
      </c>
      <c r="G92" s="172" t="s">
        <v>2751</v>
      </c>
      <c r="H92" s="174">
        <v>46290.0</v>
      </c>
      <c r="I92" s="172" t="s">
        <v>2363</v>
      </c>
      <c r="J92" s="18">
        <f>IFERROR(VLOOKUP($A92,'Мои блогеры'!$A:$N,8,0),"")</f>
        <v>1328</v>
      </c>
      <c r="K92" s="173"/>
      <c r="L92" s="176"/>
      <c r="M92" s="18">
        <f t="shared" si="52"/>
        <v>1328</v>
      </c>
      <c r="N92" s="173"/>
      <c r="O92" s="177" t="s">
        <v>2767</v>
      </c>
      <c r="P92" s="177" t="s">
        <v>2778</v>
      </c>
      <c r="Q92" s="171"/>
      <c r="R92" s="173"/>
      <c r="S92" s="268" t="s">
        <v>2238</v>
      </c>
      <c r="T92" s="176"/>
      <c r="U92" s="179">
        <v>3854.0</v>
      </c>
      <c r="V92" s="180">
        <f t="shared" si="53"/>
        <v>0.3445770628</v>
      </c>
      <c r="W92" s="179">
        <v>45.0</v>
      </c>
      <c r="X92" s="179">
        <v>44.0</v>
      </c>
      <c r="Y92" s="18">
        <f t="shared" si="54"/>
        <v>29.51111111</v>
      </c>
      <c r="Z92" s="179">
        <v>17.0</v>
      </c>
      <c r="AA92" s="179">
        <v>2.0</v>
      </c>
      <c r="AB92" s="179">
        <f>2600+2600</f>
        <v>5200</v>
      </c>
      <c r="AC92" s="181"/>
      <c r="AD92" s="175">
        <v>2.0</v>
      </c>
      <c r="AE92" s="179">
        <f t="shared" si="61"/>
        <v>2600</v>
      </c>
      <c r="AF92" s="18">
        <f t="shared" si="56"/>
        <v>5200</v>
      </c>
      <c r="AG92" s="18">
        <f t="shared" si="57"/>
        <v>664</v>
      </c>
      <c r="AH92" s="18">
        <f t="shared" si="58"/>
        <v>664</v>
      </c>
      <c r="AI92" s="172" t="s">
        <v>2558</v>
      </c>
      <c r="AJ92" s="173"/>
      <c r="AK92" s="171"/>
      <c r="AL92" s="172" t="s">
        <v>2670</v>
      </c>
    </row>
    <row r="93" outlineLevel="1">
      <c r="A93" s="204" t="s">
        <v>2241</v>
      </c>
      <c r="B93" s="169"/>
      <c r="C93" s="18">
        <f>IFERROR(VLOOKUP($A93,'Мои блогеры'!$A:$N,5,0),"")</f>
        <v>6000</v>
      </c>
      <c r="D93" s="171" t="str">
        <f>IFERROR(VLOOKUP($A93,'Мои блогеры'!$A:$N,2,0),"")</f>
        <v>MAX</v>
      </c>
      <c r="E93" s="172" t="s">
        <v>2429</v>
      </c>
      <c r="F93" s="172" t="s">
        <v>2591</v>
      </c>
      <c r="G93" s="172" t="s">
        <v>2751</v>
      </c>
      <c r="H93" s="174">
        <v>46289.0</v>
      </c>
      <c r="I93" s="172" t="s">
        <v>2363</v>
      </c>
      <c r="J93" s="18">
        <f>IFERROR(VLOOKUP($A93,'Мои блогеры'!$A:$N,8,0),"")</f>
        <v>2237</v>
      </c>
      <c r="K93" s="173"/>
      <c r="L93" s="176"/>
      <c r="M93" s="18">
        <f t="shared" si="52"/>
        <v>2237</v>
      </c>
      <c r="N93" s="173"/>
      <c r="O93" s="177" t="s">
        <v>2779</v>
      </c>
      <c r="P93" s="177" t="s">
        <v>2780</v>
      </c>
      <c r="Q93" s="171"/>
      <c r="R93" s="173"/>
      <c r="S93" s="268" t="s">
        <v>2781</v>
      </c>
      <c r="T93" s="176"/>
      <c r="U93" s="179">
        <v>3400.0</v>
      </c>
      <c r="V93" s="180">
        <f t="shared" si="53"/>
        <v>0.6579411765</v>
      </c>
      <c r="W93" s="179">
        <v>36.0</v>
      </c>
      <c r="X93" s="179">
        <v>36.0</v>
      </c>
      <c r="Y93" s="18">
        <f t="shared" si="54"/>
        <v>62.13888889</v>
      </c>
      <c r="Z93" s="179">
        <v>6.0</v>
      </c>
      <c r="AA93" s="179">
        <v>0.0</v>
      </c>
      <c r="AB93" s="179">
        <v>0.0</v>
      </c>
      <c r="AC93" s="181"/>
      <c r="AD93" s="18"/>
      <c r="AE93" s="179"/>
      <c r="AF93" s="18" t="str">
        <f t="shared" si="56"/>
        <v/>
      </c>
      <c r="AG93" s="18" t="str">
        <f t="shared" si="57"/>
        <v/>
      </c>
      <c r="AH93" s="18" t="str">
        <f t="shared" si="58"/>
        <v/>
      </c>
      <c r="AI93" s="172" t="s">
        <v>2558</v>
      </c>
      <c r="AJ93" s="173"/>
      <c r="AK93" s="171"/>
      <c r="AL93" s="172" t="s">
        <v>2670</v>
      </c>
    </row>
    <row r="94" outlineLevel="1">
      <c r="A94" s="204" t="s">
        <v>2243</v>
      </c>
      <c r="B94" s="169"/>
      <c r="C94" s="18">
        <f>IFERROR(VLOOKUP($A94,'Мои блогеры'!$A:$N,5,0),"")</f>
        <v>7200</v>
      </c>
      <c r="D94" s="171" t="str">
        <f>IFERROR(VLOOKUP($A94,'Мои блогеры'!$A:$N,2,0),"")</f>
        <v>MAX</v>
      </c>
      <c r="E94" s="172" t="s">
        <v>2429</v>
      </c>
      <c r="F94" s="172" t="s">
        <v>2591</v>
      </c>
      <c r="G94" s="172" t="s">
        <v>2751</v>
      </c>
      <c r="H94" s="174">
        <v>46289.0</v>
      </c>
      <c r="I94" s="172" t="s">
        <v>2363</v>
      </c>
      <c r="J94" s="18">
        <f>IFERROR(VLOOKUP($A94,'Мои блогеры'!$A:$N,8,0),"")</f>
        <v>1118</v>
      </c>
      <c r="K94" s="173"/>
      <c r="L94" s="176"/>
      <c r="M94" s="18">
        <f t="shared" si="52"/>
        <v>1118</v>
      </c>
      <c r="N94" s="173"/>
      <c r="O94" s="177" t="s">
        <v>2782</v>
      </c>
      <c r="P94" s="177" t="s">
        <v>2783</v>
      </c>
      <c r="Q94" s="171"/>
      <c r="R94" s="173"/>
      <c r="S94" s="268" t="s">
        <v>2784</v>
      </c>
      <c r="T94" s="176"/>
      <c r="U94" s="179">
        <v>2325.0</v>
      </c>
      <c r="V94" s="180">
        <f t="shared" si="53"/>
        <v>0.4808602151</v>
      </c>
      <c r="W94" s="179">
        <v>17.0</v>
      </c>
      <c r="X94" s="179">
        <v>17.0</v>
      </c>
      <c r="Y94" s="18">
        <f t="shared" si="54"/>
        <v>65.76470588</v>
      </c>
      <c r="Z94" s="179">
        <v>10.0</v>
      </c>
      <c r="AA94" s="179">
        <v>1.0</v>
      </c>
      <c r="AB94" s="179">
        <v>2400.0</v>
      </c>
      <c r="AC94" s="181"/>
      <c r="AD94" s="175">
        <v>1.0</v>
      </c>
      <c r="AE94" s="179">
        <f>AB94/AD94</f>
        <v>2400</v>
      </c>
      <c r="AF94" s="18">
        <f t="shared" si="56"/>
        <v>2400</v>
      </c>
      <c r="AG94" s="18">
        <f t="shared" si="57"/>
        <v>1118</v>
      </c>
      <c r="AH94" s="18">
        <f t="shared" si="58"/>
        <v>1118</v>
      </c>
      <c r="AI94" s="172" t="s">
        <v>2558</v>
      </c>
      <c r="AJ94" s="173"/>
      <c r="AK94" s="171"/>
      <c r="AL94" s="172" t="s">
        <v>2670</v>
      </c>
    </row>
    <row r="95" outlineLevel="1">
      <c r="A95" s="204" t="s">
        <v>2245</v>
      </c>
      <c r="B95" s="169"/>
      <c r="C95" s="18">
        <f>IFERROR(VLOOKUP($A95,'Мои блогеры'!$A:$N,5,0),"")</f>
        <v>4100</v>
      </c>
      <c r="D95" s="171" t="str">
        <f>IFERROR(VLOOKUP($A95,'Мои блогеры'!$A:$N,2,0),"")</f>
        <v>MAX</v>
      </c>
      <c r="E95" s="172" t="s">
        <v>2429</v>
      </c>
      <c r="F95" s="172" t="s">
        <v>2591</v>
      </c>
      <c r="G95" s="172" t="s">
        <v>2751</v>
      </c>
      <c r="H95" s="174">
        <v>46289.0</v>
      </c>
      <c r="I95" s="172" t="s">
        <v>2363</v>
      </c>
      <c r="J95" s="18">
        <f>IFERROR(VLOOKUP($A95,'Мои блогеры'!$A:$N,8,0),"")</f>
        <v>2797</v>
      </c>
      <c r="K95" s="173"/>
      <c r="L95" s="176"/>
      <c r="M95" s="18">
        <f t="shared" si="52"/>
        <v>2797</v>
      </c>
      <c r="N95" s="173"/>
      <c r="O95" s="177" t="s">
        <v>2785</v>
      </c>
      <c r="P95" s="177" t="s">
        <v>2786</v>
      </c>
      <c r="Q95" s="171"/>
      <c r="R95" s="173"/>
      <c r="S95" s="268" t="s">
        <v>2787</v>
      </c>
      <c r="T95" s="176"/>
      <c r="U95" s="179">
        <v>2875.0</v>
      </c>
      <c r="V95" s="180">
        <f t="shared" si="53"/>
        <v>0.9728695652</v>
      </c>
      <c r="W95" s="179">
        <v>14.0</v>
      </c>
      <c r="X95" s="179">
        <v>14.0</v>
      </c>
      <c r="Y95" s="18">
        <f t="shared" si="54"/>
        <v>199.7857143</v>
      </c>
      <c r="Z95" s="179">
        <v>2.0</v>
      </c>
      <c r="AA95" s="179">
        <v>0.0</v>
      </c>
      <c r="AB95" s="179">
        <v>0.0</v>
      </c>
      <c r="AC95" s="181"/>
      <c r="AD95" s="18"/>
      <c r="AE95" s="179"/>
      <c r="AF95" s="18"/>
      <c r="AG95" s="18" t="str">
        <f t="shared" si="57"/>
        <v/>
      </c>
      <c r="AH95" s="18" t="str">
        <f t="shared" si="58"/>
        <v/>
      </c>
      <c r="AI95" s="172" t="s">
        <v>2558</v>
      </c>
      <c r="AJ95" s="173"/>
      <c r="AK95" s="171"/>
      <c r="AL95" s="172" t="s">
        <v>2670</v>
      </c>
    </row>
    <row r="96" outlineLevel="1">
      <c r="A96" s="204" t="s">
        <v>2248</v>
      </c>
      <c r="B96" s="169"/>
      <c r="C96" s="18">
        <f>IFERROR(VLOOKUP($A96,'Мои блогеры'!$A:$N,5,0),"")</f>
        <v>22200</v>
      </c>
      <c r="D96" s="171" t="str">
        <f>IFERROR(VLOOKUP($A96,'Мои блогеры'!$A:$N,2,0),"")</f>
        <v>MAX</v>
      </c>
      <c r="E96" s="172" t="s">
        <v>2429</v>
      </c>
      <c r="F96" s="172" t="s">
        <v>2591</v>
      </c>
      <c r="G96" s="172" t="s">
        <v>2751</v>
      </c>
      <c r="H96" s="174">
        <v>46291.0</v>
      </c>
      <c r="I96" s="172" t="s">
        <v>2363</v>
      </c>
      <c r="J96" s="18">
        <f>IFERROR(VLOOKUP($A96,'Мои блогеры'!$A:$N,8,0),"")</f>
        <v>2657</v>
      </c>
      <c r="K96" s="173"/>
      <c r="L96" s="176"/>
      <c r="M96" s="18">
        <f t="shared" si="52"/>
        <v>2657</v>
      </c>
      <c r="N96" s="173"/>
      <c r="O96" s="177" t="s">
        <v>2788</v>
      </c>
      <c r="P96" s="177" t="s">
        <v>2789</v>
      </c>
      <c r="Q96" s="171"/>
      <c r="R96" s="173"/>
      <c r="S96" s="268" t="s">
        <v>2790</v>
      </c>
      <c r="T96" s="176"/>
      <c r="U96" s="179">
        <v>6039.0</v>
      </c>
      <c r="V96" s="180">
        <f t="shared" si="53"/>
        <v>0.4399735055</v>
      </c>
      <c r="W96" s="179">
        <v>47.0</v>
      </c>
      <c r="X96" s="179">
        <v>33.0</v>
      </c>
      <c r="Y96" s="18">
        <f t="shared" si="54"/>
        <v>56.53191489</v>
      </c>
      <c r="Z96" s="179">
        <v>11.0</v>
      </c>
      <c r="AA96" s="179">
        <v>1.0</v>
      </c>
      <c r="AB96" s="179">
        <v>2600.0</v>
      </c>
      <c r="AC96" s="181"/>
      <c r="AD96" s="175">
        <v>1.0</v>
      </c>
      <c r="AE96" s="179">
        <f t="shared" ref="AE96:AE97" si="62">AB96/AD96</f>
        <v>2600</v>
      </c>
      <c r="AF96" s="18">
        <f t="shared" ref="AF96:AF97" si="63">IF(OR(N($AD96)=0,$AE96=""),"",ROUND($AD96*$AE96,0))</f>
        <v>2600</v>
      </c>
      <c r="AG96" s="18">
        <f t="shared" si="57"/>
        <v>2657</v>
      </c>
      <c r="AH96" s="18">
        <f t="shared" si="58"/>
        <v>2657</v>
      </c>
      <c r="AI96" s="172" t="s">
        <v>2558</v>
      </c>
      <c r="AJ96" s="173"/>
      <c r="AK96" s="171"/>
      <c r="AL96" s="172" t="s">
        <v>2670</v>
      </c>
    </row>
    <row r="97" outlineLevel="1">
      <c r="A97" s="204" t="s">
        <v>2250</v>
      </c>
      <c r="B97" s="169"/>
      <c r="C97" s="18">
        <f>IFERROR(VLOOKUP($A97,'Мои блогеры'!$A:$N,5,0),"")</f>
        <v>22100</v>
      </c>
      <c r="D97" s="171" t="str">
        <f>IFERROR(VLOOKUP($A97,'Мои блогеры'!$A:$N,2,0),"")</f>
        <v>MAX</v>
      </c>
      <c r="E97" s="172" t="s">
        <v>2429</v>
      </c>
      <c r="F97" s="172" t="s">
        <v>2591</v>
      </c>
      <c r="G97" s="172" t="s">
        <v>2751</v>
      </c>
      <c r="H97" s="174">
        <v>46292.0</v>
      </c>
      <c r="I97" s="172" t="s">
        <v>2363</v>
      </c>
      <c r="J97" s="18">
        <f>IFERROR(VLOOKUP($A97,'Мои блогеры'!$A:$N,8,0),"")</f>
        <v>4600</v>
      </c>
      <c r="K97" s="173"/>
      <c r="L97" s="176"/>
      <c r="M97" s="18">
        <f t="shared" si="52"/>
        <v>4600</v>
      </c>
      <c r="N97" s="173"/>
      <c r="O97" s="177" t="s">
        <v>2791</v>
      </c>
      <c r="P97" s="177" t="s">
        <v>2792</v>
      </c>
      <c r="Q97" s="171"/>
      <c r="R97" s="173"/>
      <c r="S97" s="268" t="s">
        <v>2793</v>
      </c>
      <c r="T97" s="176"/>
      <c r="U97" s="179">
        <v>6025.0</v>
      </c>
      <c r="V97" s="180">
        <f t="shared" si="53"/>
        <v>0.7634854772</v>
      </c>
      <c r="W97" s="179">
        <v>42.0</v>
      </c>
      <c r="X97" s="179">
        <v>42.0</v>
      </c>
      <c r="Y97" s="18">
        <f t="shared" si="54"/>
        <v>109.5238095</v>
      </c>
      <c r="Z97" s="179">
        <v>5.0</v>
      </c>
      <c r="AA97" s="179">
        <v>1.0</v>
      </c>
      <c r="AB97" s="179">
        <v>2600.0</v>
      </c>
      <c r="AC97" s="181"/>
      <c r="AD97" s="175">
        <v>1.0</v>
      </c>
      <c r="AE97" s="179">
        <f t="shared" si="62"/>
        <v>2600</v>
      </c>
      <c r="AF97" s="18">
        <f t="shared" si="63"/>
        <v>2600</v>
      </c>
      <c r="AG97" s="18">
        <f t="shared" si="57"/>
        <v>4600</v>
      </c>
      <c r="AH97" s="18">
        <f t="shared" si="58"/>
        <v>4600</v>
      </c>
      <c r="AI97" s="172" t="s">
        <v>2558</v>
      </c>
      <c r="AJ97" s="173"/>
      <c r="AK97" s="171"/>
      <c r="AL97" s="172" t="s">
        <v>2715</v>
      </c>
    </row>
    <row r="98" outlineLevel="1">
      <c r="A98" s="204" t="s">
        <v>2252</v>
      </c>
      <c r="B98" s="169"/>
      <c r="C98" s="18">
        <f>IFERROR(VLOOKUP($A98,'Мои блогеры'!$A:$N,5,0),"")</f>
        <v>12800</v>
      </c>
      <c r="D98" s="171" t="str">
        <f>IFERROR(VLOOKUP($A98,'Мои блогеры'!$A:$N,2,0),"")</f>
        <v>MAX</v>
      </c>
      <c r="E98" s="172" t="s">
        <v>2429</v>
      </c>
      <c r="F98" s="172" t="s">
        <v>2591</v>
      </c>
      <c r="G98" s="172" t="s">
        <v>2751</v>
      </c>
      <c r="H98" s="174">
        <v>46291.0</v>
      </c>
      <c r="I98" s="172" t="s">
        <v>2363</v>
      </c>
      <c r="J98" s="18">
        <f>IFERROR(VLOOKUP($A98,'Мои блогеры'!$A:$N,8,0),"")</f>
        <v>5594</v>
      </c>
      <c r="K98" s="173"/>
      <c r="L98" s="176"/>
      <c r="M98" s="18">
        <f t="shared" si="52"/>
        <v>5594</v>
      </c>
      <c r="N98" s="173"/>
      <c r="O98" s="177" t="s">
        <v>2794</v>
      </c>
      <c r="P98" s="177" t="s">
        <v>2795</v>
      </c>
      <c r="Q98" s="171"/>
      <c r="R98" s="173"/>
      <c r="S98" s="268" t="s">
        <v>2796</v>
      </c>
      <c r="T98" s="176"/>
      <c r="U98" s="179">
        <v>6598.0</v>
      </c>
      <c r="V98" s="180">
        <f t="shared" si="53"/>
        <v>0.8478326766</v>
      </c>
      <c r="W98" s="179">
        <v>46.0</v>
      </c>
      <c r="X98" s="179">
        <v>46.0</v>
      </c>
      <c r="Y98" s="18">
        <f t="shared" si="54"/>
        <v>121.6086957</v>
      </c>
      <c r="Z98" s="179">
        <v>1.0</v>
      </c>
      <c r="AA98" s="179">
        <v>0.0</v>
      </c>
      <c r="AB98" s="176"/>
      <c r="AC98" s="181"/>
      <c r="AD98" s="18"/>
      <c r="AE98" s="179"/>
      <c r="AF98" s="18"/>
      <c r="AG98" s="18" t="str">
        <f t="shared" si="57"/>
        <v/>
      </c>
      <c r="AH98" s="18" t="str">
        <f t="shared" si="58"/>
        <v/>
      </c>
      <c r="AI98" s="172" t="s">
        <v>2558</v>
      </c>
      <c r="AJ98" s="173"/>
      <c r="AK98" s="171"/>
      <c r="AL98" s="172" t="s">
        <v>2715</v>
      </c>
    </row>
    <row r="99" ht="20.25" customHeight="1" outlineLevel="1">
      <c r="A99" s="204" t="s">
        <v>2184</v>
      </c>
      <c r="B99" s="169"/>
      <c r="C99" s="18">
        <f>IFERROR(VLOOKUP($A99,'Мои блогеры'!$A:$N,5,0),"")</f>
        <v>10200</v>
      </c>
      <c r="D99" s="171" t="str">
        <f>IFERROR(VLOOKUP($A99,'Мои блогеры'!$A:$N,2,0),"")</f>
        <v>VK</v>
      </c>
      <c r="E99" s="172" t="s">
        <v>2429</v>
      </c>
      <c r="F99" s="172" t="s">
        <v>2583</v>
      </c>
      <c r="G99" s="172" t="s">
        <v>2653</v>
      </c>
      <c r="H99" s="174">
        <v>46293.0</v>
      </c>
      <c r="I99" s="172" t="s">
        <v>2363</v>
      </c>
      <c r="J99" s="175">
        <v>20000.0</v>
      </c>
      <c r="K99" s="172">
        <v>1400.0</v>
      </c>
      <c r="L99" s="176"/>
      <c r="M99" s="18">
        <f t="shared" si="52"/>
        <v>21400</v>
      </c>
      <c r="N99" s="173"/>
      <c r="O99" s="177" t="s">
        <v>2797</v>
      </c>
      <c r="P99" s="173"/>
      <c r="Q99" s="171"/>
      <c r="R99" s="173"/>
      <c r="S99" s="177" t="s">
        <v>2798</v>
      </c>
      <c r="T99" s="176"/>
      <c r="U99" s="179">
        <v>29091.0</v>
      </c>
      <c r="V99" s="180">
        <f t="shared" si="53"/>
        <v>0.7356227012</v>
      </c>
      <c r="W99" s="179">
        <v>119.0</v>
      </c>
      <c r="X99" s="179">
        <v>119.0</v>
      </c>
      <c r="Y99" s="18">
        <f t="shared" si="54"/>
        <v>179.8319328</v>
      </c>
      <c r="Z99" s="179">
        <v>20.0</v>
      </c>
      <c r="AA99" s="179">
        <v>1.0</v>
      </c>
      <c r="AB99" s="179">
        <v>2600.0</v>
      </c>
      <c r="AC99" s="181"/>
      <c r="AD99" s="175">
        <v>1.0</v>
      </c>
      <c r="AE99" s="179">
        <f>AB99/AD99</f>
        <v>2600</v>
      </c>
      <c r="AF99" s="18">
        <f>IF(OR(N($AD99)=0,$AE99=""),"",ROUND($AD99*$AE99,0))</f>
        <v>2600</v>
      </c>
      <c r="AG99" s="18">
        <f t="shared" si="57"/>
        <v>21400</v>
      </c>
      <c r="AH99" s="18">
        <f t="shared" si="58"/>
        <v>21400</v>
      </c>
      <c r="AI99" s="172" t="s">
        <v>2558</v>
      </c>
      <c r="AJ99" s="173"/>
      <c r="AK99" s="171"/>
      <c r="AL99" s="172" t="s">
        <v>2670</v>
      </c>
    </row>
    <row r="100" outlineLevel="1">
      <c r="A100" s="204" t="s">
        <v>2254</v>
      </c>
      <c r="B100" s="169"/>
      <c r="C100" s="18">
        <f>IFERROR(VLOOKUP($A100,'Мои блогеры'!$A:$N,5,0),"")</f>
        <v>6000</v>
      </c>
      <c r="D100" s="171" t="str">
        <f>IFERROR(VLOOKUP($A100,'Мои блогеры'!$A:$N,2,0),"")</f>
        <v>MAX</v>
      </c>
      <c r="E100" s="172" t="s">
        <v>2429</v>
      </c>
      <c r="F100" s="172" t="s">
        <v>2591</v>
      </c>
      <c r="G100" s="172" t="s">
        <v>2751</v>
      </c>
      <c r="H100" s="174">
        <v>46293.0</v>
      </c>
      <c r="I100" s="172" t="s">
        <v>2363</v>
      </c>
      <c r="J100" s="18">
        <f>IFERROR(VLOOKUP($A100,'Мои блогеры'!$A:$N,8,0),"")</f>
        <v>839</v>
      </c>
      <c r="K100" s="173"/>
      <c r="L100" s="176"/>
      <c r="M100" s="18">
        <f t="shared" si="52"/>
        <v>839</v>
      </c>
      <c r="N100" s="173"/>
      <c r="O100" s="177" t="s">
        <v>2799</v>
      </c>
      <c r="P100" s="177" t="s">
        <v>2800</v>
      </c>
      <c r="Q100" s="171"/>
      <c r="R100" s="173"/>
      <c r="S100" s="268" t="s">
        <v>2801</v>
      </c>
      <c r="T100" s="176"/>
      <c r="U100" s="179">
        <v>2563.0</v>
      </c>
      <c r="V100" s="180">
        <f t="shared" si="53"/>
        <v>0.3273507608</v>
      </c>
      <c r="W100" s="179">
        <v>11.0</v>
      </c>
      <c r="X100" s="179">
        <v>11.0</v>
      </c>
      <c r="Y100" s="18">
        <f t="shared" si="54"/>
        <v>76.27272727</v>
      </c>
      <c r="Z100" s="179">
        <v>3.0</v>
      </c>
      <c r="AA100" s="179">
        <v>0.0</v>
      </c>
      <c r="AB100" s="176"/>
      <c r="AC100" s="181"/>
      <c r="AD100" s="18"/>
      <c r="AE100" s="179"/>
      <c r="AF100" s="18"/>
      <c r="AG100" s="18" t="str">
        <f t="shared" si="57"/>
        <v/>
      </c>
      <c r="AH100" s="18" t="str">
        <f t="shared" si="58"/>
        <v/>
      </c>
      <c r="AI100" s="172" t="s">
        <v>2558</v>
      </c>
      <c r="AJ100" s="173"/>
      <c r="AK100" s="171"/>
      <c r="AL100" s="172" t="s">
        <v>2715</v>
      </c>
    </row>
    <row r="101" outlineLevel="1">
      <c r="A101" s="201" t="s">
        <v>2802</v>
      </c>
      <c r="B101" s="188"/>
      <c r="C101" s="189"/>
      <c r="D101" s="188"/>
      <c r="E101" s="188"/>
      <c r="F101" s="188"/>
      <c r="G101" s="188"/>
      <c r="H101" s="188"/>
      <c r="I101" s="188" t="str">
        <f>COUNTIF(I70:I100,"Вышло")&amp;" / "&amp;COUNTA(A70:A100)</f>
        <v>31 / 31</v>
      </c>
      <c r="J101" s="189">
        <f t="shared" ref="J101:M101" si="64">SUM(J70:J100)</f>
        <v>248648</v>
      </c>
      <c r="K101" s="189">
        <f t="shared" si="64"/>
        <v>10386.85</v>
      </c>
      <c r="L101" s="189">
        <f t="shared" si="64"/>
        <v>492</v>
      </c>
      <c r="M101" s="189">
        <f t="shared" si="64"/>
        <v>259526.85</v>
      </c>
      <c r="N101" s="189"/>
      <c r="O101" s="189"/>
      <c r="P101" s="189"/>
      <c r="Q101" s="189"/>
      <c r="R101" s="189"/>
      <c r="S101" s="189"/>
      <c r="T101" s="189"/>
      <c r="U101" s="189">
        <f>SUM(U70:U100)</f>
        <v>311271</v>
      </c>
      <c r="V101" s="234">
        <f t="shared" si="53"/>
        <v>0.8337649508</v>
      </c>
      <c r="W101" s="189">
        <f t="shared" ref="W101:X101" si="65">SUM(W70:W100)</f>
        <v>2615</v>
      </c>
      <c r="X101" s="189">
        <f t="shared" si="65"/>
        <v>2368</v>
      </c>
      <c r="Y101" s="235">
        <f t="shared" si="54"/>
        <v>99.24544933</v>
      </c>
      <c r="Z101" s="189">
        <f t="shared" ref="Z101:AB101" si="66">SUM(Z70:Z100)</f>
        <v>492</v>
      </c>
      <c r="AA101" s="189">
        <f t="shared" si="66"/>
        <v>100</v>
      </c>
      <c r="AB101" s="189">
        <f t="shared" si="66"/>
        <v>247880</v>
      </c>
      <c r="AC101" s="189"/>
      <c r="AD101" s="189">
        <f t="shared" ref="AD101:AF101" si="67">SUM(AD70:AD100)</f>
        <v>100</v>
      </c>
      <c r="AE101" s="189">
        <f t="shared" si="67"/>
        <v>57942.02112</v>
      </c>
      <c r="AF101" s="189">
        <f t="shared" si="67"/>
        <v>247880</v>
      </c>
      <c r="AG101" s="189">
        <f>AF101/AD101</f>
        <v>2478.8</v>
      </c>
      <c r="AH101" s="235">
        <f t="shared" si="58"/>
        <v>2595</v>
      </c>
      <c r="AI101" s="188"/>
      <c r="AJ101" s="188"/>
      <c r="AK101" s="188"/>
      <c r="AL101" s="188"/>
    </row>
    <row r="102">
      <c r="A102" s="203" t="s">
        <v>2803</v>
      </c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7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166"/>
    </row>
    <row r="103" outlineLevel="1">
      <c r="A103" s="204" t="s">
        <v>2271</v>
      </c>
      <c r="B103" s="169"/>
      <c r="C103" s="18">
        <f>IFERROR(VLOOKUP($A103,'Мои блогеры'!$A:$N,5,0),"")</f>
        <v>15900</v>
      </c>
      <c r="D103" s="171" t="str">
        <f>IFERROR(VLOOKUP($A103,'Мои блогеры'!$A:$N,2,0),"")</f>
        <v>VK</v>
      </c>
      <c r="E103" s="172" t="s">
        <v>2429</v>
      </c>
      <c r="F103" s="172" t="s">
        <v>2583</v>
      </c>
      <c r="G103" s="172" t="s">
        <v>2653</v>
      </c>
      <c r="H103" s="174">
        <v>46294.0</v>
      </c>
      <c r="I103" s="172" t="s">
        <v>2363</v>
      </c>
      <c r="J103" s="18">
        <f>IFERROR(VLOOKUP($A103,'Мои блогеры'!$A:$N,8,0),"")</f>
        <v>21400</v>
      </c>
      <c r="K103" s="172"/>
      <c r="L103" s="179"/>
      <c r="M103" s="18">
        <f t="shared" ref="M103:M107" si="68">IF(N($J103)+N($K103)+N($L103)=0,"",N($J103)+N($K103)+N($L103))</f>
        <v>21400</v>
      </c>
      <c r="N103" s="173"/>
      <c r="O103" s="177" t="s">
        <v>2804</v>
      </c>
      <c r="P103" s="240"/>
      <c r="Q103" s="171"/>
      <c r="R103" s="173"/>
      <c r="S103" s="177" t="s">
        <v>2805</v>
      </c>
      <c r="T103" s="176"/>
      <c r="U103" s="179">
        <v>24902.0</v>
      </c>
      <c r="V103" s="180">
        <f t="shared" ref="V103:V109" si="69">IF(N($U103)=0,"",$M103/$U103)</f>
        <v>0.8593687254</v>
      </c>
      <c r="W103" s="179">
        <v>116.0</v>
      </c>
      <c r="X103" s="179">
        <v>116.0</v>
      </c>
      <c r="Y103" s="18">
        <f>IF(N($W103)=0,"",$M103/$W103)</f>
        <v>184.4827586</v>
      </c>
      <c r="Z103" s="179">
        <v>35.0</v>
      </c>
      <c r="AA103" s="179">
        <v>6.0</v>
      </c>
      <c r="AB103" s="179">
        <v>16500.0</v>
      </c>
      <c r="AC103" s="181"/>
      <c r="AD103" s="175">
        <v>6.0</v>
      </c>
      <c r="AE103" s="179">
        <f>AB103/AD103</f>
        <v>2750</v>
      </c>
      <c r="AF103" s="18">
        <f t="shared" ref="AF103:AF107" si="70">IF(OR(N($AD103)=0,$AE103=""),"",ROUND($AD103*$AE103,0))</f>
        <v>16500</v>
      </c>
      <c r="AG103" s="18">
        <f>IF(N($AD103)=0,"",ROUND($M103/$AD103,0))</f>
        <v>3567</v>
      </c>
      <c r="AH103" s="18">
        <f>IF(N($AA103)=0,"",ROUND($M103/$AA103,0))</f>
        <v>3567</v>
      </c>
      <c r="AI103" s="172" t="s">
        <v>2558</v>
      </c>
      <c r="AJ103" s="173"/>
      <c r="AK103" s="171"/>
      <c r="AL103" s="172" t="s">
        <v>2670</v>
      </c>
    </row>
    <row r="104" ht="25.5" customHeight="1" outlineLevel="1">
      <c r="A104" s="269" t="s">
        <v>64</v>
      </c>
      <c r="B104" s="192"/>
      <c r="C104" s="18">
        <f>IFERROR(VLOOKUP($A104,'Мои блогеры'!$A:$N,5,0),"")</f>
        <v>33000</v>
      </c>
      <c r="D104" s="185" t="s">
        <v>61</v>
      </c>
      <c r="E104" s="172" t="s">
        <v>2429</v>
      </c>
      <c r="F104" s="172" t="s">
        <v>2583</v>
      </c>
      <c r="G104" s="172" t="s">
        <v>2387</v>
      </c>
      <c r="H104" s="174">
        <v>46294.0</v>
      </c>
      <c r="I104" s="172" t="s">
        <v>2363</v>
      </c>
      <c r="J104" s="18">
        <f>IFERROR(VLOOKUP($A104,'Мои блогеры'!$A:$N,8,0),"")</f>
        <v>50000</v>
      </c>
      <c r="K104" s="172">
        <f>J104*0.07</f>
        <v>3500</v>
      </c>
      <c r="L104" s="179"/>
      <c r="M104" s="18">
        <f t="shared" si="68"/>
        <v>53500</v>
      </c>
      <c r="N104" s="173"/>
      <c r="O104" s="177" t="s">
        <v>2806</v>
      </c>
      <c r="P104" s="177" t="s">
        <v>2807</v>
      </c>
      <c r="Q104" s="171"/>
      <c r="R104" s="173"/>
      <c r="S104" s="177" t="s">
        <v>2808</v>
      </c>
      <c r="T104" s="176"/>
      <c r="U104" s="179">
        <v>88000.0</v>
      </c>
      <c r="V104" s="180">
        <f t="shared" si="69"/>
        <v>0.6079545455</v>
      </c>
      <c r="W104" s="179" t="s">
        <v>2367</v>
      </c>
      <c r="X104" s="179" t="s">
        <v>2367</v>
      </c>
      <c r="Y104" s="175" t="s">
        <v>2367</v>
      </c>
      <c r="Z104" s="176"/>
      <c r="AA104" s="176"/>
      <c r="AB104" s="176"/>
      <c r="AC104" s="181"/>
      <c r="AD104" s="18"/>
      <c r="AE104" s="176"/>
      <c r="AF104" s="18" t="str">
        <f t="shared" si="70"/>
        <v/>
      </c>
      <c r="AG104" s="18"/>
      <c r="AH104" s="18"/>
      <c r="AI104" s="172" t="s">
        <v>2558</v>
      </c>
      <c r="AJ104" s="252"/>
      <c r="AK104" s="253"/>
      <c r="AL104" s="172" t="s">
        <v>2809</v>
      </c>
    </row>
    <row r="105" outlineLevel="1">
      <c r="A105" s="204" t="s">
        <v>2011</v>
      </c>
      <c r="B105" s="169"/>
      <c r="C105" s="18">
        <f>IFERROR(VLOOKUP($A105,'Мои блогеры'!$A:$N,5,0),"")</f>
        <v>16912</v>
      </c>
      <c r="D105" s="171" t="str">
        <f>IFERROR(VLOOKUP($A105,'Мои блогеры'!$A:$N,2,0),"")</f>
        <v>MAX</v>
      </c>
      <c r="E105" s="172" t="s">
        <v>2429</v>
      </c>
      <c r="F105" s="172"/>
      <c r="G105" s="172" t="s">
        <v>2653</v>
      </c>
      <c r="H105" s="270">
        <v>46293.0</v>
      </c>
      <c r="I105" s="172" t="s">
        <v>2363</v>
      </c>
      <c r="J105" s="18">
        <f>IFERROR(VLOOKUP($A105,'Мои блогеры'!$A:$N,8,0),"")</f>
        <v>15000</v>
      </c>
      <c r="K105" s="173">
        <f>J105*0.09</f>
        <v>1350</v>
      </c>
      <c r="L105" s="176"/>
      <c r="M105" s="18">
        <f t="shared" si="68"/>
        <v>16350</v>
      </c>
      <c r="N105" s="173"/>
      <c r="O105" s="177" t="s">
        <v>2810</v>
      </c>
      <c r="P105" s="226"/>
      <c r="Q105" s="171"/>
      <c r="R105" s="173"/>
      <c r="S105" s="177" t="s">
        <v>2811</v>
      </c>
      <c r="T105" s="176"/>
      <c r="U105" s="179">
        <v>8600.0</v>
      </c>
      <c r="V105" s="180">
        <f t="shared" si="69"/>
        <v>1.901162791</v>
      </c>
      <c r="W105" s="179">
        <v>52.0</v>
      </c>
      <c r="X105" s="179">
        <v>52.0</v>
      </c>
      <c r="Y105" s="18">
        <f t="shared" ref="Y105:Y108" si="71">IF(N($W105)=0,"",$M105/$W105)</f>
        <v>314.4230769</v>
      </c>
      <c r="Z105" s="179">
        <v>12.0</v>
      </c>
      <c r="AA105" s="179">
        <v>5.0</v>
      </c>
      <c r="AB105" s="179">
        <f>6100+7800</f>
        <v>13900</v>
      </c>
      <c r="AC105" s="181"/>
      <c r="AD105" s="175">
        <v>5.0</v>
      </c>
      <c r="AE105" s="179">
        <f>AB105/AD105</f>
        <v>2780</v>
      </c>
      <c r="AF105" s="18">
        <f t="shared" si="70"/>
        <v>13900</v>
      </c>
      <c r="AG105" s="18">
        <f t="shared" ref="AG105:AG107" si="72">IF(N($AD105)=0,"",ROUND($M105/$AD105,0))</f>
        <v>3270</v>
      </c>
      <c r="AH105" s="18">
        <f t="shared" ref="AH105:AH109" si="73">IF(N($AA105)=0,"",ROUND($M105/$AA105,0))</f>
        <v>3270</v>
      </c>
      <c r="AI105" s="172" t="s">
        <v>2558</v>
      </c>
      <c r="AJ105" s="173"/>
      <c r="AK105" s="171"/>
      <c r="AL105" s="172" t="s">
        <v>2809</v>
      </c>
    </row>
    <row r="106" outlineLevel="1">
      <c r="A106" s="204" t="s">
        <v>2273</v>
      </c>
      <c r="B106" s="169"/>
      <c r="C106" s="18">
        <f>IFERROR(VLOOKUP($A106,'Мои блогеры'!$A:$N,5,0),"")</f>
        <v>11200</v>
      </c>
      <c r="D106" s="171"/>
      <c r="E106" s="172" t="s">
        <v>2429</v>
      </c>
      <c r="F106" s="172"/>
      <c r="G106" s="172" t="s">
        <v>2653</v>
      </c>
      <c r="H106" s="270">
        <v>46293.0</v>
      </c>
      <c r="I106" s="172" t="s">
        <v>2363</v>
      </c>
      <c r="J106" s="18">
        <f>IFERROR(VLOOKUP($A106,'Мои блогеры'!$A:$N,8,0),"")</f>
        <v>15000</v>
      </c>
      <c r="K106" s="173">
        <f>J106*0.07</f>
        <v>1050</v>
      </c>
      <c r="L106" s="176"/>
      <c r="M106" s="18">
        <f t="shared" si="68"/>
        <v>16050</v>
      </c>
      <c r="N106" s="173"/>
      <c r="O106" s="177" t="s">
        <v>2812</v>
      </c>
      <c r="P106" s="226"/>
      <c r="Q106" s="171"/>
      <c r="R106" s="173"/>
      <c r="S106" s="177" t="s">
        <v>2813</v>
      </c>
      <c r="T106" s="176"/>
      <c r="U106" s="179">
        <v>49700.0</v>
      </c>
      <c r="V106" s="180">
        <f t="shared" si="69"/>
        <v>0.3229376258</v>
      </c>
      <c r="W106" s="179">
        <v>99.0</v>
      </c>
      <c r="X106" s="179">
        <v>99.0</v>
      </c>
      <c r="Y106" s="18">
        <f t="shared" si="71"/>
        <v>162.1212121</v>
      </c>
      <c r="Z106" s="179">
        <v>24.0</v>
      </c>
      <c r="AA106" s="179">
        <v>1.0</v>
      </c>
      <c r="AB106" s="179">
        <v>2600.0</v>
      </c>
      <c r="AC106" s="181"/>
      <c r="AD106" s="175">
        <v>1.0</v>
      </c>
      <c r="AE106" s="179">
        <v>2600.0</v>
      </c>
      <c r="AF106" s="18">
        <f t="shared" si="70"/>
        <v>2600</v>
      </c>
      <c r="AG106" s="18">
        <f t="shared" si="72"/>
        <v>16050</v>
      </c>
      <c r="AH106" s="18">
        <f t="shared" si="73"/>
        <v>16050</v>
      </c>
      <c r="AI106" s="172" t="s">
        <v>2558</v>
      </c>
      <c r="AJ106" s="173"/>
      <c r="AK106" s="171"/>
      <c r="AL106" s="271" t="s">
        <v>2814</v>
      </c>
    </row>
    <row r="107" outlineLevel="1">
      <c r="A107" s="204" t="s">
        <v>2247</v>
      </c>
      <c r="B107" s="169"/>
      <c r="C107" s="18">
        <f>IFERROR(VLOOKUP($A107,'Мои блогеры'!$A:$N,5,0),"")</f>
        <v>33800</v>
      </c>
      <c r="D107" s="171" t="str">
        <f>IFERROR(VLOOKUP($A107,'Мои блогеры'!$A:$N,2,0),"")</f>
        <v>VK</v>
      </c>
      <c r="E107" s="172" t="s">
        <v>2429</v>
      </c>
      <c r="F107" s="172" t="s">
        <v>2583</v>
      </c>
      <c r="G107" s="172" t="s">
        <v>2643</v>
      </c>
      <c r="H107" s="174">
        <v>46294.0</v>
      </c>
      <c r="I107" s="172" t="s">
        <v>2363</v>
      </c>
      <c r="J107" s="272">
        <v>38300.0</v>
      </c>
      <c r="K107" s="173"/>
      <c r="L107" s="176"/>
      <c r="M107" s="18">
        <f t="shared" si="68"/>
        <v>38300</v>
      </c>
      <c r="N107" s="173"/>
      <c r="O107" s="177" t="s">
        <v>2812</v>
      </c>
      <c r="P107" s="240"/>
      <c r="Q107" s="171"/>
      <c r="R107" s="173"/>
      <c r="S107" s="273" t="s">
        <v>2815</v>
      </c>
      <c r="T107" s="176"/>
      <c r="U107" s="179">
        <v>118600.0</v>
      </c>
      <c r="V107" s="180">
        <f t="shared" si="69"/>
        <v>0.3229342327</v>
      </c>
      <c r="W107" s="179">
        <v>180.0</v>
      </c>
      <c r="X107" s="179">
        <v>180.0</v>
      </c>
      <c r="Y107" s="18">
        <f t="shared" si="71"/>
        <v>212.7777778</v>
      </c>
      <c r="Z107" s="179">
        <v>65.0</v>
      </c>
      <c r="AA107" s="179">
        <v>12.0</v>
      </c>
      <c r="AB107" s="179">
        <v>31217.0</v>
      </c>
      <c r="AC107" s="181"/>
      <c r="AD107" s="175">
        <v>12.0</v>
      </c>
      <c r="AE107" s="179">
        <f>AB107/AD107</f>
        <v>2601.416667</v>
      </c>
      <c r="AF107" s="18">
        <f t="shared" si="70"/>
        <v>31217</v>
      </c>
      <c r="AG107" s="18">
        <f t="shared" si="72"/>
        <v>3192</v>
      </c>
      <c r="AH107" s="18">
        <f t="shared" si="73"/>
        <v>3192</v>
      </c>
      <c r="AI107" s="172" t="s">
        <v>2558</v>
      </c>
      <c r="AJ107" s="173"/>
      <c r="AK107" s="171"/>
      <c r="AL107" s="271" t="s">
        <v>2814</v>
      </c>
    </row>
    <row r="108" outlineLevel="1">
      <c r="A108" s="201" t="s">
        <v>2816</v>
      </c>
      <c r="B108" s="188"/>
      <c r="C108" s="189"/>
      <c r="D108" s="188"/>
      <c r="E108" s="188"/>
      <c r="F108" s="188"/>
      <c r="G108" s="188"/>
      <c r="H108" s="188"/>
      <c r="I108" s="188" t="str">
        <f>COUNTIF(I103:I107,"Вышло")&amp;" / "&amp;COUNTA(A103:A107)</f>
        <v>5 / 5</v>
      </c>
      <c r="J108" s="189">
        <f t="shared" ref="J108:M108" si="74">SUM(J103:J107)</f>
        <v>139700</v>
      </c>
      <c r="K108" s="189">
        <f t="shared" si="74"/>
        <v>5900</v>
      </c>
      <c r="L108" s="189">
        <f t="shared" si="74"/>
        <v>0</v>
      </c>
      <c r="M108" s="189">
        <f t="shared" si="74"/>
        <v>145600</v>
      </c>
      <c r="N108" s="188"/>
      <c r="O108" s="188"/>
      <c r="P108" s="188"/>
      <c r="Q108" s="188"/>
      <c r="R108" s="188"/>
      <c r="S108" s="188"/>
      <c r="T108" s="189"/>
      <c r="U108" s="189">
        <f>SUM(U103:U107)</f>
        <v>289802</v>
      </c>
      <c r="V108" s="234">
        <f t="shared" si="69"/>
        <v>0.5024119916</v>
      </c>
      <c r="W108" s="189">
        <f t="shared" ref="W108:X108" si="75">SUM(W103:W107)</f>
        <v>447</v>
      </c>
      <c r="X108" s="189">
        <f t="shared" si="75"/>
        <v>447</v>
      </c>
      <c r="Y108" s="235">
        <f t="shared" si="71"/>
        <v>325.7270694</v>
      </c>
      <c r="Z108" s="189">
        <f t="shared" ref="Z108:AB108" si="76">SUM(Z103:Z107)</f>
        <v>136</v>
      </c>
      <c r="AA108" s="189">
        <f t="shared" si="76"/>
        <v>24</v>
      </c>
      <c r="AB108" s="189">
        <f t="shared" si="76"/>
        <v>64217</v>
      </c>
      <c r="AC108" s="188"/>
      <c r="AD108" s="189">
        <f t="shared" ref="AD108:AF108" si="77">SUM(AD103:AD107)</f>
        <v>24</v>
      </c>
      <c r="AE108" s="189">
        <f t="shared" si="77"/>
        <v>10731.41667</v>
      </c>
      <c r="AF108" s="189">
        <f t="shared" si="77"/>
        <v>64217</v>
      </c>
      <c r="AG108" s="189">
        <f t="shared" ref="AG108:AG109" si="80">AF108/AD108</f>
        <v>2675.708333</v>
      </c>
      <c r="AH108" s="235">
        <f t="shared" si="73"/>
        <v>6067</v>
      </c>
      <c r="AI108" s="188"/>
      <c r="AJ108" s="188"/>
      <c r="AK108" s="188"/>
      <c r="AL108" s="188"/>
    </row>
    <row r="109" ht="15.0" customHeight="1">
      <c r="A109" s="229" t="s">
        <v>2550</v>
      </c>
      <c r="B109" s="229"/>
      <c r="C109" s="230"/>
      <c r="D109" s="229"/>
      <c r="E109" s="229"/>
      <c r="F109" s="229"/>
      <c r="G109" s="229"/>
      <c r="H109" s="229"/>
      <c r="I109" s="274">
        <v>93.0</v>
      </c>
      <c r="J109" s="230">
        <f t="shared" ref="J109:U109" si="78">J68+J36+J108+J11+J101</f>
        <v>993585</v>
      </c>
      <c r="K109" s="230">
        <f t="shared" si="78"/>
        <v>46560.85</v>
      </c>
      <c r="L109" s="230">
        <f t="shared" si="78"/>
        <v>8142</v>
      </c>
      <c r="M109" s="230">
        <f t="shared" si="78"/>
        <v>1048287.85</v>
      </c>
      <c r="N109" s="230">
        <f t="shared" si="78"/>
        <v>0</v>
      </c>
      <c r="O109" s="230">
        <f t="shared" si="78"/>
        <v>0</v>
      </c>
      <c r="P109" s="230">
        <f t="shared" si="78"/>
        <v>0</v>
      </c>
      <c r="Q109" s="230">
        <f t="shared" si="78"/>
        <v>0</v>
      </c>
      <c r="R109" s="230">
        <f t="shared" si="78"/>
        <v>0</v>
      </c>
      <c r="S109" s="230">
        <f t="shared" si="78"/>
        <v>0</v>
      </c>
      <c r="T109" s="230">
        <f t="shared" si="78"/>
        <v>0</v>
      </c>
      <c r="U109" s="230">
        <f t="shared" si="78"/>
        <v>3551610</v>
      </c>
      <c r="V109" s="275">
        <f t="shared" si="69"/>
        <v>0.2951584915</v>
      </c>
      <c r="W109" s="230">
        <f t="shared" ref="W109:AF109" si="79">W68+W36+W108+W11+W101</f>
        <v>8168</v>
      </c>
      <c r="X109" s="230">
        <f t="shared" si="79"/>
        <v>7448</v>
      </c>
      <c r="Y109" s="230">
        <f t="shared" si="79"/>
        <v>807.6041659</v>
      </c>
      <c r="Z109" s="230">
        <f t="shared" si="79"/>
        <v>2136</v>
      </c>
      <c r="AA109" s="230">
        <f t="shared" si="79"/>
        <v>364</v>
      </c>
      <c r="AB109" s="230">
        <f t="shared" si="79"/>
        <v>748571</v>
      </c>
      <c r="AC109" s="230">
        <f t="shared" si="79"/>
        <v>0</v>
      </c>
      <c r="AD109" s="230">
        <f t="shared" si="79"/>
        <v>364</v>
      </c>
      <c r="AE109" s="230">
        <f t="shared" si="79"/>
        <v>132485.1256</v>
      </c>
      <c r="AF109" s="230">
        <f t="shared" si="79"/>
        <v>748571</v>
      </c>
      <c r="AG109" s="276">
        <f t="shared" si="80"/>
        <v>2056.513736</v>
      </c>
      <c r="AH109" s="277">
        <f t="shared" si="73"/>
        <v>2880</v>
      </c>
      <c r="AI109" s="229"/>
      <c r="AJ109" s="229"/>
      <c r="AK109" s="229"/>
      <c r="AL109" s="229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6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6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6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78"/>
      <c r="D113" s="278"/>
      <c r="E113" s="279"/>
      <c r="F113" s="279"/>
      <c r="G113" s="279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6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78"/>
      <c r="D114" s="278"/>
      <c r="E114" s="279"/>
      <c r="F114" s="279"/>
      <c r="G114" s="279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6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80"/>
      <c r="D115" s="279"/>
      <c r="E115" s="279"/>
      <c r="F115" s="279"/>
      <c r="G115" s="279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6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81"/>
      <c r="D116" s="282"/>
      <c r="E116" s="279"/>
      <c r="F116" s="279"/>
      <c r="G116" s="279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6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81"/>
      <c r="D117" s="282"/>
      <c r="E117" s="279"/>
      <c r="F117" s="279"/>
      <c r="G117" s="279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6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81"/>
      <c r="D118" s="282"/>
      <c r="E118" s="278"/>
      <c r="F118" s="279"/>
      <c r="G118" s="279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6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81"/>
      <c r="D119" s="282"/>
      <c r="E119" s="278"/>
      <c r="F119" s="279"/>
      <c r="G119" s="279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6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81"/>
      <c r="D120" s="282"/>
      <c r="E120" s="278"/>
      <c r="F120" s="279"/>
      <c r="G120" s="279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6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83"/>
      <c r="D121" s="282"/>
      <c r="E121" s="279"/>
      <c r="F121" s="279"/>
      <c r="G121" s="279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6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81"/>
      <c r="D122" s="282"/>
      <c r="E122" s="279"/>
      <c r="F122" s="279"/>
      <c r="G122" s="279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6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81"/>
      <c r="D123" s="282"/>
      <c r="E123" s="279"/>
      <c r="F123" s="279"/>
      <c r="G123" s="279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6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81"/>
      <c r="D124" s="282"/>
      <c r="E124" s="279"/>
      <c r="F124" s="279"/>
      <c r="G124" s="279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6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6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6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6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6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6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6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6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6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6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6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6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6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6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6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6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6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6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6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6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6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6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6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6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6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6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6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6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6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6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6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6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6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6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6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6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6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6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6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6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6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6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6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6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6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6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6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6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6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6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6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6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6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6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6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6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6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6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6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6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6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6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6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6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6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6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6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6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6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6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6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6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6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6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6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6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6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6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6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6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6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6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6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6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6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6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6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6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6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6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6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6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6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6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6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6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6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6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6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6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6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6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6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6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6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6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6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6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6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6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6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6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6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6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6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6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6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6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6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6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6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6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6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6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6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6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6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6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6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6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6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6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6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6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6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6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6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6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6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6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6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6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6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6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6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6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6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6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6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6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6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6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6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6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6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6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6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6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6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6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6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6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6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6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6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6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6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6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6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6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6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6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6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6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6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6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6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6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6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6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6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6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6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6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6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6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6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6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6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6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6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6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6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6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6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6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6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6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6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6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6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6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6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6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6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6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6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6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6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6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6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6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6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6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6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6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6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6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6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6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6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6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6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6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6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6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6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6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6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6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6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6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6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6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6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6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6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6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6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6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6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6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6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6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6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6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6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6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6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6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6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6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6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6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6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6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6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6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6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6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6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6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6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6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6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6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6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6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6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6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6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6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6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6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6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6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6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6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6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6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6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6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6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6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6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6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6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6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6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6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6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6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6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6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6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6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6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6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6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6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6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6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6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6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6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6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6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6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6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6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6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6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6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6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6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6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6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6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6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6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6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6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6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6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6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6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6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6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6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6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6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6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6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6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6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6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6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6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6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6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6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6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6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6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6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6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6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6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6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6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6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6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6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6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6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6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6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6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6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6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6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6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6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6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6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6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6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6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6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6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6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6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6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6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6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6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6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6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6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6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6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6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6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6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6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6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6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6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6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6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6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6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6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6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6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6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6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6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6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6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6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6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6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6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6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6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6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6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6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6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6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6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6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6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6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6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6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6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6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6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6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6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6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6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6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6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6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6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6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6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6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6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6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6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6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6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6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6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6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6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6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6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6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6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6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6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6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6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6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6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6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6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6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6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6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6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6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6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6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6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6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6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6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6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6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6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6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6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6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6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6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6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6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6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6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6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6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6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6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6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6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6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6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6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6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6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6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6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6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6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6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6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6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6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6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6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6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6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6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6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6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6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6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6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6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6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6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6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6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6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6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6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6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6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6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6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6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6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6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6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6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6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6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6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6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6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6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6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6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6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6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6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6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6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6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6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6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6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6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6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6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6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6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6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6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6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6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6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6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6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6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6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6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6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6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6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6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6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6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6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6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6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6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6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6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6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6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6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6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6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6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6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6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6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6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6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6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6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6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6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6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6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6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6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6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6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6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6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6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6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6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6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6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6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6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6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6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6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6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6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6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6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6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6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6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6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6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6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6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6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6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6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6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6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6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6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6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6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6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6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6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6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6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6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6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6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6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6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6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6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6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6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6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6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6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6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6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6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6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6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6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6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6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6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6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6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6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6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6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6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6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6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6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6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6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6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6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6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6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6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6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6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6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6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6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6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6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6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6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6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6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6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6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6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6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6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6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6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6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6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6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6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6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6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6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6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6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6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6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6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6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6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6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6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6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6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6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6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6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6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6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6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6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6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6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6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6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6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6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6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6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6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6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6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6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6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6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6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6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6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6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6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6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6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6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6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6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6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6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6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6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6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6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6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6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6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6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6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6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6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6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6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6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6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6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6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6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6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6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6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6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6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6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6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6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6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6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6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6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6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6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6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6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6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6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6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6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6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6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6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6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6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6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6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6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6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6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6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6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6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6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6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6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6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6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6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6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6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6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6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6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6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6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6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6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6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6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6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6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6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6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6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6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6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6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6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6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6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6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6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6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6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6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</sheetData>
  <autoFilter ref="$A$5:$AL$76"/>
  <conditionalFormatting sqref="T7:T10 AE7:AE10 T13:T35 AE13:AE36 T38:T67 AE38:AE67 T70 AE70:AE100 E99 T99 E103:E104 T103 AE103 AE105:AE107">
    <cfRule type="expression" dxfId="2" priority="1">
      <formula>AND($H7="Вышло",N($Y7)=0,N($U7)=0)</formula>
    </cfRule>
  </conditionalFormatting>
  <conditionalFormatting sqref="T7:T10 AE7:AE10 T13:T35 AE13:AE36 T38:T67 AE38:AE67 T70 AE70:AE100 E99 T99 E103:E104 T103 AE103 AE105:AE107">
    <cfRule type="expression" dxfId="2" priority="2">
      <formula>AND($I7="Вышло",N($Z7)=0,N($V7)=0)</formula>
    </cfRule>
  </conditionalFormatting>
  <conditionalFormatting sqref="T7:T10 T13:T35 T38:T67 D66:D67 T70 D72 D99 T99 D103:D104 T103 D106:D107">
    <cfRule type="expression" dxfId="1" priority="3">
      <formula>AND($H7="Вышло",N($Y7)=0,N($U7)=0)</formula>
    </cfRule>
  </conditionalFormatting>
  <conditionalFormatting sqref="D121:D122">
    <cfRule type="expression" dxfId="3" priority="4">
      <formula>ISNUMBER(SEARCH("OK",#ref!))</formula>
    </cfRule>
  </conditionalFormatting>
  <conditionalFormatting sqref="D121:D122">
    <cfRule type="expression" dxfId="0" priority="5">
      <formula>OR(ISNUMBER(SEARCH("ПРЕВЫШЕН",#ref!)),ISNUMBER(SEARCH("ВЫШЕ",#ref!)))</formula>
    </cfRule>
  </conditionalFormatting>
  <conditionalFormatting sqref="D116">
    <cfRule type="expression" dxfId="3" priority="6">
      <formula>ISNUMBER(SEARCH("OK",D116))</formula>
    </cfRule>
  </conditionalFormatting>
  <conditionalFormatting sqref="D116">
    <cfRule type="expression" dxfId="0" priority="7">
      <formula>OR(ISNUMBER(SEARCH("ПРЕВЫШЕН",D116)),ISNUMBER(SEARCH("ВЫШЕ",D116)))</formula>
    </cfRule>
  </conditionalFormatting>
  <conditionalFormatting sqref="G10 J10 G13:G19 V13:V35 B15 C15:E23 F15:F19 H15:H19 I15:I18 J15:U15 W15:AH15 J24 AE25 AE35 V43:V45 E44 D66:D67 E70 D72 B99:AH99 Y101 B103:C103 D103:E104 F103:U103 V103:V107 W103:X103 Y103:Y108 Z103:AE103 AF103:AF106 AG103:AH103 AE105 D106:D107 AE107">
    <cfRule type="expression" dxfId="0" priority="8">
      <formula>AND($H10="Вышло",$G10="")</formula>
    </cfRule>
  </conditionalFormatting>
  <conditionalFormatting sqref="G10 J10 G13:G19 V13:V35 B15 C15:E23 F15:F19 H15:H19 I15:I18 J15:U15 W15:AH15 J24 AE25 AE35 V43:V45 E44 E70 B99:AH99 Y101 B103:D103 E103:E104 F103:U103 V103:V107 W103:X103 Y103:Y108 Z103:AE103 AF103:AF106 AG103:AH103 AE105 AE107">
    <cfRule type="expression" dxfId="2" priority="9">
      <formula>AND($H10="Вышло",N($Z10)=0,N($V10)=0)</formula>
    </cfRule>
  </conditionalFormatting>
  <conditionalFormatting sqref="AI7:AK10 G10 J10 G13:G19 V13:V35 AI13:AI35 AJ13:AJ19 AK13:AK18 B15 C15:E23 F15:F19 H15:H19 I15:I18 J15:U15 W15:AH15 AL15 J24 AJ24:AK35 AE25 AE35 AI38:AI43 AJ41:AK42 V43:V45 E44 AI51:AI52 AI66:AI67 E70 AI70:AI73 AJ70:AK70 AI75:AI100 B99:AH99 AJ99:AL99 Y101 B103:D103 E103:E104 F103:U103 V103:V107 W103:X103 Y103:Y108 Z103:AE103 AF103:AF106 AG103:AL103 AE105 AI105:AI106 AE107">
    <cfRule type="expression" dxfId="0" priority="10">
      <formula>AND($I7="Вышло",$H7="")</formula>
    </cfRule>
  </conditionalFormatting>
  <conditionalFormatting sqref="AI7:AK10 G10 J10 G13:G19 V13:V35 AI13:AI35 AJ13:AJ19 AK13:AK18 B15 C15:E23 F15:F19 H15:H19 I15:I18 J15:U15 W15:AH15 AL15 J24 AJ24:AK35 AE25 AE35 AI38:AI43 AJ41:AK42 V43:V45 E44 AI51:AI52 AI66:AI67 E70 AI70:AI73 AJ70:AK70 AI75:AI100 B99:AH99 AJ99:AL99 Y101 B103:D103 E103:E104 F103:U103 V103:V107 W103:X103 Y103:Y108 Z103:AE103 AF103:AF106 AG103:AL103 AE105 AI105:AI106 AE107">
    <cfRule type="expression" dxfId="2" priority="11">
      <formula>AND($I7="Вышло",N($AA7)=0,N($W7)=0)</formula>
    </cfRule>
  </conditionalFormatting>
  <conditionalFormatting sqref="B10:G10 D13:D15 V13:V14 V16:V17 D19:D24 V19:V20 V22:V23 B24:C24 E24:F24 G24:G29 V26 D43:D54 V51:V52 D66:D67 V66 D70 D72 D99 D103:D104 D106:D107">
    <cfRule type="expression" dxfId="0" priority="12">
      <formula>AND($H10="Вышло",$G10="")</formula>
    </cfRule>
  </conditionalFormatting>
  <conditionalFormatting sqref="B10:G10 D13:D15 V13:V14 AA15 V16:V17 D19:D24 V19:V20 V22:V23 B24:C24 E24:F24 G24:G29 V26 D43:D54 V51:V52 D66:D67 V66 D70 D72 D99 J99 AA99 D103:D104 AA103 D106:D107">
    <cfRule type="expression" dxfId="1" priority="13">
      <formula>AND($H10="Вышло",N($Z10)=0,N($V10)=0)</formula>
    </cfRule>
  </conditionalFormatting>
  <conditionalFormatting sqref="T7:T10 AI7:AK10 D10 G10 J10 C13:C23 D13:D24 E13:E23 G13:G19 J13:J24 M13:M24 T13:T35 V13:V35 AI13:AI35 AJ13:AJ19 AK13:AK18 B15 F15:F19 H15:H19 I15:I18 K15:L15 N15:S15 U15 W15:AC15 AJ24:AK35 J38:J51 T38:T67 AI38:AI43 AJ41:AK42 C43:D54 M43:M54 V43:V45 Y43:Y44 B44 E44:G44 H44:H45 I44 K44:L44 N44:S44 U44 W44:X44 Z44:AC44 E49:E67 F49:F50 I49:I50 V51:V52 AI51:AI52 J53:J55 F61:F63 D66:D67 F66:F67 I66:J67 M66:M67 V66 AI66:AI67 A70:C70 D70:D72 E70:E100 F70:F75 G70:H70 I70:I75 J70:J73 K70:L70 M70:M72 N70:U70 V70:V77 W70:X70 Y70:Y101 Z70:AC70 AI70:AI73 AJ70:AK70 AI75:AI100 A99:D99 F99:X99 Z99:AC99 A103:B104 C103:F107 G103:L104 M103:M107 N103:U104 V103:V107 W103:X104 Y103:Y108 Z103:AC104 AI105:AI106">
    <cfRule type="expression" dxfId="0" priority="14">
      <formula>AND(#ref!="Вышло",#ref!="")</formula>
    </cfRule>
  </conditionalFormatting>
  <conditionalFormatting sqref="T7:T10 D10 G10 J10 C13:C23 D13:D24 E13:E23 G13:G19 J13:J24 M13:M24 T13:T35 V13:V35 B15 F15:F19 H15:H19 I15:I18 K15:L15 N15:S15 U15 W15:AC15 J38:J51 T38:T67 C43:D54 M43:M54 V43:V45 Y43:Y44 B44 E44:G44 H44:H45 I44 K44:L44 N44:S44 U44 W44:X44 Z44:AC44 E49:E67 F49:F50 I49:I50 V51:V52 J53:J55 F61:F63 D66:D67 F66:F67 I66:J67 M66:M67 V66 A70:C70 D70:D72 E70:E100 F70:F75 G70:H70 I70:I75 J70:J73 K70:L70 M70:M72 N70:U70 V70:V77 W70:X70 Y70:Y101 Z70:AC70 A99:D99 F99:X99 Z99:AC99 A103:B104 C103:F107 G103:L104 M103:M107 N103:U104 V103:V107 W103:X104 Y103:Y108 Z103:AC104">
    <cfRule type="expression" dxfId="1" priority="15">
      <formula>AND(#ref!="Вышло",N(#ref!)=0,N(#ref!)=0)</formula>
    </cfRule>
  </conditionalFormatting>
  <conditionalFormatting sqref="E13:E15 V13:X14 Y13:Y35 Z13:AB14 V16:V17 E19:E23 V19:V20 W19:X19 Z19:AB19 V22:V23 V26 E44 E51:E66 V51:AB52 V66:AB66 E70 E99 E103:E104">
    <cfRule type="expression" dxfId="0" priority="16">
      <formula>AND($H13="Вышло",$G13="")</formula>
    </cfRule>
  </conditionalFormatting>
  <conditionalFormatting sqref="E13:E15 V13:X14 Y13:Y35 Z13:AB14 V16:V17 E19:E23 V19:V20 W19:X19 Z19:AB19 V22:V23 V26 E44 E51:E66 V51:AB52 V66:AB66 E70 E99 E103:E104">
    <cfRule type="expression" dxfId="1" priority="17">
      <formula>AND($H13="Вышло",N($Z13)=0,N($V13)=0)</formula>
    </cfRule>
  </conditionalFormatting>
  <conditionalFormatting sqref="J10 AA14 AA19 J24 J38:J42 J45:J51 AA52 J53:J55 M54 J66:J67 AA66 J71:J72 J99 J103:J104">
    <cfRule type="expression" dxfId="0" priority="18">
      <formula>AND($H10="Вышло",$G10="")</formula>
    </cfRule>
  </conditionalFormatting>
  <conditionalFormatting sqref="J10 AA14 AA19 J24 J38:J42 J45:J51 AA52 J53:J55 M54 J66:J67 AA66 J71:J72 J99 J103:J104">
    <cfRule type="expression" dxfId="1" priority="19">
      <formula>AND($H10="Вышло",N($Z10)=0,N($V10)=0)</formula>
    </cfRule>
  </conditionalFormatting>
  <conditionalFormatting sqref="D10 G10 J10 C13:C23 D13:D24 G13:G19 J13:J24 M13:M24 T13:T35 V13:V35 B15 E15:E23 F15:F19 H15:H19 K15:L15 N15:S15 U15 W15:AC15 J38:J51 T38:T67 C43:D54 M43:M54 V43:V45 Y43:Y44 B44 E44:G44 H44:H45 K44:L44 N44:S44 U44 W44:X44 Z44:AC44 E49:F50 V51:V52 J53:J55 F61:F63 D66:F67 J66:J67 M66:M67 V66 B70:C70 D70:D72 E70:E100 F70:F75 G70:H70 J70:J73 K70:L70 M70:M72 N70:U70 V70:V77 W70:X70 Y70:Y101 Z70:AC70 B99:D99 F99:H99 J99:X99 Z99:AC99 B103:B104 C103:F107 G103:H104 J103:L104 M103:M107 N103:U104 V103:V107 W103:X104 Y103:Y108 Z103:AC104">
    <cfRule type="expression" dxfId="0" priority="20">
      <formula>AND(#ref!="Вышло",#ref!="")</formula>
    </cfRule>
  </conditionalFormatting>
  <conditionalFormatting sqref="T7:T10 AI7:AK10 D10 G10 J10 C13:C23 D13:D24 G13:G19 J13:J24 M13:M24 T13:T35 V13:V35 AI13:AI35 AJ13:AJ19 AK13:AK18 B15 E15:E23 F15:F19 H15:H19 K15:L15 N15:S15 U15 W15:AC15 AJ24:AK35 J38:J51 T38:T67 AI38:AI43 AJ41:AK42 C43:D54 M43:M54 V43:V45 Y43:Y44 B44 E44:G44 H44:H45 K44:L44 N44:S44 U44 W44:X44 Z44:AC44 E49:F50 V51:V52 AI51:AI52 J53:J55 F61:F63 D66:F67 J66:J67 M66:M67 V66 AI66:AI67 B70:C70 D70:D72 E70:E100 F70:F75 G70:H70 J70:J73 K70:L70 M70:M72 N70:U70 V70:V77 W70:X70 Y70:Y101 Z70:AC70 AI70:AI73 AJ70:AK70 AI75:AI100 B99:D99 F99:X99 Z99:AC99 B103:B104 C103:F107 G103:H104 I103 J103:L104 M103:M107 N103:U104 V103:V107 W103:X104 Y103:Y108 Z103:AC104 AI105:AI106">
    <cfRule type="expression" dxfId="2" priority="21">
      <formula>AND(#ref!="Вышло",N(#ref!)=0,N(#ref!)=0)</formula>
    </cfRule>
  </conditionalFormatting>
  <conditionalFormatting sqref="D10 G10 J10 C13:C23 D13:D24 G13:G19 J13:J24 M13:M24 T13:T35 V13:V35 B15 E15:E23 F15:F19 H15:H19 K15:L15 N15:S15 U15 W15:AC15 J38:J51 T38:T67 C43:D54 M43:M54 V43:V45 Y43:Y44 B44 E44:G44 H44:H45 K44:L44 N44:S44 U44 W44:X44 Z44:AC44 E49:F50 V51:V52 J53:J55 F61:F63 D66:F67 J66:J67 M66:M67 V66 B70:C70 D70:D72 E70:E100 F70:F75 G70:H70 J70:J73 K70:L70 M70:M72 N70:U70 V70:V77 W70:X70 Y70:Y101 Z70:AC70 B99:D99 F99:H99 J99:X99 Z99:AC99 B103:B104 C103:F107 G103:H104 J103:L104 M103:M107 N103:U104 V103:V107 W103:X104 Y103:Y108 Z103:AC104">
    <cfRule type="expression" dxfId="0" priority="22">
      <formula>AND(#ref!="Вышло",#ref!="")</formula>
    </cfRule>
  </conditionalFormatting>
  <conditionalFormatting sqref="D10 G10 J10 C13:C23 D13:D24 G13:G19 J13:J24 M13:M24 T13:T35 V13:V35 B15 E15:E23 F15:F19 H15:H19 K15:L15 N15:S15 U15 W15:AC15 J38:J51 T38:T67 C43:D54 M43:M54 V43:V45 Y43:Y44 B44 E44:G44 H44:H45 K44:L44 N44:S44 U44 W44:X44 Z44:AC44 E49:F50 V51:V52 J53:J55 F61:F63 D66:F67 J66:J67 M66:M67 V66 B70:C70 D70:D72 E70:E100 F70:F75 G70:H70 J70:J73 K70:L70 M70:M72 N70:U70 V70:V77 W70:X70 Y70:Y101 Z70:AC70 B99:D99 F99:H99 J99:X99 Z99:AC99 B103:B104 C103:F107 G103:H104 J103:L104 M103:M107 N103:U104 V103:V107 W103:X104 Y103:Y108 Z103:AC104">
    <cfRule type="expression" dxfId="2" priority="23">
      <formula>AND(#ref!="Вышло",N(#ref!)=0,N(#ref!)=0)</formula>
    </cfRule>
  </conditionalFormatting>
  <conditionalFormatting sqref="V13:V14 V16:V17 V19:V20 V22:V23 V26 V51:V52 V66">
    <cfRule type="expression" dxfId="0" priority="24">
      <formula>AND($H13="Вышло",$G13="")</formula>
    </cfRule>
  </conditionalFormatting>
  <conditionalFormatting sqref="V13:V14 V16:V17 V19:V20 V22:V23 V26 V51:V52 V66">
    <cfRule type="expression" dxfId="2" priority="25">
      <formula>AND($H13="Вышло",N($Z13)=0,N($V13)=0)</formula>
    </cfRule>
  </conditionalFormatting>
  <conditionalFormatting sqref="V13:V14 V16:V17 V19:V20 V22:V23 V26 V51:V52 V66">
    <cfRule type="expression" dxfId="0" priority="26">
      <formula>AND($H13="Вышло",$G13="")</formula>
    </cfRule>
  </conditionalFormatting>
  <conditionalFormatting sqref="V13:V14 V16:V17 V19:V20 V22:V23 V26 V51:V52 V66">
    <cfRule type="expression" dxfId="2" priority="27">
      <formula>AND($H13="Вышло",N($Z13)=0,N($V13)=0)</formula>
    </cfRule>
  </conditionalFormatting>
  <conditionalFormatting sqref="D10 B13:C14 D13:E15 F13:G14 H13:H15 I13:S14 T13:T15 U13:X14 Y13:Y35 Z13:AC14 V16:V17 C19:C23 D19:D24 E19:E23 H19 J19:J23 K19:L19 M19:M24 T19:U19 V19:V20 W19:X19 Z19:AC19 V22:V23 V26 C43:D54 E44 G44:G55 M48:M53 B51:B52 E51:E66 F51:F60 H51:H52 I51:I55 J51:L52 N51:AC52 G61:G67 F64:F67 B66:C66 D66:D67 H66 I66:K67 L66:AC66 D70:E70 F71:F75 G71:G82 I71:I75 J71:J73 D72 E99 G99 E103:E104 G103 G105:G106 D106:D107 F106:F107">
    <cfRule type="expression" dxfId="0" priority="28">
      <formula>AND($H10="Вышло",$G10="")</formula>
    </cfRule>
  </conditionalFormatting>
  <conditionalFormatting sqref="B10:G10 B13:C14 D13:E15 F13:G14 H13:H15 I13:S14 T13:T15 U13:X14 Y13:Y35 Z13:AC14 V16:V17 C19:E24 H19 J19:J23 K19:L19 M19:M24 T19:U19 V19:V20 W19:X19 Z19:AC19 V22:V23 B24 F24 G24:G29 V26 C43:D54 E44 G44:G55 M48:M53 B51:B52 E51:E66 F51:F60 H51:H52 I51:I55 J51:L52 N51:AC52 G61:G67 F64:F67 B66:C66 D66:D67 H66 I66:K67 L66:AC66 D70:E70 F71:F75 G71:G82 I71:I75 J71:J73 D72 E99 G99 E103:E104 G103 G105:G106 D106:D107 F106:F107">
    <cfRule type="expression" dxfId="2" priority="29">
      <formula>AND($H10="Вышло",N($Z10)=0,N($V10)=0)</formula>
    </cfRule>
  </conditionalFormatting>
  <conditionalFormatting sqref="D10 B13:C14 D13:E15 F13:G14 H13:H15 I13:S14 T13:T15 U13:X14 Y13:Y35 Z13:AC14 V16:V17 C19:C23 D19:D24 E19:E23 H19 J19:J23 K19:L19 M19:M24 T19:U19 V19:V20 W19:X19 Z19:AC19 V22:V23 V26 C43:D54 E44 G44:G55 M48:M53 B51:B52 E51:E66 F51:F60 H51:H52 I51:I55 J51:L52 N51:AC52 G61:G67 F64:F67 B66:C66 D66:D67 H66 I66:K67 L66:AC66 D70:E70 F71:F75 G71:G82 I71:I75 J71:J73 D72 E99 G99 E103:E104 G103 G105:G106 D106:D107 F106:F107">
    <cfRule type="expression" dxfId="0" priority="30">
      <formula>AND($H10="Вышло",$G10="")</formula>
    </cfRule>
  </conditionalFormatting>
  <conditionalFormatting sqref="D10 B13:C14 D13:E15 F13:G14 H13:H15 I13:S14 T13:T15 U13:X14 Y13:Y35 Z13:AC14 V16:V17 C19:C23 D19:D24 E19:E23 H19 J19:J23 K19:L19 M19:M24 T19:U19 V19:V20 W19:X19 Z19:AC19 V22:V23 V26 C43:D54 E44 G44:G55 M48:M53 B51:B52 E51:E66 F51:F60 H51:H52 I51:I55 J51:L52 N51:AC52 G61:G67 F64:F67 B66:C66 D66:D67 H66 I66:K67 L66:AC66 D70:E70 F71:F75 G71:G82 I71:I75 J71:J73 D72 E99 G99 E103:E104 G103 G105:G106 D106:D107 F106:F107">
    <cfRule type="expression" dxfId="2" priority="31">
      <formula>AND($H10="Вышло",N($Z10)=0,N($V10)=0)</formula>
    </cfRule>
  </conditionalFormatting>
  <conditionalFormatting sqref="J10 J24 J38:J42 J45:J51 J53:J55 M54 J66:J67 J71:J72 J99 J103:J104">
    <cfRule type="expression" dxfId="0" priority="32">
      <formula>AND($H10="Вышло",$G10="")</formula>
    </cfRule>
  </conditionalFormatting>
  <conditionalFormatting sqref="J10 J24 J38:J42 J45:J51 J53:J55 M54 J66:J67 J71:J72 J99 J103:J104">
    <cfRule type="expression" dxfId="2" priority="33">
      <formula>AND($H10="Вышло",N($Z10)=0,N($V10)=0)</formula>
    </cfRule>
  </conditionalFormatting>
  <conditionalFormatting sqref="J10 J24 J38:J42 J45:J51 J53:J55 M54 J66:J67 J71:J72 J99 J103:J104">
    <cfRule type="expression" dxfId="0" priority="34">
      <formula>AND($H10="Вышло",$G10="")</formula>
    </cfRule>
  </conditionalFormatting>
  <conditionalFormatting sqref="J10 J24 J38:J42 J45:J51 J53:J55 M54 J66:J67 J71:J72 J99 J103:J104">
    <cfRule type="expression" dxfId="2" priority="35">
      <formula>AND($H10="Вышло",N($Z10)=0,N($V10)=0)</formula>
    </cfRule>
  </conditionalFormatting>
  <conditionalFormatting sqref="A7:A9 B7:B11 C7:C9 D7:AC11 A11 C11 AD11:AH11 G13:G36 I13:I36 T13:T36 Y13:Y36 H15:H36 B16:F36 J16:S36 U16:X36 Z16:AC36 AD21:AD22 A36 AD36:AH36 B38:B43 C38:E68 F38:F50 G38:G68 H38:H43 I38:I68 J38:J51 K38:L43 M38:M68 N38:S43 T38:T68 U38:U43 V38:V68 W38:AC43 B46:B50 H46:H68 K46:L50 N46:S50 U46:U50 W46:AC50 AE46:AE52 B53:B68 F53:F68 J53:L68 N53:S68 U53:U68 W53:AC68 AE55 AE61:AE63 A62:A63 AE66:AE68 A68 AD68 AF68:AI68 B70:AC101 A101 AD101:AH101 E103:E108 G103 H103:H108 J103:J106 M103:M108 B105:B108 C105:C106 D105:D108 F105:G108 I105:I108 K105:L108 N105:U108 V105:V109 W105:AC108 A108 C108 J108 AD108:AF108 AG108:AG109 AH108">
    <cfRule type="expression" dxfId="0" priority="36">
      <formula>AND($H7="Вышло",$G7="")</formula>
    </cfRule>
  </conditionalFormatting>
  <conditionalFormatting sqref="A7:A9 B7:B11 C7:C9 D7:AC11 A11 C11 AD11:AH11 G13:G36 I13:I36 T13:T36 Y13:Y36 H15:H36 B16:F36 J16:S36 U16:X36 Z16:AC36 AD21:AD22 A36 AD36:AH36 B38:B43 C38:E68 F38:F50 G38:G68 H38:H43 I38:I68 J38:J51 K38:L43 M38:M68 N38:S43 T38:T68 U38:U43 V38:V68 W38:AC43 B46:B50 H46:H68 K46:L50 N46:S50 U46:U50 W46:AC50 AE46:AE52 B53:B68 F53:F68 J53:L68 N53:S68 U53:U68 W53:AC68 AE55 AE61:AE63 A62:A63 AE66:AE68 A68 AD68 AF68:AI68 B70:AC101 A101 AD101:AH101 E103:E108 G103 H103:H108 J103:J106 M103:M108 B105:B108 C105:C106 D105:D108 F105:G108 I105:I108 K105:L108 N105:U108 V105:V109 W105:AC108 A108 C108 J108 AD108:AF108 AG108:AG109 AH108">
    <cfRule type="expression" dxfId="2" priority="37">
      <formula>AND($H7="Вышло",N($Z7)=0,N($V7)=0)</formula>
    </cfRule>
  </conditionalFormatting>
  <conditionalFormatting sqref="A7:A9 B7:B11 C7:C9 D7:AC11 A11 C11 AD11:AH11 G13:G36 I13:I36 T13:T36 Y13:Y36 H15:H36 B16:F36 J16:S36 U16:X36 Z16:AC36 AD21:AD22 A36 AD36:AH36 B38:B43 C38:E68 F38:F50 G38:G68 H38:H43 I38:I68 J38:J51 K38:L43 M38:M68 N38:S43 T38:T68 U38:U43 V38:V68 W38:AC43 B46:B50 H46:H68 K46:L50 N46:S50 U46:U50 W46:AC50 AE46:AE52 B53:B68 F53:F68 J53:L68 N53:S68 U53:U68 W53:AC68 AE55 AE61:AE63 A62:A63 AE66:AE68 A68 AD68 AF68:AI68 B70:AC101 A101 AD101:AH101 E103:E108 G103 H103:H108 J103:J106 M103:M108 B105:B108 C105:C106 D105:D108 F105:G108 I105:I108 K105:L108 N105:U108 V105:V109 W105:AC108 A108 C108 J108 AD108:AF108 AG108:AG109 AH108">
    <cfRule type="expression" dxfId="0" priority="38">
      <formula>AND($H7="Вышло",$G7="")</formula>
    </cfRule>
  </conditionalFormatting>
  <conditionalFormatting sqref="A7:A9 B7:B11 C7:C9 D7:AC11 A11 C11 AD11:AH11 G13:G36 I13:I36 T13:T36 Y13:Y36 H15:H36 B16:F36 J16:S36 U16:X36 Z16:AC36 AD21:AD22 A36 AD36:AH36 B38:B43 C38:E68 F38:F50 G38:G68 H38:H43 I38:I68 J38:J51 K38:L43 M38:M68 N38:S43 T38:T68 U38:U43 V38:V68 W38:AC43 B46:B50 H46:H68 K46:L50 N46:S50 U46:U50 W46:AC50 AE46:AE52 B53:B68 F53:F68 J53:L68 N53:S68 U53:U68 W53:AC68 AE55 AE61:AE63 A62:A63 AE66:AE68 A68 AD68 AF68:AI68 B70:AC101 A101 AD101:AH101 E103:E108 G103 H103:H108 J103:J106 M103:M108 B105:B108 C105:C106 D105:D108 F105:G108 I105:I108 K105:L108 N105:U108 V105:V109 W105:AC108 A108 C108 J108 AD108:AF108 AG108:AG109 AH108">
    <cfRule type="expression" dxfId="2" priority="39">
      <formula>AND($H7="Вышло",N($Z7)=0,N($V7)=0)</formula>
    </cfRule>
  </conditionalFormatting>
  <conditionalFormatting sqref="D10 G10 J10 C13:C23 D13:D24 G13:G19 J13:J24 M13:M24 T13:T35 V13:V35 B15 E15:E23 H15:H19 K15:L15 N15:S15 U15 W15:AH15 AE25 AE35 J38:J51 T38:T67 C43:D54 M43:M54 V43:V45 Y43:Y44 B44 E44 G44 H44:H45 K44:L44 N44:S44 U44 W44:X44 Z44:AH44 E49:E50 V51:V52 J53:J55 AE60 D66:E67 J66:J67 M66:M67 V66 B70:C70 D70:D72 E70:E100 G70:H70 J70:J73 K70:L70 M70:M72 N70:U70 V70:V77 W70:X70 Y70:Y101 Z70:AD70 AE70:AE100 AF70:AH70 B99:D99 G99:H99 J99:X99 Z99:AD99 AF99:AH99 B103:B104 C103:E107 G103:H104 J103:L104 M103:M107 N103:U104 V103:V107 W103:X104 Y103:Y108 Z103:AD104 AE103:AE107 AF103:AF106 AG103:AH104">
    <cfRule type="expression" dxfId="0" priority="40">
      <formula>AND(#ref!="Вышло",#ref!="")</formula>
    </cfRule>
  </conditionalFormatting>
  <conditionalFormatting sqref="D10 G10 J10 C13:C23 D13:D24 G13:G19 J13:J24 M13:M24 T13:T35 V13:V35 B15 E15:E23 H15:H19 K15:L15 N15:S15 U15 W15:AH15 AE25 AE35 J38:J51 T38:T67 C43:D54 M43:M54 V43:V45 Y43:Y44 B44 E44 G44 H44:H45 K44:L44 N44:S44 U44 W44:X44 Z44:AH44 E49:E50 V51:V52 J53:J55 AE60 D66:E67 J66:J67 M66:M67 V66 B70:C70 D70:D72 E70:E100 G70:H70 J70:J73 K70:L70 M70:M72 N70:U70 V70:V77 W70:X70 Y70:Y101 Z70:AD70 AE70:AE100 AF70:AH70 B99:D99 G99:H99 J99:X99 Z99:AD99 AF99:AH99 B103:B104 C103:E107 G103:H104 J103:L104 M103:M107 N103:U104 V103:V107 W103:X104 Y103:Y108 Z103:AD104 AE103:AE107 AF103:AF106 AG103:AH104">
    <cfRule type="expression" dxfId="2" priority="41">
      <formula>AND(#ref!="Вышло",N(#ref!)=0,N(#ref!)=0)</formula>
    </cfRule>
  </conditionalFormatting>
  <conditionalFormatting sqref="D10 D13:D15 V13:V14 F15 V16:V17 D19:D24 F19 V19:V20 V22:V23 V26 D43:D54 F44 F49:F50 V51:V52 F61:F63 D66:D67 F66:F67 V66 D70:D72 F70:F75 D99 F99 D103:D104 F103:F104 D106:D107 F106:F107">
    <cfRule type="expression" dxfId="0" priority="42">
      <formula>AND(#ref!="Вышло",#ref!="")</formula>
    </cfRule>
  </conditionalFormatting>
  <conditionalFormatting sqref="D10 D13:D15 V13:V14 F15 V16:V17 D19:D24 F19 V19:V20 V22:V23 V26 D43:D54 F44 F49:F50 V51:V52 F61:F63 D66:D67 F66:F67 V66 D70:D72 F70:F75 D99 F99 D103:D104 F103:F104 D106:D107 F106:F107">
    <cfRule type="expression" dxfId="2" priority="43">
      <formula>AND(#ref!="Вышло",N(#ref!)=0,N(#ref!)=0)</formula>
    </cfRule>
  </conditionalFormatting>
  <conditionalFormatting sqref="D10 B13:C14 D13:E15 F13:G14 H13:H15 I13:S14 T13:T15 U13:X14 Y13:Y35 Z13:AC14 AD13:AD22 AE13:AE35 AF13:AH23 V16:V17 C19:C23 D19:D24 E19:E23 H19 J19:J23 K19:L19 M19:M24 T19:U19 V19:V20 W19:X19 Z19:AC19 V22:V23 V26 C43:D54 E44 G44:G55 M48:M53 B51:B52 E51:E66 F51:F60 H51:H52 I51:I55 J51:L52 N51:AE52 AF51:AF55 AG51:AH52 AE55 G61:G67 AE61:AE62 F64:F67 B66:C66 D66:D67 H66 I66:K67 L66:AD66 AE66:AE67 AF66:AH66 D70:E70 F71:F75 G71:G82 I71:I75 J71:J73 D72 E99 G99 E103:E104 G103 G105:G106 D106:D107 F106:F107">
    <cfRule type="expression" dxfId="0" priority="44">
      <formula>AND($H10="Вышло",$G10="")</formula>
    </cfRule>
  </conditionalFormatting>
  <conditionalFormatting sqref="D10 B13:C14 D13:E15 F13:G14 H13:H15 I13:S14 T13:T15 U13:X14 Y13:Y35 Z13:AC14 AD13:AD22 AE13:AE35 AF13:AH23 V16:V17 C19:C23 D19:D24 E19:E23 H19 J19:J23 K19:L19 M19:M24 T19:U19 V19:V20 W19:X19 Z19:AC19 V22:V23 V26 C43:D54 E44 G44:G55 M48:M53 B51:B52 E51:E66 F51:F60 H51:H52 I51:I55 J51:L52 N51:AE52 AF51:AF55 AG51:AH52 AE55 G61:G67 AE61:AE62 F64:F67 B66:C66 D66:D67 H66 I66:K67 L66:AD66 AE66:AE67 AF66:AH66 D70:E70 F71:F75 G71:G82 I71:I75 J71:J73 D72 E99 G99 E103:E104 G103 G105:G106 D106:D107 F106:F107">
    <cfRule type="expression" dxfId="2" priority="45">
      <formula>AND($H10="Вышло",N($Z10)=0,N($V10)=0)</formula>
    </cfRule>
  </conditionalFormatting>
  <conditionalFormatting sqref="J10 J24 J38:J42 J45:J51 J53:J55 M54 J66:J67 J71:J72 J99 J103:J104">
    <cfRule type="expression" dxfId="0" priority="46">
      <formula>AND($H10="Вышло",$G10="")</formula>
    </cfRule>
  </conditionalFormatting>
  <conditionalFormatting sqref="J10 J24 J38:J42 J45:J51 J53:J55 M54 J66:J67 J71:J72 J99 J103:J104">
    <cfRule type="expression" dxfId="2" priority="47">
      <formula>AND($H10="Вышло",N($Z10)=0,N($V10)=0)</formula>
    </cfRule>
  </conditionalFormatting>
  <conditionalFormatting sqref="A7:A9 B7:B11 C7:C9 D7:AH11 A11 C11 G13:G36 I13:I36 T13:T36 Y13:Y36 AE13:AG36 H15:H36 B16:F36 J16:S36 U16:X36 Z16:AD36 AH16:AH36 A36 B38:B43 C38:E68 F38:F50 G38:G68 H38:H43 I38:I68 J38:J51 K38:L43 M38:M68 N38:S43 T38:T68 U38:U43 V38:V68 W38:AC43 AD38:AE68 AF38:AH43 B46:B50 H46:H68 K46:L50 N46:S50 U46:U50 W46:AC50 AF46:AH50 B53:B68 F53:F68 J53:L68 N53:S68 U53:U68 W53:AC68 AF53:AH68 A62:A63 A68 AI68 B70:AH101 A101 E103:E108 G103 H103:H108 J103:J106 M103:M108 AE103 B105:B108 C105:C106 D105:D108 F105:G108 I105:I108 K105:L108 N105:U108 V105:V109 W105:AF108 AG105:AH109 A108 C108 J108">
    <cfRule type="expression" dxfId="0" priority="48">
      <formula>AND($H7="Вышло",$G7="")</formula>
    </cfRule>
  </conditionalFormatting>
  <conditionalFormatting sqref="A7:A9 B7:B11 C7:C9 D7:AH11 A11 C11 G13:G36 I13:I36 T13:T36 Y13:Y36 AE13:AG36 H15:H36 B16:F36 J16:S36 U16:X36 Z16:AD36 AH16:AH36 A36 B38:B43 C38:E68 F38:F50 G38:G68 H38:H43 I38:I68 J38:J51 K38:L43 M38:M68 N38:S43 T38:T68 U38:U43 V38:V68 W38:AC43 AD38:AE68 AF38:AH43 B46:B50 H46:H68 K46:L50 N46:S50 U46:U50 W46:AC50 AF46:AH50 B53:B68 F53:F68 J53:L68 N53:S68 U53:U68 W53:AC68 AF53:AH68 A62:A63 A68 AI68 B70:AH101 A101 E103:E108 G103 H103:H108 J103:J106 M103:M108 AE103 B105:B108 C105:C106 D105:D108 F105:G108 I105:I108 K105:L108 N105:U108 V105:V109 W105:AF108 AG105:AH109 A108 C108 J108">
    <cfRule type="expression" dxfId="2" priority="49">
      <formula>AND($H7="Вышло",N($Z7)=0,N($V7)=0)</formula>
    </cfRule>
  </conditionalFormatting>
  <conditionalFormatting sqref="D10 G10 J10 C13:C23 D13:D24 G13:G19 J13:J24 M13:M24 T13:T35 V13:V35 B15 E15:E23 H15:H19 I15:I18 K15:L15 N15:S15 U15 W15:AH15 AI15:AK18 AL15 AI24:AK35 AE25 AE35 J38:J51 T38:T67 AI38:AI42 AJ41:AK42 C43:D54 M43:M54 V43:V45 Y43:Y44 B44 E44 G44 H44:H45 I44 K44:L44 N44:S44 U44 W44:X44 Z44:AH44 AI44:AI55 AJ44:AL44 E49:E50 I49:I50 V51:V52 J53:J55 AE60 D66:E67 I66:J67 M66:M67 V66 AI66:AI67 B70:C70 D70:D72 E70:E100 G70:H70 I70:I75 J70:J73 K70:L70 M70:M72 N70:U70 V70:V77 W70:X70 Y70:Y101 Z70:AD70 AE70:AE100 AF70:AH70 AI70:AI73 AJ70:AL70 AI75:AI100 B99:D99 G99:X99 Z99:AD99 AF99:AH99 AJ99:AL99 B103:B104 C103:E107 G103:L104 M103:M107 N103:U104 V103:V107 W103:X104 Y103:Y108 Z103:AD104 AE103:AE107 AF103:AF106 AG103:AH104 AI103:AI106 AJ103:AK104 AL103:AL107">
    <cfRule type="expression" dxfId="0" priority="50">
      <formula>AND(#ref!="Вышло",#ref!="")</formula>
    </cfRule>
  </conditionalFormatting>
  <conditionalFormatting sqref="D10 G10 J10 C13:C23 D13:D24 G13:G19 J13:J24 M13:M24 T13:T35 V13:V35 B15 E15:E23 H15:H19 I15:I18 K15:L15 N15:S15 U15 W15:AH15 AI15:AK18 AL15 AI24:AK35 AE25 AE35 J38:J51 T38:T67 AI38:AI42 AJ41:AK42 C43:D54 M43:M54 V43:V45 Y43:Y44 B44 E44 G44 H44:H45 I44 K44:L44 N44:S44 U44 W44:X44 Z44:AH44 AI44:AI55 AJ44:AL44 E49:E50 I49:I50 V51:V52 J53:J55 AE60 D66:E67 I66:J67 M66:M67 V66 AI66:AI67 B70:C70 D70:D72 E70:E100 G70:H70 I70:I75 J70:J73 K70:L70 M70:M72 N70:U70 V70:V77 W70:X70 Y70:Y101 Z70:AD70 AE70:AE100 AF70:AH70 AI70:AI73 AJ70:AL70 AI75:AI100 B99:D99 G99:X99 Z99:AD99 AF99:AH99 AJ99:AL99 B103:B104 C103:E107 G103:L104 M103:M107 N103:U104 V103:V107 W103:X104 Y103:Y108 Z103:AD104 AE103:AE107 AF103:AF106 AG103:AH104 AI103:AI106 AJ103:AK104 AL103:AL107">
    <cfRule type="expression" dxfId="2" priority="51">
      <formula>AND(#ref!="Вышло",N(#ref!)=0,N(#ref!)=0)</formula>
    </cfRule>
  </conditionalFormatting>
  <conditionalFormatting sqref="D10 G10 J10 C13:C23 D13:D24 G13:G19 J13:J24 M13:M24 T13:T35 V13:V35 B15 E15:E23 F15:F19 H15:H19 I15:I18 K15:L15 N15:S15 U15 W15:AH15 AI15:AK18 AL15 AI24:AK35 AE25 AE35 T38:T67 AI38:AI42 AJ41:AK42 C43:D54 J43:J51 M43:M54 V43:V45 Y43:Y44 B44 E44:G44 H44:H45 I44 K44:L44 N44:S44 U44 W44:X44 Z44:AH44 AI44:AI55 AJ44:AL44 E49:F50 I49:I50 V51:V52 J54:J55 AE60 F61:F63 D66:F67 I66:J67 M66:M67 V66 AI66:AI67 B70:C70 D70:D72 E70:E100 F70:F75 G70:H70 I70:I75 J70:J73 K70:L70 M70:M72 N70:U70 V70:V77 W70:X70 Y70:Y101 Z70:AD70 AE70:AE100 AF70:AH70 AI70:AI73 AJ70:AL70 AI75:AI100 B99:D99 F99:X99 Z99:AD99 AF99:AH99 AJ99:AL99 B103:B104 C103:F107 G103:L104 M103:M107 N103:U104 V103:V107 W103:X104 Y103:Y108 Z103:AD104 AE103:AE107 AF103:AF106 AG103:AH104 AI103:AI106 AJ103:AK104 AL103:AL107">
    <cfRule type="expression" dxfId="0" priority="52">
      <formula>AND(#ref!="Вышло",#ref!="")</formula>
    </cfRule>
  </conditionalFormatting>
  <conditionalFormatting sqref="D10 G10 J10 C13:C23 D13:D24 G13:G19 J13:J24 M13:M24 T13:T35 V13:V35 B15 E15:E23 F15:F19 H15:H19 I15:I18 K15:L15 N15:S15 U15 W15:AH15 AI15:AK18 AL15 AI24:AK35 AE25 AE35 T38:T67 AI38:AI42 AJ41:AK42 C43:D54 J43:J51 M43:M54 V43:V45 Y43:Y44 B44 E44:G44 H44:H45 I44 K44:L44 N44:S44 U44 W44:X44 Z44:AH44 AI44:AI55 AJ44:AL44 E49:F50 I49:I50 V51:V52 J54:J55 AE60 F61:F63 D66:F67 I66:J67 M66:M67 V66 AI66:AI67 B70:C70 D70:D72 E70:E100 F70:F75 G70:H70 I70:I75 J70:J73 K70:L70 M70:M72 N70:U70 V70:V77 W70:X70 Y70:Y101 Z70:AD70 AE70:AE100 AF70:AH70 AI70:AI73 AJ70:AL70 AI75:AI100 B99:D99 F99:X99 Z99:AD99 AF99:AH99 AJ99:AL99 B103:B104 C103:F107 G103:L104 M103:M107 N103:U104 V103:V107 W103:X104 Y103:Y108 Z103:AD104 AE103:AE107 AF103:AF106 AG103:AH104 AI103:AI106 AJ103:AK104 AL103:AL107">
    <cfRule type="expression" dxfId="2" priority="53">
      <formula>AND(#ref!="Вышло",N(#ref!)=0,N(#ref!)=0)</formula>
    </cfRule>
  </conditionalFormatting>
  <conditionalFormatting sqref="B10:G10 B13:C14 D13:E15 F13:G14 H13:H15 I13:S14 T13:T15 U13:X14 Y13:Y35 Z13:AC14 AD13:AD22 AE13:AE35 AF13:AH23 AI13:AL14 V16:V17 C19:E24 H19 J19:J23 K19:L19 M19:M24 T19:U19 V19:V20 W19:X19 Z19:AC19 AI19:AI35 AJ19 V22:V23 B24 F24 G24:G29 V26 C43:D54 AI43 E44 G44:G55 M48:M53 B51:B52 E51:E66 F51:F60 H51:H52 I51:I55 J51:L52 N51:AE52 AF51:AF55 AG51:AL52 AE55 G61:G67 AE61:AE62 F64:F67 B66:C66 D66:D67 H66 I66:K67 L66:AD66 AE66:AE67 AF66:AL66 D70:E70 F71:F75 G71:G82 I71:I75 J71:J73 D72 E99 G99 E103:E104 G103 G105:G106 D106:D107 F106:F107">
    <cfRule type="expression" dxfId="0" priority="54">
      <formula>AND($I10="Вышло",$H10="")</formula>
    </cfRule>
  </conditionalFormatting>
  <conditionalFormatting sqref="B10:G10 B13:C14 D13:E15 F13:G14 H13:H15 I13:S14 T13:T15 U13:X14 Y13:Y35 Z13:AC14 AD13:AD22 AE13:AE35 AF13:AH23 AI13:AL14 V16:V17 C19:E24 H19 J19:J23 K19:L19 M19:M24 T19:U19 V19:V20 W19:X19 Z19:AC19 AI19:AI35 AJ19 V22:V23 B24 F24 G24:G29 V26 C43:D54 AI43 E44 G44:G55 M48:M53 B51:B52 E51:E66 F51:F60 H51:H52 I51:I55 J51:L52 N51:AE52 AF51:AF55 AG51:AL52 AE55 G61:G67 AE61:AE62 F64:F67 B66:C66 D66:D67 H66 I66:K67 L66:AD66 AE66:AE67 AF66:AL66 D70:E70 F71:F75 G71:G82 I71:I75 J71:J73 D72 E99 G99 E103:E104 G103 G105:G106 D106:D107 F106:F107">
    <cfRule type="expression" dxfId="2" priority="55">
      <formula>AND($I10="Вышло",N($AA10)=0,N($W10)=0)</formula>
    </cfRule>
  </conditionalFormatting>
  <conditionalFormatting sqref="J10 J24 J38:J42 J45:J51 J53:J55 M54 J66:J67 J71:J72 J99 J103:J104">
    <cfRule type="expression" dxfId="0" priority="56">
      <formula>AND($I10="Вышло",$H10="")</formula>
    </cfRule>
  </conditionalFormatting>
  <conditionalFormatting sqref="J10 J24 J38:J42 J45:J51 J53:J55 M54 J66:J67 J71:J72 J99 J103:J104">
    <cfRule type="expression" dxfId="2" priority="57">
      <formula>AND($I10="Вышло",N($AA10)=0,N($W10)=0)</formula>
    </cfRule>
  </conditionalFormatting>
  <conditionalFormatting sqref="A7:A9 B7:B10 C7:C9 D7:U10 V7:V11 W7:AG10 AH7:AH11 AI7:AL10 G13:G35 I13:I35 T13:T35 Y13:Y35 AE13:AE36 AF13:AG35 AI13:AK35 H15:H35 B16:F35 J16:S35 U16:U35 V16:V36 W16:X35 Z16:AD35 AH16:AH36 AL16:AL35 B38:B43 C38:E67 F38:F50 G38:G67 H38:H43 I38:I67 J38:J51 K38:L43 M38:M67 N38:S43 T38:T67 U38:U43 V38:V68 W38:X43 Y38:Y50 Z38:AC43 AD38:AD65 AE38:AE67 AF38:AH50 AI38:AI67 AJ38:AL43 B45:B50 H45:H67 K45:L50 N45:S50 U45:U50 W45:X50 Z45:AC50 AJ45:AL50 B53:B65 F53:F67 J53:J67 K53:L65 N53:S65 U53:U65 W53:X65 Y53:Y67 Z53:AC65 AF53:AG67 AH53:AH68 AJ53:AK65 AL53:AL67 A62:A63 B67 K67:L67 N67:S67 U67 W67:X67 Z67:AD67 AJ67:AK67 B70:U100 V70:V101 W70:X100 Y70:Y101 Z70:AG100 AH70:AH101 AI70:AL100 E103:E107 G103 H103:H107 J103:J106 M103:M107 AE103 AI103:AI107 AL103:AL107 B105:B107 C105:C106 D105:D107 F105:G107 I105:I107 K105:L107 N105:U107 V105:V109 W105:X107 Y105:Y108 Z105:AG107 AH105:AH109 AJ105:AK107">
    <cfRule type="expression" dxfId="0" priority="58">
      <formula>AND($I7="Вышло",$H7="")</formula>
    </cfRule>
  </conditionalFormatting>
  <conditionalFormatting sqref="A7:A9 B7:B10 C7:C9 D7:U10 V7:V11 W7:AG10 AH7:AH11 AI7:AL10 G13:G35 I13:I35 T13:T35 Y13:Y35 AE13:AE36 AF13:AG35 AI13:AK35 H15:H35 B16:F35 J16:S35 U16:U35 V16:V36 W16:X35 Z16:AD35 AH16:AH36 AL16:AL35 B38:B43 C38:E67 F38:F50 G38:G67 H38:H43 I38:I67 J38:J51 K38:L43 M38:M67 N38:S43 T38:T67 U38:U43 V38:V68 W38:X43 Y38:Y50 Z38:AC43 AD38:AD65 AE38:AE67 AF38:AH50 AI38:AI67 AJ38:AL43 B45:B50 H45:H67 K45:L50 N45:S50 U45:U50 W45:X50 Z45:AC50 AJ45:AL50 B53:B65 F53:F67 J53:J67 K53:L65 N53:S65 U53:U65 W53:X65 Y53:Y67 Z53:AC65 AF53:AG67 AH53:AH68 AJ53:AK65 AL53:AL67 A62:A63 B67 K67:L67 N67:S67 U67 W67:X67 Z67:AD67 AJ67:AK67 B70:U100 V70:V101 W70:X100 Y70:Y101 Z70:AG100 AH70:AH101 AI70:AL100 E103:E107 G103 H103:H107 J103:J106 M103:M107 AE103 AI103:AI107 AL103:AL107 B105:B107 C105:C106 D105:D107 F105:G107 I105:I107 K105:L107 N105:U107 V105:V109 W105:X107 Y105:Y108 Z105:AG107 AH105:AH109 AJ105:AK107">
    <cfRule type="expression" dxfId="2" priority="59">
      <formula>AND($I7="Вышло",N($AA7)=0,N($W7)=0)</formula>
    </cfRule>
  </conditionalFormatting>
  <dataValidations>
    <dataValidation type="list" allowBlank="1" showErrorMessage="1" sqref="AI7:AI10 AI13:AI35 AI38:AI67 AI70:AI100 AI103:AI107">
      <formula1>"Aminotrigger-Fish,Аппликатор Ермакова,Клёвое Место - бот,Зеленый доктор - бот,опрос подарок"</formula1>
    </dataValidation>
    <dataValidation type="list" allowBlank="1" sqref="D7:E10 D11 D13:E35 D36 D38:E67 D68 E70 D71:E100 D101 D103:E103 E104 D105:E107 D108">
      <formula1>"WB,Ozon,Сайт"</formula1>
    </dataValidation>
    <dataValidation type="list" allowBlank="1" sqref="I7:I10 H11 I13:I35 H36 I38:I67 H68 I70:I100 H101 I103:I107 H108">
      <formula1>"Ожидаем выхода,Вышло,Перенос,Отказ,оплачено,договор на подписании"</formula1>
    </dataValidation>
    <dataValidation type="list" allowBlank="1" sqref="T7:T10 T13:T35 T38:T67 T70">
      <formula1>"Да,Нет"</formula1>
    </dataValidation>
    <dataValidation type="list" allowBlank="1" sqref="A11 A36 A68 A101 A108">
      <formula1>bloggers_list</formula1>
    </dataValidation>
    <dataValidation type="date" allowBlank="1" sqref="G7:H10 G11 G13:H35 G36 G38:H67 G68 G70:H100 G101 G103:H107 G108">
      <formula1>DATE(2026,1,1)</formula1>
      <formula2>0.0</formula2>
    </dataValidation>
  </dataValidations>
  <hyperlinks>
    <hyperlink r:id="rId1" ref="A7"/>
    <hyperlink r:id="rId2" ref="S7"/>
    <hyperlink r:id="rId3" ref="A8"/>
    <hyperlink r:id="rId4" ref="O8"/>
    <hyperlink r:id="rId5" ref="S8"/>
    <hyperlink r:id="rId6" ref="A9"/>
    <hyperlink r:id="rId7" ref="O9"/>
    <hyperlink r:id="rId8" ref="S9"/>
    <hyperlink r:id="rId9" ref="A10"/>
    <hyperlink r:id="rId10" ref="O10"/>
    <hyperlink r:id="rId11" ref="S10"/>
    <hyperlink r:id="rId12" ref="A13"/>
    <hyperlink r:id="rId13" ref="O13"/>
    <hyperlink r:id="rId14" ref="P13"/>
    <hyperlink r:id="rId15" ref="S13"/>
    <hyperlink r:id="rId16" ref="A14"/>
    <hyperlink r:id="rId17" ref="O14"/>
    <hyperlink r:id="rId18" ref="P14"/>
    <hyperlink r:id="rId19" ref="S14"/>
    <hyperlink r:id="rId20" ref="A15"/>
    <hyperlink r:id="rId21" ref="O15"/>
    <hyperlink r:id="rId22" ref="P15"/>
    <hyperlink r:id="rId23" ref="S15"/>
    <hyperlink r:id="rId24" ref="A16"/>
    <hyperlink r:id="rId25" ref="O16"/>
    <hyperlink r:id="rId26" ref="S16"/>
    <hyperlink r:id="rId27" ref="A17"/>
    <hyperlink r:id="rId28" ref="S17"/>
    <hyperlink r:id="rId29" ref="A18"/>
    <hyperlink r:id="rId30" ref="O18"/>
    <hyperlink r:id="rId31" ref="S18"/>
    <hyperlink r:id="rId32" ref="A19"/>
    <hyperlink r:id="rId33" ref="O19"/>
    <hyperlink r:id="rId34" ref="P19"/>
    <hyperlink r:id="rId35" ref="S19"/>
    <hyperlink r:id="rId36" ref="A20"/>
    <hyperlink r:id="rId37" ref="O20"/>
    <hyperlink r:id="rId38" ref="P20"/>
    <hyperlink r:id="rId39" ref="S20"/>
    <hyperlink r:id="rId40" ref="A21"/>
    <hyperlink r:id="rId41" ref="O21"/>
    <hyperlink r:id="rId42" ref="P21"/>
    <hyperlink r:id="rId43" ref="S21"/>
    <hyperlink r:id="rId44" ref="A22"/>
    <hyperlink r:id="rId45" ref="O22"/>
    <hyperlink r:id="rId46" ref="P22"/>
    <hyperlink r:id="rId47" ref="S22"/>
    <hyperlink r:id="rId48" ref="A23"/>
    <hyperlink r:id="rId49" ref="O23"/>
    <hyperlink r:id="rId50" ref="P23"/>
    <hyperlink r:id="rId51" ref="S23"/>
    <hyperlink r:id="rId52" ref="A24"/>
    <hyperlink r:id="rId53" ref="O24"/>
    <hyperlink r:id="rId54" ref="S24"/>
    <hyperlink r:id="rId55" ref="A25"/>
    <hyperlink r:id="rId56" ref="S25"/>
    <hyperlink r:id="rId57" ref="A26"/>
    <hyperlink r:id="rId58" ref="O26"/>
    <hyperlink r:id="rId59" ref="S26"/>
    <hyperlink r:id="rId60" ref="A27"/>
    <hyperlink r:id="rId61" ref="S27"/>
    <hyperlink r:id="rId62" ref="A28"/>
    <hyperlink r:id="rId63" ref="O28"/>
    <hyperlink r:id="rId64" ref="S28"/>
    <hyperlink r:id="rId65" ref="A29"/>
    <hyperlink r:id="rId66" ref="O29"/>
    <hyperlink r:id="rId67" ref="S29"/>
    <hyperlink r:id="rId68" ref="A30"/>
    <hyperlink r:id="rId69" ref="O30"/>
    <hyperlink r:id="rId70" ref="P30"/>
    <hyperlink r:id="rId71" ref="S30"/>
    <hyperlink r:id="rId72" ref="A31"/>
    <hyperlink r:id="rId73" ref="O31"/>
    <hyperlink r:id="rId74" ref="P31"/>
    <hyperlink r:id="rId75" ref="S31"/>
    <hyperlink r:id="rId76" ref="A32"/>
    <hyperlink r:id="rId77" ref="O32"/>
    <hyperlink r:id="rId78" ref="P32"/>
    <hyperlink r:id="rId79" ref="S32"/>
    <hyperlink r:id="rId80" ref="A33"/>
    <hyperlink r:id="rId81" ref="O33"/>
    <hyperlink r:id="rId82" ref="P33"/>
    <hyperlink r:id="rId83" ref="S33"/>
    <hyperlink r:id="rId84" ref="A34"/>
    <hyperlink r:id="rId85" ref="O34"/>
    <hyperlink r:id="rId86" ref="P34"/>
    <hyperlink r:id="rId87" ref="S34"/>
    <hyperlink r:id="rId88" ref="A35"/>
    <hyperlink r:id="rId89" ref="O35"/>
    <hyperlink r:id="rId90" ref="P35"/>
    <hyperlink r:id="rId91" ref="S35"/>
    <hyperlink r:id="rId92" ref="A38"/>
    <hyperlink r:id="rId93" ref="S38"/>
    <hyperlink r:id="rId94" ref="A39"/>
    <hyperlink r:id="rId95" ref="S39"/>
    <hyperlink r:id="rId96" ref="A40"/>
    <hyperlink r:id="rId97" ref="S40"/>
    <hyperlink r:id="rId98" ref="A41"/>
    <hyperlink r:id="rId99" ref="S41"/>
    <hyperlink r:id="rId100" ref="A42"/>
    <hyperlink r:id="rId101" ref="S42"/>
    <hyperlink r:id="rId102" ref="A43"/>
    <hyperlink r:id="rId103" ref="O43"/>
    <hyperlink r:id="rId104" ref="S43"/>
    <hyperlink r:id="rId105" ref="A44"/>
    <hyperlink r:id="rId106" ref="O44"/>
    <hyperlink r:id="rId107" ref="S44"/>
    <hyperlink r:id="rId108" ref="A45"/>
    <hyperlink r:id="rId109" ref="O45"/>
    <hyperlink r:id="rId110" ref="S45"/>
    <hyperlink r:id="rId111" ref="A46"/>
    <hyperlink r:id="rId112" ref="O46"/>
    <hyperlink r:id="rId113" ref="S46"/>
    <hyperlink r:id="rId114" ref="A47"/>
    <hyperlink r:id="rId115" ref="O47"/>
    <hyperlink r:id="rId116" ref="S47"/>
    <hyperlink r:id="rId117" ref="A48"/>
    <hyperlink r:id="rId118" ref="O48"/>
    <hyperlink r:id="rId119" ref="S48"/>
    <hyperlink r:id="rId120" ref="A49"/>
    <hyperlink r:id="rId121" ref="O49"/>
    <hyperlink r:id="rId122" ref="S49"/>
    <hyperlink r:id="rId123" ref="A50"/>
    <hyperlink r:id="rId124" ref="O50"/>
    <hyperlink r:id="rId125" ref="S50"/>
    <hyperlink r:id="rId126" ref="A51"/>
    <hyperlink r:id="rId127" ref="O51"/>
    <hyperlink r:id="rId128" ref="P51"/>
    <hyperlink r:id="rId129" ref="S51"/>
    <hyperlink r:id="rId130" ref="A52"/>
    <hyperlink r:id="rId131" ref="O52"/>
    <hyperlink r:id="rId132" ref="P52"/>
    <hyperlink r:id="rId133" ref="S52"/>
    <hyperlink r:id="rId134" ref="A53"/>
    <hyperlink r:id="rId135" ref="O53"/>
    <hyperlink r:id="rId136" ref="P53"/>
    <hyperlink r:id="rId137" ref="S53"/>
    <hyperlink r:id="rId138" ref="A54"/>
    <hyperlink r:id="rId139" ref="O54"/>
    <hyperlink r:id="rId140" ref="P54"/>
    <hyperlink r:id="rId141" ref="S54"/>
    <hyperlink r:id="rId142" ref="A55"/>
    <hyperlink r:id="rId143" ref="O55"/>
    <hyperlink r:id="rId144" ref="P55"/>
    <hyperlink r:id="rId145" ref="S55"/>
    <hyperlink r:id="rId146" ref="A56"/>
    <hyperlink r:id="rId147" ref="S56"/>
    <hyperlink r:id="rId148" ref="A57"/>
    <hyperlink r:id="rId149" ref="S57"/>
    <hyperlink r:id="rId150" ref="A58"/>
    <hyperlink r:id="rId151" ref="S58"/>
    <hyperlink r:id="rId152" ref="A59"/>
    <hyperlink r:id="rId153" ref="S59"/>
    <hyperlink r:id="rId154" ref="A60"/>
    <hyperlink r:id="rId155" ref="S60"/>
    <hyperlink r:id="rId156" ref="A61"/>
    <hyperlink r:id="rId157" ref="O61"/>
    <hyperlink r:id="rId158" ref="S61"/>
    <hyperlink r:id="rId159" ref="A62"/>
    <hyperlink r:id="rId160" ref="O62"/>
    <hyperlink r:id="rId161" ref="S62"/>
    <hyperlink r:id="rId162" ref="A63"/>
    <hyperlink r:id="rId163" ref="O63"/>
    <hyperlink r:id="rId164" ref="S63"/>
    <hyperlink r:id="rId165" ref="A64"/>
    <hyperlink r:id="rId166" ref="O64"/>
    <hyperlink r:id="rId167" ref="S64"/>
    <hyperlink r:id="rId168" ref="A65"/>
    <hyperlink r:id="rId169" ref="O65"/>
    <hyperlink r:id="rId170" ref="S65"/>
    <hyperlink r:id="rId171" ref="A66"/>
    <hyperlink r:id="rId172" ref="O66"/>
    <hyperlink r:id="rId173" ref="S66"/>
    <hyperlink r:id="rId174" ref="A67"/>
    <hyperlink r:id="rId175" ref="O67"/>
    <hyperlink r:id="rId176" ref="S67"/>
    <hyperlink r:id="rId177" ref="A70"/>
    <hyperlink r:id="rId178" ref="O70"/>
    <hyperlink r:id="rId179" ref="S70"/>
    <hyperlink r:id="rId180" ref="A71"/>
    <hyperlink r:id="rId181" ref="O71"/>
    <hyperlink r:id="rId182" ref="S71"/>
    <hyperlink r:id="rId183" ref="A72"/>
    <hyperlink r:id="rId184" ref="O72"/>
    <hyperlink r:id="rId185" ref="P72"/>
    <hyperlink r:id="rId186" ref="S72"/>
    <hyperlink r:id="rId187" ref="A73"/>
    <hyperlink r:id="rId188" ref="O73"/>
    <hyperlink r:id="rId189" ref="P73"/>
    <hyperlink r:id="rId190" ref="S73"/>
    <hyperlink r:id="rId191" ref="A74"/>
    <hyperlink r:id="rId192" ref="O74"/>
    <hyperlink r:id="rId193" ref="P74"/>
    <hyperlink r:id="rId194" ref="S74"/>
    <hyperlink r:id="rId195" ref="A75"/>
    <hyperlink r:id="rId196" ref="O75"/>
    <hyperlink r:id="rId197" ref="P75"/>
    <hyperlink r:id="rId198" ref="S75"/>
    <hyperlink r:id="rId199" ref="A76"/>
    <hyperlink r:id="rId200" ref="O76"/>
    <hyperlink r:id="rId201" ref="P76"/>
    <hyperlink r:id="rId202" ref="S76"/>
    <hyperlink r:id="rId203" ref="A77"/>
    <hyperlink r:id="rId204" ref="O77"/>
    <hyperlink r:id="rId205" ref="P77"/>
    <hyperlink r:id="rId206" ref="S77"/>
    <hyperlink r:id="rId207" ref="A78"/>
    <hyperlink r:id="rId208" ref="O78"/>
    <hyperlink r:id="rId209" ref="P78"/>
    <hyperlink r:id="rId210" ref="S78"/>
    <hyperlink r:id="rId211" ref="A79"/>
    <hyperlink r:id="rId212" ref="O79"/>
    <hyperlink r:id="rId213" ref="P79"/>
    <hyperlink r:id="rId214" ref="S79"/>
    <hyperlink r:id="rId215" ref="A80"/>
    <hyperlink r:id="rId216" ref="O80"/>
    <hyperlink r:id="rId217" ref="P80"/>
    <hyperlink r:id="rId218" ref="S80"/>
    <hyperlink r:id="rId219" ref="A81"/>
    <hyperlink r:id="rId220" ref="O81"/>
    <hyperlink r:id="rId221" ref="P81"/>
    <hyperlink r:id="rId222" ref="S81"/>
    <hyperlink r:id="rId223" ref="A82"/>
    <hyperlink r:id="rId224" ref="O82"/>
    <hyperlink r:id="rId225" ref="P82"/>
    <hyperlink r:id="rId226" ref="S82"/>
    <hyperlink r:id="rId227" ref="A83"/>
    <hyperlink r:id="rId228" ref="O83"/>
    <hyperlink r:id="rId229" ref="P83"/>
    <hyperlink r:id="rId230" ref="S83"/>
    <hyperlink r:id="rId231" ref="A84"/>
    <hyperlink r:id="rId232" ref="O84"/>
    <hyperlink r:id="rId233" ref="P84"/>
    <hyperlink r:id="rId234" ref="S84"/>
    <hyperlink r:id="rId235" ref="A85"/>
    <hyperlink r:id="rId236" ref="O85"/>
    <hyperlink r:id="rId237" ref="P85"/>
    <hyperlink r:id="rId238" ref="S85"/>
    <hyperlink r:id="rId239" ref="A86"/>
    <hyperlink r:id="rId240" ref="O86"/>
    <hyperlink r:id="rId241" ref="P86"/>
    <hyperlink r:id="rId242" ref="S86"/>
    <hyperlink r:id="rId243" ref="A87"/>
    <hyperlink r:id="rId244" ref="O87"/>
    <hyperlink r:id="rId245" ref="P87"/>
    <hyperlink r:id="rId246" ref="S87"/>
    <hyperlink r:id="rId247" ref="A88"/>
    <hyperlink r:id="rId248" ref="O88"/>
    <hyperlink r:id="rId249" ref="P88"/>
    <hyperlink r:id="rId250" ref="S88"/>
    <hyperlink r:id="rId251" ref="A89"/>
    <hyperlink r:id="rId252" ref="O89"/>
    <hyperlink r:id="rId253" ref="P89"/>
    <hyperlink r:id="rId254" ref="S89"/>
    <hyperlink r:id="rId255" ref="A90"/>
    <hyperlink r:id="rId256" ref="O90"/>
    <hyperlink r:id="rId257" ref="P90"/>
    <hyperlink r:id="rId258" ref="S90"/>
    <hyperlink r:id="rId259" ref="A91"/>
    <hyperlink r:id="rId260" ref="O91"/>
    <hyperlink r:id="rId261" ref="P91"/>
    <hyperlink r:id="rId262" ref="S91"/>
    <hyperlink r:id="rId263" ref="A92"/>
    <hyperlink r:id="rId264" ref="O92"/>
    <hyperlink r:id="rId265" ref="P92"/>
    <hyperlink r:id="rId266" ref="S92"/>
    <hyperlink r:id="rId267" ref="A93"/>
    <hyperlink r:id="rId268" ref="O93"/>
    <hyperlink r:id="rId269" ref="P93"/>
    <hyperlink r:id="rId270" ref="S93"/>
    <hyperlink r:id="rId271" ref="A94"/>
    <hyperlink r:id="rId272" ref="O94"/>
    <hyperlink r:id="rId273" ref="P94"/>
    <hyperlink r:id="rId274" ref="S94"/>
    <hyperlink r:id="rId275" ref="A95"/>
    <hyperlink r:id="rId276" ref="O95"/>
    <hyperlink r:id="rId277" ref="P95"/>
    <hyperlink r:id="rId278" ref="S95"/>
    <hyperlink r:id="rId279" ref="A96"/>
    <hyperlink r:id="rId280" ref="O96"/>
    <hyperlink r:id="rId281" ref="P96"/>
    <hyperlink r:id="rId282" ref="S96"/>
    <hyperlink r:id="rId283" ref="A97"/>
    <hyperlink r:id="rId284" ref="O97"/>
    <hyperlink r:id="rId285" ref="P97"/>
    <hyperlink r:id="rId286" ref="S97"/>
    <hyperlink r:id="rId287" ref="A98"/>
    <hyperlink r:id="rId288" ref="O98"/>
    <hyperlink r:id="rId289" ref="P98"/>
    <hyperlink r:id="rId290" ref="S98"/>
    <hyperlink r:id="rId291" ref="A99"/>
    <hyperlink r:id="rId292" ref="O99"/>
    <hyperlink r:id="rId293" ref="S99"/>
    <hyperlink r:id="rId294" ref="A100"/>
    <hyperlink r:id="rId295" ref="O100"/>
    <hyperlink r:id="rId296" ref="P100"/>
    <hyperlink r:id="rId297" ref="S100"/>
    <hyperlink r:id="rId298" ref="A103"/>
    <hyperlink r:id="rId299" ref="O103"/>
    <hyperlink r:id="rId300" ref="S103"/>
    <hyperlink r:id="rId301" ref="A104"/>
    <hyperlink r:id="rId302" ref="O104"/>
    <hyperlink r:id="rId303" ref="P104"/>
    <hyperlink r:id="rId304" ref="S104"/>
    <hyperlink r:id="rId305" ref="A105"/>
    <hyperlink r:id="rId306" ref="O105"/>
    <hyperlink r:id="rId307" ref="S105"/>
    <hyperlink r:id="rId308" ref="A106"/>
    <hyperlink r:id="rId309" ref="O106"/>
    <hyperlink r:id="rId310" ref="S106"/>
    <hyperlink r:id="rId311" ref="A107"/>
    <hyperlink r:id="rId312" ref="O107"/>
    <hyperlink r:id="rId313" ref="S107"/>
  </hyperlinks>
  <printOptions/>
  <pageMargins bottom="1.0" footer="0.0" header="0.0" left="0.75" right="0.75" top="1.0"/>
  <pageSetup paperSize="9" orientation="portrait"/>
  <drawing r:id="rId3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75" outlineLevelCol="1" outlineLevelRow="1"/>
  <cols>
    <col customWidth="1" min="1" max="1" width="35.86"/>
    <col customWidth="1" hidden="1" min="2" max="2" width="14.0"/>
    <col customWidth="1" min="3" max="4" width="10.0"/>
    <col customWidth="1" min="5" max="6" width="11.0" outlineLevel="1"/>
    <col customWidth="1" min="7" max="7" width="15.0"/>
    <col customWidth="1" min="8" max="9" width="10.0"/>
    <col customWidth="1" min="10" max="10" width="12.0"/>
    <col customWidth="1" min="11" max="12" width="8.0"/>
    <col customWidth="1" min="13" max="16" width="12.0" outlineLevel="1"/>
    <col customWidth="1" min="17" max="17" width="15.14" outlineLevel="1"/>
    <col customWidth="1" min="18" max="18" width="12.0" outlineLevel="1"/>
    <col customWidth="1" min="19" max="19" width="15.0"/>
    <col customWidth="1" min="20" max="21" width="9.0"/>
    <col customWidth="1" min="22" max="22" width="8.0"/>
    <col customWidth="1" min="23" max="23" width="10.0"/>
    <col customWidth="1" min="24" max="24" width="13.86"/>
    <col customWidth="1" min="25" max="26" width="10.0"/>
    <col customWidth="1" min="27" max="27" width="8.0"/>
    <col customWidth="1" min="28" max="29" width="11.0"/>
    <col customWidth="1" min="30" max="30" width="8.0"/>
    <col customWidth="1" min="31" max="31" width="10.0"/>
    <col customWidth="1" min="32" max="32" width="12.0"/>
    <col customWidth="1" min="33" max="33" width="11.0"/>
    <col customWidth="1" min="34" max="34" width="8.0"/>
    <col customWidth="1" min="35" max="35" width="19.43"/>
    <col customWidth="1" min="36" max="36" width="7.43"/>
    <col customWidth="1" min="37" max="37" width="6.86"/>
    <col customWidth="1" min="38" max="38" width="16.0"/>
  </cols>
  <sheetData>
    <row r="1" ht="15.0" customHeight="1">
      <c r="A1" s="161" t="s">
        <v>2328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6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5.0" hidden="1" customHeight="1" outlineLevel="1">
      <c r="A2" s="107" t="s">
        <v>2329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6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.0" hidden="1" customHeight="1" outlineLevel="1">
      <c r="A3" s="107" t="s">
        <v>2330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6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.0" hidden="1" customHeight="1" outlineLevel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6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40.5" customHeight="1">
      <c r="A5" s="163" t="s">
        <v>2331</v>
      </c>
      <c r="B5" s="163" t="s">
        <v>2332</v>
      </c>
      <c r="C5" s="163" t="s">
        <v>6</v>
      </c>
      <c r="D5" s="163" t="s">
        <v>3</v>
      </c>
      <c r="E5" s="163" t="s">
        <v>2333</v>
      </c>
      <c r="F5" s="163" t="s">
        <v>2334</v>
      </c>
      <c r="G5" s="163" t="s">
        <v>2335</v>
      </c>
      <c r="H5" s="163" t="s">
        <v>2336</v>
      </c>
      <c r="I5" s="163" t="s">
        <v>2337</v>
      </c>
      <c r="J5" s="163" t="s">
        <v>2338</v>
      </c>
      <c r="K5" s="163" t="s">
        <v>2339</v>
      </c>
      <c r="L5" s="163" t="s">
        <v>2340</v>
      </c>
      <c r="M5" s="163" t="s">
        <v>2341</v>
      </c>
      <c r="N5" s="163" t="s">
        <v>2342</v>
      </c>
      <c r="O5" s="163" t="s">
        <v>2343</v>
      </c>
      <c r="P5" s="163" t="s">
        <v>2344</v>
      </c>
      <c r="Q5" s="163" t="s">
        <v>2345</v>
      </c>
      <c r="R5" s="163" t="s">
        <v>2346</v>
      </c>
      <c r="S5" s="163" t="s">
        <v>2347</v>
      </c>
      <c r="T5" s="164" t="s">
        <v>2348</v>
      </c>
      <c r="U5" s="164" t="s">
        <v>2551</v>
      </c>
      <c r="V5" s="165" t="s">
        <v>2350</v>
      </c>
      <c r="W5" s="164" t="s">
        <v>2351</v>
      </c>
      <c r="X5" s="164" t="s">
        <v>2352</v>
      </c>
      <c r="Y5" s="163" t="s">
        <v>2353</v>
      </c>
      <c r="Z5" s="163" t="s">
        <v>2354</v>
      </c>
      <c r="AA5" s="163" t="s">
        <v>2306</v>
      </c>
      <c r="AB5" s="163" t="s">
        <v>2355</v>
      </c>
      <c r="AC5" s="163" t="s">
        <v>2314</v>
      </c>
      <c r="AD5" s="163" t="s">
        <v>2308</v>
      </c>
      <c r="AE5" s="163" t="s">
        <v>2356</v>
      </c>
      <c r="AF5" s="163" t="s">
        <v>2357</v>
      </c>
      <c r="AG5" s="163" t="s">
        <v>2309</v>
      </c>
      <c r="AH5" s="163" t="s">
        <v>2307</v>
      </c>
      <c r="AI5" s="164" t="s">
        <v>2358</v>
      </c>
      <c r="AJ5" s="164" t="s">
        <v>2552</v>
      </c>
      <c r="AK5" s="164" t="s">
        <v>2553</v>
      </c>
      <c r="AL5" s="163" t="s">
        <v>14</v>
      </c>
    </row>
    <row r="6">
      <c r="A6" s="203" t="s">
        <v>2817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7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</row>
    <row r="7" ht="15.0" customHeight="1" outlineLevel="1">
      <c r="A7" s="284" t="s">
        <v>660</v>
      </c>
      <c r="B7" s="169" t="str">
        <f>IF($A7="","",IFERROR(HYPERLINK(VLOOKUP($A7,'Мои блогеры'!$A:$N,14,0),"🔗 открыть"),""))</f>
        <v>🔗 открыть</v>
      </c>
      <c r="C7" s="18">
        <f>IFERROR(VLOOKUP($A7,'Мои блогеры'!$A:$N,5,0),"")</f>
        <v>23000</v>
      </c>
      <c r="D7" s="233" t="str">
        <f>IFERROR(VLOOKUP($A7,'Мои блогеры'!$A:$N,2,0),"")</f>
        <v>VK</v>
      </c>
      <c r="E7" s="172" t="s">
        <v>2429</v>
      </c>
      <c r="F7" s="172" t="s">
        <v>2583</v>
      </c>
      <c r="G7" s="173"/>
      <c r="H7" s="228"/>
      <c r="I7" s="172" t="s">
        <v>2818</v>
      </c>
      <c r="J7" s="18">
        <f>IFERROR(VLOOKUP($A7,'Мои блогеры'!$A:$N,8,0),"")</f>
        <v>25000</v>
      </c>
      <c r="K7" s="172">
        <v>2000.0</v>
      </c>
      <c r="L7" s="179">
        <v>516.0</v>
      </c>
      <c r="M7" s="18">
        <f t="shared" ref="M7:M16" si="1">IF(N($J7)+N($K7)+N($L7)=0,"",N($J7)+N($K7)+N($L7))</f>
        <v>27516</v>
      </c>
      <c r="N7" s="173"/>
      <c r="O7" s="240"/>
      <c r="P7" s="173"/>
      <c r="Q7" s="171"/>
      <c r="R7" s="173"/>
      <c r="S7" s="173"/>
      <c r="T7" s="176"/>
      <c r="U7" s="176"/>
      <c r="V7" s="180" t="str">
        <f t="shared" ref="V7:V9" si="2">IF(N($U7)=0,"",$M7/$U7)</f>
        <v/>
      </c>
      <c r="W7" s="176"/>
      <c r="X7" s="176"/>
      <c r="Y7" s="18" t="str">
        <f t="shared" ref="Y7:Y9" si="3">IF(N($W7)=0,"",$M7/$W7)</f>
        <v/>
      </c>
      <c r="Z7" s="176"/>
      <c r="AA7" s="176"/>
      <c r="AB7" s="176"/>
      <c r="AC7" s="181"/>
      <c r="AD7" s="18" t="str">
        <f t="shared" ref="AD7:AD9" si="4">IF(OR(N($AA7)=0,$AC7=""),"",ROUND($AA7*$AC7,0))</f>
        <v/>
      </c>
      <c r="AE7" s="176"/>
      <c r="AF7" s="18" t="str">
        <f t="shared" ref="AF7:AF9" si="5">IF(OR(N($AD7)=0,$AE7=""),"",ROUND($AD7*$AE7,0))</f>
        <v/>
      </c>
      <c r="AG7" s="18" t="str">
        <f t="shared" ref="AG7:AG9" si="6">IF(N($AD7)=0,"",ROUND($M7/$AD7,0))</f>
        <v/>
      </c>
      <c r="AH7" s="18" t="str">
        <f t="shared" ref="AH7:AH9" si="7">IF(N($AA7)=0,"",ROUND($M7/$AA7,0))</f>
        <v/>
      </c>
      <c r="AI7" s="172" t="s">
        <v>2558</v>
      </c>
      <c r="AJ7" s="173"/>
      <c r="AK7" s="171"/>
      <c r="AL7" s="173"/>
    </row>
    <row r="8" outlineLevel="1">
      <c r="A8" s="284" t="s">
        <v>665</v>
      </c>
      <c r="B8" s="169" t="str">
        <f>IF($A8="","",IFERROR(HYPERLINK(VLOOKUP($A8,'Мои блогеры'!$A:$N,14,0),"🔗 открыть"),""))</f>
        <v>🔗 открыть</v>
      </c>
      <c r="C8" s="285">
        <v>122000.0</v>
      </c>
      <c r="D8" s="265" t="s">
        <v>19</v>
      </c>
      <c r="E8" s="172" t="s">
        <v>2429</v>
      </c>
      <c r="F8" s="172" t="s">
        <v>2583</v>
      </c>
      <c r="G8" s="173"/>
      <c r="H8" s="228"/>
      <c r="I8" s="172" t="s">
        <v>2818</v>
      </c>
      <c r="J8" s="18">
        <f>IFERROR(VLOOKUP($A8,'Мои блогеры'!$A:$N,8,0),"")</f>
        <v>25000</v>
      </c>
      <c r="K8" s="172">
        <v>2000.0</v>
      </c>
      <c r="L8" s="176"/>
      <c r="M8" s="18">
        <f t="shared" si="1"/>
        <v>27000</v>
      </c>
      <c r="N8" s="173"/>
      <c r="O8" s="240"/>
      <c r="P8" s="240"/>
      <c r="Q8" s="171"/>
      <c r="R8" s="173"/>
      <c r="S8" s="240"/>
      <c r="T8" s="176"/>
      <c r="U8" s="176"/>
      <c r="V8" s="180" t="str">
        <f t="shared" si="2"/>
        <v/>
      </c>
      <c r="W8" s="176"/>
      <c r="X8" s="176"/>
      <c r="Y8" s="18" t="str">
        <f t="shared" si="3"/>
        <v/>
      </c>
      <c r="Z8" s="176"/>
      <c r="AA8" s="176"/>
      <c r="AB8" s="176"/>
      <c r="AC8" s="181"/>
      <c r="AD8" s="18" t="str">
        <f t="shared" si="4"/>
        <v/>
      </c>
      <c r="AE8" s="176"/>
      <c r="AF8" s="18" t="str">
        <f t="shared" si="5"/>
        <v/>
      </c>
      <c r="AG8" s="18" t="str">
        <f t="shared" si="6"/>
        <v/>
      </c>
      <c r="AH8" s="18" t="str">
        <f t="shared" si="7"/>
        <v/>
      </c>
      <c r="AI8" s="172" t="s">
        <v>2558</v>
      </c>
      <c r="AJ8" s="173"/>
      <c r="AK8" s="171"/>
      <c r="AL8" s="173"/>
    </row>
    <row r="9" outlineLevel="1">
      <c r="A9" s="178" t="s">
        <v>669</v>
      </c>
      <c r="B9" s="169" t="str">
        <f>IF($A9="","",IFERROR(HYPERLINK(VLOOKUP($A9,'Мои блогеры'!$A:$N,14,0),"🔗 открыть"),""))</f>
        <v>🔗 открыть</v>
      </c>
      <c r="C9" s="18">
        <f>IFERROR(VLOOKUP($A9,'Мои блогеры'!$A:$N,5,0),"")</f>
        <v>5094</v>
      </c>
      <c r="D9" s="233" t="str">
        <f>IFERROR(VLOOKUP($A9,'Мои блогеры'!$A:$N,2,0),"")</f>
        <v>Rutube</v>
      </c>
      <c r="E9" s="172" t="s">
        <v>2429</v>
      </c>
      <c r="F9" s="172" t="s">
        <v>2583</v>
      </c>
      <c r="G9" s="173"/>
      <c r="H9" s="228"/>
      <c r="I9" s="172" t="s">
        <v>2818</v>
      </c>
      <c r="J9" s="18">
        <f>IFERROR(VLOOKUP($A9,'Мои блогеры'!$A:$N,8,0),"")</f>
        <v>0</v>
      </c>
      <c r="K9" s="173"/>
      <c r="L9" s="176"/>
      <c r="M9" s="18" t="str">
        <f t="shared" si="1"/>
        <v/>
      </c>
      <c r="N9" s="173"/>
      <c r="O9" s="240"/>
      <c r="P9" s="240"/>
      <c r="Q9" s="171"/>
      <c r="R9" s="173"/>
      <c r="S9" s="240"/>
      <c r="T9" s="176"/>
      <c r="U9" s="176"/>
      <c r="V9" s="180" t="str">
        <f t="shared" si="2"/>
        <v/>
      </c>
      <c r="W9" s="176"/>
      <c r="X9" s="176"/>
      <c r="Y9" s="18" t="str">
        <f t="shared" si="3"/>
        <v/>
      </c>
      <c r="Z9" s="176"/>
      <c r="AA9" s="176"/>
      <c r="AB9" s="176"/>
      <c r="AC9" s="181"/>
      <c r="AD9" s="18" t="str">
        <f t="shared" si="4"/>
        <v/>
      </c>
      <c r="AE9" s="176"/>
      <c r="AF9" s="18" t="str">
        <f t="shared" si="5"/>
        <v/>
      </c>
      <c r="AG9" s="18" t="str">
        <f t="shared" si="6"/>
        <v/>
      </c>
      <c r="AH9" s="18" t="str">
        <f t="shared" si="7"/>
        <v/>
      </c>
      <c r="AI9" s="172" t="s">
        <v>2558</v>
      </c>
      <c r="AJ9" s="173"/>
      <c r="AK9" s="171"/>
      <c r="AL9" s="173"/>
    </row>
    <row r="10" outlineLevel="1">
      <c r="A10" s="204" t="s">
        <v>2109</v>
      </c>
      <c r="B10" s="169"/>
      <c r="C10" s="175">
        <v>30100.0</v>
      </c>
      <c r="D10" s="233" t="str">
        <f>IFERROR(VLOOKUP($A10,'Мои блогеры'!$A:$N,2,0),"")</f>
        <v>MAX</v>
      </c>
      <c r="E10" s="172" t="s">
        <v>2429</v>
      </c>
      <c r="F10" s="172" t="s">
        <v>2591</v>
      </c>
      <c r="G10" s="173"/>
      <c r="H10" s="174"/>
      <c r="I10" s="172" t="s">
        <v>2818</v>
      </c>
      <c r="J10" s="18">
        <f>IFERROR(VLOOKUP($A10,'Мои блогеры'!$A:$N,8,0),"")</f>
        <v>6293</v>
      </c>
      <c r="K10" s="173"/>
      <c r="L10" s="176"/>
      <c r="M10" s="18">
        <f t="shared" si="1"/>
        <v>6293</v>
      </c>
      <c r="N10" s="173"/>
      <c r="O10" s="177" t="s">
        <v>2819</v>
      </c>
      <c r="P10" s="177" t="s">
        <v>2820</v>
      </c>
      <c r="Q10" s="171"/>
      <c r="R10" s="172"/>
      <c r="S10" s="178"/>
      <c r="T10" s="172"/>
      <c r="U10" s="179"/>
      <c r="V10" s="180"/>
      <c r="W10" s="179"/>
      <c r="X10" s="179"/>
      <c r="Y10" s="18"/>
      <c r="Z10" s="179"/>
      <c r="AA10" s="179"/>
      <c r="AB10" s="179"/>
      <c r="AC10" s="181"/>
      <c r="AD10" s="175"/>
      <c r="AE10" s="179"/>
      <c r="AF10" s="18"/>
      <c r="AG10" s="18"/>
      <c r="AH10" s="18"/>
      <c r="AI10" s="172" t="s">
        <v>2558</v>
      </c>
      <c r="AJ10" s="172"/>
      <c r="AK10" s="185"/>
      <c r="AL10" s="173"/>
    </row>
    <row r="11" ht="31.5" customHeight="1" outlineLevel="1">
      <c r="A11" s="204" t="s">
        <v>2285</v>
      </c>
      <c r="B11" s="169"/>
      <c r="C11" s="18">
        <f>IFERROR(VLOOKUP($A11,'Мои блогеры'!$A:$N,5,0),"")</f>
        <v>24300</v>
      </c>
      <c r="D11" s="233" t="str">
        <f>IFERROR(VLOOKUP($A11,'Мои блогеры'!$A:$N,2,0),"")</f>
        <v>MAX</v>
      </c>
      <c r="E11" s="172" t="s">
        <v>2429</v>
      </c>
      <c r="F11" s="172" t="s">
        <v>2591</v>
      </c>
      <c r="G11" s="173"/>
      <c r="H11" s="174"/>
      <c r="I11" s="172" t="s">
        <v>2818</v>
      </c>
      <c r="J11" s="18">
        <f>IFERROR(VLOOKUP($A11,'Мои блогеры'!$A:$N,8,0),"")</f>
        <v>1888</v>
      </c>
      <c r="K11" s="173"/>
      <c r="L11" s="176"/>
      <c r="M11" s="18">
        <f t="shared" si="1"/>
        <v>1888</v>
      </c>
      <c r="N11" s="173"/>
      <c r="O11" s="177" t="s">
        <v>2821</v>
      </c>
      <c r="P11" s="177" t="s">
        <v>2822</v>
      </c>
      <c r="Q11" s="171"/>
      <c r="R11" s="172"/>
      <c r="S11" s="178"/>
      <c r="T11" s="172"/>
      <c r="U11" s="179"/>
      <c r="V11" s="180"/>
      <c r="W11" s="179"/>
      <c r="X11" s="179"/>
      <c r="Y11" s="18"/>
      <c r="Z11" s="179"/>
      <c r="AA11" s="179"/>
      <c r="AB11" s="179"/>
      <c r="AC11" s="181"/>
      <c r="AD11" s="175"/>
      <c r="AE11" s="179"/>
      <c r="AF11" s="18"/>
      <c r="AG11" s="18"/>
      <c r="AH11" s="18"/>
      <c r="AI11" s="172" t="s">
        <v>2558</v>
      </c>
      <c r="AJ11" s="172"/>
      <c r="AK11" s="185"/>
      <c r="AL11" s="173"/>
    </row>
    <row r="12" outlineLevel="1">
      <c r="A12" s="204" t="s">
        <v>2287</v>
      </c>
      <c r="B12" s="169"/>
      <c r="C12" s="18">
        <f>IFERROR(VLOOKUP($A12,'Мои блогеры'!$A:$N,5,0),"")</f>
        <v>11000</v>
      </c>
      <c r="D12" s="233" t="str">
        <f>IFERROR(VLOOKUP($A12,'Мои блогеры'!$A:$N,2,0),"")</f>
        <v>MAX</v>
      </c>
      <c r="E12" s="172" t="s">
        <v>2429</v>
      </c>
      <c r="F12" s="172" t="s">
        <v>2591</v>
      </c>
      <c r="G12" s="173"/>
      <c r="H12" s="174">
        <v>46297.0</v>
      </c>
      <c r="I12" s="172" t="s">
        <v>2363</v>
      </c>
      <c r="J12" s="18">
        <f>IFERROR(VLOOKUP($A12,'Мои блогеры'!$A:$N,8,0),"")</f>
        <v>1678</v>
      </c>
      <c r="K12" s="173"/>
      <c r="L12" s="176"/>
      <c r="M12" s="18">
        <f t="shared" si="1"/>
        <v>1678</v>
      </c>
      <c r="N12" s="173"/>
      <c r="O12" s="177" t="s">
        <v>2823</v>
      </c>
      <c r="P12" s="177" t="s">
        <v>2824</v>
      </c>
      <c r="Q12" s="171"/>
      <c r="R12" s="172"/>
      <c r="S12" s="178" t="s">
        <v>2288</v>
      </c>
      <c r="T12" s="172"/>
      <c r="U12" s="179"/>
      <c r="V12" s="180"/>
      <c r="W12" s="179"/>
      <c r="X12" s="179"/>
      <c r="Y12" s="18"/>
      <c r="Z12" s="179"/>
      <c r="AA12" s="179"/>
      <c r="AB12" s="179"/>
      <c r="AC12" s="181"/>
      <c r="AD12" s="175"/>
      <c r="AE12" s="179"/>
      <c r="AF12" s="18"/>
      <c r="AG12" s="18"/>
      <c r="AH12" s="18"/>
      <c r="AI12" s="172" t="s">
        <v>2558</v>
      </c>
      <c r="AJ12" s="172"/>
      <c r="AK12" s="185"/>
      <c r="AL12" s="173"/>
    </row>
    <row r="13" outlineLevel="1">
      <c r="A13" s="204" t="s">
        <v>2289</v>
      </c>
      <c r="B13" s="169"/>
      <c r="C13" s="18">
        <f>IFERROR(VLOOKUP($A13,'Мои блогеры'!$A:$N,5,0),"")</f>
        <v>21800</v>
      </c>
      <c r="D13" s="233" t="str">
        <f>IFERROR(VLOOKUP($A13,'Мои блогеры'!$A:$N,2,0),"")</f>
        <v>MAX</v>
      </c>
      <c r="E13" s="172" t="s">
        <v>2429</v>
      </c>
      <c r="F13" s="172" t="s">
        <v>2591</v>
      </c>
      <c r="G13" s="173"/>
      <c r="H13" s="174"/>
      <c r="I13" s="172" t="s">
        <v>2818</v>
      </c>
      <c r="J13" s="18">
        <f>IFERROR(VLOOKUP($A13,'Мои блогеры'!$A:$N,8,0),"")</f>
        <v>3496</v>
      </c>
      <c r="K13" s="173"/>
      <c r="L13" s="176"/>
      <c r="M13" s="18">
        <f t="shared" si="1"/>
        <v>3496</v>
      </c>
      <c r="N13" s="173"/>
      <c r="O13" s="177" t="s">
        <v>2823</v>
      </c>
      <c r="P13" s="177" t="s">
        <v>2825</v>
      </c>
      <c r="Q13" s="171"/>
      <c r="R13" s="172"/>
      <c r="S13" s="178"/>
      <c r="T13" s="172"/>
      <c r="U13" s="179"/>
      <c r="V13" s="180"/>
      <c r="W13" s="179"/>
      <c r="X13" s="179"/>
      <c r="Y13" s="18"/>
      <c r="Z13" s="179"/>
      <c r="AA13" s="179"/>
      <c r="AB13" s="179"/>
      <c r="AC13" s="181"/>
      <c r="AD13" s="175"/>
      <c r="AE13" s="179"/>
      <c r="AF13" s="18"/>
      <c r="AG13" s="18"/>
      <c r="AH13" s="18"/>
      <c r="AI13" s="172" t="s">
        <v>2558</v>
      </c>
      <c r="AJ13" s="172"/>
      <c r="AK13" s="185"/>
      <c r="AL13" s="173"/>
    </row>
    <row r="14" outlineLevel="1">
      <c r="A14" s="204" t="s">
        <v>2291</v>
      </c>
      <c r="B14" s="169"/>
      <c r="C14" s="18">
        <f>IFERROR(VLOOKUP($A14,'Мои блогеры'!$A:$N,5,0),"")</f>
        <v>15200</v>
      </c>
      <c r="D14" s="233" t="str">
        <f>IFERROR(VLOOKUP($A14,'Мои блогеры'!$A:$N,2,0),"")</f>
        <v>MAX</v>
      </c>
      <c r="E14" s="172" t="s">
        <v>2429</v>
      </c>
      <c r="F14" s="172" t="s">
        <v>2591</v>
      </c>
      <c r="G14" s="173"/>
      <c r="H14" s="174"/>
      <c r="I14" s="172" t="s">
        <v>2818</v>
      </c>
      <c r="J14" s="18">
        <f>IFERROR(VLOOKUP($A14,'Мои блогеры'!$A:$N,8,0),"")</f>
        <v>1398</v>
      </c>
      <c r="K14" s="173"/>
      <c r="L14" s="176"/>
      <c r="M14" s="18">
        <f t="shared" si="1"/>
        <v>1398</v>
      </c>
      <c r="N14" s="173"/>
      <c r="O14" s="177" t="s">
        <v>2826</v>
      </c>
      <c r="P14" s="177" t="s">
        <v>2827</v>
      </c>
      <c r="Q14" s="171"/>
      <c r="R14" s="172"/>
      <c r="S14" s="178"/>
      <c r="T14" s="172"/>
      <c r="U14" s="179"/>
      <c r="V14" s="180"/>
      <c r="W14" s="179"/>
      <c r="X14" s="179"/>
      <c r="Y14" s="18"/>
      <c r="Z14" s="179"/>
      <c r="AA14" s="179"/>
      <c r="AB14" s="179"/>
      <c r="AC14" s="181"/>
      <c r="AD14" s="175"/>
      <c r="AE14" s="179"/>
      <c r="AF14" s="18"/>
      <c r="AG14" s="18"/>
      <c r="AH14" s="18"/>
      <c r="AI14" s="172" t="s">
        <v>2558</v>
      </c>
      <c r="AJ14" s="172"/>
      <c r="AK14" s="185"/>
      <c r="AL14" s="173"/>
    </row>
    <row r="15" outlineLevel="1">
      <c r="A15" s="204" t="s">
        <v>2293</v>
      </c>
      <c r="B15" s="169"/>
      <c r="C15" s="18">
        <f>IFERROR(VLOOKUP($A15,'Мои блогеры'!$A:$N,5,0),"")</f>
        <v>2777</v>
      </c>
      <c r="D15" s="233" t="str">
        <f>IFERROR(VLOOKUP($A15,'Мои блогеры'!$A:$N,2,0),"")</f>
        <v>Telegram</v>
      </c>
      <c r="E15" s="172" t="s">
        <v>2429</v>
      </c>
      <c r="F15" s="172" t="s">
        <v>2591</v>
      </c>
      <c r="G15" s="173"/>
      <c r="H15" s="174"/>
      <c r="I15" s="172" t="s">
        <v>2818</v>
      </c>
      <c r="J15" s="18">
        <f>IFERROR(VLOOKUP($A15,'Мои блогеры'!$A:$N,8,0),"")</f>
        <v>433</v>
      </c>
      <c r="K15" s="173"/>
      <c r="L15" s="176"/>
      <c r="M15" s="18">
        <f t="shared" si="1"/>
        <v>433</v>
      </c>
      <c r="N15" s="173"/>
      <c r="O15" s="177" t="s">
        <v>2828</v>
      </c>
      <c r="P15" s="177" t="s">
        <v>2829</v>
      </c>
      <c r="Q15" s="171"/>
      <c r="R15" s="172"/>
      <c r="S15" s="178"/>
      <c r="T15" s="172"/>
      <c r="U15" s="179"/>
      <c r="V15" s="180"/>
      <c r="W15" s="179"/>
      <c r="X15" s="179"/>
      <c r="Y15" s="18"/>
      <c r="Z15" s="179"/>
      <c r="AA15" s="179"/>
      <c r="AB15" s="179"/>
      <c r="AC15" s="181"/>
      <c r="AD15" s="175"/>
      <c r="AE15" s="179"/>
      <c r="AF15" s="18"/>
      <c r="AG15" s="18"/>
      <c r="AH15" s="18"/>
      <c r="AI15" s="172" t="s">
        <v>2558</v>
      </c>
      <c r="AJ15" s="172"/>
      <c r="AK15" s="185"/>
      <c r="AL15" s="173"/>
    </row>
    <row r="16" outlineLevel="1">
      <c r="A16" s="204"/>
      <c r="B16" s="169"/>
      <c r="C16" s="18" t="str">
        <f>IFERROR(VLOOKUP($A16,'Мои блогеры'!$A:$N,5,0),"")</f>
        <v/>
      </c>
      <c r="D16" s="233" t="str">
        <f>IFERROR(VLOOKUP($A16,'Мои блогеры'!$A:$N,2,0),"")</f>
        <v/>
      </c>
      <c r="E16" s="172"/>
      <c r="F16" s="173"/>
      <c r="G16" s="173"/>
      <c r="H16" s="174"/>
      <c r="I16" s="172"/>
      <c r="J16" s="175"/>
      <c r="K16" s="173"/>
      <c r="L16" s="176"/>
      <c r="M16" s="18" t="str">
        <f t="shared" si="1"/>
        <v/>
      </c>
      <c r="N16" s="173"/>
      <c r="O16" s="226"/>
      <c r="P16" s="240"/>
      <c r="Q16" s="171"/>
      <c r="R16" s="172"/>
      <c r="S16" s="178"/>
      <c r="T16" s="172"/>
      <c r="U16" s="179"/>
      <c r="V16" s="180"/>
      <c r="W16" s="179"/>
      <c r="X16" s="179"/>
      <c r="Y16" s="18"/>
      <c r="Z16" s="179"/>
      <c r="AA16" s="179"/>
      <c r="AB16" s="179"/>
      <c r="AC16" s="181"/>
      <c r="AD16" s="175"/>
      <c r="AE16" s="179"/>
      <c r="AF16" s="18"/>
      <c r="AG16" s="18"/>
      <c r="AH16" s="18"/>
      <c r="AI16" s="172" t="s">
        <v>2558</v>
      </c>
      <c r="AJ16" s="172"/>
      <c r="AK16" s="185"/>
      <c r="AL16" s="173"/>
    </row>
    <row r="17" outlineLevel="1">
      <c r="A17" s="204"/>
      <c r="B17" s="169"/>
      <c r="C17" s="18" t="str">
        <f>IFERROR(VLOOKUP($A17,'Мои блогеры'!$A:$N,5,0),"")</f>
        <v/>
      </c>
      <c r="D17" s="233" t="str">
        <f>IFERROR(VLOOKUP($A17,'Мои блогеры'!$A:$N,2,0),"")</f>
        <v/>
      </c>
      <c r="E17" s="172"/>
      <c r="F17" s="173"/>
      <c r="G17" s="173"/>
      <c r="H17" s="174"/>
      <c r="I17" s="172"/>
      <c r="J17" s="175"/>
      <c r="K17" s="173"/>
      <c r="L17" s="176"/>
      <c r="M17" s="175">
        <v>0.0</v>
      </c>
      <c r="N17" s="173"/>
      <c r="O17" s="226"/>
      <c r="P17" s="240"/>
      <c r="Q17" s="171"/>
      <c r="R17" s="172"/>
      <c r="S17" s="178"/>
      <c r="T17" s="172"/>
      <c r="U17" s="179"/>
      <c r="V17" s="180"/>
      <c r="W17" s="179"/>
      <c r="X17" s="179"/>
      <c r="Y17" s="18"/>
      <c r="Z17" s="179"/>
      <c r="AA17" s="179"/>
      <c r="AB17" s="179"/>
      <c r="AC17" s="181"/>
      <c r="AD17" s="175"/>
      <c r="AE17" s="179"/>
      <c r="AF17" s="18"/>
      <c r="AG17" s="18"/>
      <c r="AH17" s="18"/>
      <c r="AI17" s="172" t="s">
        <v>2558</v>
      </c>
      <c r="AJ17" s="172"/>
      <c r="AK17" s="185"/>
      <c r="AL17" s="173"/>
    </row>
    <row r="18" outlineLevel="1">
      <c r="A18" s="201" t="s">
        <v>2830</v>
      </c>
      <c r="B18" s="188"/>
      <c r="C18" s="189"/>
      <c r="D18" s="188"/>
      <c r="E18" s="188"/>
      <c r="F18" s="188"/>
      <c r="G18" s="188"/>
      <c r="H18" s="188"/>
      <c r="I18" s="188" t="str">
        <f>COUNTIF(I7:I17,"Вышло")&amp;" / "&amp;COUNTA(A7:A17)</f>
        <v>1 / 9</v>
      </c>
      <c r="J18" s="189">
        <f t="shared" ref="J18:AG18" si="8">SUM(J7:J17)</f>
        <v>65186</v>
      </c>
      <c r="K18" s="189">
        <f t="shared" si="8"/>
        <v>4000</v>
      </c>
      <c r="L18" s="189">
        <f t="shared" si="8"/>
        <v>516</v>
      </c>
      <c r="M18" s="189">
        <f t="shared" si="8"/>
        <v>69702</v>
      </c>
      <c r="N18" s="189">
        <f t="shared" si="8"/>
        <v>0</v>
      </c>
      <c r="O18" s="189">
        <f t="shared" si="8"/>
        <v>0</v>
      </c>
      <c r="P18" s="189">
        <f t="shared" si="8"/>
        <v>0</v>
      </c>
      <c r="Q18" s="189">
        <f t="shared" si="8"/>
        <v>0</v>
      </c>
      <c r="R18" s="189">
        <f t="shared" si="8"/>
        <v>0</v>
      </c>
      <c r="S18" s="189">
        <f t="shared" si="8"/>
        <v>0</v>
      </c>
      <c r="T18" s="189">
        <f t="shared" si="8"/>
        <v>0</v>
      </c>
      <c r="U18" s="189">
        <f t="shared" si="8"/>
        <v>0</v>
      </c>
      <c r="V18" s="189">
        <f t="shared" si="8"/>
        <v>0</v>
      </c>
      <c r="W18" s="189">
        <f t="shared" si="8"/>
        <v>0</v>
      </c>
      <c r="X18" s="189">
        <f t="shared" si="8"/>
        <v>0</v>
      </c>
      <c r="Y18" s="189">
        <f t="shared" si="8"/>
        <v>0</v>
      </c>
      <c r="Z18" s="189">
        <f t="shared" si="8"/>
        <v>0</v>
      </c>
      <c r="AA18" s="189">
        <f t="shared" si="8"/>
        <v>0</v>
      </c>
      <c r="AB18" s="189">
        <f t="shared" si="8"/>
        <v>0</v>
      </c>
      <c r="AC18" s="189">
        <f t="shared" si="8"/>
        <v>0</v>
      </c>
      <c r="AD18" s="189">
        <f t="shared" si="8"/>
        <v>0</v>
      </c>
      <c r="AE18" s="189">
        <f t="shared" si="8"/>
        <v>0</v>
      </c>
      <c r="AF18" s="189">
        <f t="shared" si="8"/>
        <v>0</v>
      </c>
      <c r="AG18" s="189">
        <f t="shared" si="8"/>
        <v>0</v>
      </c>
      <c r="AH18" s="286" t="str">
        <f>IF(N($AA18)=0,"",ROUND($M18/$AA18,0))</f>
        <v/>
      </c>
      <c r="AI18" s="188"/>
      <c r="AJ18" s="188"/>
      <c r="AK18" s="188"/>
      <c r="AL18" s="188"/>
    </row>
    <row r="19">
      <c r="A19" s="203" t="s">
        <v>2831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7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</row>
    <row r="20" outlineLevel="1">
      <c r="A20" s="204" t="s">
        <v>2257</v>
      </c>
      <c r="B20" s="169"/>
      <c r="C20" s="18">
        <f>IFERROR(VLOOKUP($A20,'Мои блогеры'!$A:$N,5,0),"")</f>
        <v>66100</v>
      </c>
      <c r="D20" s="171" t="str">
        <f>IFERROR(VLOOKUP($A20,'Мои блогеры'!$A:$N,2,0),"")</f>
        <v>TikTok</v>
      </c>
      <c r="E20" s="172" t="s">
        <v>2429</v>
      </c>
      <c r="F20" s="172" t="s">
        <v>2583</v>
      </c>
      <c r="G20" s="173"/>
      <c r="H20" s="237"/>
      <c r="I20" s="172" t="s">
        <v>2818</v>
      </c>
      <c r="J20" s="18">
        <f>IFERROR(VLOOKUP($A20,'Мои блогеры'!$A:$N,8,0),"")</f>
        <v>40000</v>
      </c>
      <c r="K20" s="172">
        <v>2500.0</v>
      </c>
      <c r="L20" s="179">
        <v>850.0</v>
      </c>
      <c r="M20" s="18">
        <f t="shared" ref="M20:M36" si="9">IF(N($J20)+N($K20)+N($L20)=0,"",N($J20)+N($K20)+N($L20))</f>
        <v>43350</v>
      </c>
      <c r="N20" s="173"/>
      <c r="O20" s="240"/>
      <c r="P20" s="240"/>
      <c r="Q20" s="171"/>
      <c r="R20" s="173"/>
      <c r="S20" s="240"/>
      <c r="T20" s="176"/>
      <c r="U20" s="176"/>
      <c r="V20" s="180" t="str">
        <f t="shared" ref="V20:V36" si="10">IF(N($U20)=0,"",$M20/$U20)</f>
        <v/>
      </c>
      <c r="W20" s="176"/>
      <c r="X20" s="176"/>
      <c r="Y20" s="18" t="str">
        <f t="shared" ref="Y20:Y36" si="11">IF(N($W20)=0,"",$M20/$W20)</f>
        <v/>
      </c>
      <c r="Z20" s="176"/>
      <c r="AA20" s="176"/>
      <c r="AB20" s="176"/>
      <c r="AC20" s="181"/>
      <c r="AD20" s="18" t="str">
        <f t="shared" ref="AD20:AD36" si="12">IF(OR(N($AA20)=0,$AC20=""),"",ROUND($AA20*$AC20,0))</f>
        <v/>
      </c>
      <c r="AE20" s="176"/>
      <c r="AF20" s="18" t="str">
        <f t="shared" ref="AF20:AF36" si="13">IF(OR(N($AD20)=0,$AE20=""),"",ROUND($AD20*$AE20,0))</f>
        <v/>
      </c>
      <c r="AG20" s="18" t="str">
        <f t="shared" ref="AG20:AG36" si="14">IF(N($AD20)=0,"",ROUND($M20/$AD20,0))</f>
        <v/>
      </c>
      <c r="AH20" s="18" t="str">
        <f t="shared" ref="AH20:AH36" si="15">IF(N($AA20)=0,"",ROUND($M20/$AA20,0))</f>
        <v/>
      </c>
      <c r="AI20" s="172" t="s">
        <v>2558</v>
      </c>
      <c r="AJ20" s="173"/>
      <c r="AK20" s="171"/>
      <c r="AL20" s="173"/>
    </row>
    <row r="21" ht="15.0" customHeight="1" outlineLevel="1">
      <c r="A21" s="204" t="s">
        <v>2259</v>
      </c>
      <c r="B21" s="169"/>
      <c r="C21" s="18">
        <f>IFERROR(VLOOKUP($A21,'Мои блогеры'!$A:$N,5,0),"")</f>
        <v>4900</v>
      </c>
      <c r="D21" s="171" t="str">
        <f>IFERROR(VLOOKUP($A21,'Мои блогеры'!$A:$N,2,0),"")</f>
        <v>VK</v>
      </c>
      <c r="E21" s="172" t="s">
        <v>2429</v>
      </c>
      <c r="F21" s="172" t="s">
        <v>2583</v>
      </c>
      <c r="G21" s="173"/>
      <c r="H21" s="237"/>
      <c r="I21" s="172" t="s">
        <v>2818</v>
      </c>
      <c r="J21" s="18">
        <f>IFERROR(VLOOKUP($A21,'Мои блогеры'!$A:$N,8,0),"")</f>
        <v>12000</v>
      </c>
      <c r="K21" s="172">
        <v>1000.0</v>
      </c>
      <c r="L21" s="179"/>
      <c r="M21" s="18">
        <f t="shared" si="9"/>
        <v>13000</v>
      </c>
      <c r="N21" s="173"/>
      <c r="O21" s="240"/>
      <c r="P21" s="240"/>
      <c r="Q21" s="171"/>
      <c r="R21" s="173"/>
      <c r="S21" s="240"/>
      <c r="T21" s="176"/>
      <c r="U21" s="176"/>
      <c r="V21" s="180" t="str">
        <f t="shared" si="10"/>
        <v/>
      </c>
      <c r="W21" s="176"/>
      <c r="X21" s="176"/>
      <c r="Y21" s="18" t="str">
        <f t="shared" si="11"/>
        <v/>
      </c>
      <c r="Z21" s="176"/>
      <c r="AA21" s="176"/>
      <c r="AB21" s="176"/>
      <c r="AC21" s="181"/>
      <c r="AD21" s="18" t="str">
        <f t="shared" si="12"/>
        <v/>
      </c>
      <c r="AE21" s="176"/>
      <c r="AF21" s="18" t="str">
        <f t="shared" si="13"/>
        <v/>
      </c>
      <c r="AG21" s="18" t="str">
        <f t="shared" si="14"/>
        <v/>
      </c>
      <c r="AH21" s="18" t="str">
        <f t="shared" si="15"/>
        <v/>
      </c>
      <c r="AI21" s="172" t="s">
        <v>2558</v>
      </c>
      <c r="AJ21" s="173"/>
      <c r="AK21" s="171"/>
      <c r="AL21" s="173"/>
    </row>
    <row r="22" outlineLevel="1">
      <c r="A22" s="204" t="s">
        <v>2261</v>
      </c>
      <c r="B22" s="169"/>
      <c r="C22" s="18">
        <f>IFERROR(VLOOKUP($A22,'Мои блогеры'!$A:$N,5,0),"")</f>
        <v>161000</v>
      </c>
      <c r="D22" s="171" t="str">
        <f>IFERROR(VLOOKUP($A22,'Мои блогеры'!$A:$N,2,0),"")</f>
        <v>TikTok</v>
      </c>
      <c r="E22" s="172" t="s">
        <v>2429</v>
      </c>
      <c r="F22" s="172" t="s">
        <v>2583</v>
      </c>
      <c r="G22" s="173"/>
      <c r="H22" s="237"/>
      <c r="I22" s="172" t="s">
        <v>2818</v>
      </c>
      <c r="J22" s="18">
        <f>IFERROR(VLOOKUP($A22,'Мои блогеры'!$A:$N,8,0),"")</f>
        <v>30000</v>
      </c>
      <c r="K22" s="172">
        <v>2000.0</v>
      </c>
      <c r="L22" s="179">
        <v>850.0</v>
      </c>
      <c r="M22" s="18">
        <f t="shared" si="9"/>
        <v>32850</v>
      </c>
      <c r="N22" s="173"/>
      <c r="O22" s="240"/>
      <c r="P22" s="240"/>
      <c r="Q22" s="171"/>
      <c r="R22" s="173"/>
      <c r="S22" s="240"/>
      <c r="T22" s="176"/>
      <c r="U22" s="176"/>
      <c r="V22" s="180" t="str">
        <f t="shared" si="10"/>
        <v/>
      </c>
      <c r="W22" s="176"/>
      <c r="X22" s="176"/>
      <c r="Y22" s="18" t="str">
        <f t="shared" si="11"/>
        <v/>
      </c>
      <c r="Z22" s="176"/>
      <c r="AA22" s="176"/>
      <c r="AB22" s="176"/>
      <c r="AC22" s="181"/>
      <c r="AD22" s="18" t="str">
        <f t="shared" si="12"/>
        <v/>
      </c>
      <c r="AE22" s="176"/>
      <c r="AF22" s="18" t="str">
        <f t="shared" si="13"/>
        <v/>
      </c>
      <c r="AG22" s="18" t="str">
        <f t="shared" si="14"/>
        <v/>
      </c>
      <c r="AH22" s="18" t="str">
        <f t="shared" si="15"/>
        <v/>
      </c>
      <c r="AI22" s="172" t="s">
        <v>2558</v>
      </c>
      <c r="AJ22" s="173"/>
      <c r="AK22" s="171"/>
      <c r="AL22" s="173"/>
    </row>
    <row r="23" outlineLevel="1">
      <c r="A23" s="204" t="s">
        <v>2263</v>
      </c>
      <c r="B23" s="169"/>
      <c r="C23" s="18">
        <f>IFERROR(VLOOKUP($A23,'Мои блогеры'!$A:$N,5,0),"")</f>
        <v>1960</v>
      </c>
      <c r="D23" s="171" t="str">
        <f>IFERROR(VLOOKUP($A23,'Мои блогеры'!$A:$N,2,0),"")</f>
        <v>YouTube</v>
      </c>
      <c r="E23" s="172" t="s">
        <v>2429</v>
      </c>
      <c r="F23" s="172" t="s">
        <v>2583</v>
      </c>
      <c r="G23" s="173"/>
      <c r="H23" s="237"/>
      <c r="I23" s="172" t="s">
        <v>2818</v>
      </c>
      <c r="J23" s="18">
        <f>IFERROR(VLOOKUP($A23,'Мои блогеры'!$A:$N,8,0),"")</f>
        <v>5000</v>
      </c>
      <c r="K23" s="172">
        <v>350.0</v>
      </c>
      <c r="L23" s="179"/>
      <c r="M23" s="18">
        <f t="shared" si="9"/>
        <v>5350</v>
      </c>
      <c r="N23" s="173"/>
      <c r="O23" s="240"/>
      <c r="P23" s="240"/>
      <c r="Q23" s="171"/>
      <c r="R23" s="173"/>
      <c r="S23" s="240"/>
      <c r="T23" s="176"/>
      <c r="U23" s="176"/>
      <c r="V23" s="180" t="str">
        <f t="shared" si="10"/>
        <v/>
      </c>
      <c r="W23" s="176"/>
      <c r="X23" s="176"/>
      <c r="Y23" s="18" t="str">
        <f t="shared" si="11"/>
        <v/>
      </c>
      <c r="Z23" s="176"/>
      <c r="AA23" s="176"/>
      <c r="AB23" s="176"/>
      <c r="AC23" s="181"/>
      <c r="AD23" s="18" t="str">
        <f t="shared" si="12"/>
        <v/>
      </c>
      <c r="AE23" s="176"/>
      <c r="AF23" s="18" t="str">
        <f t="shared" si="13"/>
        <v/>
      </c>
      <c r="AG23" s="18" t="str">
        <f t="shared" si="14"/>
        <v/>
      </c>
      <c r="AH23" s="18" t="str">
        <f t="shared" si="15"/>
        <v/>
      </c>
      <c r="AI23" s="172" t="s">
        <v>2558</v>
      </c>
      <c r="AJ23" s="173"/>
      <c r="AK23" s="171"/>
      <c r="AL23" s="173"/>
    </row>
    <row r="24" ht="16.5" customHeight="1" outlineLevel="1">
      <c r="A24" s="287" t="s">
        <v>2832</v>
      </c>
      <c r="B24" s="169"/>
      <c r="C24" s="18">
        <f>IFERROR(VLOOKUP($A24,'Мои блогеры'!$A:$N,5,0),"")</f>
        <v>82200</v>
      </c>
      <c r="D24" s="171" t="str">
        <f>IFERROR(VLOOKUP($A24,'Мои блогеры'!$A:$N,2,0),"")</f>
        <v>TikTok</v>
      </c>
      <c r="E24" s="172" t="s">
        <v>2429</v>
      </c>
      <c r="F24" s="172" t="s">
        <v>2583</v>
      </c>
      <c r="G24" s="173"/>
      <c r="H24" s="237"/>
      <c r="I24" s="172" t="s">
        <v>2833</v>
      </c>
      <c r="J24" s="18">
        <f>IFERROR(VLOOKUP($A24,'Мои блогеры'!$A:$N,8,0),"")</f>
        <v>30000</v>
      </c>
      <c r="K24" s="172">
        <v>1770.0</v>
      </c>
      <c r="L24" s="179">
        <v>850.0</v>
      </c>
      <c r="M24" s="18">
        <f t="shared" si="9"/>
        <v>32620</v>
      </c>
      <c r="N24" s="173"/>
      <c r="O24" s="240"/>
      <c r="P24" s="240"/>
      <c r="Q24" s="171"/>
      <c r="R24" s="173"/>
      <c r="S24" s="240"/>
      <c r="T24" s="176"/>
      <c r="U24" s="176"/>
      <c r="V24" s="180" t="str">
        <f t="shared" si="10"/>
        <v/>
      </c>
      <c r="W24" s="176"/>
      <c r="X24" s="176"/>
      <c r="Y24" s="18" t="str">
        <f t="shared" si="11"/>
        <v/>
      </c>
      <c r="Z24" s="176"/>
      <c r="AA24" s="176"/>
      <c r="AB24" s="176"/>
      <c r="AC24" s="181"/>
      <c r="AD24" s="18" t="str">
        <f t="shared" si="12"/>
        <v/>
      </c>
      <c r="AE24" s="176"/>
      <c r="AF24" s="18" t="str">
        <f t="shared" si="13"/>
        <v/>
      </c>
      <c r="AG24" s="18" t="str">
        <f t="shared" si="14"/>
        <v/>
      </c>
      <c r="AH24" s="18" t="str">
        <f t="shared" si="15"/>
        <v/>
      </c>
      <c r="AI24" s="172" t="s">
        <v>2558</v>
      </c>
      <c r="AJ24" s="173"/>
      <c r="AK24" s="171"/>
      <c r="AL24" s="173"/>
    </row>
    <row r="25" ht="15.75" customHeight="1" outlineLevel="1">
      <c r="A25" s="287" t="s">
        <v>2267</v>
      </c>
      <c r="B25" s="169"/>
      <c r="C25" s="18">
        <f>IFERROR(VLOOKUP($A25,'Мои блогеры'!$A:$N,5,0),"")</f>
        <v>50400</v>
      </c>
      <c r="D25" s="171" t="str">
        <f>IFERROR(VLOOKUP($A25,'Мои блогеры'!$A:$N,2,0),"")</f>
        <v>YouTube</v>
      </c>
      <c r="E25" s="172" t="s">
        <v>2429</v>
      </c>
      <c r="F25" s="172" t="s">
        <v>2583</v>
      </c>
      <c r="G25" s="173"/>
      <c r="H25" s="237"/>
      <c r="I25" s="172" t="s">
        <v>2833</v>
      </c>
      <c r="J25" s="18">
        <f>IFERROR(VLOOKUP($A25,'Мои блогеры'!$A:$N,8,0),"")</f>
        <v>20000</v>
      </c>
      <c r="K25" s="172">
        <v>1770.0</v>
      </c>
      <c r="L25" s="179"/>
      <c r="M25" s="18">
        <f t="shared" si="9"/>
        <v>21770</v>
      </c>
      <c r="N25" s="173"/>
      <c r="O25" s="240"/>
      <c r="P25" s="240"/>
      <c r="Q25" s="171"/>
      <c r="R25" s="173"/>
      <c r="S25" s="240"/>
      <c r="T25" s="176"/>
      <c r="U25" s="176"/>
      <c r="V25" s="180" t="str">
        <f t="shared" si="10"/>
        <v/>
      </c>
      <c r="W25" s="176"/>
      <c r="X25" s="176"/>
      <c r="Y25" s="18" t="str">
        <f t="shared" si="11"/>
        <v/>
      </c>
      <c r="Z25" s="176"/>
      <c r="AA25" s="176"/>
      <c r="AB25" s="176"/>
      <c r="AC25" s="181"/>
      <c r="AD25" s="18" t="str">
        <f t="shared" si="12"/>
        <v/>
      </c>
      <c r="AE25" s="176"/>
      <c r="AF25" s="18" t="str">
        <f t="shared" si="13"/>
        <v/>
      </c>
      <c r="AG25" s="18" t="str">
        <f t="shared" si="14"/>
        <v/>
      </c>
      <c r="AH25" s="18" t="str">
        <f t="shared" si="15"/>
        <v/>
      </c>
      <c r="AI25" s="172" t="s">
        <v>2558</v>
      </c>
      <c r="AJ25" s="173"/>
      <c r="AK25" s="171"/>
      <c r="AL25" s="173"/>
    </row>
    <row r="26" ht="17.25" customHeight="1" outlineLevel="1">
      <c r="A26" s="204" t="s">
        <v>2269</v>
      </c>
      <c r="B26" s="169"/>
      <c r="C26" s="18">
        <f>IFERROR(VLOOKUP($A26,'Мои блогеры'!$A:$N,5,0),"")</f>
        <v>202000</v>
      </c>
      <c r="D26" s="171" t="str">
        <f>IFERROR(VLOOKUP($A26,'Мои блогеры'!$A:$N,2,0),"")</f>
        <v>VK</v>
      </c>
      <c r="E26" s="172" t="s">
        <v>2429</v>
      </c>
      <c r="F26" s="172" t="s">
        <v>2583</v>
      </c>
      <c r="G26" s="173"/>
      <c r="H26" s="237"/>
      <c r="I26" s="172" t="s">
        <v>2833</v>
      </c>
      <c r="J26" s="18">
        <f>IFERROR(VLOOKUP($A26,'Мои блогеры'!$A:$N,8,0),"")</f>
        <v>25000</v>
      </c>
      <c r="K26" s="172">
        <v>1770.0</v>
      </c>
      <c r="L26" s="179"/>
      <c r="M26" s="18">
        <f t="shared" si="9"/>
        <v>26770</v>
      </c>
      <c r="N26" s="173"/>
      <c r="O26" s="240"/>
      <c r="P26" s="240"/>
      <c r="Q26" s="171"/>
      <c r="R26" s="173"/>
      <c r="S26" s="240"/>
      <c r="T26" s="176"/>
      <c r="U26" s="176"/>
      <c r="V26" s="180" t="str">
        <f t="shared" si="10"/>
        <v/>
      </c>
      <c r="W26" s="176"/>
      <c r="X26" s="176"/>
      <c r="Y26" s="18" t="str">
        <f t="shared" si="11"/>
        <v/>
      </c>
      <c r="Z26" s="176"/>
      <c r="AA26" s="176"/>
      <c r="AB26" s="176"/>
      <c r="AC26" s="181"/>
      <c r="AD26" s="18" t="str">
        <f t="shared" si="12"/>
        <v/>
      </c>
      <c r="AE26" s="176"/>
      <c r="AF26" s="18" t="str">
        <f t="shared" si="13"/>
        <v/>
      </c>
      <c r="AG26" s="18" t="str">
        <f t="shared" si="14"/>
        <v/>
      </c>
      <c r="AH26" s="18" t="str">
        <f t="shared" si="15"/>
        <v/>
      </c>
      <c r="AI26" s="172" t="s">
        <v>2558</v>
      </c>
      <c r="AJ26" s="173"/>
      <c r="AK26" s="171"/>
      <c r="AL26" s="173"/>
    </row>
    <row r="27" outlineLevel="1">
      <c r="A27" s="288" t="s">
        <v>2275</v>
      </c>
      <c r="B27" s="169"/>
      <c r="C27" s="18">
        <f>IFERROR(VLOOKUP($A27,'Мои блогеры'!$A:$N,5,0),"")</f>
        <v>203000</v>
      </c>
      <c r="D27" s="171" t="str">
        <f>IFERROR(VLOOKUP($A27,'Мои блогеры'!$A:$N,2,0),"")</f>
        <v>TikTok</v>
      </c>
      <c r="E27" s="172" t="s">
        <v>2429</v>
      </c>
      <c r="F27" s="172" t="s">
        <v>2583</v>
      </c>
      <c r="G27" s="172"/>
      <c r="H27" s="242"/>
      <c r="I27" s="172" t="s">
        <v>2833</v>
      </c>
      <c r="J27" s="18">
        <f>IFERROR(VLOOKUP($A27,'Мои блогеры'!$A:$N,8,0),"")</f>
        <v>20000</v>
      </c>
      <c r="K27" s="172">
        <v>1054.0</v>
      </c>
      <c r="L27" s="179">
        <v>700.0</v>
      </c>
      <c r="M27" s="18">
        <f t="shared" si="9"/>
        <v>21754</v>
      </c>
      <c r="N27" s="173"/>
      <c r="O27" s="240"/>
      <c r="P27" s="240"/>
      <c r="Q27" s="171"/>
      <c r="R27" s="173"/>
      <c r="S27" s="240"/>
      <c r="T27" s="176"/>
      <c r="U27" s="176"/>
      <c r="V27" s="180" t="str">
        <f t="shared" si="10"/>
        <v/>
      </c>
      <c r="W27" s="176"/>
      <c r="X27" s="176"/>
      <c r="Y27" s="18" t="str">
        <f t="shared" si="11"/>
        <v/>
      </c>
      <c r="Z27" s="176"/>
      <c r="AA27" s="176"/>
      <c r="AB27" s="176"/>
      <c r="AC27" s="181"/>
      <c r="AD27" s="18" t="str">
        <f t="shared" si="12"/>
        <v/>
      </c>
      <c r="AE27" s="176"/>
      <c r="AF27" s="18" t="str">
        <f t="shared" si="13"/>
        <v/>
      </c>
      <c r="AG27" s="18" t="str">
        <f t="shared" si="14"/>
        <v/>
      </c>
      <c r="AH27" s="18" t="str">
        <f t="shared" si="15"/>
        <v/>
      </c>
      <c r="AI27" s="172" t="s">
        <v>2558</v>
      </c>
      <c r="AJ27" s="173"/>
      <c r="AK27" s="171"/>
      <c r="AL27" s="173"/>
    </row>
    <row r="28" outlineLevel="1">
      <c r="A28" s="204" t="s">
        <v>2277</v>
      </c>
      <c r="B28" s="169"/>
      <c r="C28" s="18">
        <f>IFERROR(VLOOKUP($A28,'Мои блогеры'!$A:$N,5,0),"")</f>
        <v>19300</v>
      </c>
      <c r="D28" s="171" t="str">
        <f>IFERROR(VLOOKUP($A28,'Мои блогеры'!$A:$N,2,0),"")</f>
        <v>YouTube</v>
      </c>
      <c r="E28" s="172" t="s">
        <v>2429</v>
      </c>
      <c r="F28" s="172" t="s">
        <v>2583</v>
      </c>
      <c r="G28" s="172"/>
      <c r="H28" s="242"/>
      <c r="I28" s="172" t="s">
        <v>2833</v>
      </c>
      <c r="J28" s="18">
        <f>IFERROR(VLOOKUP($A28,'Мои блогеры'!$A:$N,8,0),"")</f>
        <v>5000</v>
      </c>
      <c r="K28" s="172">
        <v>500.0</v>
      </c>
      <c r="L28" s="179"/>
      <c r="M28" s="18">
        <f t="shared" si="9"/>
        <v>5500</v>
      </c>
      <c r="N28" s="173"/>
      <c r="O28" s="240"/>
      <c r="P28" s="240"/>
      <c r="Q28" s="171"/>
      <c r="R28" s="173"/>
      <c r="S28" s="240"/>
      <c r="T28" s="176"/>
      <c r="U28" s="176"/>
      <c r="V28" s="180" t="str">
        <f t="shared" si="10"/>
        <v/>
      </c>
      <c r="W28" s="176"/>
      <c r="X28" s="176"/>
      <c r="Y28" s="18" t="str">
        <f t="shared" si="11"/>
        <v/>
      </c>
      <c r="Z28" s="176"/>
      <c r="AA28" s="176"/>
      <c r="AB28" s="176"/>
      <c r="AC28" s="181"/>
      <c r="AD28" s="18" t="str">
        <f t="shared" si="12"/>
        <v/>
      </c>
      <c r="AE28" s="176"/>
      <c r="AF28" s="18" t="str">
        <f t="shared" si="13"/>
        <v/>
      </c>
      <c r="AG28" s="18" t="str">
        <f t="shared" si="14"/>
        <v/>
      </c>
      <c r="AH28" s="18" t="str">
        <f t="shared" si="15"/>
        <v/>
      </c>
      <c r="AI28" s="172" t="s">
        <v>2558</v>
      </c>
      <c r="AJ28" s="173"/>
      <c r="AK28" s="171"/>
      <c r="AL28" s="173"/>
    </row>
    <row r="29" outlineLevel="1">
      <c r="A29" s="204" t="s">
        <v>2279</v>
      </c>
      <c r="B29" s="169"/>
      <c r="C29" s="18">
        <f>IFERROR(VLOOKUP($A29,'Мои блогеры'!$A:$N,5,0),"")</f>
        <v>6500</v>
      </c>
      <c r="D29" s="171" t="str">
        <f>IFERROR(VLOOKUP($A29,'Мои блогеры'!$A:$N,2,0),"")</f>
        <v>VK</v>
      </c>
      <c r="E29" s="172" t="s">
        <v>2429</v>
      </c>
      <c r="F29" s="172" t="s">
        <v>2583</v>
      </c>
      <c r="G29" s="173"/>
      <c r="H29" s="242"/>
      <c r="I29" s="172" t="s">
        <v>2833</v>
      </c>
      <c r="J29" s="18">
        <f>IFERROR(VLOOKUP($A29,'Мои блогеры'!$A:$N,8,0),"")</f>
        <v>5000</v>
      </c>
      <c r="K29" s="172">
        <v>500.0</v>
      </c>
      <c r="L29" s="179"/>
      <c r="M29" s="18">
        <f t="shared" si="9"/>
        <v>5500</v>
      </c>
      <c r="N29" s="173"/>
      <c r="O29" s="240"/>
      <c r="P29" s="240"/>
      <c r="Q29" s="171"/>
      <c r="R29" s="173"/>
      <c r="S29" s="240"/>
      <c r="T29" s="176"/>
      <c r="U29" s="176"/>
      <c r="V29" s="180" t="str">
        <f t="shared" si="10"/>
        <v/>
      </c>
      <c r="W29" s="176"/>
      <c r="X29" s="176"/>
      <c r="Y29" s="18" t="str">
        <f t="shared" si="11"/>
        <v/>
      </c>
      <c r="Z29" s="176"/>
      <c r="AA29" s="176"/>
      <c r="AB29" s="176"/>
      <c r="AC29" s="181"/>
      <c r="AD29" s="18" t="str">
        <f t="shared" si="12"/>
        <v/>
      </c>
      <c r="AE29" s="176"/>
      <c r="AF29" s="18" t="str">
        <f t="shared" si="13"/>
        <v/>
      </c>
      <c r="AG29" s="18" t="str">
        <f t="shared" si="14"/>
        <v/>
      </c>
      <c r="AH29" s="18" t="str">
        <f t="shared" si="15"/>
        <v/>
      </c>
      <c r="AI29" s="172" t="s">
        <v>2558</v>
      </c>
      <c r="AJ29" s="173"/>
      <c r="AK29" s="171"/>
      <c r="AL29" s="173"/>
    </row>
    <row r="30" ht="16.5" customHeight="1" outlineLevel="1">
      <c r="A30" s="289"/>
      <c r="B30" s="169"/>
      <c r="C30" s="18"/>
      <c r="D30" s="171" t="str">
        <f>IFERROR(VLOOKUP($A30,'Мои блогеры'!$A:$N,2,0),"")</f>
        <v/>
      </c>
      <c r="E30" s="172"/>
      <c r="F30" s="172"/>
      <c r="G30" s="173"/>
      <c r="H30" s="174"/>
      <c r="I30" s="172"/>
      <c r="J30" s="18" t="str">
        <f>IFERROR(VLOOKUP($A30,'Мои блогеры'!$A:$N,8,0),"")</f>
        <v/>
      </c>
      <c r="K30" s="172"/>
      <c r="L30" s="179"/>
      <c r="M30" s="18" t="str">
        <f t="shared" si="9"/>
        <v/>
      </c>
      <c r="N30" s="173"/>
      <c r="O30" s="240"/>
      <c r="P30" s="240"/>
      <c r="Q30" s="171"/>
      <c r="R30" s="173"/>
      <c r="S30" s="240"/>
      <c r="T30" s="176"/>
      <c r="U30" s="176"/>
      <c r="V30" s="180" t="str">
        <f t="shared" si="10"/>
        <v/>
      </c>
      <c r="W30" s="176"/>
      <c r="X30" s="176"/>
      <c r="Y30" s="18" t="str">
        <f t="shared" si="11"/>
        <v/>
      </c>
      <c r="Z30" s="176"/>
      <c r="AA30" s="176"/>
      <c r="AB30" s="176"/>
      <c r="AC30" s="181"/>
      <c r="AD30" s="18" t="str">
        <f t="shared" si="12"/>
        <v/>
      </c>
      <c r="AE30" s="176"/>
      <c r="AF30" s="18" t="str">
        <f t="shared" si="13"/>
        <v/>
      </c>
      <c r="AG30" s="18" t="str">
        <f t="shared" si="14"/>
        <v/>
      </c>
      <c r="AH30" s="18" t="str">
        <f t="shared" si="15"/>
        <v/>
      </c>
      <c r="AI30" s="172" t="s">
        <v>2558</v>
      </c>
      <c r="AJ30" s="173"/>
      <c r="AK30" s="171"/>
      <c r="AL30" s="173"/>
    </row>
    <row r="31" outlineLevel="1">
      <c r="A31" s="289"/>
      <c r="B31" s="169"/>
      <c r="C31" s="18"/>
      <c r="D31" s="171" t="str">
        <f>IFERROR(VLOOKUP($A31,'Мои блогеры'!$A:$N,2,0),"")</f>
        <v/>
      </c>
      <c r="E31" s="172"/>
      <c r="F31" s="172"/>
      <c r="G31" s="173"/>
      <c r="H31" s="174"/>
      <c r="I31" s="172"/>
      <c r="J31" s="18" t="str">
        <f>IFERROR(VLOOKUP($A31,'Мои блогеры'!$A:$N,8,0),"")</f>
        <v/>
      </c>
      <c r="K31" s="172"/>
      <c r="L31" s="179"/>
      <c r="M31" s="18" t="str">
        <f t="shared" si="9"/>
        <v/>
      </c>
      <c r="N31" s="173"/>
      <c r="O31" s="240"/>
      <c r="P31" s="240"/>
      <c r="Q31" s="171"/>
      <c r="R31" s="173"/>
      <c r="S31" s="240"/>
      <c r="T31" s="176"/>
      <c r="U31" s="176"/>
      <c r="V31" s="180" t="str">
        <f t="shared" si="10"/>
        <v/>
      </c>
      <c r="W31" s="176"/>
      <c r="X31" s="176"/>
      <c r="Y31" s="18" t="str">
        <f t="shared" si="11"/>
        <v/>
      </c>
      <c r="Z31" s="176"/>
      <c r="AA31" s="176"/>
      <c r="AB31" s="176"/>
      <c r="AC31" s="181"/>
      <c r="AD31" s="18" t="str">
        <f t="shared" si="12"/>
        <v/>
      </c>
      <c r="AE31" s="176"/>
      <c r="AF31" s="18" t="str">
        <f t="shared" si="13"/>
        <v/>
      </c>
      <c r="AG31" s="18" t="str">
        <f t="shared" si="14"/>
        <v/>
      </c>
      <c r="AH31" s="18" t="str">
        <f t="shared" si="15"/>
        <v/>
      </c>
      <c r="AI31" s="172" t="s">
        <v>2558</v>
      </c>
      <c r="AJ31" s="173"/>
      <c r="AK31" s="171"/>
      <c r="AL31" s="173"/>
    </row>
    <row r="32" outlineLevel="1">
      <c r="A32" s="290"/>
      <c r="B32" s="169"/>
      <c r="C32" s="18"/>
      <c r="D32" s="171" t="str">
        <f>IFERROR(VLOOKUP($A32,'Мои блогеры'!$A:$N,2,0),"")</f>
        <v/>
      </c>
      <c r="E32" s="172"/>
      <c r="F32" s="172"/>
      <c r="G32" s="173"/>
      <c r="H32" s="174"/>
      <c r="I32" s="172"/>
      <c r="J32" s="18" t="str">
        <f>IFERROR(VLOOKUP($A32,'Мои блогеры'!$A:$N,8,0),"")</f>
        <v/>
      </c>
      <c r="K32" s="172"/>
      <c r="L32" s="179"/>
      <c r="M32" s="18" t="str">
        <f t="shared" si="9"/>
        <v/>
      </c>
      <c r="N32" s="173"/>
      <c r="O32" s="240"/>
      <c r="P32" s="240"/>
      <c r="Q32" s="171"/>
      <c r="R32" s="173"/>
      <c r="S32" s="240"/>
      <c r="T32" s="176"/>
      <c r="U32" s="176"/>
      <c r="V32" s="180" t="str">
        <f t="shared" si="10"/>
        <v/>
      </c>
      <c r="W32" s="176"/>
      <c r="X32" s="176"/>
      <c r="Y32" s="18" t="str">
        <f t="shared" si="11"/>
        <v/>
      </c>
      <c r="Z32" s="176"/>
      <c r="AA32" s="176"/>
      <c r="AB32" s="176"/>
      <c r="AC32" s="181"/>
      <c r="AD32" s="18" t="str">
        <f t="shared" si="12"/>
        <v/>
      </c>
      <c r="AE32" s="176"/>
      <c r="AF32" s="18" t="str">
        <f t="shared" si="13"/>
        <v/>
      </c>
      <c r="AG32" s="18" t="str">
        <f t="shared" si="14"/>
        <v/>
      </c>
      <c r="AH32" s="18" t="str">
        <f t="shared" si="15"/>
        <v/>
      </c>
      <c r="AI32" s="172" t="s">
        <v>2558</v>
      </c>
      <c r="AJ32" s="173"/>
      <c r="AK32" s="171"/>
      <c r="AL32" s="173"/>
    </row>
    <row r="33" outlineLevel="1">
      <c r="A33" s="291"/>
      <c r="B33" s="169"/>
      <c r="C33" s="18"/>
      <c r="D33" s="233"/>
      <c r="E33" s="172"/>
      <c r="F33" s="172"/>
      <c r="G33" s="173"/>
      <c r="H33" s="174"/>
      <c r="I33" s="172"/>
      <c r="J33" s="18" t="str">
        <f>IFERROR(VLOOKUP($A33,'Мои блогеры'!$A:$N,8,0),"")</f>
        <v/>
      </c>
      <c r="K33" s="172"/>
      <c r="L33" s="179"/>
      <c r="M33" s="18" t="str">
        <f t="shared" si="9"/>
        <v/>
      </c>
      <c r="N33" s="173"/>
      <c r="O33" s="240"/>
      <c r="P33" s="240"/>
      <c r="Q33" s="171"/>
      <c r="R33" s="173"/>
      <c r="S33" s="240"/>
      <c r="T33" s="176"/>
      <c r="U33" s="176"/>
      <c r="V33" s="180" t="str">
        <f t="shared" si="10"/>
        <v/>
      </c>
      <c r="W33" s="176"/>
      <c r="X33" s="176"/>
      <c r="Y33" s="18" t="str">
        <f t="shared" si="11"/>
        <v/>
      </c>
      <c r="Z33" s="176"/>
      <c r="AA33" s="176"/>
      <c r="AB33" s="176"/>
      <c r="AC33" s="181"/>
      <c r="AD33" s="18" t="str">
        <f t="shared" si="12"/>
        <v/>
      </c>
      <c r="AE33" s="176"/>
      <c r="AF33" s="18" t="str">
        <f t="shared" si="13"/>
        <v/>
      </c>
      <c r="AG33" s="18" t="str">
        <f t="shared" si="14"/>
        <v/>
      </c>
      <c r="AH33" s="18" t="str">
        <f t="shared" si="15"/>
        <v/>
      </c>
      <c r="AI33" s="172" t="s">
        <v>2558</v>
      </c>
      <c r="AJ33" s="173"/>
      <c r="AK33" s="171"/>
      <c r="AL33" s="173"/>
    </row>
    <row r="34" outlineLevel="1">
      <c r="A34" s="292"/>
      <c r="B34" s="169"/>
      <c r="C34" s="18"/>
      <c r="D34" s="233"/>
      <c r="E34" s="172"/>
      <c r="F34" s="172"/>
      <c r="G34" s="173"/>
      <c r="H34" s="174"/>
      <c r="I34" s="172"/>
      <c r="J34" s="18" t="str">
        <f>IFERROR(VLOOKUP($A34,'Мои блогеры'!$A:$N,8,0),"")</f>
        <v/>
      </c>
      <c r="K34" s="172"/>
      <c r="L34" s="179"/>
      <c r="M34" s="18" t="str">
        <f t="shared" si="9"/>
        <v/>
      </c>
      <c r="N34" s="173"/>
      <c r="O34" s="240"/>
      <c r="P34" s="240"/>
      <c r="Q34" s="171"/>
      <c r="R34" s="173"/>
      <c r="S34" s="240"/>
      <c r="T34" s="176"/>
      <c r="U34" s="176"/>
      <c r="V34" s="180" t="str">
        <f t="shared" si="10"/>
        <v/>
      </c>
      <c r="W34" s="176"/>
      <c r="X34" s="176"/>
      <c r="Y34" s="18" t="str">
        <f t="shared" si="11"/>
        <v/>
      </c>
      <c r="Z34" s="176"/>
      <c r="AA34" s="176"/>
      <c r="AB34" s="176"/>
      <c r="AC34" s="181"/>
      <c r="AD34" s="18" t="str">
        <f t="shared" si="12"/>
        <v/>
      </c>
      <c r="AE34" s="176"/>
      <c r="AF34" s="18" t="str">
        <f t="shared" si="13"/>
        <v/>
      </c>
      <c r="AG34" s="18" t="str">
        <f t="shared" si="14"/>
        <v/>
      </c>
      <c r="AH34" s="18" t="str">
        <f t="shared" si="15"/>
        <v/>
      </c>
      <c r="AI34" s="172" t="s">
        <v>2558</v>
      </c>
      <c r="AJ34" s="173"/>
      <c r="AK34" s="171"/>
      <c r="AL34" s="173"/>
    </row>
    <row r="35" outlineLevel="1">
      <c r="A35" s="291"/>
      <c r="B35" s="169"/>
      <c r="C35" s="18"/>
      <c r="D35" s="233"/>
      <c r="E35" s="172"/>
      <c r="F35" s="172"/>
      <c r="G35" s="173"/>
      <c r="H35" s="174"/>
      <c r="I35" s="172"/>
      <c r="J35" s="18" t="str">
        <f>IFERROR(VLOOKUP($A35,'Мои блогеры'!$A:$N,8,0),"")</f>
        <v/>
      </c>
      <c r="K35" s="172"/>
      <c r="L35" s="179"/>
      <c r="M35" s="18" t="str">
        <f t="shared" si="9"/>
        <v/>
      </c>
      <c r="N35" s="173"/>
      <c r="O35" s="240"/>
      <c r="P35" s="240"/>
      <c r="Q35" s="171"/>
      <c r="R35" s="173"/>
      <c r="S35" s="240"/>
      <c r="T35" s="176"/>
      <c r="U35" s="176"/>
      <c r="V35" s="180" t="str">
        <f t="shared" si="10"/>
        <v/>
      </c>
      <c r="W35" s="176"/>
      <c r="X35" s="176"/>
      <c r="Y35" s="18" t="str">
        <f t="shared" si="11"/>
        <v/>
      </c>
      <c r="Z35" s="176"/>
      <c r="AA35" s="176"/>
      <c r="AB35" s="176"/>
      <c r="AC35" s="181"/>
      <c r="AD35" s="18" t="str">
        <f t="shared" si="12"/>
        <v/>
      </c>
      <c r="AE35" s="176"/>
      <c r="AF35" s="18" t="str">
        <f t="shared" si="13"/>
        <v/>
      </c>
      <c r="AG35" s="18" t="str">
        <f t="shared" si="14"/>
        <v/>
      </c>
      <c r="AH35" s="18" t="str">
        <f t="shared" si="15"/>
        <v/>
      </c>
      <c r="AI35" s="172" t="s">
        <v>2558</v>
      </c>
      <c r="AJ35" s="173"/>
      <c r="AK35" s="171"/>
      <c r="AL35" s="173"/>
    </row>
    <row r="36" outlineLevel="1">
      <c r="A36" s="291"/>
      <c r="B36" s="169"/>
      <c r="C36" s="18"/>
      <c r="D36" s="233"/>
      <c r="E36" s="172"/>
      <c r="F36" s="172"/>
      <c r="G36" s="173"/>
      <c r="H36" s="174"/>
      <c r="I36" s="172"/>
      <c r="J36" s="18" t="str">
        <f>IFERROR(VLOOKUP($A36,'Мои блогеры'!$A:$N,8,0),"")</f>
        <v/>
      </c>
      <c r="K36" s="172"/>
      <c r="L36" s="179"/>
      <c r="M36" s="18" t="str">
        <f t="shared" si="9"/>
        <v/>
      </c>
      <c r="N36" s="173"/>
      <c r="O36" s="240"/>
      <c r="P36" s="240"/>
      <c r="Q36" s="171"/>
      <c r="R36" s="173"/>
      <c r="S36" s="240"/>
      <c r="T36" s="176"/>
      <c r="U36" s="176"/>
      <c r="V36" s="180" t="str">
        <f t="shared" si="10"/>
        <v/>
      </c>
      <c r="W36" s="176"/>
      <c r="X36" s="176"/>
      <c r="Y36" s="18" t="str">
        <f t="shared" si="11"/>
        <v/>
      </c>
      <c r="Z36" s="176"/>
      <c r="AA36" s="176"/>
      <c r="AB36" s="176"/>
      <c r="AC36" s="181"/>
      <c r="AD36" s="18" t="str">
        <f t="shared" si="12"/>
        <v/>
      </c>
      <c r="AE36" s="176"/>
      <c r="AF36" s="18" t="str">
        <f t="shared" si="13"/>
        <v/>
      </c>
      <c r="AG36" s="18" t="str">
        <f t="shared" si="14"/>
        <v/>
      </c>
      <c r="AH36" s="18" t="str">
        <f t="shared" si="15"/>
        <v/>
      </c>
      <c r="AI36" s="172" t="s">
        <v>2558</v>
      </c>
      <c r="AJ36" s="173"/>
      <c r="AK36" s="171"/>
      <c r="AL36" s="173"/>
    </row>
    <row r="37" outlineLevel="1">
      <c r="A37" s="291"/>
      <c r="B37" s="169"/>
      <c r="C37" s="18"/>
      <c r="D37" s="233"/>
      <c r="E37" s="172"/>
      <c r="F37" s="172"/>
      <c r="G37" s="173"/>
      <c r="H37" s="242"/>
      <c r="I37" s="172"/>
      <c r="J37" s="18"/>
      <c r="K37" s="172"/>
      <c r="L37" s="179"/>
      <c r="M37" s="18"/>
      <c r="N37" s="173"/>
      <c r="O37" s="226"/>
      <c r="P37" s="226"/>
      <c r="Q37" s="171"/>
      <c r="R37" s="173"/>
      <c r="S37" s="261"/>
      <c r="T37" s="172"/>
      <c r="U37" s="179"/>
      <c r="V37" s="180"/>
      <c r="W37" s="179"/>
      <c r="X37" s="179"/>
      <c r="Y37" s="18"/>
      <c r="Z37" s="179"/>
      <c r="AA37" s="176"/>
      <c r="AB37" s="176"/>
      <c r="AC37" s="181"/>
      <c r="AD37" s="18"/>
      <c r="AE37" s="179"/>
      <c r="AF37" s="18"/>
      <c r="AG37" s="18"/>
      <c r="AH37" s="18"/>
      <c r="AI37" s="172"/>
      <c r="AJ37" s="172"/>
      <c r="AK37" s="172"/>
      <c r="AL37" s="173"/>
    </row>
    <row r="38" ht="19.5" customHeight="1" outlineLevel="1">
      <c r="A38" s="291"/>
      <c r="B38" s="169"/>
      <c r="C38" s="18"/>
      <c r="D38" s="233"/>
      <c r="E38" s="172"/>
      <c r="F38" s="172"/>
      <c r="G38" s="173"/>
      <c r="H38" s="174"/>
      <c r="I38" s="172"/>
      <c r="J38" s="175"/>
      <c r="K38" s="172"/>
      <c r="L38" s="179"/>
      <c r="M38" s="175"/>
      <c r="N38" s="173"/>
      <c r="O38" s="226"/>
      <c r="P38" s="226"/>
      <c r="Q38" s="171"/>
      <c r="R38" s="173"/>
      <c r="S38" s="261"/>
      <c r="T38" s="172"/>
      <c r="U38" s="179"/>
      <c r="V38" s="180"/>
      <c r="W38" s="179"/>
      <c r="X38" s="179"/>
      <c r="Y38" s="18"/>
      <c r="Z38" s="179"/>
      <c r="AA38" s="176"/>
      <c r="AB38" s="176"/>
      <c r="AC38" s="181"/>
      <c r="AD38" s="18"/>
      <c r="AE38" s="179"/>
      <c r="AF38" s="18"/>
      <c r="AG38" s="18"/>
      <c r="AH38" s="18"/>
      <c r="AI38" s="172"/>
      <c r="AJ38" s="172"/>
      <c r="AK38" s="172"/>
      <c r="AL38" s="222"/>
    </row>
    <row r="39" outlineLevel="1">
      <c r="A39" s="291"/>
      <c r="B39" s="169"/>
      <c r="C39" s="18"/>
      <c r="D39" s="233"/>
      <c r="E39" s="172"/>
      <c r="F39" s="172"/>
      <c r="G39" s="173"/>
      <c r="H39" s="174"/>
      <c r="I39" s="172"/>
      <c r="J39" s="18"/>
      <c r="K39" s="172"/>
      <c r="L39" s="179"/>
      <c r="M39" s="18"/>
      <c r="N39" s="173"/>
      <c r="O39" s="226"/>
      <c r="P39" s="226"/>
      <c r="Q39" s="171"/>
      <c r="R39" s="173"/>
      <c r="S39" s="261"/>
      <c r="T39" s="172"/>
      <c r="U39" s="179"/>
      <c r="V39" s="180"/>
      <c r="W39" s="179"/>
      <c r="X39" s="179"/>
      <c r="Y39" s="18"/>
      <c r="Z39" s="179"/>
      <c r="AA39" s="179"/>
      <c r="AB39" s="176"/>
      <c r="AC39" s="181"/>
      <c r="AD39" s="18"/>
      <c r="AE39" s="179"/>
      <c r="AF39" s="18"/>
      <c r="AG39" s="18"/>
      <c r="AH39" s="18"/>
      <c r="AI39" s="172"/>
      <c r="AJ39" s="172"/>
      <c r="AK39" s="172"/>
      <c r="AL39" s="173"/>
    </row>
    <row r="40" outlineLevel="1">
      <c r="A40" s="291"/>
      <c r="B40" s="169"/>
      <c r="C40" s="18"/>
      <c r="D40" s="233"/>
      <c r="E40" s="172"/>
      <c r="F40" s="172"/>
      <c r="G40" s="173"/>
      <c r="H40" s="174"/>
      <c r="I40" s="172"/>
      <c r="J40" s="18"/>
      <c r="K40" s="172"/>
      <c r="L40" s="179"/>
      <c r="M40" s="18"/>
      <c r="N40" s="173"/>
      <c r="O40" s="226"/>
      <c r="P40" s="210"/>
      <c r="Q40" s="171"/>
      <c r="R40" s="173"/>
      <c r="S40" s="261"/>
      <c r="T40" s="172"/>
      <c r="U40" s="179"/>
      <c r="V40" s="180"/>
      <c r="W40" s="179"/>
      <c r="X40" s="179"/>
      <c r="Y40" s="18"/>
      <c r="Z40" s="179"/>
      <c r="AA40" s="179"/>
      <c r="AB40" s="176"/>
      <c r="AC40" s="181"/>
      <c r="AD40" s="18"/>
      <c r="AE40" s="179"/>
      <c r="AF40" s="18"/>
      <c r="AG40" s="18"/>
      <c r="AH40" s="18"/>
      <c r="AI40" s="172"/>
      <c r="AJ40" s="172"/>
      <c r="AK40" s="172"/>
      <c r="AL40" s="173"/>
    </row>
    <row r="41" outlineLevel="1">
      <c r="A41" s="201" t="s">
        <v>2834</v>
      </c>
      <c r="B41" s="188"/>
      <c r="C41" s="189"/>
      <c r="D41" s="188"/>
      <c r="E41" s="188"/>
      <c r="F41" s="188"/>
      <c r="G41" s="188"/>
      <c r="H41" s="188"/>
      <c r="I41" s="188" t="str">
        <f>COUNTIF(I20:I40,"Вышло")&amp;" / "&amp;COUNTA(A20:A40)</f>
        <v>0 / 10</v>
      </c>
      <c r="J41" s="189">
        <f t="shared" ref="J41:M41" si="16">SUM(J20:J40)</f>
        <v>192000</v>
      </c>
      <c r="K41" s="189">
        <f t="shared" si="16"/>
        <v>13214</v>
      </c>
      <c r="L41" s="189">
        <f t="shared" si="16"/>
        <v>3250</v>
      </c>
      <c r="M41" s="189">
        <f t="shared" si="16"/>
        <v>208464</v>
      </c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286" t="str">
        <f>IF(N($AA41)=0,"",ROUND($M41/$AA41,0))</f>
        <v/>
      </c>
      <c r="AI41" s="188"/>
      <c r="AJ41" s="188"/>
      <c r="AK41" s="188"/>
      <c r="AL41" s="188"/>
    </row>
    <row r="42" collapsed="1">
      <c r="A42" s="203" t="s">
        <v>2835</v>
      </c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7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</row>
    <row r="43" hidden="1" outlineLevel="1">
      <c r="A43" s="293"/>
      <c r="B43" s="169"/>
      <c r="C43" s="18"/>
      <c r="D43" s="171"/>
      <c r="E43" s="172"/>
      <c r="F43" s="172"/>
      <c r="G43" s="172"/>
      <c r="H43" s="174"/>
      <c r="I43" s="172"/>
      <c r="J43" s="18"/>
      <c r="K43" s="172"/>
      <c r="L43" s="179"/>
      <c r="M43" s="18"/>
      <c r="N43" s="173"/>
      <c r="O43" s="173"/>
      <c r="P43" s="173"/>
      <c r="Q43" s="185"/>
      <c r="R43" s="173"/>
      <c r="S43" s="172"/>
      <c r="T43" s="172"/>
      <c r="U43" s="179"/>
      <c r="V43" s="180"/>
      <c r="W43" s="179"/>
      <c r="X43" s="179"/>
      <c r="Y43" s="175"/>
      <c r="Z43" s="179"/>
      <c r="AA43" s="176"/>
      <c r="AB43" s="176"/>
      <c r="AC43" s="181"/>
      <c r="AD43" s="18"/>
      <c r="AE43" s="179"/>
      <c r="AF43" s="18"/>
      <c r="AG43" s="18"/>
      <c r="AH43" s="18"/>
      <c r="AI43" s="172"/>
      <c r="AJ43" s="173"/>
      <c r="AK43" s="171"/>
      <c r="AL43" s="173"/>
    </row>
    <row r="44" hidden="1" outlineLevel="1">
      <c r="A44" s="291"/>
      <c r="B44" s="169"/>
      <c r="C44" s="18"/>
      <c r="D44" s="171"/>
      <c r="E44" s="172"/>
      <c r="F44" s="172"/>
      <c r="G44" s="172"/>
      <c r="H44" s="174"/>
      <c r="I44" s="172"/>
      <c r="J44" s="18"/>
      <c r="K44" s="172"/>
      <c r="L44" s="176"/>
      <c r="M44" s="18"/>
      <c r="N44" s="173"/>
      <c r="O44" s="173"/>
      <c r="P44" s="173"/>
      <c r="Q44" s="171"/>
      <c r="R44" s="173"/>
      <c r="S44" s="294"/>
      <c r="T44" s="172"/>
      <c r="U44" s="179"/>
      <c r="V44" s="180"/>
      <c r="W44" s="179"/>
      <c r="X44" s="176"/>
      <c r="Y44" s="18"/>
      <c r="Z44" s="179"/>
      <c r="AA44" s="176"/>
      <c r="AB44" s="176"/>
      <c r="AC44" s="181"/>
      <c r="AD44" s="18"/>
      <c r="AE44" s="179"/>
      <c r="AF44" s="18"/>
      <c r="AG44" s="18"/>
      <c r="AH44" s="18"/>
      <c r="AI44" s="172"/>
      <c r="AJ44" s="173"/>
      <c r="AK44" s="171"/>
      <c r="AL44" s="173"/>
    </row>
    <row r="45" hidden="1" outlineLevel="1">
      <c r="A45" s="291"/>
      <c r="B45" s="169"/>
      <c r="C45" s="18"/>
      <c r="D45" s="171"/>
      <c r="E45" s="172"/>
      <c r="F45" s="172"/>
      <c r="G45" s="172"/>
      <c r="H45" s="174"/>
      <c r="I45" s="172"/>
      <c r="J45" s="18"/>
      <c r="K45" s="172"/>
      <c r="L45" s="176"/>
      <c r="M45" s="18"/>
      <c r="N45" s="173"/>
      <c r="O45" s="173"/>
      <c r="P45" s="173"/>
      <c r="Q45" s="185"/>
      <c r="R45" s="173"/>
      <c r="S45" s="172"/>
      <c r="T45" s="172"/>
      <c r="U45" s="179"/>
      <c r="V45" s="180"/>
      <c r="W45" s="179"/>
      <c r="X45" s="179"/>
      <c r="Y45" s="175"/>
      <c r="Z45" s="179"/>
      <c r="AA45" s="176"/>
      <c r="AB45" s="176"/>
      <c r="AC45" s="181"/>
      <c r="AD45" s="18"/>
      <c r="AE45" s="179"/>
      <c r="AF45" s="18"/>
      <c r="AG45" s="18"/>
      <c r="AH45" s="18"/>
      <c r="AI45" s="172"/>
      <c r="AJ45" s="173"/>
      <c r="AK45" s="171"/>
      <c r="AL45" s="173"/>
    </row>
    <row r="46" hidden="1" outlineLevel="1">
      <c r="A46" s="291"/>
      <c r="B46" s="169"/>
      <c r="C46" s="18"/>
      <c r="D46" s="233"/>
      <c r="E46" s="172"/>
      <c r="F46" s="172"/>
      <c r="G46" s="172"/>
      <c r="H46" s="174"/>
      <c r="I46" s="172"/>
      <c r="J46" s="18"/>
      <c r="K46" s="172"/>
      <c r="L46" s="179"/>
      <c r="M46" s="18"/>
      <c r="N46" s="173"/>
      <c r="O46" s="172"/>
      <c r="P46" s="173"/>
      <c r="Q46" s="185"/>
      <c r="R46" s="173"/>
      <c r="S46" s="261"/>
      <c r="T46" s="172"/>
      <c r="U46" s="179"/>
      <c r="V46" s="180"/>
      <c r="W46" s="179"/>
      <c r="X46" s="179"/>
      <c r="Y46" s="175"/>
      <c r="Z46" s="176"/>
      <c r="AA46" s="176"/>
      <c r="AB46" s="176"/>
      <c r="AC46" s="181"/>
      <c r="AD46" s="18"/>
      <c r="AE46" s="179"/>
      <c r="AF46" s="18"/>
      <c r="AG46" s="18"/>
      <c r="AH46" s="18"/>
      <c r="AI46" s="172"/>
      <c r="AJ46" s="172"/>
      <c r="AK46" s="185"/>
      <c r="AL46" s="173"/>
    </row>
    <row r="47" hidden="1" outlineLevel="1">
      <c r="A47" s="291"/>
      <c r="B47" s="169"/>
      <c r="C47" s="18"/>
      <c r="D47" s="233"/>
      <c r="E47" s="172"/>
      <c r="F47" s="172"/>
      <c r="G47" s="172"/>
      <c r="H47" s="174"/>
      <c r="I47" s="172"/>
      <c r="J47" s="18"/>
      <c r="K47" s="172"/>
      <c r="L47" s="176"/>
      <c r="M47" s="18"/>
      <c r="N47" s="173"/>
      <c r="O47" s="172"/>
      <c r="P47" s="173"/>
      <c r="Q47" s="185"/>
      <c r="R47" s="173"/>
      <c r="S47" s="261"/>
      <c r="T47" s="172"/>
      <c r="U47" s="179"/>
      <c r="V47" s="180"/>
      <c r="W47" s="179"/>
      <c r="X47" s="179"/>
      <c r="Y47" s="175"/>
      <c r="Z47" s="176"/>
      <c r="AA47" s="176"/>
      <c r="AB47" s="176"/>
      <c r="AC47" s="181"/>
      <c r="AD47" s="18"/>
      <c r="AE47" s="179"/>
      <c r="AF47" s="18"/>
      <c r="AG47" s="18"/>
      <c r="AH47" s="18"/>
      <c r="AI47" s="172"/>
      <c r="AJ47" s="172"/>
      <c r="AK47" s="185"/>
      <c r="AL47" s="173"/>
    </row>
    <row r="48" hidden="1" outlineLevel="1">
      <c r="A48" s="291"/>
      <c r="B48" s="169"/>
      <c r="C48" s="18"/>
      <c r="D48" s="233"/>
      <c r="E48" s="172"/>
      <c r="F48" s="172"/>
      <c r="G48" s="173"/>
      <c r="H48" s="249"/>
      <c r="I48" s="172"/>
      <c r="J48" s="18"/>
      <c r="K48" s="172"/>
      <c r="L48" s="179"/>
      <c r="M48" s="18"/>
      <c r="N48" s="173"/>
      <c r="O48" s="194"/>
      <c r="P48" s="173"/>
      <c r="Q48" s="194"/>
      <c r="R48" s="172"/>
      <c r="S48" s="261"/>
      <c r="T48" s="172"/>
      <c r="U48" s="179"/>
      <c r="V48" s="180"/>
      <c r="W48" s="179"/>
      <c r="X48" s="179"/>
      <c r="Y48" s="18"/>
      <c r="Z48" s="179"/>
      <c r="AA48" s="179"/>
      <c r="AB48" s="176"/>
      <c r="AC48" s="181"/>
      <c r="AD48" s="18"/>
      <c r="AE48" s="179"/>
      <c r="AF48" s="18"/>
      <c r="AG48" s="18"/>
      <c r="AH48" s="18"/>
      <c r="AI48" s="172"/>
      <c r="AJ48" s="172"/>
      <c r="AK48" s="185"/>
      <c r="AL48" s="172"/>
    </row>
    <row r="49" ht="14.25" hidden="1" customHeight="1" outlineLevel="1">
      <c r="A49" s="291"/>
      <c r="B49" s="169"/>
      <c r="C49" s="18"/>
      <c r="D49" s="233"/>
      <c r="E49" s="172"/>
      <c r="F49" s="172"/>
      <c r="G49" s="172"/>
      <c r="H49" s="250"/>
      <c r="I49" s="172"/>
      <c r="J49" s="18"/>
      <c r="K49" s="172"/>
      <c r="L49" s="179"/>
      <c r="M49" s="18"/>
      <c r="N49" s="173"/>
      <c r="O49" s="226"/>
      <c r="P49" s="173"/>
      <c r="Q49" s="171"/>
      <c r="R49" s="173"/>
      <c r="S49" s="261"/>
      <c r="T49" s="172"/>
      <c r="U49" s="179"/>
      <c r="V49" s="180"/>
      <c r="W49" s="179"/>
      <c r="X49" s="179"/>
      <c r="Y49" s="18"/>
      <c r="Z49" s="179"/>
      <c r="AA49" s="251"/>
      <c r="AB49" s="179"/>
      <c r="AC49" s="181"/>
      <c r="AD49" s="175"/>
      <c r="AE49" s="179"/>
      <c r="AF49" s="18"/>
      <c r="AG49" s="18"/>
      <c r="AH49" s="18"/>
      <c r="AI49" s="172"/>
      <c r="AJ49" s="252"/>
      <c r="AK49" s="253"/>
      <c r="AL49" s="222"/>
    </row>
    <row r="50" ht="15.0" hidden="1" customHeight="1" outlineLevel="1">
      <c r="A50" s="295"/>
      <c r="B50" s="169"/>
      <c r="C50" s="18"/>
      <c r="D50" s="233"/>
      <c r="E50" s="172"/>
      <c r="F50" s="172"/>
      <c r="G50" s="172"/>
      <c r="H50" s="250"/>
      <c r="I50" s="172"/>
      <c r="J50" s="18"/>
      <c r="K50" s="172"/>
      <c r="L50" s="176"/>
      <c r="M50" s="18"/>
      <c r="N50" s="173"/>
      <c r="O50" s="261"/>
      <c r="P50" s="173"/>
      <c r="Q50" s="171"/>
      <c r="R50" s="173"/>
      <c r="S50" s="261"/>
      <c r="T50" s="172"/>
      <c r="U50" s="179"/>
      <c r="V50" s="180"/>
      <c r="W50" s="179"/>
      <c r="X50" s="179"/>
      <c r="Y50" s="18"/>
      <c r="Z50" s="255"/>
      <c r="AA50" s="256"/>
      <c r="AB50" s="257"/>
      <c r="AC50" s="181"/>
      <c r="AD50" s="175"/>
      <c r="AE50" s="179"/>
      <c r="AF50" s="18"/>
      <c r="AG50" s="18"/>
      <c r="AH50" s="18"/>
      <c r="AI50" s="172"/>
      <c r="AJ50" s="173"/>
      <c r="AK50" s="171"/>
      <c r="AL50" s="172"/>
    </row>
    <row r="51" hidden="1" outlineLevel="1">
      <c r="A51" s="291"/>
      <c r="B51" s="169"/>
      <c r="C51" s="18"/>
      <c r="D51" s="233"/>
      <c r="E51" s="172"/>
      <c r="F51" s="172"/>
      <c r="G51" s="172"/>
      <c r="H51" s="174"/>
      <c r="I51" s="172"/>
      <c r="J51" s="18"/>
      <c r="K51" s="172"/>
      <c r="L51" s="176"/>
      <c r="M51" s="18"/>
      <c r="N51" s="173"/>
      <c r="O51" s="261"/>
      <c r="P51" s="173"/>
      <c r="Q51" s="171"/>
      <c r="R51" s="173"/>
      <c r="S51" s="226"/>
      <c r="T51" s="172"/>
      <c r="U51" s="179"/>
      <c r="V51" s="180"/>
      <c r="W51" s="179"/>
      <c r="X51" s="179"/>
      <c r="Y51" s="18"/>
      <c r="Z51" s="179"/>
      <c r="AA51" s="258"/>
      <c r="AB51" s="179"/>
      <c r="AC51" s="181"/>
      <c r="AD51" s="175"/>
      <c r="AE51" s="179"/>
      <c r="AF51" s="18"/>
      <c r="AG51" s="18"/>
      <c r="AH51" s="18"/>
      <c r="AI51" s="172"/>
      <c r="AJ51" s="173"/>
      <c r="AK51" s="171"/>
      <c r="AL51" s="172"/>
    </row>
    <row r="52" hidden="1" outlineLevel="1">
      <c r="A52" s="204"/>
      <c r="B52" s="169"/>
      <c r="C52" s="18"/>
      <c r="D52" s="233"/>
      <c r="E52" s="172"/>
      <c r="F52" s="172"/>
      <c r="G52" s="172"/>
      <c r="H52" s="174"/>
      <c r="I52" s="172"/>
      <c r="J52" s="18"/>
      <c r="K52" s="173"/>
      <c r="L52" s="176"/>
      <c r="M52" s="18"/>
      <c r="N52" s="173"/>
      <c r="O52" s="261"/>
      <c r="P52" s="173"/>
      <c r="Q52" s="171"/>
      <c r="R52" s="173"/>
      <c r="S52" s="226"/>
      <c r="T52" s="172"/>
      <c r="U52" s="179"/>
      <c r="V52" s="180"/>
      <c r="W52" s="179"/>
      <c r="X52" s="179"/>
      <c r="Y52" s="18"/>
      <c r="Z52" s="179"/>
      <c r="AA52" s="179"/>
      <c r="AB52" s="179"/>
      <c r="AC52" s="181"/>
      <c r="AD52" s="175"/>
      <c r="AE52" s="179"/>
      <c r="AF52" s="18"/>
      <c r="AG52" s="18"/>
      <c r="AH52" s="18"/>
      <c r="AI52" s="172"/>
      <c r="AJ52" s="173"/>
      <c r="AK52" s="171"/>
      <c r="AL52" s="172"/>
    </row>
    <row r="53" ht="18.0" hidden="1" customHeight="1" outlineLevel="1">
      <c r="A53" s="204"/>
      <c r="B53" s="169"/>
      <c r="C53" s="18"/>
      <c r="D53" s="233"/>
      <c r="E53" s="172"/>
      <c r="F53" s="172"/>
      <c r="G53" s="172"/>
      <c r="H53" s="174"/>
      <c r="I53" s="172"/>
      <c r="J53" s="175"/>
      <c r="K53" s="173"/>
      <c r="L53" s="176"/>
      <c r="M53" s="18"/>
      <c r="N53" s="173"/>
      <c r="O53" s="172"/>
      <c r="P53" s="240"/>
      <c r="Q53" s="171"/>
      <c r="R53" s="173"/>
      <c r="S53" s="177"/>
      <c r="T53" s="172"/>
      <c r="U53" s="179"/>
      <c r="V53" s="180"/>
      <c r="W53" s="179"/>
      <c r="X53" s="179"/>
      <c r="Y53" s="18"/>
      <c r="Z53" s="179"/>
      <c r="AA53" s="179"/>
      <c r="AB53" s="179"/>
      <c r="AC53" s="181"/>
      <c r="AD53" s="175"/>
      <c r="AE53" s="179"/>
      <c r="AF53" s="18"/>
      <c r="AG53" s="18"/>
      <c r="AH53" s="18"/>
      <c r="AI53" s="172"/>
      <c r="AJ53" s="173"/>
      <c r="AK53" s="171"/>
      <c r="AL53" s="172"/>
    </row>
    <row r="54" ht="14.25" hidden="1" customHeight="1" outlineLevel="1">
      <c r="A54" s="291"/>
      <c r="B54" s="169"/>
      <c r="C54" s="18"/>
      <c r="D54" s="233"/>
      <c r="E54" s="172"/>
      <c r="F54" s="172"/>
      <c r="G54" s="172"/>
      <c r="H54" s="174"/>
      <c r="I54" s="172"/>
      <c r="J54" s="18"/>
      <c r="K54" s="173"/>
      <c r="L54" s="176"/>
      <c r="M54" s="18"/>
      <c r="N54" s="173"/>
      <c r="O54" s="177"/>
      <c r="P54" s="173"/>
      <c r="Q54" s="171"/>
      <c r="R54" s="173"/>
      <c r="S54" s="261"/>
      <c r="T54" s="172"/>
      <c r="U54" s="179"/>
      <c r="V54" s="180"/>
      <c r="W54" s="179"/>
      <c r="X54" s="176"/>
      <c r="Y54" s="18"/>
      <c r="Z54" s="179"/>
      <c r="AA54" s="179"/>
      <c r="AB54" s="179"/>
      <c r="AC54" s="181"/>
      <c r="AD54" s="175"/>
      <c r="AE54" s="179"/>
      <c r="AF54" s="18"/>
      <c r="AG54" s="18"/>
      <c r="AH54" s="18"/>
      <c r="AI54" s="172"/>
      <c r="AJ54" s="173"/>
      <c r="AK54" s="171"/>
      <c r="AL54" s="172"/>
    </row>
    <row r="55" hidden="1" outlineLevel="1">
      <c r="A55" s="291"/>
      <c r="B55" s="169"/>
      <c r="C55" s="18"/>
      <c r="D55" s="233"/>
      <c r="E55" s="172"/>
      <c r="F55" s="172"/>
      <c r="G55" s="172"/>
      <c r="H55" s="174"/>
      <c r="I55" s="172"/>
      <c r="J55" s="18"/>
      <c r="K55" s="172"/>
      <c r="L55" s="176"/>
      <c r="M55" s="18"/>
      <c r="N55" s="173"/>
      <c r="O55" s="226"/>
      <c r="P55" s="173"/>
      <c r="Q55" s="171"/>
      <c r="R55" s="173"/>
      <c r="S55" s="261"/>
      <c r="T55" s="172"/>
      <c r="U55" s="179"/>
      <c r="V55" s="180"/>
      <c r="W55" s="179"/>
      <c r="X55" s="179"/>
      <c r="Y55" s="18"/>
      <c r="Z55" s="179"/>
      <c r="AA55" s="179"/>
      <c r="AB55" s="179"/>
      <c r="AC55" s="181"/>
      <c r="AD55" s="175"/>
      <c r="AE55" s="179"/>
      <c r="AF55" s="18"/>
      <c r="AG55" s="18"/>
      <c r="AH55" s="18"/>
      <c r="AI55" s="172"/>
      <c r="AJ55" s="173"/>
      <c r="AK55" s="171"/>
      <c r="AL55" s="172"/>
    </row>
    <row r="56" ht="15.0" hidden="1" customHeight="1" outlineLevel="1">
      <c r="A56" s="296"/>
      <c r="B56" s="169"/>
      <c r="C56" s="18"/>
      <c r="D56" s="233"/>
      <c r="E56" s="172"/>
      <c r="F56" s="172"/>
      <c r="G56" s="172"/>
      <c r="H56" s="174"/>
      <c r="I56" s="172"/>
      <c r="J56" s="175"/>
      <c r="K56" s="172"/>
      <c r="L56" s="179"/>
      <c r="M56" s="18"/>
      <c r="N56" s="173"/>
      <c r="O56" s="226"/>
      <c r="P56" s="226"/>
      <c r="Q56" s="171"/>
      <c r="R56" s="173"/>
      <c r="S56" s="210"/>
      <c r="T56" s="172"/>
      <c r="U56" s="179"/>
      <c r="V56" s="180"/>
      <c r="W56" s="179"/>
      <c r="X56" s="179"/>
      <c r="Y56" s="18"/>
      <c r="Z56" s="179"/>
      <c r="AA56" s="179"/>
      <c r="AB56" s="179"/>
      <c r="AC56" s="181"/>
      <c r="AD56" s="175"/>
      <c r="AE56" s="179"/>
      <c r="AF56" s="18"/>
      <c r="AG56" s="18"/>
      <c r="AH56" s="18"/>
      <c r="AI56" s="172"/>
      <c r="AJ56" s="172"/>
      <c r="AK56" s="185"/>
      <c r="AL56" s="172"/>
    </row>
    <row r="57" hidden="1" outlineLevel="1">
      <c r="A57" s="291"/>
      <c r="B57" s="169"/>
      <c r="C57" s="175"/>
      <c r="D57" s="233"/>
      <c r="E57" s="172"/>
      <c r="F57" s="172"/>
      <c r="G57" s="172"/>
      <c r="H57" s="174"/>
      <c r="I57" s="172"/>
      <c r="J57" s="175"/>
      <c r="K57" s="173"/>
      <c r="L57" s="176"/>
      <c r="M57" s="18"/>
      <c r="N57" s="173"/>
      <c r="O57" s="226"/>
      <c r="P57" s="226"/>
      <c r="Q57" s="171"/>
      <c r="R57" s="173"/>
      <c r="S57" s="210"/>
      <c r="T57" s="172"/>
      <c r="U57" s="179"/>
      <c r="V57" s="180"/>
      <c r="W57" s="179"/>
      <c r="X57" s="179"/>
      <c r="Y57" s="18"/>
      <c r="Z57" s="179"/>
      <c r="AA57" s="179"/>
      <c r="AB57" s="176"/>
      <c r="AC57" s="181"/>
      <c r="AD57" s="18"/>
      <c r="AE57" s="179"/>
      <c r="AF57" s="18"/>
      <c r="AG57" s="18"/>
      <c r="AH57" s="18"/>
      <c r="AI57" s="172"/>
      <c r="AJ57" s="172"/>
      <c r="AK57" s="185"/>
      <c r="AL57" s="172"/>
    </row>
    <row r="58" hidden="1" outlineLevel="1">
      <c r="A58" s="297"/>
      <c r="B58" s="169"/>
      <c r="C58" s="18"/>
      <c r="D58" s="233"/>
      <c r="E58" s="172"/>
      <c r="F58" s="172"/>
      <c r="G58" s="172"/>
      <c r="H58" s="174"/>
      <c r="I58" s="172"/>
      <c r="J58" s="175"/>
      <c r="K58" s="173"/>
      <c r="L58" s="176"/>
      <c r="M58" s="18"/>
      <c r="N58" s="173"/>
      <c r="O58" s="226"/>
      <c r="P58" s="226"/>
      <c r="Q58" s="171"/>
      <c r="R58" s="173"/>
      <c r="S58" s="226"/>
      <c r="T58" s="172"/>
      <c r="U58" s="179"/>
      <c r="V58" s="180"/>
      <c r="W58" s="179"/>
      <c r="X58" s="179"/>
      <c r="Y58" s="18"/>
      <c r="Z58" s="179"/>
      <c r="AA58" s="179"/>
      <c r="AB58" s="176"/>
      <c r="AC58" s="181"/>
      <c r="AD58" s="18"/>
      <c r="AE58" s="176"/>
      <c r="AF58" s="18"/>
      <c r="AG58" s="18"/>
      <c r="AH58" s="18"/>
      <c r="AI58" s="172"/>
      <c r="AJ58" s="173"/>
      <c r="AK58" s="171"/>
      <c r="AL58" s="172"/>
    </row>
    <row r="59" hidden="1" outlineLevel="1">
      <c r="A59" s="291"/>
      <c r="B59" s="169"/>
      <c r="C59" s="18"/>
      <c r="D59" s="233"/>
      <c r="E59" s="172"/>
      <c r="F59" s="172"/>
      <c r="G59" s="172"/>
      <c r="H59" s="174"/>
      <c r="I59" s="172"/>
      <c r="J59" s="18"/>
      <c r="K59" s="173"/>
      <c r="L59" s="176"/>
      <c r="M59" s="18"/>
      <c r="N59" s="173"/>
      <c r="O59" s="177"/>
      <c r="P59" s="226"/>
      <c r="Q59" s="171"/>
      <c r="R59" s="173"/>
      <c r="S59" s="210"/>
      <c r="T59" s="172"/>
      <c r="U59" s="179"/>
      <c r="V59" s="180"/>
      <c r="W59" s="179"/>
      <c r="X59" s="179"/>
      <c r="Y59" s="18"/>
      <c r="Z59" s="179"/>
      <c r="AA59" s="179"/>
      <c r="AB59" s="176"/>
      <c r="AC59" s="181"/>
      <c r="AD59" s="18"/>
      <c r="AE59" s="176"/>
      <c r="AF59" s="18"/>
      <c r="AG59" s="18"/>
      <c r="AH59" s="18"/>
      <c r="AI59" s="172"/>
      <c r="AJ59" s="173"/>
      <c r="AK59" s="171"/>
      <c r="AL59" s="172"/>
    </row>
    <row r="60" hidden="1" outlineLevel="1">
      <c r="A60" s="291"/>
      <c r="B60" s="169"/>
      <c r="C60" s="18"/>
      <c r="D60" s="171"/>
      <c r="E60" s="172"/>
      <c r="F60" s="172"/>
      <c r="G60" s="172"/>
      <c r="H60" s="174"/>
      <c r="I60" s="172"/>
      <c r="J60" s="18"/>
      <c r="K60" s="173"/>
      <c r="L60" s="176"/>
      <c r="M60" s="18"/>
      <c r="N60" s="173"/>
      <c r="O60" s="210"/>
      <c r="P60" s="226"/>
      <c r="Q60" s="171"/>
      <c r="R60" s="173"/>
      <c r="S60" s="226"/>
      <c r="T60" s="172"/>
      <c r="U60" s="179"/>
      <c r="V60" s="180"/>
      <c r="W60" s="179"/>
      <c r="X60" s="179"/>
      <c r="Y60" s="18"/>
      <c r="Z60" s="179"/>
      <c r="AA60" s="179"/>
      <c r="AB60" s="179"/>
      <c r="AC60" s="181"/>
      <c r="AD60" s="175"/>
      <c r="AE60" s="179"/>
      <c r="AF60" s="18"/>
      <c r="AG60" s="18"/>
      <c r="AH60" s="18"/>
      <c r="AI60" s="172"/>
      <c r="AJ60" s="173"/>
      <c r="AK60" s="171"/>
      <c r="AL60" s="172"/>
    </row>
    <row r="61" hidden="1" outlineLevel="1">
      <c r="A61" s="291"/>
      <c r="B61" s="169"/>
      <c r="C61" s="18"/>
      <c r="D61" s="171"/>
      <c r="E61" s="172"/>
      <c r="F61" s="172"/>
      <c r="G61" s="172"/>
      <c r="H61" s="174"/>
      <c r="I61" s="172"/>
      <c r="J61" s="18"/>
      <c r="K61" s="173"/>
      <c r="L61" s="176"/>
      <c r="M61" s="18"/>
      <c r="N61" s="173"/>
      <c r="O61" s="226"/>
      <c r="P61" s="240"/>
      <c r="Q61" s="171"/>
      <c r="R61" s="173"/>
      <c r="S61" s="261"/>
      <c r="T61" s="172"/>
      <c r="U61" s="179"/>
      <c r="V61" s="180"/>
      <c r="W61" s="179"/>
      <c r="X61" s="179"/>
      <c r="Y61" s="18"/>
      <c r="Z61" s="176"/>
      <c r="AA61" s="176"/>
      <c r="AB61" s="176"/>
      <c r="AC61" s="181"/>
      <c r="AD61" s="18"/>
      <c r="AE61" s="176"/>
      <c r="AF61" s="18"/>
      <c r="AG61" s="18"/>
      <c r="AH61" s="18"/>
      <c r="AI61" s="172"/>
      <c r="AJ61" s="173"/>
      <c r="AK61" s="171"/>
      <c r="AL61" s="172"/>
    </row>
    <row r="62" hidden="1" outlineLevel="1">
      <c r="A62" s="291"/>
      <c r="B62" s="169"/>
      <c r="C62" s="18"/>
      <c r="D62" s="171"/>
      <c r="E62" s="172"/>
      <c r="F62" s="172"/>
      <c r="G62" s="172"/>
      <c r="H62" s="174"/>
      <c r="I62" s="172"/>
      <c r="J62" s="175"/>
      <c r="K62" s="173"/>
      <c r="L62" s="176"/>
      <c r="M62" s="18"/>
      <c r="N62" s="173"/>
      <c r="O62" s="261"/>
      <c r="P62" s="173"/>
      <c r="Q62" s="171"/>
      <c r="R62" s="173"/>
      <c r="S62" s="261"/>
      <c r="T62" s="172"/>
      <c r="U62" s="179"/>
      <c r="V62" s="180"/>
      <c r="W62" s="179"/>
      <c r="X62" s="176"/>
      <c r="Y62" s="18"/>
      <c r="Z62" s="176"/>
      <c r="AA62" s="176"/>
      <c r="AB62" s="176"/>
      <c r="AC62" s="181"/>
      <c r="AD62" s="18"/>
      <c r="AE62" s="176"/>
      <c r="AF62" s="18"/>
      <c r="AG62" s="18"/>
      <c r="AH62" s="18"/>
      <c r="AI62" s="172"/>
      <c r="AJ62" s="173"/>
      <c r="AK62" s="171"/>
      <c r="AL62" s="172"/>
    </row>
    <row r="63" hidden="1" outlineLevel="1">
      <c r="A63" s="291"/>
      <c r="B63" s="169"/>
      <c r="C63" s="175"/>
      <c r="D63" s="171"/>
      <c r="E63" s="172"/>
      <c r="F63" s="172"/>
      <c r="G63" s="172"/>
      <c r="H63" s="174"/>
      <c r="I63" s="172"/>
      <c r="J63" s="175"/>
      <c r="K63" s="173"/>
      <c r="L63" s="176"/>
      <c r="M63" s="18"/>
      <c r="N63" s="173"/>
      <c r="O63" s="226"/>
      <c r="P63" s="173"/>
      <c r="Q63" s="171"/>
      <c r="R63" s="173"/>
      <c r="S63" s="261"/>
      <c r="T63" s="172"/>
      <c r="U63" s="179"/>
      <c r="V63" s="180"/>
      <c r="W63" s="179"/>
      <c r="X63" s="176"/>
      <c r="Y63" s="18"/>
      <c r="Z63" s="176"/>
      <c r="AA63" s="176"/>
      <c r="AB63" s="176"/>
      <c r="AC63" s="181"/>
      <c r="AD63" s="18"/>
      <c r="AE63" s="176"/>
      <c r="AF63" s="18"/>
      <c r="AG63" s="18"/>
      <c r="AH63" s="18"/>
      <c r="AI63" s="172"/>
      <c r="AJ63" s="173"/>
      <c r="AK63" s="171"/>
      <c r="AL63" s="172"/>
    </row>
    <row r="64" hidden="1" outlineLevel="1">
      <c r="A64" s="291"/>
      <c r="B64" s="169"/>
      <c r="C64" s="18"/>
      <c r="D64" s="171"/>
      <c r="E64" s="172"/>
      <c r="F64" s="172"/>
      <c r="G64" s="172"/>
      <c r="H64" s="174"/>
      <c r="I64" s="172"/>
      <c r="J64" s="18"/>
      <c r="K64" s="173"/>
      <c r="L64" s="176"/>
      <c r="M64" s="18"/>
      <c r="N64" s="173"/>
      <c r="O64" s="226"/>
      <c r="P64" s="173"/>
      <c r="Q64" s="171"/>
      <c r="R64" s="173"/>
      <c r="S64" s="261"/>
      <c r="T64" s="172"/>
      <c r="U64" s="179"/>
      <c r="V64" s="180"/>
      <c r="W64" s="179"/>
      <c r="X64" s="176"/>
      <c r="Y64" s="18"/>
      <c r="Z64" s="176"/>
      <c r="AA64" s="176"/>
      <c r="AB64" s="176"/>
      <c r="AC64" s="181"/>
      <c r="AD64" s="18"/>
      <c r="AE64" s="176"/>
      <c r="AF64" s="18"/>
      <c r="AG64" s="18"/>
      <c r="AH64" s="18"/>
      <c r="AI64" s="172"/>
      <c r="AJ64" s="173"/>
      <c r="AK64" s="171"/>
      <c r="AL64" s="172"/>
    </row>
    <row r="65" hidden="1" outlineLevel="1">
      <c r="A65" s="298"/>
      <c r="B65" s="169"/>
      <c r="C65" s="18"/>
      <c r="D65" s="171"/>
      <c r="E65" s="172"/>
      <c r="F65" s="172"/>
      <c r="G65" s="172"/>
      <c r="H65" s="174"/>
      <c r="I65" s="172"/>
      <c r="J65" s="175"/>
      <c r="K65" s="173"/>
      <c r="L65" s="176"/>
      <c r="M65" s="18"/>
      <c r="N65" s="173"/>
      <c r="O65" s="226"/>
      <c r="P65" s="173"/>
      <c r="Q65" s="171"/>
      <c r="R65" s="173"/>
      <c r="S65" s="261"/>
      <c r="T65" s="172"/>
      <c r="U65" s="179"/>
      <c r="V65" s="180"/>
      <c r="W65" s="179"/>
      <c r="X65" s="176"/>
      <c r="Y65" s="18"/>
      <c r="Z65" s="176"/>
      <c r="AA65" s="176"/>
      <c r="AB65" s="176"/>
      <c r="AC65" s="181"/>
      <c r="AD65" s="18"/>
      <c r="AE65" s="176"/>
      <c r="AF65" s="18"/>
      <c r="AG65" s="18"/>
      <c r="AH65" s="18"/>
      <c r="AI65" s="172"/>
      <c r="AJ65" s="173"/>
      <c r="AK65" s="171"/>
      <c r="AL65" s="172"/>
    </row>
    <row r="66" hidden="1" outlineLevel="1">
      <c r="A66" s="291"/>
      <c r="B66" s="169"/>
      <c r="C66" s="18"/>
      <c r="D66" s="171"/>
      <c r="E66" s="172"/>
      <c r="F66" s="172"/>
      <c r="G66" s="172"/>
      <c r="H66" s="174"/>
      <c r="I66" s="172"/>
      <c r="J66" s="18"/>
      <c r="K66" s="173"/>
      <c r="L66" s="176"/>
      <c r="M66" s="18"/>
      <c r="N66" s="173"/>
      <c r="O66" s="226"/>
      <c r="P66" s="173"/>
      <c r="Q66" s="171"/>
      <c r="R66" s="173"/>
      <c r="S66" s="261"/>
      <c r="T66" s="172"/>
      <c r="U66" s="179"/>
      <c r="V66" s="180"/>
      <c r="W66" s="179"/>
      <c r="X66" s="179"/>
      <c r="Y66" s="18"/>
      <c r="Z66" s="179"/>
      <c r="AA66" s="179"/>
      <c r="AB66" s="179"/>
      <c r="AC66" s="181"/>
      <c r="AD66" s="175"/>
      <c r="AE66" s="179"/>
      <c r="AF66" s="18"/>
      <c r="AG66" s="18"/>
      <c r="AH66" s="18"/>
      <c r="AI66" s="172"/>
      <c r="AJ66" s="173"/>
      <c r="AK66" s="171"/>
      <c r="AL66" s="172"/>
    </row>
    <row r="67" hidden="1" outlineLevel="1">
      <c r="A67" s="291"/>
      <c r="B67" s="169"/>
      <c r="C67" s="18"/>
      <c r="D67" s="171"/>
      <c r="E67" s="172"/>
      <c r="F67" s="172"/>
      <c r="G67" s="172"/>
      <c r="H67" s="174"/>
      <c r="I67" s="172"/>
      <c r="J67" s="175"/>
      <c r="K67" s="172"/>
      <c r="L67" s="176"/>
      <c r="M67" s="18"/>
      <c r="N67" s="173"/>
      <c r="O67" s="226"/>
      <c r="P67" s="173"/>
      <c r="Q67" s="171"/>
      <c r="R67" s="173"/>
      <c r="S67" s="299"/>
      <c r="T67" s="172"/>
      <c r="U67" s="179"/>
      <c r="V67" s="180"/>
      <c r="W67" s="179"/>
      <c r="X67" s="179"/>
      <c r="Y67" s="18"/>
      <c r="Z67" s="179"/>
      <c r="AA67" s="179"/>
      <c r="AB67" s="179"/>
      <c r="AC67" s="181"/>
      <c r="AD67" s="175"/>
      <c r="AE67" s="179"/>
      <c r="AF67" s="18"/>
      <c r="AG67" s="18"/>
      <c r="AH67" s="18"/>
      <c r="AI67" s="172"/>
      <c r="AJ67" s="173"/>
      <c r="AK67" s="171"/>
      <c r="AL67" s="172"/>
    </row>
    <row r="68" hidden="1" outlineLevel="1">
      <c r="A68" s="300"/>
      <c r="B68" s="169"/>
      <c r="C68" s="18"/>
      <c r="D68" s="171"/>
      <c r="E68" s="172"/>
      <c r="F68" s="172"/>
      <c r="G68" s="172"/>
      <c r="H68" s="174"/>
      <c r="I68" s="172"/>
      <c r="J68" s="18"/>
      <c r="K68" s="173"/>
      <c r="L68" s="176"/>
      <c r="M68" s="175"/>
      <c r="N68" s="173"/>
      <c r="O68" s="226"/>
      <c r="P68" s="173"/>
      <c r="Q68" s="171"/>
      <c r="R68" s="173"/>
      <c r="S68" s="261"/>
      <c r="T68" s="172"/>
      <c r="U68" s="179"/>
      <c r="V68" s="180"/>
      <c r="W68" s="179"/>
      <c r="X68" s="179"/>
      <c r="Y68" s="18"/>
      <c r="Z68" s="179"/>
      <c r="AA68" s="176"/>
      <c r="AB68" s="176"/>
      <c r="AC68" s="181"/>
      <c r="AD68" s="18"/>
      <c r="AE68" s="176"/>
      <c r="AF68" s="18"/>
      <c r="AG68" s="18"/>
      <c r="AH68" s="18"/>
      <c r="AI68" s="172"/>
      <c r="AJ68" s="173"/>
      <c r="AK68" s="171"/>
      <c r="AL68" s="172"/>
    </row>
    <row r="69" hidden="1" outlineLevel="1">
      <c r="A69" s="291"/>
      <c r="B69" s="169"/>
      <c r="C69" s="18"/>
      <c r="D69" s="171"/>
      <c r="E69" s="172"/>
      <c r="F69" s="172"/>
      <c r="G69" s="172"/>
      <c r="H69" s="174"/>
      <c r="I69" s="172"/>
      <c r="J69" s="18"/>
      <c r="K69" s="173"/>
      <c r="L69" s="176"/>
      <c r="M69" s="18"/>
      <c r="N69" s="173"/>
      <c r="O69" s="226"/>
      <c r="P69" s="173"/>
      <c r="Q69" s="171"/>
      <c r="R69" s="173"/>
      <c r="S69" s="261"/>
      <c r="T69" s="172"/>
      <c r="U69" s="179"/>
      <c r="V69" s="180"/>
      <c r="W69" s="179"/>
      <c r="X69" s="176"/>
      <c r="Y69" s="18"/>
      <c r="Z69" s="179"/>
      <c r="AA69" s="179"/>
      <c r="AB69" s="179"/>
      <c r="AC69" s="181"/>
      <c r="AD69" s="175"/>
      <c r="AE69" s="179"/>
      <c r="AF69" s="18"/>
      <c r="AG69" s="18"/>
      <c r="AH69" s="18"/>
      <c r="AI69" s="172"/>
      <c r="AJ69" s="173"/>
      <c r="AK69" s="171"/>
      <c r="AL69" s="172"/>
    </row>
    <row r="70" hidden="1" outlineLevel="1">
      <c r="A70" s="291"/>
      <c r="B70" s="169"/>
      <c r="C70" s="18"/>
      <c r="D70" s="171"/>
      <c r="E70" s="172"/>
      <c r="F70" s="172"/>
      <c r="G70" s="172"/>
      <c r="H70" s="174"/>
      <c r="I70" s="172"/>
      <c r="J70" s="18"/>
      <c r="K70" s="173"/>
      <c r="L70" s="176"/>
      <c r="M70" s="18"/>
      <c r="N70" s="173"/>
      <c r="O70" s="301"/>
      <c r="P70" s="173"/>
      <c r="Q70" s="171"/>
      <c r="R70" s="173"/>
      <c r="S70" s="261"/>
      <c r="T70" s="172"/>
      <c r="U70" s="179"/>
      <c r="V70" s="180"/>
      <c r="W70" s="179"/>
      <c r="X70" s="176"/>
      <c r="Y70" s="18"/>
      <c r="Z70" s="179"/>
      <c r="AA70" s="179"/>
      <c r="AB70" s="179"/>
      <c r="AC70" s="181"/>
      <c r="AD70" s="175"/>
      <c r="AE70" s="179"/>
      <c r="AF70" s="18"/>
      <c r="AG70" s="18"/>
      <c r="AH70" s="18"/>
      <c r="AI70" s="172"/>
      <c r="AJ70" s="173"/>
      <c r="AK70" s="171"/>
      <c r="AL70" s="172"/>
    </row>
    <row r="71" ht="14.25" hidden="1" customHeight="1" outlineLevel="1">
      <c r="A71" s="204"/>
      <c r="B71" s="169"/>
      <c r="C71" s="18"/>
      <c r="D71" s="171"/>
      <c r="E71" s="172"/>
      <c r="F71" s="172"/>
      <c r="G71" s="172"/>
      <c r="H71" s="174"/>
      <c r="I71" s="172"/>
      <c r="J71" s="18"/>
      <c r="K71" s="172"/>
      <c r="L71" s="176"/>
      <c r="M71" s="18"/>
      <c r="N71" s="173"/>
      <c r="O71" s="226"/>
      <c r="P71" s="173"/>
      <c r="Q71" s="171"/>
      <c r="R71" s="173"/>
      <c r="S71" s="261"/>
      <c r="T71" s="172"/>
      <c r="U71" s="179"/>
      <c r="V71" s="180"/>
      <c r="W71" s="179"/>
      <c r="X71" s="176"/>
      <c r="Y71" s="18"/>
      <c r="Z71" s="176"/>
      <c r="AA71" s="176"/>
      <c r="AB71" s="176"/>
      <c r="AC71" s="181"/>
      <c r="AD71" s="18"/>
      <c r="AE71" s="176"/>
      <c r="AF71" s="18"/>
      <c r="AG71" s="18"/>
      <c r="AH71" s="18"/>
      <c r="AI71" s="172"/>
      <c r="AJ71" s="172"/>
      <c r="AK71" s="185"/>
      <c r="AL71" s="172"/>
    </row>
    <row r="72" hidden="1" outlineLevel="1">
      <c r="A72" s="291"/>
      <c r="B72" s="169"/>
      <c r="C72" s="18"/>
      <c r="D72" s="171"/>
      <c r="E72" s="172"/>
      <c r="F72" s="172"/>
      <c r="G72" s="172"/>
      <c r="H72" s="174"/>
      <c r="I72" s="172"/>
      <c r="J72" s="18"/>
      <c r="K72" s="172"/>
      <c r="L72" s="176"/>
      <c r="M72" s="18"/>
      <c r="N72" s="173"/>
      <c r="O72" s="177"/>
      <c r="P72" s="173"/>
      <c r="Q72" s="171"/>
      <c r="R72" s="173"/>
      <c r="S72" s="261"/>
      <c r="T72" s="172"/>
      <c r="U72" s="179"/>
      <c r="V72" s="180"/>
      <c r="W72" s="179"/>
      <c r="X72" s="176"/>
      <c r="Y72" s="18"/>
      <c r="Z72" s="176"/>
      <c r="AA72" s="176"/>
      <c r="AB72" s="176"/>
      <c r="AC72" s="181"/>
      <c r="AD72" s="18"/>
      <c r="AE72" s="176"/>
      <c r="AF72" s="18"/>
      <c r="AG72" s="18"/>
      <c r="AH72" s="18"/>
      <c r="AI72" s="172"/>
      <c r="AJ72" s="173"/>
      <c r="AK72" s="171"/>
      <c r="AL72" s="172"/>
    </row>
    <row r="73" hidden="1" outlineLevel="1">
      <c r="A73" s="201" t="s">
        <v>2836</v>
      </c>
      <c r="B73" s="188"/>
      <c r="C73" s="189"/>
      <c r="D73" s="188"/>
      <c r="E73" s="188"/>
      <c r="F73" s="188"/>
      <c r="G73" s="188"/>
      <c r="H73" s="188"/>
      <c r="I73" s="188" t="str">
        <f>COUNTIF(I43:I72,"Вышло")&amp;" / "&amp;COUNTA(A43:A72)</f>
        <v>0 / 0</v>
      </c>
      <c r="J73" s="189">
        <f t="shared" ref="J73:M73" si="17">SUM(J43:J72)</f>
        <v>0</v>
      </c>
      <c r="K73" s="189">
        <f t="shared" si="17"/>
        <v>0</v>
      </c>
      <c r="L73" s="189">
        <f t="shared" si="17"/>
        <v>0</v>
      </c>
      <c r="M73" s="189">
        <f t="shared" si="17"/>
        <v>0</v>
      </c>
      <c r="N73" s="188"/>
      <c r="O73" s="188"/>
      <c r="P73" s="188"/>
      <c r="Q73" s="188"/>
      <c r="R73" s="188"/>
      <c r="S73" s="188"/>
      <c r="T73" s="189"/>
      <c r="U73" s="189">
        <f t="shared" ref="U73:AI73" si="18">SUM(U43:U72)</f>
        <v>0</v>
      </c>
      <c r="V73" s="189">
        <f t="shared" si="18"/>
        <v>0</v>
      </c>
      <c r="W73" s="189">
        <f t="shared" si="18"/>
        <v>0</v>
      </c>
      <c r="X73" s="189">
        <f t="shared" si="18"/>
        <v>0</v>
      </c>
      <c r="Y73" s="189">
        <f t="shared" si="18"/>
        <v>0</v>
      </c>
      <c r="Z73" s="189">
        <f t="shared" si="18"/>
        <v>0</v>
      </c>
      <c r="AA73" s="189">
        <f t="shared" si="18"/>
        <v>0</v>
      </c>
      <c r="AB73" s="189">
        <f t="shared" si="18"/>
        <v>0</v>
      </c>
      <c r="AC73" s="189">
        <f t="shared" si="18"/>
        <v>0</v>
      </c>
      <c r="AD73" s="189">
        <f t="shared" si="18"/>
        <v>0</v>
      </c>
      <c r="AE73" s="189">
        <f t="shared" si="18"/>
        <v>0</v>
      </c>
      <c r="AF73" s="189">
        <f t="shared" si="18"/>
        <v>0</v>
      </c>
      <c r="AG73" s="189">
        <f t="shared" si="18"/>
        <v>0</v>
      </c>
      <c r="AH73" s="189">
        <f t="shared" si="18"/>
        <v>0</v>
      </c>
      <c r="AI73" s="189">
        <f t="shared" si="18"/>
        <v>0</v>
      </c>
      <c r="AJ73" s="188"/>
      <c r="AK73" s="188"/>
      <c r="AL73" s="188"/>
    </row>
    <row r="74" collapsed="1">
      <c r="A74" s="203" t="s">
        <v>2837</v>
      </c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7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66"/>
    </row>
    <row r="75" ht="25.5" hidden="1" customHeight="1" outlineLevel="1">
      <c r="A75" s="264"/>
      <c r="B75" s="169"/>
      <c r="C75" s="18"/>
      <c r="D75" s="265"/>
      <c r="E75" s="172"/>
      <c r="F75" s="173"/>
      <c r="G75" s="173"/>
      <c r="H75" s="302"/>
      <c r="I75" s="172"/>
      <c r="J75" s="18"/>
      <c r="K75" s="172"/>
      <c r="L75" s="179"/>
      <c r="M75" s="18"/>
      <c r="N75" s="173"/>
      <c r="O75" s="226"/>
      <c r="P75" s="173"/>
      <c r="Q75" s="171"/>
      <c r="R75" s="173"/>
      <c r="S75" s="173"/>
      <c r="T75" s="172"/>
      <c r="U75" s="176"/>
      <c r="V75" s="180"/>
      <c r="W75" s="176"/>
      <c r="X75" s="176"/>
      <c r="Y75" s="18"/>
      <c r="Z75" s="176"/>
      <c r="AA75" s="176"/>
      <c r="AB75" s="176"/>
      <c r="AC75" s="181"/>
      <c r="AD75" s="18"/>
      <c r="AE75" s="176"/>
      <c r="AF75" s="18"/>
      <c r="AG75" s="18"/>
      <c r="AH75" s="18"/>
      <c r="AI75" s="172"/>
      <c r="AJ75" s="172"/>
      <c r="AK75" s="185"/>
      <c r="AL75" s="252"/>
    </row>
    <row r="76" ht="15.0" hidden="1" customHeight="1" outlineLevel="1">
      <c r="A76" s="284"/>
      <c r="B76" s="169"/>
      <c r="C76" s="18"/>
      <c r="D76" s="233"/>
      <c r="E76" s="172"/>
      <c r="F76" s="172"/>
      <c r="G76" s="173"/>
      <c r="H76" s="228"/>
      <c r="I76" s="172"/>
      <c r="J76" s="18"/>
      <c r="K76" s="172"/>
      <c r="L76" s="179"/>
      <c r="M76" s="18"/>
      <c r="N76" s="173"/>
      <c r="O76" s="240"/>
      <c r="P76" s="173"/>
      <c r="Q76" s="171"/>
      <c r="R76" s="173"/>
      <c r="S76" s="173"/>
      <c r="T76" s="176"/>
      <c r="U76" s="176"/>
      <c r="V76" s="180"/>
      <c r="W76" s="176"/>
      <c r="X76" s="176"/>
      <c r="Y76" s="18"/>
      <c r="Z76" s="176"/>
      <c r="AA76" s="176"/>
      <c r="AB76" s="176"/>
      <c r="AC76" s="181"/>
      <c r="AD76" s="18"/>
      <c r="AE76" s="176"/>
      <c r="AF76" s="18"/>
      <c r="AG76" s="18"/>
      <c r="AH76" s="18"/>
      <c r="AI76" s="172"/>
      <c r="AJ76" s="173"/>
      <c r="AK76" s="171"/>
      <c r="AL76" s="173"/>
    </row>
    <row r="77" hidden="1" outlineLevel="1">
      <c r="A77" s="284"/>
      <c r="B77" s="169"/>
      <c r="C77" s="285"/>
      <c r="D77" s="265"/>
      <c r="E77" s="172"/>
      <c r="F77" s="172"/>
      <c r="G77" s="173"/>
      <c r="H77" s="228"/>
      <c r="I77" s="172"/>
      <c r="J77" s="18"/>
      <c r="K77" s="172"/>
      <c r="L77" s="176"/>
      <c r="M77" s="18"/>
      <c r="N77" s="173"/>
      <c r="O77" s="240"/>
      <c r="P77" s="240"/>
      <c r="Q77" s="171"/>
      <c r="R77" s="173"/>
      <c r="S77" s="240"/>
      <c r="T77" s="176"/>
      <c r="U77" s="176"/>
      <c r="V77" s="180"/>
      <c r="W77" s="176"/>
      <c r="X77" s="176"/>
      <c r="Y77" s="18"/>
      <c r="Z77" s="176"/>
      <c r="AA77" s="176"/>
      <c r="AB77" s="176"/>
      <c r="AC77" s="181"/>
      <c r="AD77" s="18"/>
      <c r="AE77" s="176"/>
      <c r="AF77" s="18"/>
      <c r="AG77" s="18"/>
      <c r="AH77" s="18"/>
      <c r="AI77" s="172"/>
      <c r="AJ77" s="173"/>
      <c r="AK77" s="171"/>
      <c r="AL77" s="173"/>
    </row>
    <row r="78" hidden="1" outlineLevel="1">
      <c r="A78" s="261"/>
      <c r="B78" s="169"/>
      <c r="C78" s="18"/>
      <c r="D78" s="233"/>
      <c r="E78" s="172"/>
      <c r="F78" s="172"/>
      <c r="G78" s="173"/>
      <c r="H78" s="228"/>
      <c r="I78" s="172"/>
      <c r="J78" s="18"/>
      <c r="K78" s="173"/>
      <c r="L78" s="176"/>
      <c r="M78" s="18"/>
      <c r="N78" s="173"/>
      <c r="O78" s="240"/>
      <c r="P78" s="240"/>
      <c r="Q78" s="171"/>
      <c r="R78" s="173"/>
      <c r="S78" s="240"/>
      <c r="T78" s="176"/>
      <c r="U78" s="176"/>
      <c r="V78" s="180"/>
      <c r="W78" s="176"/>
      <c r="X78" s="176"/>
      <c r="Y78" s="18"/>
      <c r="Z78" s="176"/>
      <c r="AA78" s="176"/>
      <c r="AB78" s="176"/>
      <c r="AC78" s="181"/>
      <c r="AD78" s="18"/>
      <c r="AE78" s="176"/>
      <c r="AF78" s="18"/>
      <c r="AG78" s="18"/>
      <c r="AH78" s="18"/>
      <c r="AI78" s="172"/>
      <c r="AJ78" s="173"/>
      <c r="AK78" s="171"/>
      <c r="AL78" s="173"/>
    </row>
    <row r="79" hidden="1" outlineLevel="1">
      <c r="A79" s="204"/>
      <c r="B79" s="169"/>
      <c r="C79" s="18"/>
      <c r="D79" s="171"/>
      <c r="E79" s="172"/>
      <c r="F79" s="172"/>
      <c r="G79" s="172"/>
      <c r="H79" s="174"/>
      <c r="I79" s="172"/>
      <c r="J79" s="175"/>
      <c r="K79" s="173"/>
      <c r="L79" s="176"/>
      <c r="M79" s="18"/>
      <c r="N79" s="173"/>
      <c r="O79" s="210"/>
      <c r="P79" s="240"/>
      <c r="Q79" s="171"/>
      <c r="R79" s="173"/>
      <c r="S79" s="226"/>
      <c r="T79" s="176"/>
      <c r="U79" s="176"/>
      <c r="V79" s="180"/>
      <c r="W79" s="176"/>
      <c r="X79" s="176"/>
      <c r="Y79" s="18"/>
      <c r="Z79" s="176"/>
      <c r="AA79" s="176"/>
      <c r="AB79" s="176"/>
      <c r="AC79" s="181"/>
      <c r="AD79" s="18"/>
      <c r="AE79" s="176"/>
      <c r="AF79" s="18"/>
      <c r="AG79" s="18"/>
      <c r="AH79" s="18"/>
      <c r="AI79" s="172"/>
      <c r="AJ79" s="173"/>
      <c r="AK79" s="171"/>
      <c r="AL79" s="172"/>
    </row>
    <row r="80" hidden="1" outlineLevel="1">
      <c r="A80" s="291"/>
      <c r="B80" s="169"/>
      <c r="C80" s="18"/>
      <c r="D80" s="171"/>
      <c r="E80" s="172"/>
      <c r="F80" s="172"/>
      <c r="G80" s="172"/>
      <c r="H80" s="174"/>
      <c r="I80" s="172"/>
      <c r="J80" s="18"/>
      <c r="K80" s="173"/>
      <c r="L80" s="176"/>
      <c r="M80" s="18"/>
      <c r="N80" s="173"/>
      <c r="O80" s="226"/>
      <c r="P80" s="226"/>
      <c r="Q80" s="171"/>
      <c r="R80" s="173"/>
      <c r="S80" s="226"/>
      <c r="T80" s="176"/>
      <c r="U80" s="176"/>
      <c r="V80" s="180"/>
      <c r="W80" s="176"/>
      <c r="X80" s="176"/>
      <c r="Y80" s="18"/>
      <c r="Z80" s="176"/>
      <c r="AA80" s="176"/>
      <c r="AB80" s="176"/>
      <c r="AC80" s="181"/>
      <c r="AD80" s="18"/>
      <c r="AE80" s="176"/>
      <c r="AF80" s="18"/>
      <c r="AG80" s="18"/>
      <c r="AH80" s="18"/>
      <c r="AI80" s="172"/>
      <c r="AJ80" s="173"/>
      <c r="AK80" s="171"/>
      <c r="AL80" s="172"/>
    </row>
    <row r="81" hidden="1" outlineLevel="1">
      <c r="A81" s="204"/>
      <c r="B81" s="169"/>
      <c r="C81" s="18"/>
      <c r="D81" s="171"/>
      <c r="E81" s="172"/>
      <c r="F81" s="172"/>
      <c r="G81" s="172"/>
      <c r="H81" s="174"/>
      <c r="I81" s="172"/>
      <c r="J81" s="175"/>
      <c r="K81" s="172"/>
      <c r="L81" s="176"/>
      <c r="M81" s="18"/>
      <c r="N81" s="173"/>
      <c r="O81" s="226"/>
      <c r="P81" s="177"/>
      <c r="Q81" s="171"/>
      <c r="R81" s="173"/>
      <c r="S81" s="226"/>
      <c r="T81" s="176"/>
      <c r="U81" s="176"/>
      <c r="V81" s="180"/>
      <c r="W81" s="176"/>
      <c r="X81" s="179"/>
      <c r="Y81" s="18"/>
      <c r="Z81" s="176"/>
      <c r="AA81" s="176"/>
      <c r="AB81" s="176"/>
      <c r="AC81" s="181"/>
      <c r="AD81" s="18"/>
      <c r="AE81" s="176"/>
      <c r="AF81" s="18"/>
      <c r="AG81" s="18"/>
      <c r="AH81" s="18"/>
      <c r="AI81" s="172"/>
      <c r="AJ81" s="173"/>
      <c r="AK81" s="171"/>
      <c r="AL81" s="172"/>
    </row>
    <row r="82" hidden="1" outlineLevel="1">
      <c r="A82" s="204"/>
      <c r="B82" s="169"/>
      <c r="C82" s="18"/>
      <c r="D82" s="171"/>
      <c r="E82" s="172"/>
      <c r="F82" s="172"/>
      <c r="G82" s="172"/>
      <c r="H82" s="174"/>
      <c r="I82" s="172"/>
      <c r="J82" s="18"/>
      <c r="K82" s="173"/>
      <c r="L82" s="176"/>
      <c r="M82" s="18"/>
      <c r="N82" s="173"/>
      <c r="O82" s="226"/>
      <c r="P82" s="177"/>
      <c r="Q82" s="171"/>
      <c r="R82" s="173"/>
      <c r="S82" s="226"/>
      <c r="T82" s="176"/>
      <c r="U82" s="176"/>
      <c r="V82" s="180"/>
      <c r="W82" s="176"/>
      <c r="X82" s="176"/>
      <c r="Y82" s="18"/>
      <c r="Z82" s="176"/>
      <c r="AA82" s="176"/>
      <c r="AB82" s="176"/>
      <c r="AC82" s="181"/>
      <c r="AD82" s="18"/>
      <c r="AE82" s="176"/>
      <c r="AF82" s="18"/>
      <c r="AG82" s="18"/>
      <c r="AH82" s="18"/>
      <c r="AI82" s="172"/>
      <c r="AJ82" s="173"/>
      <c r="AK82" s="171"/>
      <c r="AL82" s="172"/>
    </row>
    <row r="83" hidden="1" outlineLevel="1">
      <c r="A83" s="291"/>
      <c r="B83" s="169"/>
      <c r="C83" s="18"/>
      <c r="D83" s="171"/>
      <c r="E83" s="172"/>
      <c r="F83" s="172"/>
      <c r="G83" s="172"/>
      <c r="H83" s="174"/>
      <c r="I83" s="172"/>
      <c r="J83" s="18"/>
      <c r="K83" s="173"/>
      <c r="L83" s="176"/>
      <c r="M83" s="18"/>
      <c r="N83" s="173"/>
      <c r="O83" s="226"/>
      <c r="P83" s="226"/>
      <c r="Q83" s="171"/>
      <c r="R83" s="173"/>
      <c r="S83" s="240"/>
      <c r="T83" s="176"/>
      <c r="U83" s="176"/>
      <c r="V83" s="180"/>
      <c r="W83" s="176"/>
      <c r="X83" s="176"/>
      <c r="Y83" s="18"/>
      <c r="Z83" s="176"/>
      <c r="AA83" s="176"/>
      <c r="AB83" s="176"/>
      <c r="AC83" s="181"/>
      <c r="AD83" s="18"/>
      <c r="AE83" s="176"/>
      <c r="AF83" s="18"/>
      <c r="AG83" s="18"/>
      <c r="AH83" s="18"/>
      <c r="AI83" s="172"/>
      <c r="AJ83" s="173"/>
      <c r="AK83" s="171"/>
      <c r="AL83" s="172"/>
    </row>
    <row r="84" hidden="1" outlineLevel="1">
      <c r="A84" s="291"/>
      <c r="B84" s="169"/>
      <c r="C84" s="18"/>
      <c r="D84" s="171"/>
      <c r="E84" s="172"/>
      <c r="F84" s="172"/>
      <c r="G84" s="172"/>
      <c r="H84" s="174"/>
      <c r="I84" s="172"/>
      <c r="J84" s="18"/>
      <c r="K84" s="173"/>
      <c r="L84" s="176"/>
      <c r="M84" s="18"/>
      <c r="N84" s="173"/>
      <c r="O84" s="226"/>
      <c r="P84" s="226"/>
      <c r="Q84" s="171"/>
      <c r="R84" s="173"/>
      <c r="S84" s="226"/>
      <c r="T84" s="176"/>
      <c r="U84" s="179"/>
      <c r="V84" s="180"/>
      <c r="W84" s="179"/>
      <c r="X84" s="176"/>
      <c r="Y84" s="18"/>
      <c r="Z84" s="176"/>
      <c r="AA84" s="176"/>
      <c r="AB84" s="176"/>
      <c r="AC84" s="181"/>
      <c r="AD84" s="18"/>
      <c r="AE84" s="176"/>
      <c r="AF84" s="18"/>
      <c r="AG84" s="18"/>
      <c r="AH84" s="18"/>
      <c r="AI84" s="172"/>
      <c r="AJ84" s="173"/>
      <c r="AK84" s="171"/>
      <c r="AL84" s="172"/>
    </row>
    <row r="85" hidden="1" outlineLevel="1">
      <c r="A85" s="204"/>
      <c r="B85" s="169"/>
      <c r="C85" s="18"/>
      <c r="D85" s="171"/>
      <c r="E85" s="172"/>
      <c r="F85" s="172"/>
      <c r="G85" s="172"/>
      <c r="H85" s="174"/>
      <c r="I85" s="172"/>
      <c r="J85" s="18"/>
      <c r="K85" s="173"/>
      <c r="L85" s="176"/>
      <c r="M85" s="18"/>
      <c r="N85" s="173"/>
      <c r="O85" s="226"/>
      <c r="P85" s="226"/>
      <c r="Q85" s="171"/>
      <c r="R85" s="173"/>
      <c r="S85" s="226"/>
      <c r="T85" s="176"/>
      <c r="U85" s="179"/>
      <c r="V85" s="180"/>
      <c r="W85" s="179"/>
      <c r="X85" s="176"/>
      <c r="Y85" s="18"/>
      <c r="Z85" s="176"/>
      <c r="AA85" s="176"/>
      <c r="AB85" s="176"/>
      <c r="AC85" s="181"/>
      <c r="AD85" s="18"/>
      <c r="AE85" s="176"/>
      <c r="AF85" s="18"/>
      <c r="AG85" s="18"/>
      <c r="AH85" s="18"/>
      <c r="AI85" s="172"/>
      <c r="AJ85" s="173"/>
      <c r="AK85" s="171"/>
      <c r="AL85" s="172"/>
    </row>
    <row r="86" hidden="1" outlineLevel="1">
      <c r="A86" s="204"/>
      <c r="B86" s="169"/>
      <c r="C86" s="18"/>
      <c r="D86" s="171"/>
      <c r="E86" s="172"/>
      <c r="F86" s="172"/>
      <c r="G86" s="172"/>
      <c r="H86" s="174"/>
      <c r="I86" s="172"/>
      <c r="J86" s="18"/>
      <c r="K86" s="173"/>
      <c r="L86" s="176"/>
      <c r="M86" s="18"/>
      <c r="N86" s="173"/>
      <c r="O86" s="226"/>
      <c r="P86" s="226"/>
      <c r="Q86" s="171"/>
      <c r="R86" s="173"/>
      <c r="S86" s="226"/>
      <c r="T86" s="176"/>
      <c r="U86" s="179"/>
      <c r="V86" s="180"/>
      <c r="W86" s="179"/>
      <c r="X86" s="176"/>
      <c r="Y86" s="18"/>
      <c r="Z86" s="176"/>
      <c r="AA86" s="176"/>
      <c r="AB86" s="176"/>
      <c r="AC86" s="181"/>
      <c r="AD86" s="18"/>
      <c r="AE86" s="176"/>
      <c r="AF86" s="18"/>
      <c r="AG86" s="18"/>
      <c r="AH86" s="18"/>
      <c r="AI86" s="172"/>
      <c r="AJ86" s="173"/>
      <c r="AK86" s="171"/>
      <c r="AL86" s="172"/>
    </row>
    <row r="87" hidden="1" outlineLevel="1">
      <c r="A87" s="291"/>
      <c r="B87" s="169"/>
      <c r="C87" s="18"/>
      <c r="D87" s="171"/>
      <c r="E87" s="172"/>
      <c r="F87" s="172"/>
      <c r="G87" s="172"/>
      <c r="H87" s="174"/>
      <c r="I87" s="172"/>
      <c r="J87" s="18"/>
      <c r="K87" s="173"/>
      <c r="L87" s="176"/>
      <c r="M87" s="18"/>
      <c r="N87" s="173"/>
      <c r="O87" s="226"/>
      <c r="P87" s="226"/>
      <c r="Q87" s="171"/>
      <c r="R87" s="173"/>
      <c r="S87" s="226"/>
      <c r="T87" s="176"/>
      <c r="U87" s="179"/>
      <c r="V87" s="180"/>
      <c r="W87" s="179"/>
      <c r="X87" s="176"/>
      <c r="Y87" s="18"/>
      <c r="Z87" s="176"/>
      <c r="AA87" s="176"/>
      <c r="AB87" s="176"/>
      <c r="AC87" s="181"/>
      <c r="AD87" s="18"/>
      <c r="AE87" s="176"/>
      <c r="AF87" s="18"/>
      <c r="AG87" s="18"/>
      <c r="AH87" s="18"/>
      <c r="AI87" s="172"/>
      <c r="AJ87" s="173"/>
      <c r="AK87" s="171"/>
      <c r="AL87" s="172"/>
    </row>
    <row r="88" hidden="1" outlineLevel="1">
      <c r="A88" s="291"/>
      <c r="B88" s="169"/>
      <c r="C88" s="18"/>
      <c r="D88" s="171"/>
      <c r="E88" s="172"/>
      <c r="F88" s="172"/>
      <c r="G88" s="172"/>
      <c r="H88" s="174"/>
      <c r="I88" s="172"/>
      <c r="J88" s="18"/>
      <c r="K88" s="173"/>
      <c r="L88" s="176"/>
      <c r="M88" s="18"/>
      <c r="N88" s="173"/>
      <c r="O88" s="226"/>
      <c r="P88" s="226"/>
      <c r="Q88" s="171"/>
      <c r="R88" s="173"/>
      <c r="S88" s="226"/>
      <c r="T88" s="176"/>
      <c r="U88" s="179"/>
      <c r="V88" s="180"/>
      <c r="W88" s="179"/>
      <c r="X88" s="176"/>
      <c r="Y88" s="18"/>
      <c r="Z88" s="176"/>
      <c r="AA88" s="176"/>
      <c r="AB88" s="176"/>
      <c r="AC88" s="181"/>
      <c r="AD88" s="18"/>
      <c r="AE88" s="176"/>
      <c r="AF88" s="18"/>
      <c r="AG88" s="18"/>
      <c r="AH88" s="18"/>
      <c r="AI88" s="172"/>
      <c r="AJ88" s="173"/>
      <c r="AK88" s="171"/>
      <c r="AL88" s="172"/>
    </row>
    <row r="89" hidden="1" outlineLevel="1">
      <c r="A89" s="291"/>
      <c r="B89" s="169"/>
      <c r="C89" s="18"/>
      <c r="D89" s="171"/>
      <c r="E89" s="172"/>
      <c r="F89" s="172"/>
      <c r="G89" s="172"/>
      <c r="H89" s="174"/>
      <c r="I89" s="172"/>
      <c r="J89" s="18"/>
      <c r="K89" s="173"/>
      <c r="L89" s="176"/>
      <c r="M89" s="18"/>
      <c r="N89" s="173"/>
      <c r="O89" s="226"/>
      <c r="P89" s="226"/>
      <c r="Q89" s="171"/>
      <c r="R89" s="173"/>
      <c r="S89" s="226"/>
      <c r="T89" s="176"/>
      <c r="U89" s="179"/>
      <c r="V89" s="180"/>
      <c r="W89" s="179"/>
      <c r="X89" s="176"/>
      <c r="Y89" s="18"/>
      <c r="Z89" s="176"/>
      <c r="AA89" s="176"/>
      <c r="AB89" s="176"/>
      <c r="AC89" s="181"/>
      <c r="AD89" s="18"/>
      <c r="AE89" s="176"/>
      <c r="AF89" s="18"/>
      <c r="AG89" s="18"/>
      <c r="AH89" s="18"/>
      <c r="AI89" s="172"/>
      <c r="AJ89" s="173"/>
      <c r="AK89" s="171"/>
      <c r="AL89" s="172"/>
    </row>
    <row r="90" hidden="1" outlineLevel="1">
      <c r="A90" s="291"/>
      <c r="B90" s="169"/>
      <c r="C90" s="18"/>
      <c r="D90" s="171"/>
      <c r="E90" s="172"/>
      <c r="F90" s="172"/>
      <c r="G90" s="172"/>
      <c r="H90" s="174"/>
      <c r="I90" s="172"/>
      <c r="J90" s="18"/>
      <c r="K90" s="173"/>
      <c r="L90" s="176"/>
      <c r="M90" s="18"/>
      <c r="N90" s="173"/>
      <c r="O90" s="226"/>
      <c r="P90" s="210"/>
      <c r="Q90" s="171"/>
      <c r="R90" s="173"/>
      <c r="S90" s="210"/>
      <c r="T90" s="176"/>
      <c r="U90" s="179"/>
      <c r="V90" s="180"/>
      <c r="W90" s="179"/>
      <c r="X90" s="176"/>
      <c r="Y90" s="18"/>
      <c r="Z90" s="176"/>
      <c r="AA90" s="176"/>
      <c r="AB90" s="176"/>
      <c r="AC90" s="181"/>
      <c r="AD90" s="18"/>
      <c r="AE90" s="176"/>
      <c r="AF90" s="18"/>
      <c r="AG90" s="18"/>
      <c r="AH90" s="18"/>
      <c r="AI90" s="172"/>
      <c r="AJ90" s="173"/>
      <c r="AK90" s="171"/>
      <c r="AL90" s="172"/>
    </row>
    <row r="91" hidden="1" outlineLevel="1">
      <c r="A91" s="291"/>
      <c r="B91" s="169"/>
      <c r="C91" s="18"/>
      <c r="D91" s="171"/>
      <c r="E91" s="172"/>
      <c r="F91" s="172"/>
      <c r="G91" s="172"/>
      <c r="H91" s="228"/>
      <c r="I91" s="173"/>
      <c r="J91" s="18"/>
      <c r="K91" s="173"/>
      <c r="L91" s="176"/>
      <c r="M91" s="18"/>
      <c r="N91" s="173"/>
      <c r="O91" s="226"/>
      <c r="P91" s="226"/>
      <c r="Q91" s="171"/>
      <c r="R91" s="173"/>
      <c r="S91" s="226"/>
      <c r="T91" s="176"/>
      <c r="U91" s="176"/>
      <c r="V91" s="180"/>
      <c r="W91" s="176"/>
      <c r="X91" s="176"/>
      <c r="Y91" s="18"/>
      <c r="Z91" s="176"/>
      <c r="AA91" s="176"/>
      <c r="AB91" s="176"/>
      <c r="AC91" s="181"/>
      <c r="AD91" s="18"/>
      <c r="AE91" s="176"/>
      <c r="AF91" s="18"/>
      <c r="AG91" s="18"/>
      <c r="AH91" s="18"/>
      <c r="AI91" s="172"/>
      <c r="AJ91" s="173"/>
      <c r="AK91" s="171"/>
      <c r="AL91" s="172"/>
    </row>
    <row r="92" hidden="1" outlineLevel="1">
      <c r="A92" s="291"/>
      <c r="B92" s="169"/>
      <c r="C92" s="18"/>
      <c r="D92" s="171"/>
      <c r="E92" s="172"/>
      <c r="F92" s="172"/>
      <c r="G92" s="172"/>
      <c r="H92" s="174"/>
      <c r="I92" s="172"/>
      <c r="J92" s="18"/>
      <c r="K92" s="173"/>
      <c r="L92" s="176"/>
      <c r="M92" s="18"/>
      <c r="N92" s="173"/>
      <c r="O92" s="226"/>
      <c r="P92" s="226"/>
      <c r="Q92" s="171"/>
      <c r="R92" s="173"/>
      <c r="S92" s="226"/>
      <c r="T92" s="176"/>
      <c r="U92" s="176"/>
      <c r="V92" s="180"/>
      <c r="W92" s="176"/>
      <c r="X92" s="176"/>
      <c r="Y92" s="18"/>
      <c r="Z92" s="176"/>
      <c r="AA92" s="176"/>
      <c r="AB92" s="176"/>
      <c r="AC92" s="181"/>
      <c r="AD92" s="18"/>
      <c r="AE92" s="176"/>
      <c r="AF92" s="18"/>
      <c r="AG92" s="18"/>
      <c r="AH92" s="18"/>
      <c r="AI92" s="172"/>
      <c r="AJ92" s="173"/>
      <c r="AK92" s="171"/>
      <c r="AL92" s="172"/>
    </row>
    <row r="93" hidden="1" outlineLevel="1">
      <c r="A93" s="300"/>
      <c r="B93" s="169"/>
      <c r="C93" s="18"/>
      <c r="D93" s="171"/>
      <c r="E93" s="172"/>
      <c r="F93" s="172"/>
      <c r="G93" s="172"/>
      <c r="H93" s="174"/>
      <c r="I93" s="172"/>
      <c r="J93" s="18"/>
      <c r="K93" s="173"/>
      <c r="L93" s="176"/>
      <c r="M93" s="18"/>
      <c r="N93" s="173"/>
      <c r="O93" s="226"/>
      <c r="P93" s="226"/>
      <c r="Q93" s="171"/>
      <c r="R93" s="173"/>
      <c r="S93" s="177"/>
      <c r="T93" s="176"/>
      <c r="U93" s="179"/>
      <c r="V93" s="180"/>
      <c r="W93" s="179"/>
      <c r="X93" s="176"/>
      <c r="Y93" s="18"/>
      <c r="Z93" s="176"/>
      <c r="AA93" s="176"/>
      <c r="AB93" s="176"/>
      <c r="AC93" s="181"/>
      <c r="AD93" s="18"/>
      <c r="AE93" s="176"/>
      <c r="AF93" s="18"/>
      <c r="AG93" s="18"/>
      <c r="AH93" s="18"/>
      <c r="AI93" s="172"/>
      <c r="AJ93" s="173"/>
      <c r="AK93" s="171"/>
      <c r="AL93" s="172"/>
    </row>
    <row r="94" hidden="1" outlineLevel="1">
      <c r="A94" s="291"/>
      <c r="B94" s="169"/>
      <c r="C94" s="18"/>
      <c r="D94" s="171"/>
      <c r="E94" s="172"/>
      <c r="F94" s="172"/>
      <c r="G94" s="172"/>
      <c r="H94" s="228"/>
      <c r="I94" s="173"/>
      <c r="J94" s="18"/>
      <c r="K94" s="173"/>
      <c r="L94" s="176"/>
      <c r="M94" s="18"/>
      <c r="N94" s="173"/>
      <c r="O94" s="226"/>
      <c r="P94" s="226"/>
      <c r="Q94" s="171"/>
      <c r="R94" s="173"/>
      <c r="S94" s="240"/>
      <c r="T94" s="176"/>
      <c r="U94" s="176"/>
      <c r="V94" s="180"/>
      <c r="W94" s="176"/>
      <c r="X94" s="176"/>
      <c r="Y94" s="18"/>
      <c r="Z94" s="176"/>
      <c r="AA94" s="176"/>
      <c r="AB94" s="176"/>
      <c r="AC94" s="181"/>
      <c r="AD94" s="18"/>
      <c r="AE94" s="176"/>
      <c r="AF94" s="18"/>
      <c r="AG94" s="18"/>
      <c r="AH94" s="18"/>
      <c r="AI94" s="172"/>
      <c r="AJ94" s="173"/>
      <c r="AK94" s="171"/>
      <c r="AL94" s="172"/>
    </row>
    <row r="95" hidden="1" outlineLevel="1">
      <c r="A95" s="291"/>
      <c r="B95" s="169"/>
      <c r="C95" s="18"/>
      <c r="D95" s="171"/>
      <c r="E95" s="172"/>
      <c r="F95" s="172"/>
      <c r="G95" s="172"/>
      <c r="H95" s="174"/>
      <c r="I95" s="172"/>
      <c r="J95" s="18"/>
      <c r="K95" s="173"/>
      <c r="L95" s="176"/>
      <c r="M95" s="18"/>
      <c r="N95" s="173"/>
      <c r="O95" s="226"/>
      <c r="P95" s="226"/>
      <c r="Q95" s="171"/>
      <c r="R95" s="173"/>
      <c r="S95" s="226"/>
      <c r="T95" s="176"/>
      <c r="U95" s="179"/>
      <c r="V95" s="180"/>
      <c r="W95" s="179"/>
      <c r="X95" s="176"/>
      <c r="Y95" s="18"/>
      <c r="Z95" s="176"/>
      <c r="AA95" s="176"/>
      <c r="AB95" s="176"/>
      <c r="AC95" s="181"/>
      <c r="AD95" s="18"/>
      <c r="AE95" s="176"/>
      <c r="AF95" s="18"/>
      <c r="AG95" s="18"/>
      <c r="AH95" s="18"/>
      <c r="AI95" s="172"/>
      <c r="AJ95" s="173"/>
      <c r="AK95" s="171"/>
      <c r="AL95" s="172"/>
    </row>
    <row r="96" hidden="1" outlineLevel="1">
      <c r="A96" s="291"/>
      <c r="B96" s="169"/>
      <c r="C96" s="18"/>
      <c r="D96" s="171"/>
      <c r="E96" s="172"/>
      <c r="F96" s="172"/>
      <c r="G96" s="172"/>
      <c r="H96" s="174"/>
      <c r="I96" s="172"/>
      <c r="J96" s="18"/>
      <c r="K96" s="173"/>
      <c r="L96" s="176"/>
      <c r="M96" s="18"/>
      <c r="N96" s="173"/>
      <c r="O96" s="226"/>
      <c r="P96" s="226"/>
      <c r="Q96" s="171"/>
      <c r="R96" s="173"/>
      <c r="S96" s="226"/>
      <c r="T96" s="176"/>
      <c r="U96" s="179"/>
      <c r="V96" s="180"/>
      <c r="W96" s="179"/>
      <c r="X96" s="176"/>
      <c r="Y96" s="18"/>
      <c r="Z96" s="176"/>
      <c r="AA96" s="176"/>
      <c r="AB96" s="176"/>
      <c r="AC96" s="181"/>
      <c r="AD96" s="18"/>
      <c r="AE96" s="176"/>
      <c r="AF96" s="18"/>
      <c r="AG96" s="18"/>
      <c r="AH96" s="18"/>
      <c r="AI96" s="172"/>
      <c r="AJ96" s="173"/>
      <c r="AK96" s="171"/>
      <c r="AL96" s="172"/>
    </row>
    <row r="97" hidden="1" outlineLevel="1">
      <c r="A97" s="291"/>
      <c r="B97" s="169"/>
      <c r="C97" s="18"/>
      <c r="D97" s="171"/>
      <c r="E97" s="172"/>
      <c r="F97" s="172"/>
      <c r="G97" s="172"/>
      <c r="H97" s="174"/>
      <c r="I97" s="172"/>
      <c r="J97" s="18"/>
      <c r="K97" s="173"/>
      <c r="L97" s="176"/>
      <c r="M97" s="18"/>
      <c r="N97" s="173"/>
      <c r="O97" s="226"/>
      <c r="P97" s="226"/>
      <c r="Q97" s="171"/>
      <c r="R97" s="173"/>
      <c r="S97" s="261"/>
      <c r="T97" s="176"/>
      <c r="U97" s="176"/>
      <c r="V97" s="180"/>
      <c r="W97" s="176"/>
      <c r="X97" s="176"/>
      <c r="Y97" s="18"/>
      <c r="Z97" s="176"/>
      <c r="AA97" s="176"/>
      <c r="AB97" s="176"/>
      <c r="AC97" s="181"/>
      <c r="AD97" s="18"/>
      <c r="AE97" s="176"/>
      <c r="AF97" s="18"/>
      <c r="AG97" s="18"/>
      <c r="AH97" s="18"/>
      <c r="AI97" s="172"/>
      <c r="AJ97" s="173"/>
      <c r="AK97" s="171"/>
      <c r="AL97" s="172"/>
    </row>
    <row r="98" hidden="1" outlineLevel="1">
      <c r="A98" s="298"/>
      <c r="B98" s="169"/>
      <c r="C98" s="18"/>
      <c r="D98" s="171"/>
      <c r="E98" s="172"/>
      <c r="F98" s="172"/>
      <c r="G98" s="172"/>
      <c r="H98" s="174"/>
      <c r="I98" s="172"/>
      <c r="J98" s="175"/>
      <c r="K98" s="173"/>
      <c r="L98" s="176"/>
      <c r="M98" s="18"/>
      <c r="N98" s="173"/>
      <c r="O98" s="226"/>
      <c r="P98" s="226"/>
      <c r="Q98" s="171"/>
      <c r="R98" s="173"/>
      <c r="S98" s="261"/>
      <c r="T98" s="176"/>
      <c r="U98" s="179"/>
      <c r="V98" s="180"/>
      <c r="W98" s="179"/>
      <c r="X98" s="176"/>
      <c r="Y98" s="18"/>
      <c r="Z98" s="176"/>
      <c r="AA98" s="176"/>
      <c r="AB98" s="176"/>
      <c r="AC98" s="181"/>
      <c r="AD98" s="18"/>
      <c r="AE98" s="176"/>
      <c r="AF98" s="18"/>
      <c r="AG98" s="18"/>
      <c r="AH98" s="18"/>
      <c r="AI98" s="172"/>
      <c r="AJ98" s="173"/>
      <c r="AK98" s="171"/>
      <c r="AL98" s="172"/>
    </row>
    <row r="99" hidden="1" outlineLevel="1">
      <c r="A99" s="291"/>
      <c r="B99" s="169"/>
      <c r="C99" s="18"/>
      <c r="D99" s="171"/>
      <c r="E99" s="172"/>
      <c r="F99" s="172"/>
      <c r="G99" s="172"/>
      <c r="H99" s="174"/>
      <c r="I99" s="172"/>
      <c r="J99" s="175"/>
      <c r="K99" s="173"/>
      <c r="L99" s="176"/>
      <c r="M99" s="18"/>
      <c r="N99" s="173"/>
      <c r="O99" s="226"/>
      <c r="P99" s="226"/>
      <c r="Q99" s="171"/>
      <c r="R99" s="173"/>
      <c r="S99" s="261"/>
      <c r="T99" s="176"/>
      <c r="U99" s="179"/>
      <c r="V99" s="180"/>
      <c r="W99" s="179"/>
      <c r="X99" s="176"/>
      <c r="Y99" s="18"/>
      <c r="Z99" s="176"/>
      <c r="AA99" s="176"/>
      <c r="AB99" s="176"/>
      <c r="AC99" s="181"/>
      <c r="AD99" s="18"/>
      <c r="AE99" s="176"/>
      <c r="AF99" s="18"/>
      <c r="AG99" s="18"/>
      <c r="AH99" s="18"/>
      <c r="AI99" s="172"/>
      <c r="AJ99" s="173"/>
      <c r="AK99" s="171"/>
      <c r="AL99" s="172"/>
    </row>
    <row r="100" hidden="1" outlineLevel="1">
      <c r="A100" s="291"/>
      <c r="B100" s="169"/>
      <c r="C100" s="18"/>
      <c r="D100" s="171"/>
      <c r="E100" s="172"/>
      <c r="F100" s="172"/>
      <c r="G100" s="172"/>
      <c r="H100" s="174"/>
      <c r="I100" s="172"/>
      <c r="J100" s="175"/>
      <c r="K100" s="173"/>
      <c r="L100" s="176"/>
      <c r="M100" s="18"/>
      <c r="N100" s="173"/>
      <c r="O100" s="226"/>
      <c r="P100" s="226"/>
      <c r="Q100" s="171"/>
      <c r="R100" s="173"/>
      <c r="S100" s="261"/>
      <c r="T100" s="176"/>
      <c r="U100" s="179"/>
      <c r="V100" s="180"/>
      <c r="W100" s="179"/>
      <c r="X100" s="176"/>
      <c r="Y100" s="18"/>
      <c r="Z100" s="176"/>
      <c r="AA100" s="176"/>
      <c r="AB100" s="176"/>
      <c r="AC100" s="181"/>
      <c r="AD100" s="18"/>
      <c r="AE100" s="176"/>
      <c r="AF100" s="18"/>
      <c r="AG100" s="18"/>
      <c r="AH100" s="18"/>
      <c r="AI100" s="172"/>
      <c r="AJ100" s="173"/>
      <c r="AK100" s="171"/>
      <c r="AL100" s="172"/>
    </row>
    <row r="101" hidden="1" outlineLevel="1">
      <c r="A101" s="291"/>
      <c r="B101" s="169"/>
      <c r="C101" s="18"/>
      <c r="D101" s="171"/>
      <c r="E101" s="172"/>
      <c r="F101" s="172"/>
      <c r="G101" s="172"/>
      <c r="H101" s="228"/>
      <c r="I101" s="173"/>
      <c r="J101" s="18"/>
      <c r="K101" s="173"/>
      <c r="L101" s="176"/>
      <c r="M101" s="18"/>
      <c r="N101" s="173"/>
      <c r="O101" s="226"/>
      <c r="P101" s="226"/>
      <c r="Q101" s="171"/>
      <c r="R101" s="173"/>
      <c r="S101" s="173"/>
      <c r="T101" s="176"/>
      <c r="U101" s="176"/>
      <c r="V101" s="180"/>
      <c r="W101" s="176"/>
      <c r="X101" s="176"/>
      <c r="Y101" s="18"/>
      <c r="Z101" s="176"/>
      <c r="AA101" s="176"/>
      <c r="AB101" s="176"/>
      <c r="AC101" s="181"/>
      <c r="AD101" s="18"/>
      <c r="AE101" s="176"/>
      <c r="AF101" s="18"/>
      <c r="AG101" s="18"/>
      <c r="AH101" s="18"/>
      <c r="AI101" s="172"/>
      <c r="AJ101" s="173"/>
      <c r="AK101" s="171"/>
      <c r="AL101" s="172"/>
    </row>
    <row r="102" hidden="1" outlineLevel="1">
      <c r="A102" s="291"/>
      <c r="B102" s="169"/>
      <c r="C102" s="18"/>
      <c r="D102" s="171"/>
      <c r="E102" s="172"/>
      <c r="F102" s="172"/>
      <c r="G102" s="172"/>
      <c r="H102" s="174"/>
      <c r="I102" s="172"/>
      <c r="J102" s="18"/>
      <c r="K102" s="173"/>
      <c r="L102" s="176"/>
      <c r="M102" s="18"/>
      <c r="N102" s="173"/>
      <c r="O102" s="226"/>
      <c r="P102" s="226"/>
      <c r="Q102" s="171"/>
      <c r="R102" s="173"/>
      <c r="S102" s="261"/>
      <c r="T102" s="176"/>
      <c r="U102" s="179"/>
      <c r="V102" s="180"/>
      <c r="W102" s="179"/>
      <c r="X102" s="176"/>
      <c r="Y102" s="18"/>
      <c r="Z102" s="176"/>
      <c r="AA102" s="176"/>
      <c r="AB102" s="176"/>
      <c r="AC102" s="181"/>
      <c r="AD102" s="18"/>
      <c r="AE102" s="176"/>
      <c r="AF102" s="18"/>
      <c r="AG102" s="18"/>
      <c r="AH102" s="18"/>
      <c r="AI102" s="172"/>
      <c r="AJ102" s="173"/>
      <c r="AK102" s="171"/>
      <c r="AL102" s="172"/>
    </row>
    <row r="103" hidden="1" outlineLevel="1">
      <c r="A103" s="291"/>
      <c r="B103" s="169"/>
      <c r="C103" s="18"/>
      <c r="D103" s="171"/>
      <c r="E103" s="172"/>
      <c r="F103" s="172"/>
      <c r="G103" s="172"/>
      <c r="H103" s="174"/>
      <c r="I103" s="172"/>
      <c r="J103" s="18"/>
      <c r="K103" s="173"/>
      <c r="L103" s="176"/>
      <c r="M103" s="18"/>
      <c r="N103" s="173"/>
      <c r="O103" s="226"/>
      <c r="P103" s="177"/>
      <c r="Q103" s="171"/>
      <c r="R103" s="173"/>
      <c r="S103" s="261"/>
      <c r="T103" s="176"/>
      <c r="U103" s="179"/>
      <c r="V103" s="180"/>
      <c r="W103" s="179"/>
      <c r="X103" s="176"/>
      <c r="Y103" s="18"/>
      <c r="Z103" s="176"/>
      <c r="AA103" s="176"/>
      <c r="AB103" s="176"/>
      <c r="AC103" s="181"/>
      <c r="AD103" s="18"/>
      <c r="AE103" s="176"/>
      <c r="AF103" s="18"/>
      <c r="AG103" s="18"/>
      <c r="AH103" s="18"/>
      <c r="AI103" s="172"/>
      <c r="AJ103" s="173"/>
      <c r="AK103" s="171"/>
      <c r="AL103" s="172"/>
    </row>
    <row r="104" hidden="1" outlineLevel="1">
      <c r="A104" s="291"/>
      <c r="B104" s="169"/>
      <c r="C104" s="18"/>
      <c r="D104" s="171"/>
      <c r="E104" s="172"/>
      <c r="F104" s="172"/>
      <c r="G104" s="172"/>
      <c r="H104" s="174"/>
      <c r="I104" s="172"/>
      <c r="J104" s="18"/>
      <c r="K104" s="173"/>
      <c r="L104" s="176"/>
      <c r="M104" s="18"/>
      <c r="N104" s="173"/>
      <c r="O104" s="226"/>
      <c r="P104" s="226"/>
      <c r="Q104" s="171"/>
      <c r="R104" s="173"/>
      <c r="S104" s="261"/>
      <c r="T104" s="176"/>
      <c r="U104" s="179"/>
      <c r="V104" s="180"/>
      <c r="W104" s="179"/>
      <c r="X104" s="176"/>
      <c r="Y104" s="18"/>
      <c r="Z104" s="176"/>
      <c r="AA104" s="176"/>
      <c r="AB104" s="176"/>
      <c r="AC104" s="181"/>
      <c r="AD104" s="18"/>
      <c r="AE104" s="176"/>
      <c r="AF104" s="18"/>
      <c r="AG104" s="18"/>
      <c r="AH104" s="18"/>
      <c r="AI104" s="172"/>
      <c r="AJ104" s="173"/>
      <c r="AK104" s="171"/>
      <c r="AL104" s="172"/>
    </row>
    <row r="105" hidden="1" outlineLevel="1">
      <c r="A105" s="201" t="s">
        <v>2838</v>
      </c>
      <c r="B105" s="188"/>
      <c r="C105" s="189"/>
      <c r="D105" s="188"/>
      <c r="E105" s="188"/>
      <c r="F105" s="188"/>
      <c r="G105" s="188"/>
      <c r="H105" s="188"/>
      <c r="I105" s="188" t="str">
        <f>COUNTIF(I75:I104,"Вышло")&amp;" / "&amp;COUNTA(A75:A104)</f>
        <v>0 / 0</v>
      </c>
      <c r="J105" s="189">
        <f t="shared" ref="J105:M105" si="19">SUM(J75:J104)</f>
        <v>0</v>
      </c>
      <c r="K105" s="189">
        <f t="shared" si="19"/>
        <v>0</v>
      </c>
      <c r="L105" s="189">
        <f t="shared" si="19"/>
        <v>0</v>
      </c>
      <c r="M105" s="189">
        <f t="shared" si="19"/>
        <v>0</v>
      </c>
      <c r="N105" s="189"/>
      <c r="O105" s="189"/>
      <c r="P105" s="189"/>
      <c r="Q105" s="189"/>
      <c r="R105" s="189"/>
      <c r="S105" s="189"/>
      <c r="T105" s="189"/>
      <c r="U105" s="189"/>
      <c r="V105" s="189">
        <f t="shared" ref="V105:X105" si="20">SUM(V75:V104)</f>
        <v>0</v>
      </c>
      <c r="W105" s="189">
        <f t="shared" si="20"/>
        <v>0</v>
      </c>
      <c r="X105" s="189">
        <f t="shared" si="20"/>
        <v>0</v>
      </c>
      <c r="Y105" s="188"/>
      <c r="Z105" s="189">
        <f t="shared" ref="Z105:AB105" si="21">SUM(Z54:Z104)</f>
        <v>0</v>
      </c>
      <c r="AA105" s="189">
        <f t="shared" si="21"/>
        <v>0</v>
      </c>
      <c r="AB105" s="189">
        <f t="shared" si="21"/>
        <v>0</v>
      </c>
      <c r="AC105" s="188"/>
      <c r="AD105" s="189">
        <f>SUM(AD54:AD104)</f>
        <v>0</v>
      </c>
      <c r="AE105" s="189"/>
      <c r="AF105" s="189">
        <f>SUM(AF54:AF104)</f>
        <v>0</v>
      </c>
      <c r="AG105" s="189" t="str">
        <f>IF(N(AD105)=0,"—",ROUND(M105/AD105,0))</f>
        <v>—</v>
      </c>
      <c r="AH105" s="189" t="str">
        <f>IF(N(AA105)=0,"—",ROUND(M105/AA105,0))</f>
        <v>—</v>
      </c>
      <c r="AI105" s="188"/>
      <c r="AJ105" s="188"/>
      <c r="AK105" s="188"/>
      <c r="AL105" s="188"/>
    </row>
    <row r="106" collapsed="1">
      <c r="A106" s="203" t="s">
        <v>2839</v>
      </c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7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166"/>
    </row>
    <row r="107" ht="25.5" hidden="1" customHeight="1" outlineLevel="1">
      <c r="A107" s="303"/>
      <c r="B107" s="192"/>
      <c r="C107" s="18"/>
      <c r="D107" s="185"/>
      <c r="E107" s="172"/>
      <c r="F107" s="172"/>
      <c r="G107" s="173"/>
      <c r="H107" s="302"/>
      <c r="I107" s="172"/>
      <c r="J107" s="18"/>
      <c r="K107" s="172"/>
      <c r="L107" s="179"/>
      <c r="M107" s="18"/>
      <c r="N107" s="173"/>
      <c r="O107" s="240"/>
      <c r="P107" s="173"/>
      <c r="Q107" s="171"/>
      <c r="R107" s="173"/>
      <c r="S107" s="173"/>
      <c r="T107" s="176"/>
      <c r="U107" s="176"/>
      <c r="V107" s="180"/>
      <c r="W107" s="176"/>
      <c r="X107" s="176"/>
      <c r="Y107" s="18"/>
      <c r="Z107" s="176"/>
      <c r="AA107" s="176"/>
      <c r="AB107" s="176"/>
      <c r="AC107" s="181"/>
      <c r="AD107" s="18"/>
      <c r="AE107" s="176"/>
      <c r="AF107" s="18"/>
      <c r="AG107" s="18"/>
      <c r="AH107" s="18"/>
      <c r="AI107" s="173"/>
      <c r="AJ107" s="252"/>
      <c r="AK107" s="253"/>
      <c r="AL107" s="252"/>
    </row>
    <row r="108" hidden="1" outlineLevel="1">
      <c r="A108" s="204"/>
      <c r="B108" s="169"/>
      <c r="C108" s="18"/>
      <c r="D108" s="171"/>
      <c r="E108" s="172"/>
      <c r="F108" s="172"/>
      <c r="G108" s="173"/>
      <c r="H108" s="228"/>
      <c r="I108" s="172"/>
      <c r="J108" s="272"/>
      <c r="K108" s="173"/>
      <c r="L108" s="176"/>
      <c r="M108" s="18"/>
      <c r="N108" s="173"/>
      <c r="O108" s="173"/>
      <c r="P108" s="173"/>
      <c r="Q108" s="171"/>
      <c r="R108" s="173"/>
      <c r="S108" s="173"/>
      <c r="T108" s="176"/>
      <c r="U108" s="176"/>
      <c r="V108" s="180"/>
      <c r="W108" s="176"/>
      <c r="X108" s="176"/>
      <c r="Y108" s="18"/>
      <c r="Z108" s="176"/>
      <c r="AA108" s="176"/>
      <c r="AB108" s="176"/>
      <c r="AC108" s="181"/>
      <c r="AD108" s="18"/>
      <c r="AE108" s="176"/>
      <c r="AF108" s="18"/>
      <c r="AG108" s="18"/>
      <c r="AH108" s="18" t="str">
        <f t="shared" ref="AH108:AH109" si="22">IF(N($AA108)=0,"",ROUND($M108/$AA108,0))</f>
        <v/>
      </c>
      <c r="AI108" s="173"/>
      <c r="AJ108" s="173"/>
      <c r="AK108" s="171"/>
      <c r="AL108" s="173"/>
    </row>
    <row r="109" hidden="1" outlineLevel="1">
      <c r="A109" s="261"/>
      <c r="B109" s="169"/>
      <c r="C109" s="18"/>
      <c r="D109" s="185"/>
      <c r="E109" s="172"/>
      <c r="F109" s="173"/>
      <c r="G109" s="173"/>
      <c r="H109" s="228"/>
      <c r="I109" s="172"/>
      <c r="J109" s="18"/>
      <c r="K109" s="173"/>
      <c r="L109" s="176"/>
      <c r="M109" s="175"/>
      <c r="N109" s="173"/>
      <c r="O109" s="173"/>
      <c r="P109" s="173"/>
      <c r="Q109" s="171"/>
      <c r="R109" s="173"/>
      <c r="S109" s="173"/>
      <c r="T109" s="176"/>
      <c r="U109" s="176"/>
      <c r="V109" s="180"/>
      <c r="W109" s="176"/>
      <c r="X109" s="176"/>
      <c r="Y109" s="18"/>
      <c r="Z109" s="176"/>
      <c r="AA109" s="176"/>
      <c r="AB109" s="176"/>
      <c r="AC109" s="181"/>
      <c r="AD109" s="18"/>
      <c r="AE109" s="176"/>
      <c r="AF109" s="18"/>
      <c r="AG109" s="18"/>
      <c r="AH109" s="18" t="str">
        <f t="shared" si="22"/>
        <v/>
      </c>
      <c r="AI109" s="173"/>
      <c r="AJ109" s="173"/>
      <c r="AK109" s="171"/>
      <c r="AL109" s="173"/>
    </row>
    <row r="110" hidden="1" outlineLevel="1">
      <c r="A110" s="201" t="s">
        <v>2840</v>
      </c>
      <c r="B110" s="188"/>
      <c r="C110" s="189"/>
      <c r="D110" s="188"/>
      <c r="E110" s="188"/>
      <c r="F110" s="188"/>
      <c r="G110" s="188"/>
      <c r="H110" s="188"/>
      <c r="I110" s="188" t="str">
        <f>COUNTIF(I107:I109,"Вышло")&amp;" / "&amp;COUNTA(A107:A109)</f>
        <v>0 / 0</v>
      </c>
      <c r="J110" s="189">
        <f>SUM(J107:J109)</f>
        <v>0</v>
      </c>
      <c r="K110" s="188"/>
      <c r="L110" s="189">
        <f>SUM(L7:L109)</f>
        <v>7532</v>
      </c>
      <c r="M110" s="189">
        <f>SUM(M107:M109)</f>
        <v>0</v>
      </c>
      <c r="N110" s="188"/>
      <c r="O110" s="188"/>
      <c r="P110" s="188"/>
      <c r="Q110" s="188"/>
      <c r="R110" s="188"/>
      <c r="S110" s="188"/>
      <c r="T110" s="189"/>
      <c r="U110" s="189">
        <f>SUM(U7:U109)</f>
        <v>0</v>
      </c>
      <c r="V110" s="202"/>
      <c r="W110" s="189">
        <f t="shared" ref="W110:X110" si="23">SUM(W7:W109)</f>
        <v>0</v>
      </c>
      <c r="X110" s="189">
        <f t="shared" si="23"/>
        <v>0</v>
      </c>
      <c r="Y110" s="188"/>
      <c r="Z110" s="189">
        <f t="shared" ref="Z110:AB110" si="24">SUM(Z7:Z109)</f>
        <v>0</v>
      </c>
      <c r="AA110" s="189">
        <f t="shared" si="24"/>
        <v>0</v>
      </c>
      <c r="AB110" s="189">
        <f t="shared" si="24"/>
        <v>0</v>
      </c>
      <c r="AC110" s="188"/>
      <c r="AD110" s="189">
        <f>SUM(AD7:AD109)</f>
        <v>0</v>
      </c>
      <c r="AE110" s="189"/>
      <c r="AF110" s="189">
        <f>SUM(AF7:AF109)</f>
        <v>0</v>
      </c>
      <c r="AG110" s="189" t="str">
        <f>IF(N(AD110)=0,"—",ROUND(M110/AD110,0))</f>
        <v>—</v>
      </c>
      <c r="AH110" s="189" t="str">
        <f>IF(N(AA110)=0,"—",ROUND(M110/AA110,0))</f>
        <v>—</v>
      </c>
      <c r="AI110" s="188"/>
      <c r="AJ110" s="188"/>
      <c r="AK110" s="188"/>
      <c r="AL110" s="188"/>
    </row>
    <row r="111" ht="15.0" customHeight="1">
      <c r="A111" s="229" t="s">
        <v>2550</v>
      </c>
      <c r="B111" s="229"/>
      <c r="C111" s="230"/>
      <c r="D111" s="229"/>
      <c r="E111" s="229"/>
      <c r="F111" s="229"/>
      <c r="G111" s="229"/>
      <c r="H111" s="229"/>
      <c r="I111" s="274"/>
      <c r="J111" s="230">
        <f t="shared" ref="J111:M111" si="25">J110+J105+J73+J41+J18</f>
        <v>257186</v>
      </c>
      <c r="K111" s="230">
        <f t="shared" si="25"/>
        <v>17214</v>
      </c>
      <c r="L111" s="230">
        <f t="shared" si="25"/>
        <v>11298</v>
      </c>
      <c r="M111" s="230">
        <f t="shared" si="25"/>
        <v>278166</v>
      </c>
      <c r="N111" s="230">
        <f t="shared" ref="N111:S111" si="26">N73+N41+N110+N18</f>
        <v>0</v>
      </c>
      <c r="O111" s="230">
        <f t="shared" si="26"/>
        <v>0</v>
      </c>
      <c r="P111" s="230">
        <f t="shared" si="26"/>
        <v>0</v>
      </c>
      <c r="Q111" s="230">
        <f t="shared" si="26"/>
        <v>0</v>
      </c>
      <c r="R111" s="230">
        <f t="shared" si="26"/>
        <v>0</v>
      </c>
      <c r="S111" s="230">
        <f t="shared" si="26"/>
        <v>0</v>
      </c>
      <c r="T111" s="230"/>
      <c r="U111" s="230">
        <f t="shared" ref="U111:AF111" si="27">U73+U41+U110+U18</f>
        <v>0</v>
      </c>
      <c r="V111" s="230">
        <f t="shared" si="27"/>
        <v>0</v>
      </c>
      <c r="W111" s="230">
        <f t="shared" si="27"/>
        <v>0</v>
      </c>
      <c r="X111" s="230">
        <f t="shared" si="27"/>
        <v>0</v>
      </c>
      <c r="Y111" s="230">
        <f t="shared" si="27"/>
        <v>0</v>
      </c>
      <c r="Z111" s="230">
        <f t="shared" si="27"/>
        <v>0</v>
      </c>
      <c r="AA111" s="230">
        <f t="shared" si="27"/>
        <v>0</v>
      </c>
      <c r="AB111" s="230">
        <f t="shared" si="27"/>
        <v>0</v>
      </c>
      <c r="AC111" s="230">
        <f t="shared" si="27"/>
        <v>0</v>
      </c>
      <c r="AD111" s="230">
        <f t="shared" si="27"/>
        <v>0</v>
      </c>
      <c r="AE111" s="230">
        <f t="shared" si="27"/>
        <v>0</v>
      </c>
      <c r="AF111" s="230">
        <f t="shared" si="27"/>
        <v>0</v>
      </c>
      <c r="AG111" s="230"/>
      <c r="AH111" s="230"/>
      <c r="AI111" s="229"/>
      <c r="AJ111" s="229"/>
      <c r="AK111" s="229"/>
      <c r="AL111" s="229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6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6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6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78"/>
      <c r="D115" s="278"/>
      <c r="E115" s="279"/>
      <c r="F115" s="279"/>
      <c r="G115" s="279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6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78"/>
      <c r="D116" s="278"/>
      <c r="E116" s="279"/>
      <c r="F116" s="279"/>
      <c r="G116" s="279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6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80"/>
      <c r="D117" s="279"/>
      <c r="E117" s="279"/>
      <c r="F117" s="279"/>
      <c r="G117" s="279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6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81"/>
      <c r="D118" s="282"/>
      <c r="E118" s="279"/>
      <c r="F118" s="279"/>
      <c r="G118" s="279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6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81"/>
      <c r="D119" s="282"/>
      <c r="E119" s="279"/>
      <c r="F119" s="279"/>
      <c r="G119" s="279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6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81"/>
      <c r="D120" s="282"/>
      <c r="E120" s="278"/>
      <c r="F120" s="279"/>
      <c r="G120" s="279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6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81"/>
      <c r="D121" s="282"/>
      <c r="E121" s="278"/>
      <c r="F121" s="279"/>
      <c r="G121" s="279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6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81"/>
      <c r="D122" s="282"/>
      <c r="E122" s="278"/>
      <c r="F122" s="279"/>
      <c r="G122" s="279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6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83"/>
      <c r="D123" s="282"/>
      <c r="E123" s="279"/>
      <c r="F123" s="279"/>
      <c r="G123" s="279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6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81"/>
      <c r="D124" s="282"/>
      <c r="E124" s="279"/>
      <c r="F124" s="279"/>
      <c r="G124" s="279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6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81"/>
      <c r="D125" s="282"/>
      <c r="E125" s="279"/>
      <c r="F125" s="279"/>
      <c r="G125" s="279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6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81"/>
      <c r="D126" s="282"/>
      <c r="E126" s="279"/>
      <c r="F126" s="279"/>
      <c r="G126" s="279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6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6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6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6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6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6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6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6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6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6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6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6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6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6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6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6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6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6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6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6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6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6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6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6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6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6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6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6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6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6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6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6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6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6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6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6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6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6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6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6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6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6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6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6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6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6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6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6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6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6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6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6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6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6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6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6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6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6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6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6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6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6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6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6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6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6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6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6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6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6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6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6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6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6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6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6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6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6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6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6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6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6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6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6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6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6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6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6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6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6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6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6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6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6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6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6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6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6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6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6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6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6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6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6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6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6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6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6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6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6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6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6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6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6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6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6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6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6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6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6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6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6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6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6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6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6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6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6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6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6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6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6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6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6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6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6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6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6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6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6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6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6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6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6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6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6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6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6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6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6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6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6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6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6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6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6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6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6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6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6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6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6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6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6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6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6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6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6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6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6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6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6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6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6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6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6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6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6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6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6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6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6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6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6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6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6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6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6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6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6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6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6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6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6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6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6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6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6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6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6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6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6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6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6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6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6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6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6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6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6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6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6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6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6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6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6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6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6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6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6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6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6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6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6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6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6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6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6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6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6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6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6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6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6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6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6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6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6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6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6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6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6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6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6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6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6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6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6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6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6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6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6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6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6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6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6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6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6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6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6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6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6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6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6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6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6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6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6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6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6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6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6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6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6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6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6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6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6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6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6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6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6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6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6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6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6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6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6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6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6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6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6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6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6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6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6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6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6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6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6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6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6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6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6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6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6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6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6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6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6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6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6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6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6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6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6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6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6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6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6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6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6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6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6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6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6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6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6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6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6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6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6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6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6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6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6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6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6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6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6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6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6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6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6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6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6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6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6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6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6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6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6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6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6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6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6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6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6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6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6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6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6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6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6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6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6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6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6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6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6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6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6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6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6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6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6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6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6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6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6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6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6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6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6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6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6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6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6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6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6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6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6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6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6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6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6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6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6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6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6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6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6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6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6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6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6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6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6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6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6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6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6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6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6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6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6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6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6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6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6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6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6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6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6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6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6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6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6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6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6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6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6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6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6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6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6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6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6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6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6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6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6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6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6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6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6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6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6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6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6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6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6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6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6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6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6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6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6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6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6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6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6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6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6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6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6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6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6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6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6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6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6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6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6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6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6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6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6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6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6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6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6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6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6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6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6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6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6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6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6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6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6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6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6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6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6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6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6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6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6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6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6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6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6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6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6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6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6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6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6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6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6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6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6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6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6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6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6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6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6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6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6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6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6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6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6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6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6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6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6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6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6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6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6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6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6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6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6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6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6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6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6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6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6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6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6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6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6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6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6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6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6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6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6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6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6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6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6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6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6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6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6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6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6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6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6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6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6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6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6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6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6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6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6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6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6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6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6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6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6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6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6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6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6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6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6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6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6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6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6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6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6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6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6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6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6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6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6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6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6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6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6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6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6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6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6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6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6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6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6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6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6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6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6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6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6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6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6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6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6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6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6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6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6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6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6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6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6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6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6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6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6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6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6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6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6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6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6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6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6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6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6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6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6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6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6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6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6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6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6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6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6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6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6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6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6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6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6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6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6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6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6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6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6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6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6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6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6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6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6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6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6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6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6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6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6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6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6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6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6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6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6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6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6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6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6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6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6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6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6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6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6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6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6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6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6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6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6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6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6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6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6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6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6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6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6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6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6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6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6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6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6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6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6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6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6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6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6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6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6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6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6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6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6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6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6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6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6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6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6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6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6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6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6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6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6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6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6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6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6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6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6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6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6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6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6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6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6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6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6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6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6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6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6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6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6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6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6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6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6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6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6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6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6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6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6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6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6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6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6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6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6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6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6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6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6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6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6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6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6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6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6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6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6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6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6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6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6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6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6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6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6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6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6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6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6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6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6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6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6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6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6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6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6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6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6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6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6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6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6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6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6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6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</sheetData>
  <autoFilter ref="$A$5:$AL$84"/>
  <conditionalFormatting sqref="T7:T17 AE7:AE17 T20:T40 AE20:AE41 T43:T72 AE43:AE57 AE60 AE66:AE67 T75 E107">
    <cfRule type="expression" dxfId="2" priority="1">
      <formula>AND($H7="Вышло",N($Y7)=0,N($U7)=0)</formula>
    </cfRule>
  </conditionalFormatting>
  <conditionalFormatting sqref="T7:T17 AE7:AE17 T20:T40 AE20:AE41 T43:T72 AE43:AE57 AE60 AE66:AE67 T75 E107">
    <cfRule type="expression" dxfId="2" priority="2">
      <formula>AND($I7="Вышло",N($Z7)=0,N($V7)=0)</formula>
    </cfRule>
  </conditionalFormatting>
  <conditionalFormatting sqref="T7:T17 D20:D32 T20:T40 T43:T72 D71:D72 T75 D80 D107:D109">
    <cfRule type="expression" dxfId="1" priority="3">
      <formula>AND($H7="Вышло",N($Y7)=0,N($U7)=0)</formula>
    </cfRule>
  </conditionalFormatting>
  <conditionalFormatting sqref="D123:D124">
    <cfRule type="expression" dxfId="3" priority="4">
      <formula>ISNUMBER(SEARCH("OK",#ref!))</formula>
    </cfRule>
  </conditionalFormatting>
  <conditionalFormatting sqref="D123:D124">
    <cfRule type="expression" dxfId="0" priority="5">
      <formula>OR(ISNUMBER(SEARCH("ПРЕВЫШЕН",#ref!)),ISNUMBER(SEARCH("ВЫШЕ",#ref!)))</formula>
    </cfRule>
  </conditionalFormatting>
  <conditionalFormatting sqref="D118">
    <cfRule type="expression" dxfId="3" priority="6">
      <formula>ISNUMBER(SEARCH("OK",D118))</formula>
    </cfRule>
  </conditionalFormatting>
  <conditionalFormatting sqref="D118">
    <cfRule type="expression" dxfId="0" priority="7">
      <formula>OR(ISNUMBER(SEARCH("ПРЕВЫШЕН",D118)),ISNUMBER(SEARCH("ВЫШЕ",D118)))</formula>
    </cfRule>
  </conditionalFormatting>
  <conditionalFormatting sqref="J10:J17 D20:D32 V20:V40 B21 C21:C29 E21:F29 G21:H26 I21:I29 J21:U21 W21:AH21 J29 V48:V50 E49 D71:D72 E75 D80 D107:D109 E107">
    <cfRule type="expression" dxfId="0" priority="8">
      <formula>AND($H10="Вышло",$G10="")</formula>
    </cfRule>
  </conditionalFormatting>
  <conditionalFormatting sqref="J10:J17 V20:V40 B21 C21:C29 D21:D32 E21:F29 G21:H26 I21:I29 J21:U21 W21:AH21 J29 V48:V50 E49 E75 E107">
    <cfRule type="expression" dxfId="2" priority="9">
      <formula>AND($H10="Вышло",N($Z10)=0,N($V10)=0)</formula>
    </cfRule>
  </conditionalFormatting>
  <conditionalFormatting sqref="A7:B9 C7:D17 E7:E15 F7:H9 I7:I15 J7:J17 K7:L9 M7:M16 N7:AH9 AI7:AK17 AL7:AL9 AH18 C20:C29 E20:F29 I20:I29 J20:U36 V20:V40 W20:AH36 AI20:AK40 AL20:AL36 B21 D21:D32 G21:H26 AH41 AI43:AI48 AJ46:AK47 V48:V50 E49 AI56:AI57 AI71:AI72 E75 AI75:AI81 AJ75:AK75 AI83:AI104 E107">
    <cfRule type="expression" dxfId="0" priority="10">
      <formula>AND($I7="Вышло",$H7="")</formula>
    </cfRule>
  </conditionalFormatting>
  <conditionalFormatting sqref="A7:B9 C7:D17 E7:E15 F7:H9 I7:I15 J7:J17 K7:L9 M7:M16 N7:AH9 AI7:AK17 AL7:AL9 AH18 C20:C29 E20:F29 I20:I29 J20:U36 V20:V40 W20:AH36 AI20:AK40 AL20:AL36 B21 D21:D32 G21:H26 AH41 AI43:AI48 AJ46:AK47 V48:V50 E49 AI56:AI57 AI71:AI72 E75 AI75:AI81 AJ75:AK75 AI83:AI104 E107">
    <cfRule type="expression" dxfId="2" priority="11">
      <formula>AND($I7="Вышло",N($AA7)=0,N($W7)=0)</formula>
    </cfRule>
  </conditionalFormatting>
  <conditionalFormatting sqref="B10:G17 D20:D32 V20:V36 B29:C29 E29:G29 D48:D59 V56:V57 D71:D72 V71 D75:D78 D80 D107:D109">
    <cfRule type="expression" dxfId="0" priority="12">
      <formula>AND($H10="Вышло",$G10="")</formula>
    </cfRule>
  </conditionalFormatting>
  <conditionalFormatting sqref="J7:J15 B10:G17 D20:D32 J20:J36 V20:V36 AA21 B29:C29 E29:G29 D48:D59 V56:V57 D71:D72 V71 D75:D78 D80 D107:D109">
    <cfRule type="expression" dxfId="1" priority="13">
      <formula>AND($H7="Вышло",N($Z7)=0,N($V7)=0)</formula>
    </cfRule>
  </conditionalFormatting>
  <conditionalFormatting sqref="B7:B9 C7:D17 E7:E15 F7:H9 I7:I15 J7:J17 K7:L9 M7:M16 N7:S9 T7:T17 U7:AH9 AI7:AK17 AL7:AL9 C20:C29 D20:D32 E20:F29 I20:I29 J20:S36 T20:T40 U20:U36 V20:V40 W20:AH36 AI20:AK40 AL20:AL36 B21 G21:H26 J43:J56 T43:T72 AI43:AI48 AJ46:AK47 C48:D59 M48:M59 V48:V50 Y48:Y49 B49 E49:G49 H49:H50 I49 K49:L49 N49:S49 U49 W49:X49 Z49:AC49 E54:E72 F54:F55 I54:I55 V56:V57 AI56:AI57 J58:J60 F66:F68 D71:D72 F71:F72 I71:J72 M71:M72 V71 AI71:AI72 A75:C78 D75:D80 E75:E104 F75:F83 G75:H78 I75:I83 J75:J81 K75:L78 M75:M80 N75:U78 V75:V85 W75:X78 Y75:Y104 Z75:AC78 AI75:AI81 AJ75:AK75 AI83:AI104 A107:B107 C107:D109 E107:F108 G107:L107 M107:M108 N107:AC107 J109">
    <cfRule type="expression" dxfId="0" priority="14">
      <formula>AND(#ref!="Вышло",#ref!="")</formula>
    </cfRule>
  </conditionalFormatting>
  <conditionalFormatting sqref="A7:B9 C7:D17 E7:E15 F7:H9 I7:I15 J7:J17 K7:L9 M7:M16 N7:S9 T7:T17 U7:AC9 C20:C29 D20:D32 E20:F29 I20:I29 J20:S36 T20:T40 U20:U36 V20:V40 W20:AC36 B21 G21:H26 J43:J56 T43:T72 C48:D59 M48:M59 V48:V50 Y48:Y49 B49 E49:G49 H49:H50 I49 K49:L49 N49:S49 U49 W49:X49 Z49:AC49 E54:E72 F54:F55 I54:I55 V56:V57 J58:J60 F66:F68 D71:D72 F71:F72 I71:J72 M71:M72 V71 A75:C78 D75:D80 E75:E104 F75:F83 G75:H78 I75:I83 J75:J81 K75:L78 M75:M80 N75:U78 V75:V85 W75:X78 Y75:Y104 Z75:AC78 A107:B107 C107:D109 E107:F108 G107:L107 M107:M108 N107:AC107 J109">
    <cfRule type="expression" dxfId="1" priority="15">
      <formula>AND(#ref!="Вышло",N(#ref!)=0,N(#ref!)=0)</formula>
    </cfRule>
  </conditionalFormatting>
  <conditionalFormatting sqref="E20:E29 V20:X36 Y20:Y40 Z20:AB36 E49 E56:E71 V56:AB57 V71:AB71 E75 E107">
    <cfRule type="expression" dxfId="0" priority="16">
      <formula>AND($H20="Вышло",$G20="")</formula>
    </cfRule>
  </conditionalFormatting>
  <conditionalFormatting sqref="E20:E29 V20:X36 Y20:Y40 Z20:AB36 E49 E56:E71 V56:AB57 V71:AB71 E75 E107">
    <cfRule type="expression" dxfId="1" priority="17">
      <formula>AND($H20="Вышло",N($Z20)=0,N($V20)=0)</formula>
    </cfRule>
  </conditionalFormatting>
  <conditionalFormatting sqref="J10:J17 AA20:AA36 J29 J43:J47 J50:J56 AA57 J58:J60 M59 J71:J72 AA71 J76:J80 J107 J109">
    <cfRule type="expression" dxfId="0" priority="18">
      <formula>AND($H10="Вышло",$G10="")</formula>
    </cfRule>
  </conditionalFormatting>
  <conditionalFormatting sqref="J10:J17 AA20:AA36 J29 J43:J47 J50:J56 AA57 J58:J60 M59 J71:J72 AA71 J76:J80 J107 J109">
    <cfRule type="expression" dxfId="1" priority="19">
      <formula>AND($H10="Вышло",N($Z10)=0,N($V10)=0)</formula>
    </cfRule>
  </conditionalFormatting>
  <conditionalFormatting sqref="D10:D17 J10:J17 C20:C29 D20:D32 J20:J36 M20:M36 T20:T40 V20:V40 B21 E21:F29 G21:H26 K21:L21 N21:S21 U21 W21:AC21 J43:J56 T43:T72 C48:D59 M48:M59 V48:V50 Y48:Y49 B49 E49:G49 H49:H50 K49:L49 N49:S49 U49 W49:X49 Z49:AC49 E54:F55 V56:V57 J58:J60 F66:F68 D71:F72 J71:J72 M71:M72 V71 B75:C78 D75:D80 E75:E104 F75:F83 G75:H78 J75:J81 K75:L78 M75:M80 N75:U78 V75:V85 W75:X78 Y75:Y104 Z75:AC78 B107 C107:D109 E107:F108 G107:H107 J107:L107 M107:M108 N107:AC107 J109">
    <cfRule type="expression" dxfId="0" priority="20">
      <formula>AND(#ref!="Вышло",#ref!="")</formula>
    </cfRule>
  </conditionalFormatting>
  <conditionalFormatting sqref="B7:B9 C7:D17 E7:E15 F7:H9 I7:I15 J7:J17 K7:L9 M7:M16 N7:S9 T7:T17 U7:AH9 AI7:AK17 AL7:AL9 C20:C29 D20:D32 E20:F29 I20:I29 J20:S36 T20:T40 U20:U36 V20:V40 W20:AH36 AI20:AK40 AL20:AL36 B21 G21:H26 J43:J56 T43:T72 AI43:AI48 AJ46:AK47 C48:D59 M48:M59 V48:V50 Y48:Y49 B49 E49:G49 H49:H50 K49:L49 N49:S49 U49 W49:X49 Z49:AC49 E54:F55 V56:V57 AI56:AI57 J58:J60 F66:F68 D71:F72 J71:J72 M71:M72 V71 AI71:AI72 B75:C78 D75:D80 E75:E104 F75:F83 G75:H78 J75:J81 K75:L78 M75:M80 N75:U78 V75:V85 W75:X78 Y75:Y104 Z75:AC78 AI75:AI81 AJ75:AK75 AI83:AI104 B107 C107:D109 E107:F108 G107:H107 J107:L107 M107:M108 N107:AC107 J109">
    <cfRule type="expression" dxfId="2" priority="21">
      <formula>AND(#ref!="Вышло",N(#ref!)=0,N(#ref!)=0)</formula>
    </cfRule>
  </conditionalFormatting>
  <conditionalFormatting sqref="D10:D17 J10:J17 C20:C29 D20:D32 J20:J36 M20:M36 T20:T40 V20:V40 B21 E21:F29 G21:H26 K21:L21 N21:S21 U21 W21:AC21 J43:J56 T43:T72 C48:D59 M48:M59 V48:V50 Y48:Y49 B49 E49:G49 H49:H50 K49:L49 N49:S49 U49 W49:X49 Z49:AC49 E54:F55 V56:V57 J58:J60 F66:F68 D71:F72 J71:J72 M71:M72 V71 B75:C78 D75:D80 E75:E104 F75:F83 G75:H78 J75:J81 K75:L78 M75:M80 N75:U78 V75:V85 W75:X78 Y75:Y104 Z75:AC78 B107 C107:D109 E107:F108 G107:H107 J107:L107 M107:M108 N107:AC107 J109">
    <cfRule type="expression" dxfId="0" priority="22">
      <formula>AND(#ref!="Вышло",#ref!="")</formula>
    </cfRule>
  </conditionalFormatting>
  <conditionalFormatting sqref="D10:D17 J10:J17 C20:C29 D20:D32 J20:J36 M20:M36 T20:T40 V20:V40 B21 E21:F29 G21:H26 K21:L21 N21:S21 U21 W21:AC21 J43:J56 T43:T72 C48:D59 M48:M59 V48:V50 Y48:Y49 B49 E49:G49 H49:H50 K49:L49 N49:S49 U49 W49:X49 Z49:AC49 E54:F55 V56:V57 J58:J60 F66:F68 D71:F72 J71:J72 M71:M72 V71 B75:C78 D75:D80 E75:E104 F75:F83 G75:H78 J75:J81 K75:L78 M75:M80 N75:U78 V75:V85 W75:X78 Y75:Y104 Z75:AC78 B107 C107:D109 E107:F108 G107:H107 J107:L107 M107:M108 N107:AC107 J109">
    <cfRule type="expression" dxfId="2" priority="23">
      <formula>AND(#ref!="Вышло",N(#ref!)=0,N(#ref!)=0)</formula>
    </cfRule>
  </conditionalFormatting>
  <conditionalFormatting sqref="V20:V36 V56:V57 V71">
    <cfRule type="expression" dxfId="0" priority="24">
      <formula>AND($H20="Вышло",$G20="")</formula>
    </cfRule>
  </conditionalFormatting>
  <conditionalFormatting sqref="V20:V36 V56:V57 V71">
    <cfRule type="expression" dxfId="2" priority="25">
      <formula>AND($H20="Вышло",N($Z20)=0,N($V20)=0)</formula>
    </cfRule>
  </conditionalFormatting>
  <conditionalFormatting sqref="V20:V36 V56:V57 V71">
    <cfRule type="expression" dxfId="0" priority="26">
      <formula>AND($H20="Вышло",$G20="")</formula>
    </cfRule>
  </conditionalFormatting>
  <conditionalFormatting sqref="V20:V36 V56:V57 V71">
    <cfRule type="expression" dxfId="2" priority="27">
      <formula>AND($H20="Вышло",N($Z20)=0,N($V20)=0)</formula>
    </cfRule>
  </conditionalFormatting>
  <conditionalFormatting sqref="D10:D17 B20 C20:C29 D20:D32 E20:F29 G20:H26 I20:I29 J20:X36 Y20:Y40 Z20:AC36 C48:D59 E49 G49:G60 M53:M58 B56:B57 E56:E71 F56:F65 H56:H57 I56:I60 J56:L57 N56:AC57 G66:G72 F69:F72 B71:C71 D71:D72 H71 I71:K72 L71:AC71 D75:D78 E75 F79:F83 G79:G91 I79:I83 J79:J81 D80 E107 D108 F108">
    <cfRule type="expression" dxfId="0" priority="28">
      <formula>AND($H10="Вышло",$G10="")</formula>
    </cfRule>
  </conditionalFormatting>
  <conditionalFormatting sqref="B10:G17 B20 C20:C29 D20:D32 E20:F29 G20:H26 I20:I29 J20:X36 Y20:Y40 Z20:AC36 B29 G29 C48:D59 E49 G49:G60 M53:M58 B56:B57 E56:E71 F56:F65 H56:H57 I56:I60 J56:L57 N56:AC57 G66:G72 F69:F72 B71:C71 D71:D72 H71 I71:K72 L71:AC71 D75:D78 E75 F79:F83 G79:G91 I79:I83 J79:J81 D80 E107 D108 F108">
    <cfRule type="expression" dxfId="2" priority="29">
      <formula>AND($H10="Вышло",N($Z10)=0,N($V10)=0)</formula>
    </cfRule>
  </conditionalFormatting>
  <conditionalFormatting sqref="D10:D17 B20 C20:C29 D20:D32 E20:F29 G20:H26 I20:I29 J20:X36 Y20:Y40 Z20:AC36 C48:D59 E49 G49:G60 M53:M58 B56:B57 E56:E71 F56:F65 H56:H57 I56:I60 J56:L57 N56:AC57 G66:G72 F69:F72 B71:C71 D71:D72 H71 I71:K72 L71:AC71 D75:D78 E75 F79:F83 G79:G91 I79:I83 J79:J81 D80 E107 D108 F108">
    <cfRule type="expression" dxfId="0" priority="30">
      <formula>AND($H10="Вышло",$G10="")</formula>
    </cfRule>
  </conditionalFormatting>
  <conditionalFormatting sqref="D10:D17 B20 C20:C29 D20:D32 E20:F29 G20:H26 I20:I29 J20:X36 Y20:Y40 Z20:AC36 C48:D59 E49 G49:G60 M53:M58 B56:B57 E56:E71 F56:F65 H56:H57 I56:I60 J56:L57 N56:AC57 G66:G72 F69:F72 B71:C71 D71:D72 H71 I71:K72 L71:AC71 D75:D78 E75 F79:F83 G79:G91 I79:I83 J79:J81 D80 E107 D108 F108">
    <cfRule type="expression" dxfId="2" priority="31">
      <formula>AND($H10="Вышло",N($Z10)=0,N($V10)=0)</formula>
    </cfRule>
  </conditionalFormatting>
  <conditionalFormatting sqref="J10:J17 J29 J43:J47 J50:J56 J58:J60 M59 J71:J72 J76:J80 J107 J109">
    <cfRule type="expression" dxfId="0" priority="32">
      <formula>AND($H10="Вышло",$G10="")</formula>
    </cfRule>
  </conditionalFormatting>
  <conditionalFormatting sqref="J10:J17 J29 J43:J47 J50:J56 J58:J60 M59 J71:J72 J76:J80 J107 J109">
    <cfRule type="expression" dxfId="2" priority="33">
      <formula>AND($H10="Вышло",N($Z10)=0,N($V10)=0)</formula>
    </cfRule>
  </conditionalFormatting>
  <conditionalFormatting sqref="J10:J17 J29 J43:J47 J50:J56 J58:J60 M59 J71:J72 J76:J80 J107 J109">
    <cfRule type="expression" dxfId="0" priority="34">
      <formula>AND($H10="Вышло",$G10="")</formula>
    </cfRule>
  </conditionalFormatting>
  <conditionalFormatting sqref="J10:J17 J29 J43:J47 J50:J56 J58:J60 M59 J71:J72 J76:J80 J107 J109">
    <cfRule type="expression" dxfId="2" priority="35">
      <formula>AND($H10="Вышло",N($Z10)=0,N($V10)=0)</formula>
    </cfRule>
  </conditionalFormatting>
  <conditionalFormatting sqref="A7:A9 B7:AC18 AD7:AH9 A18 AD18:AH18 C20:F41 I20:AC41 AD20:AH36 H21:H41 B22:B41 G22:G41 A41 AD41:AF41 B43:B48 C43:E73 F43:F55 G43:G73 H43:H48 I43:I73 J43:J56 K43:L48 M43:M73 N43:S48 T43:T73 U43:U48 V43:V73 W43:AC48 B51:B55 H51:H73 K51:L55 N51:S55 U51:U55 W51:AC55 AE51:AE57 B58:B73 F58:F73 J58:L73 N58:S73 U58:U73 W58:AC73 AE60 AE66:AE67 A67:A68 A73 AD73:AI73 B75:AC105 A76:A78 A105 E107:E110 J107 M107:M110 B108:B110 D108:D110 F108:I110 K108:L110 N108:AC110 C109:C110 J109:J110 A110">
    <cfRule type="expression" dxfId="0" priority="36">
      <formula>AND($H7="Вышло",$G7="")</formula>
    </cfRule>
  </conditionalFormatting>
  <conditionalFormatting sqref="A7:A9 B7:AC18 AD7:AH9 A18 AD18:AH18 C20:F41 I20:AC41 AD20:AH36 H21:H41 B22:B41 G22:G41 A41 AD41:AF41 B43:B48 C43:E73 F43:F55 G43:G73 H43:H48 I43:I73 J43:J56 K43:L48 M43:M73 N43:S48 T43:T73 U43:U48 V43:V73 W43:AC48 B51:B55 H51:H73 K51:L55 N51:S55 U51:U55 W51:AC55 AE51:AE57 B58:B73 F58:F73 J58:L73 N58:S73 U58:U73 W58:AC73 AE60 AE66:AE67 A67:A68 A73 AD73:AI73 B75:AC105 A76:A78 A105 E107:E110 J107 M107:M110 B108:B110 D108:D110 F108:I110 K108:L110 N108:AC110 C109:C110 J109:J110 A110">
    <cfRule type="expression" dxfId="2" priority="37">
      <formula>AND($H7="Вышло",N($Z7)=0,N($V7)=0)</formula>
    </cfRule>
  </conditionalFormatting>
  <conditionalFormatting sqref="A7:A9 B7:AC18 A18 AD18:AH18 C20:F41 I20:AC41 H21:H41 B22:B41 G22:G41 AD27 A41 AD41:AF41 B43:B48 C43:E73 F43:F55 G43:G73 H43:H48 I43:I73 J43:J56 K43:L48 M43:M73 N43:S48 T43:T73 U43:U48 V43:V73 W43:AC48 B51:B55 H51:H73 K51:L55 N51:S55 U51:U55 W51:AC55 AE51:AE57 B58:B73 F58:F73 J58:L73 N58:S73 U58:U73 W58:AC73 AE60 AE66:AE67 A67:A68 A73 AD73:AI73 B75:AC105 A76:A78 A105 E107:E110 J107 M107:M110 B108:B110 D108:D110 F108:I110 K108:L110 N108:AC110 C109:C110 J109:J110 A110">
    <cfRule type="expression" dxfId="0" priority="38">
      <formula>AND($H7="Вышло",$G7="")</formula>
    </cfRule>
  </conditionalFormatting>
  <conditionalFormatting sqref="A7:A9 B7:AC18 A18 AD18:AH18 C20:F41 I20:AC41 H21:H41 B22:B41 G22:G41 AD27 A41 AD41:AF41 B43:B48 C43:E73 F43:F55 G43:G73 H43:H48 I43:I73 J43:J56 K43:L48 M43:M73 N43:S48 T43:T73 U43:U48 V43:V73 W43:AC48 B51:B55 H51:H73 K51:L55 N51:S55 U51:U55 W51:AC55 AE51:AE57 B58:B73 F58:F73 J58:L73 N58:S73 U58:U73 W58:AC73 AE60 AE66:AE67 A67:A68 A73 AD73:AI73 B75:AC105 A76:A78 A105 E107:E110 J107 M107:M110 B108:B110 D108:D110 F108:I110 K108:L110 N108:AC110 C109:C110 J109:J110 A110">
    <cfRule type="expression" dxfId="2" priority="39">
      <formula>AND($H7="Вышло",N($Z7)=0,N($V7)=0)</formula>
    </cfRule>
  </conditionalFormatting>
  <conditionalFormatting sqref="D10:D17 J10:J17 C20:C29 D20:D32 J20:J36 M20:M36 T20:T40 V20:V40 B21 E21:E29 G21:H26 K21:L21 N21:S21 U21 W21:AH21 J43:J56 T43:T72 C48:D59 M48:M59 V48:V50 Y48:Y49 B49 E49 G49 H49:H50 K49:L49 N49:S49 U49 W49:X49 Z49:AH49 E54:E55 V56:V57 J58:J60 D71:E72 J71:J72 M71:M72 V71 B75:C78 D75:D80 E75:E104 G75:H78 J75:J81 K75:L78 M75:M80 N75:U78 V75:V85 W75:X78 Y75:Y104 Z75:AH78 B107 C107:D109 E107:E108 G107:H107 J107:L107 M107:M108 N107:AH107 J109">
    <cfRule type="expression" dxfId="0" priority="40">
      <formula>AND(#ref!="Вышло",#ref!="")</formula>
    </cfRule>
  </conditionalFormatting>
  <conditionalFormatting sqref="D10:D17 J10:J17 C20:C29 D20:D32 J20:J36 M20:M36 T20:T40 V20:V40 B21 E21:E29 G21:H26 K21:L21 N21:S21 U21 W21:AH21 J43:J56 T43:T72 C48:D59 M48:M59 V48:V50 Y48:Y49 B49 E49 G49 H49:H50 K49:L49 N49:S49 U49 W49:X49 Z49:AH49 E54:E55 V56:V57 J58:J60 D71:E72 J71:J72 M71:M72 V71 B75:C78 D75:D80 E75:E104 G75:H78 J75:J81 K75:L78 M75:M80 N75:U78 V75:V85 W75:X78 Y75:Y104 Z75:AH78 B107 C107:D109 E107:E108 G107:H107 J107:L107 M107:M108 N107:AH107 J109">
    <cfRule type="expression" dxfId="2" priority="41">
      <formula>AND(#ref!="Вышло",N(#ref!)=0,N(#ref!)=0)</formula>
    </cfRule>
  </conditionalFormatting>
  <conditionalFormatting sqref="D10:D17 D20:D32 V20:V36 F21 F25 D48:D59 F49 F54:F55 V56:V57 F66:F68 D71:D72 F71:F72 V71 D75:D80 F75:F83 D107:D109 F107:F108">
    <cfRule type="expression" dxfId="0" priority="42">
      <formula>AND(#ref!="Вышло",#ref!="")</formula>
    </cfRule>
  </conditionalFormatting>
  <conditionalFormatting sqref="D10:D17 D20:D32 V20:V36 F21 F25 D48:D59 F49 F54:F55 V56:V57 F66:F68 D71:D72 F71:F72 V71 D75:D80 F75:F83 D107:D109 F107:F108">
    <cfRule type="expression" dxfId="2" priority="43">
      <formula>AND(#ref!="Вышло",N(#ref!)=0,N(#ref!)=0)</formula>
    </cfRule>
  </conditionalFormatting>
  <conditionalFormatting sqref="D10:D17 B20 C20:C29 D20:D32 E20:F29 G20:H26 I20:I29 J20:X36 Y20:Y40 Z20:AH36 C48:D59 E49 G49:G60 M53:M58 B56:B57 E56:E71 F56:F65 H56:H57 I56:I60 J56:L57 N56:AE57 AF56:AF60 AG56:AH57 AE60 G66:G72 AE66:AE67 F69:F72 B71:C71 D71:D72 H71 I71:K72 L71:AH71 D75:D78 E75 F79:F83 G79:G91 I79:I83 J79:J81 D80 E107 D108 F108">
    <cfRule type="expression" dxfId="0" priority="44">
      <formula>AND($H10="Вышло",$G10="")</formula>
    </cfRule>
  </conditionalFormatting>
  <conditionalFormatting sqref="D10:D17 B20 C20:C29 D20:D32 E20:F29 G20:H26 I20:I29 J20:X36 Y20:Y40 Z20:AH36 C48:D59 E49 G49:G60 M53:M58 B56:B57 E56:E71 F56:F65 H56:H57 I56:I60 J56:L57 N56:AE57 AF56:AF60 AG56:AH57 AE60 G66:G72 AE66:AE67 F69:F72 B71:C71 D71:D72 H71 I71:K72 L71:AH71 D75:D78 E75 F79:F83 G79:G91 I79:I83 J79:J81 D80 E107 D108 F108">
    <cfRule type="expression" dxfId="2" priority="45">
      <formula>AND($H10="Вышло",N($Z10)=0,N($V10)=0)</formula>
    </cfRule>
  </conditionalFormatting>
  <conditionalFormatting sqref="J10:J17 J29 J43:J47 J50:J56 J58:J60 M59 J71:J72 J76:J80 J107 J109">
    <cfRule type="expression" dxfId="0" priority="46">
      <formula>AND($H10="Вышло",$G10="")</formula>
    </cfRule>
  </conditionalFormatting>
  <conditionalFormatting sqref="J10:J17 J29 J43:J47 J50:J56 J58:J60 M59 J71:J72 J76:J80 J107 J109">
    <cfRule type="expression" dxfId="2" priority="47">
      <formula>AND($H10="Вышло",N($Z10)=0,N($V10)=0)</formula>
    </cfRule>
  </conditionalFormatting>
  <conditionalFormatting sqref="A7:A9 B7:AH18 A18 C20:F41 I20:AH41 H21:H41 B22:B41 G22:G41 A41 B43:B48 C43:E73 F43:F55 G43:G73 H43:H48 I43:I73 J43:J56 K43:L48 M43:M73 N43:S48 T43:T73 U43:U48 V43:V73 W43:AC48 AD43:AE73 AF43:AH48 B51:B55 H51:H73 K51:L55 N51:S55 U51:U55 W51:AC55 AF51:AH55 B58:B73 F58:F73 J58:L73 N58:S73 U58:U73 W58:AC73 AF58:AH73 A67:A68 A73 AI73 B75:AH105 A76:A78 A105 E107:E110 J107 M107:M110 B108:B110 D108:D110 F108:I110 K108:L110 N108:AH110 C109:C110 J109:J110 A110">
    <cfRule type="expression" dxfId="0" priority="48">
      <formula>AND($H7="Вышло",$G7="")</formula>
    </cfRule>
  </conditionalFormatting>
  <conditionalFormatting sqref="A7:A9 B7:AH18 A18 C20:F41 I20:AH41 H21:H41 B22:B41 G22:G41 A41 B43:B48 C43:E73 F43:F55 G43:G73 H43:H48 I43:I73 J43:J56 K43:L48 M43:M73 N43:S48 T43:T73 U43:U48 V43:V73 W43:AC48 AD43:AE73 AF43:AH48 B51:B55 H51:H73 K51:L55 N51:S55 U51:U55 W51:AC55 AF51:AH55 B58:B73 F58:F73 J58:L73 N58:S73 U58:U73 W58:AC73 AF58:AH73 A67:A68 A73 AI73 B75:AH105 A76:A78 A105 E107:E110 J107 M107:M110 B108:B110 D108:D110 F108:I110 K108:L110 N108:AH110 C109:C110 J109:J110 A110">
    <cfRule type="expression" dxfId="2" priority="49">
      <formula>AND($H7="Вышло",N($Z7)=0,N($V7)=0)</formula>
    </cfRule>
  </conditionalFormatting>
  <conditionalFormatting sqref="D10:D17 J10:J17 C20:C29 D20:D32 J20:J36 M20:M36 T20:T40 V20:V40 B21 E21:E29 G21:H26 I21:I29 K21:L21 N21:S21 U21 W21:AH21 AI21:AK24 AL21 AI29:AK40 J43:J56 T43:T72 AI43:AI47 AJ46:AK47 C48:D59 M48:M59 V48:V50 Y48:Y49 B49 E49 G49 H49:H50 I49 K49:L49 N49:S49 U49 W49:X49 Z49:AH49 AI49:AI60 AJ49:AL49 E54:E55 I54:I55 V56:V57 J58:J60 D71:E72 I71:J72 M71:M72 V71 AI71:AI72 B75:C78 D75:D80 E75:E104 G75:H78 I75:I83 J75:J81 K75:L78 M75:M80 N75:U78 V75:V85 W75:X78 Y75:Y104 Z75:AH78 AI75:AI81 AJ75:AL78 AI83:AI104 B107 C107:D109 E107:E108 G107:L107 M107:M108 N107:AL107 J109">
    <cfRule type="expression" dxfId="0" priority="50">
      <formula>AND(#ref!="Вышло",#ref!="")</formula>
    </cfRule>
  </conditionalFormatting>
  <conditionalFormatting sqref="D10:D17 J10:J17 C20:C29 D20:D32 J20:J36 M20:M36 T20:T40 V20:V40 B21 E21:E29 G21:H26 I21:I29 K21:L21 N21:S21 U21 W21:AH21 AI21:AK24 AL21 AI29:AK40 J43:J56 T43:T72 AI43:AI47 AJ46:AK47 C48:D59 M48:M59 V48:V50 Y48:Y49 B49 E49 G49 H49:H50 I49 K49:L49 N49:S49 U49 W49:X49 Z49:AH49 AI49:AI60 AJ49:AL49 E54:E55 I54:I55 V56:V57 J58:J60 D71:E72 I71:J72 M71:M72 V71 AI71:AI72 B75:C78 D75:D80 E75:E104 G75:H78 I75:I83 J75:J81 K75:L78 M75:M80 N75:U78 V75:V85 W75:X78 Y75:Y104 Z75:AH78 AI75:AI81 AJ75:AL78 AI83:AI104 B107 C107:D109 E107:E108 G107:L107 M107:M108 N107:AL107 J109">
    <cfRule type="expression" dxfId="2" priority="51">
      <formula>AND(#ref!="Вышло",N(#ref!)=0,N(#ref!)=0)</formula>
    </cfRule>
  </conditionalFormatting>
  <conditionalFormatting sqref="D10:D17 J10:J17 C20:C29 D20:D32 J20:J36 M20:M36 T20:T40 V20:V40 B21 E21:F29 G21:H26 I21:I29 K21:L21 N21:S21 U21 W21:AH21 AI21:AK24 AL21 AI29:AK40 T43:T72 AI43:AI47 AJ46:AK47 C48:D59 J48:J56 M48:M59 V48:V50 Y48:Y49 B49 E49:G49 H49:H50 I49 K49:L49 N49:S49 U49 W49:X49 Z49:AH49 AI49:AI60 AJ49:AL49 E54:F55 I54:I55 V56:V57 J59:J60 F66:F68 D71:F72 I71:J72 M71:M72 V71 AI71:AI72 B75:C78 D75:D80 E75:E104 F75:F83 G75:H78 I75:I83 J75:J81 K75:L78 M75:M80 N75:U78 V75:V85 W75:X78 Y75:Y104 Z75:AH78 AI75:AI81 AJ75:AL78 AI83:AI104 B107 C107:D109 E107:F108 G107:L107 M107:M108 N107:AL107">
    <cfRule type="expression" dxfId="0" priority="52">
      <formula>AND(#ref!="Вышло",#ref!="")</formula>
    </cfRule>
  </conditionalFormatting>
  <conditionalFormatting sqref="D10:D17 J10:J17 C20:C29 D20:D32 J20:J36 M20:M36 T20:T40 V20:V40 B21 E21:F29 G21:H26 I21:I29 K21:L21 N21:S21 U21 W21:AH21 AI21:AK24 AL21 AI29:AK40 T43:T72 AI43:AI47 AJ46:AK47 C48:D59 J48:J56 M48:M59 V48:V50 Y48:Y49 B49 E49:G49 H49:H50 I49 K49:L49 N49:S49 U49 W49:X49 Z49:AH49 AI49:AI60 AJ49:AL49 E54:F55 I54:I55 V56:V57 J59:J60 F66:F68 D71:F72 I71:J72 M71:M72 V71 AI71:AI72 B75:C78 D75:D80 E75:E104 F75:F83 G75:H78 I75:I83 J75:J81 K75:L78 M75:M80 N75:U78 V75:V85 W75:X78 Y75:Y104 Z75:AH78 AI75:AI81 AJ75:AL78 AI83:AI104 B107 C107:D109 E107:F108 G107:L107 M107:M108 N107:AL107">
    <cfRule type="expression" dxfId="2" priority="53">
      <formula>AND(#ref!="Вышло",N(#ref!)=0,N(#ref!)=0)</formula>
    </cfRule>
  </conditionalFormatting>
  <conditionalFormatting sqref="B10:G17 B20 C20:C29 D20:D32 E20:F29 G20:H26 I20:I29 J20:X36 Y20:Y40 Z20:AH36 AI20:AI40 AJ20:AL36 B29 G29 C48:D59 AI48 E49 G49:G60 M53:M58 B56:B57 E56:E71 F56:F65 H56:H57 I56:I60 J56:L57 N56:AE57 AF56:AF60 AG56:AL57 AE60 G66:G72 AE66:AE67 F69:F72 B71:C71 D71:D72 H71 I71:K72 L71:AL71 D75:D78 E75 F79:F83 G79:G91 I79:I83 J79:J81 D80 E107 D108 F108">
    <cfRule type="expression" dxfId="0" priority="54">
      <formula>AND($I10="Вышло",$H10="")</formula>
    </cfRule>
  </conditionalFormatting>
  <conditionalFormatting sqref="B10:G17 B20 C20:C29 D20:D32 E20:F29 G20:H26 I20:I29 J20:X36 Y20:Y40 Z20:AH36 AI20:AI40 AJ20:AL36 B29 G29 C48:D59 AI48 E49 G49:G60 M53:M58 B56:B57 E56:E71 F56:F65 H56:H57 I56:I60 J56:L57 N56:AE57 AF56:AF60 AG56:AL57 AE60 G66:G72 AE66:AE67 F69:F72 B71:C71 D71:D72 H71 I71:K72 L71:AL71 D75:D78 E75 F79:F83 G79:G91 I79:I83 J79:J81 D80 E107 D108 F108">
    <cfRule type="expression" dxfId="2" priority="55">
      <formula>AND($I10="Вышло",N($AA10)=0,N($W10)=0)</formula>
    </cfRule>
  </conditionalFormatting>
  <conditionalFormatting sqref="J10:J17 J29 J43:J47 J50:J56 J58:J60 M59 J71:J72 J76:J80 J107 J109">
    <cfRule type="expression" dxfId="0" priority="56">
      <formula>AND($I10="Вышло",$H10="")</formula>
    </cfRule>
  </conditionalFormatting>
  <conditionalFormatting sqref="J10:J17 J29 J43:J47 J50:J56 J58:J60 M59 J71:J72 J76:J80 J107 J109">
    <cfRule type="expression" dxfId="2" priority="57">
      <formula>AND($I10="Вышло",N($AA10)=0,N($W10)=0)</formula>
    </cfRule>
  </conditionalFormatting>
  <conditionalFormatting sqref="A7:A9 B7:AL17 C20:F40 I20:AD40 AE20:AE41 AF20:AL40 H21:H40 B22:B40 G22:G40 B43:B48 C43:E72 F43:F55 G43:G72 H43:H48 I43:I72 J43:J56 K43:L48 M43:M72 N43:S48 T43:T72 U43:U48 V43:V72 W43:X48 Y43:Y55 Z43:AC48 AD43:AE70 AF43:AH55 AI43:AI72 AJ43:AL48 B50:B55 H50:H72 K50:L55 N50:S55 U50:U55 W50:X55 Z50:AC55 AJ50:AL55 B58:B70 F58:F72 J58:J72 K58:L70 N58:S70 U58:U70 W58:X70 Y58:Y72 Z58:AC70 AF58:AH70 AJ58:AK70 AL58:AL72 A67:A68 B72 K72:L72 N72:S72 U72 W72:X72 Z72:AH72 AJ72:AK72 B75:AL104 A76:A78 E107:E109 J107 M107:M109 AI107:AI109 B108:B109 D108:D109 F108:I109 K108:L109 N108:AH109 AJ108:AL109 C109 J109">
    <cfRule type="expression" dxfId="0" priority="58">
      <formula>AND($I7="Вышло",$H7="")</formula>
    </cfRule>
  </conditionalFormatting>
  <conditionalFormatting sqref="A7:A9 B7:AL17 C20:F40 I20:AD40 AE20:AE41 AF20:AL40 H21:H40 B22:B40 G22:G40 B43:B48 C43:E72 F43:F55 G43:G72 H43:H48 I43:I72 J43:J56 K43:L48 M43:M72 N43:S48 T43:T72 U43:U48 V43:V72 W43:X48 Y43:Y55 Z43:AC48 AD43:AE70 AF43:AH55 AI43:AI72 AJ43:AL48 B50:B55 H50:H72 K50:L55 N50:S55 U50:U55 W50:X55 Z50:AC55 AJ50:AL55 B58:B70 F58:F72 J58:J72 K58:L70 N58:S70 U58:U70 W58:X70 Y58:Y72 Z58:AC70 AF58:AH70 AJ58:AK70 AL58:AL72 A67:A68 B72 K72:L72 N72:S72 U72 W72:X72 Z72:AH72 AJ72:AK72 B75:AL104 A76:A78 E107:E109 J107 M107:M109 AI107:AI109 B108:B109 D108:D109 F108:I109 K108:L109 N108:AH109 AJ108:AL109 C109 J109">
    <cfRule type="expression" dxfId="2" priority="59">
      <formula>AND($I7="Вышло",N($AA7)=0,N($W7)=0)</formula>
    </cfRule>
  </conditionalFormatting>
  <dataValidations>
    <dataValidation type="list" allowBlank="1" showErrorMessage="1" sqref="AI7:AI17 AI20:AI40 AI43:AI72 AI75:AI104 AI107:AI109">
      <formula1>"Aminotrigger-Fish,Аппликатор Ермакова,Клёвое Место - бот,Зеленый доктор - бот,опрос подарок"</formula1>
    </dataValidation>
    <dataValidation type="list" allowBlank="1" sqref="E7:E8 D9:E17 D18 D20:E40 D41 D43:E72 D73 E75:E77 D78:E104 D105 E107 D108:E108 E109 D110">
      <formula1>"WB,Ozon,Сайт"</formula1>
    </dataValidation>
    <dataValidation type="list" allowBlank="1" sqref="I7:I17 H18 I20:I40 H41 I43:I72 H73 I75:I104 H105 I107:I109 H110">
      <formula1>"Ожидаем выхода,Вышло,Перенос,Отказ,оплачено,договор на подписании"</formula1>
    </dataValidation>
    <dataValidation type="list" allowBlank="1" sqref="T10:T17 T37:T40 T43:T72 T75">
      <formula1>"Да,Нет"</formula1>
    </dataValidation>
    <dataValidation type="list" allowBlank="1" sqref="A18 A41 A73 A105 A110">
      <formula1>bloggers_list</formula1>
    </dataValidation>
    <dataValidation type="date" allowBlank="1" sqref="H7 G8:H17 G18 G20:H40 G41 G43:H72 G73 G75:H75 H76 G77:H104 G105 G107:H109 G110">
      <formula1>DATE(2026,1,1)</formula1>
      <formula2>0.0</formula2>
    </dataValidation>
  </dataValidations>
  <hyperlinks>
    <hyperlink r:id="rId1" ref="A7"/>
    <hyperlink r:id="rId2" ref="A8"/>
    <hyperlink r:id="rId3" ref="A9"/>
    <hyperlink r:id="rId4" ref="A10"/>
    <hyperlink r:id="rId5" ref="O10"/>
    <hyperlink r:id="rId6" ref="P10"/>
    <hyperlink r:id="rId7" ref="A11"/>
    <hyperlink r:id="rId8" ref="O11"/>
    <hyperlink r:id="rId9" ref="P11"/>
    <hyperlink r:id="rId10" ref="A12"/>
    <hyperlink r:id="rId11" ref="O12"/>
    <hyperlink r:id="rId12" ref="P12"/>
    <hyperlink r:id="rId13" ref="S12"/>
    <hyperlink r:id="rId14" ref="A13"/>
    <hyperlink r:id="rId15" ref="O13"/>
    <hyperlink r:id="rId16" ref="P13"/>
    <hyperlink r:id="rId17" ref="A14"/>
    <hyperlink r:id="rId18" ref="O14"/>
    <hyperlink r:id="rId19" ref="P14"/>
    <hyperlink r:id="rId20" ref="A15"/>
    <hyperlink r:id="rId21" ref="O15"/>
    <hyperlink r:id="rId22" ref="P15"/>
    <hyperlink r:id="rId23" ref="A20"/>
    <hyperlink r:id="rId24" ref="A21"/>
    <hyperlink r:id="rId25" ref="A22"/>
    <hyperlink r:id="rId26" ref="A23"/>
    <hyperlink r:id="rId27" ref="A24"/>
    <hyperlink r:id="rId28" ref="A25"/>
    <hyperlink r:id="rId29" ref="A26"/>
    <hyperlink r:id="rId30" ref="A27"/>
    <hyperlink r:id="rId31" ref="A28"/>
    <hyperlink r:id="rId32" ref="A29"/>
  </hyperlinks>
  <printOptions/>
  <pageMargins bottom="1.0" footer="0.0" header="0.0" left="0.75" right="0.75" top="1.0"/>
  <pageSetup paperSize="9" orientation="portrait"/>
  <drawing r:id="rId33"/>
</worksheet>
</file>