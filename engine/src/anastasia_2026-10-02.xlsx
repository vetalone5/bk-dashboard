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диаплан" sheetId="1" r:id="rId5"/>
    <sheet state="visible" name="Отчёт по неделям" sheetId="2" r:id="rId6"/>
  </sheets>
  <definedNames/>
  <calcPr/>
</workbook>
</file>

<file path=xl/sharedStrings.xml><?xml version="1.0" encoding="utf-8"?>
<sst xmlns="http://schemas.openxmlformats.org/spreadsheetml/2006/main" count="666" uniqueCount="108">
  <si>
    <t>МЕДИАПЛАН — ВБ РЕКЛАМА</t>
  </si>
  <si>
    <t>Синее — от руководителя. Жёлтое — твои цифры. Серое — считается само.</t>
  </si>
  <si>
    <t>▼ ИЮЛЬ 2026</t>
  </si>
  <si>
    <t>Бюджет на месяц, ₽</t>
  </si>
  <si>
    <t>Целевой DRR</t>
  </si>
  <si>
    <t>Средний чек, ₽</t>
  </si>
  <si>
    <t>% выкупа</t>
  </si>
  <si>
    <t>ОТЧЁТ ПО НЕДЕЛЯМ — Триггер · факт vs план</t>
  </si>
  <si>
    <t>Рекламная кампания</t>
  </si>
  <si>
    <t>Бюджет, ₽</t>
  </si>
  <si>
    <t>Прогноз охвата</t>
  </si>
  <si>
    <t>CTR %</t>
  </si>
  <si>
    <t>Клики</t>
  </si>
  <si>
    <t>CR в заказ %</t>
  </si>
  <si>
    <t>Заказы</t>
  </si>
  <si>
    <t>CPO, ₽</t>
  </si>
  <si>
    <t>Выкупы</t>
  </si>
  <si>
    <t>Стоимость выкупа, ₽</t>
  </si>
  <si>
    <t>Выручка, ₽</t>
  </si>
  <si>
    <t>DRR</t>
  </si>
  <si>
    <t xml:space="preserve">тестовые </t>
  </si>
  <si>
    <t>Синее — план (из «Медиаплан»). Жёлтое — вносишь вручную. Серое — считается само. Зелёное — итоги. Слева ▼ сворачивает недели и месяцы.</t>
  </si>
  <si>
    <t>СВОДКА · ВЫРУЧКА: ПЛАН vs ФАКТ ПО МЕСЯЦАМ</t>
  </si>
  <si>
    <t>Месяц</t>
  </si>
  <si>
    <t>Выручка план, ₽</t>
  </si>
  <si>
    <t>Выручка факт, ₽</t>
  </si>
  <si>
    <t>Выполнение %</t>
  </si>
  <si>
    <t>DRR факт</t>
  </si>
  <si>
    <t>Июль</t>
  </si>
  <si>
    <t>Август</t>
  </si>
  <si>
    <t>ИТОГО</t>
  </si>
  <si>
    <t>Сентябрь</t>
  </si>
  <si>
    <t>Октябрь</t>
  </si>
  <si>
    <t>Вердикт</t>
  </si>
  <si>
    <t>Ноябрь</t>
  </si>
  <si>
    <t>▼ АВГУСТ 2026</t>
  </si>
  <si>
    <t>Декабрь</t>
  </si>
  <si>
    <t>ВБ Продвижение СPM (просмотры)</t>
  </si>
  <si>
    <t>ВБ Продвижение СPC (Клик)</t>
  </si>
  <si>
    <t>СВОДКА · ФАКТ ПО ПРОДУКТАМ  (срез по месяцу/неделе · новый продукт впиши в пустую строку «Продукт»)</t>
  </si>
  <si>
    <t>Месяц:</t>
  </si>
  <si>
    <t>Весь период</t>
  </si>
  <si>
    <t>Неделя:</t>
  </si>
  <si>
    <t>Все недели</t>
  </si>
  <si>
    <t>Продукт</t>
  </si>
  <si>
    <t>Ст.выкупа, ₽</t>
  </si>
  <si>
    <t>Триггер</t>
  </si>
  <si>
    <t>▼ СЕНТЯБРЬ 2026</t>
  </si>
  <si>
    <t>Аппликатор</t>
  </si>
  <si>
    <t>ОЗОН</t>
  </si>
  <si>
    <t>▼ ОКТЯБРЬ 2026</t>
  </si>
  <si>
    <t>▼ НОЯБРЬ 2026</t>
  </si>
  <si>
    <t>Период / Рекламная кампания</t>
  </si>
  <si>
    <t>Бюджет потрачен, ₽</t>
  </si>
  <si>
    <t>Охват</t>
  </si>
  <si>
    <t xml:space="preserve">Клики </t>
  </si>
  <si>
    <t xml:space="preserve">Всего заказов </t>
  </si>
  <si>
    <t>Кол-во  самовыкупов</t>
  </si>
  <si>
    <t>CR из клика  в заказ %</t>
  </si>
  <si>
    <t xml:space="preserve">Заказы от рекламы </t>
  </si>
  <si>
    <t>Цена продажи до СПП</t>
  </si>
  <si>
    <t>%Скидки СПП</t>
  </si>
  <si>
    <t>CPO факт, ₽</t>
  </si>
  <si>
    <t>Стоимость выкупа факт, ₽</t>
  </si>
  <si>
    <t>Выполнение плана %</t>
  </si>
  <si>
    <t>Рейтинг</t>
  </si>
  <si>
    <t>▼ ДЕКАБРЬ 2026</t>
  </si>
  <si>
    <t>Неделя 1 · 01–07.07</t>
  </si>
  <si>
    <t xml:space="preserve">CPC </t>
  </si>
  <si>
    <t>Нед.1</t>
  </si>
  <si>
    <t>CPM</t>
  </si>
  <si>
    <t xml:space="preserve">CPM </t>
  </si>
  <si>
    <t>Неделя 2 · 08–14.07</t>
  </si>
  <si>
    <t>Нед.2</t>
  </si>
  <si>
    <t>Неделя 3 · 15–21.07</t>
  </si>
  <si>
    <t>Нед.3</t>
  </si>
  <si>
    <t>Неделя 4 · 22–28.07</t>
  </si>
  <si>
    <t>Нед.4</t>
  </si>
  <si>
    <t>Неделя 5 · 29–31.07</t>
  </si>
  <si>
    <t>Нед.5</t>
  </si>
  <si>
    <t>Неделя 1 · 01–07.08</t>
  </si>
  <si>
    <t>Неделя 2 · 08–14.08</t>
  </si>
  <si>
    <t>%</t>
  </si>
  <si>
    <t>Неделя 3 · 15–21.08</t>
  </si>
  <si>
    <t>Неделя 4 · 22–28.08</t>
  </si>
  <si>
    <t>Неделя 5 · 29–31.08</t>
  </si>
  <si>
    <t>Неделя 1 · 01–07.09</t>
  </si>
  <si>
    <t xml:space="preserve">ВБ </t>
  </si>
  <si>
    <t>Триггер2</t>
  </si>
  <si>
    <t>Неделя 2 · 08–14.09</t>
  </si>
  <si>
    <t>Неделя 3 · 15–21.09</t>
  </si>
  <si>
    <t>Неделя 4 · 22–28.09</t>
  </si>
  <si>
    <t>Неделя 5 · 29–30.09</t>
  </si>
  <si>
    <t>Неделя 1 · 01–07.10</t>
  </si>
  <si>
    <t>Неделя 2 · 08–14.10</t>
  </si>
  <si>
    <t>Неделя 3 · 15–21.10</t>
  </si>
  <si>
    <t>Неделя 4 · 22–28.10</t>
  </si>
  <si>
    <t>Неделя 5 · 29–31.10</t>
  </si>
  <si>
    <t>Неделя 1 · 01–07.11</t>
  </si>
  <si>
    <t>Неделя 2 · 08–14.11</t>
  </si>
  <si>
    <t>Неделя 3 · 15–21.11</t>
  </si>
  <si>
    <t>Неделя 4 · 22–28.11</t>
  </si>
  <si>
    <t>Неделя 5 · 29–30.11</t>
  </si>
  <si>
    <t>Неделя 1 · 01–07.12</t>
  </si>
  <si>
    <t>Неделя 2 · 08–14.12</t>
  </si>
  <si>
    <t>Неделя 3 · 15–21.12</t>
  </si>
  <si>
    <t>Неделя 4 · 22–28.12</t>
  </si>
  <si>
    <t>Неделя 5 · 29–31.12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</si>
</sst>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2">
    <font>
      <sz val="11.0"/>
      <color theme="1"/>
      <name val="Calibri"/>
      <scheme val="minor"/>
    </font>
    <font>
      <b/>
      <sz val="12.0"/>
      <color rgb="FF1F4E79"/>
      <name val="Cambria"/>
    </font>
    <font>
      <i/>
      <sz val="9.0"/>
      <color rgb="FF808080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9.0"/>
      <color theme="1"/>
      <name val="Cambria"/>
    </font>
    <font>
      <color theme="1"/>
      <name val="Calibri"/>
      <scheme val="minor"/>
    </font>
    <font>
      <sz val="9.0"/>
      <color rgb="FF808080"/>
      <name val="Cambria"/>
    </font>
    <font>
      <b/>
      <sz val="11.0"/>
      <color theme="1"/>
      <name val="Cambria"/>
    </font>
    <font>
      <b/>
      <sz val="11.0"/>
      <color theme="1"/>
      <name val="Calibri"/>
    </font>
    <font/>
    <font>
      <b/>
      <sz val="11.0"/>
      <color rgb="FF006100"/>
      <name val="Cambria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9C4"/>
        <bgColor rgb="FFFFF9C4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9C5"/>
        <bgColor rgb="FFFFF9C5"/>
      </patternFill>
    </fill>
    <fill>
      <patternFill patternType="solid">
        <fgColor rgb="FF95B3D7"/>
        <bgColor rgb="FF95B3D7"/>
      </patternFill>
    </fill>
  </fills>
  <borders count="10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BFBFBF"/>
      </bottom>
    </border>
    <border>
      <left/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2" fillId="3" fontId="4" numFmtId="3" xfId="0" applyBorder="1" applyFill="1" applyFont="1" applyNumberFormat="1"/>
    <xf borderId="2" fillId="3" fontId="4" numFmtId="9" xfId="0" applyBorder="1" applyFill="1" applyFont="1" applyNumberFormat="1"/>
    <xf borderId="2" fillId="3" fontId="4" numFmtId="164" xfId="0" applyBorder="1" applyFill="1" applyFont="1" applyNumberFormat="1"/>
    <xf borderId="0" fillId="0" fontId="1" numFmtId="0" xfId="0" applyAlignment="1" applyFont="1">
      <alignment vertical="center"/>
    </xf>
    <xf borderId="2" fillId="3" fontId="5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2" fillId="4" fontId="4" numFmtId="3" xfId="0" applyBorder="1" applyFill="1" applyFont="1" applyNumberFormat="1"/>
    <xf borderId="0" fillId="0" fontId="4" numFmtId="165" xfId="0" applyFont="1" applyNumberFormat="1"/>
    <xf borderId="2" fillId="4" fontId="4" numFmtId="164" xfId="0" applyBorder="1" applyFill="1" applyFont="1" applyNumberFormat="1"/>
    <xf borderId="0" fillId="0" fontId="6" numFmtId="0" xfId="0" applyFont="1"/>
    <xf borderId="0" fillId="0" fontId="7" numFmtId="0" xfId="0" applyAlignment="1" applyFont="1">
      <alignment vertical="center"/>
    </xf>
    <xf borderId="2" fillId="5" fontId="4" numFmtId="0" xfId="0" applyBorder="1" applyFill="1" applyFont="1"/>
    <xf borderId="2" fillId="6" fontId="8" numFmtId="0" xfId="0" applyAlignment="1" applyBorder="1" applyFill="1" applyFont="1">
      <alignment vertical="center"/>
    </xf>
    <xf borderId="2" fillId="6" fontId="4" numFmtId="0" xfId="0" applyAlignment="1" applyBorder="1" applyFill="1" applyFont="1">
      <alignment vertical="center"/>
    </xf>
    <xf borderId="2" fillId="5" fontId="4" numFmtId="3" xfId="0" applyBorder="1" applyFill="1" applyFont="1" applyNumberFormat="1"/>
    <xf borderId="2" fillId="6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2" fillId="0" fontId="4" numFmtId="3" xfId="0" applyAlignment="1" applyBorder="1" applyFont="1" applyNumberFormat="1">
      <alignment vertical="center"/>
    </xf>
    <xf borderId="2" fillId="5" fontId="4" numFmtId="164" xfId="0" applyBorder="1" applyFill="1" applyFont="1" applyNumberFormat="1"/>
    <xf borderId="2" fillId="0" fontId="4" numFmtId="164" xfId="0" applyAlignment="1" applyBorder="1" applyFont="1" applyNumberFormat="1">
      <alignment vertical="center"/>
    </xf>
    <xf borderId="2" fillId="0" fontId="4" numFmtId="164" xfId="0" applyAlignment="1" applyBorder="1" applyFont="1" applyNumberFormat="1">
      <alignment horizontal="center" vertical="center"/>
    </xf>
    <xf borderId="2" fillId="7" fontId="8" numFmtId="0" xfId="0" applyBorder="1" applyFill="1" applyFont="1"/>
    <xf borderId="2" fillId="7" fontId="8" numFmtId="3" xfId="0" applyBorder="1" applyFill="1" applyFont="1" applyNumberFormat="1"/>
    <xf borderId="2" fillId="7" fontId="8" numFmtId="164" xfId="0" applyBorder="1" applyFill="1" applyFont="1" applyNumberFormat="1"/>
    <xf borderId="2" fillId="5" fontId="8" numFmtId="0" xfId="0" applyBorder="1" applyFill="1" applyFont="1"/>
    <xf borderId="2" fillId="7" fontId="8" numFmtId="0" xfId="0" applyAlignment="1" applyBorder="1" applyFill="1" applyFont="1">
      <alignment vertical="center"/>
    </xf>
    <xf borderId="2" fillId="7" fontId="8" numFmtId="3" xfId="0" applyAlignment="1" applyBorder="1" applyFill="1" applyFont="1" applyNumberFormat="1">
      <alignment vertical="center"/>
    </xf>
    <xf borderId="2" fillId="7" fontId="8" numFmtId="164" xfId="0" applyAlignment="1" applyBorder="1" applyFill="1" applyFont="1" applyNumberFormat="1">
      <alignment vertical="center"/>
    </xf>
    <xf borderId="2" fillId="7" fontId="8" numFmtId="16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right" vertical="center"/>
    </xf>
    <xf borderId="2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vertical="center"/>
    </xf>
    <xf borderId="2" fillId="0" fontId="4" numFmtId="3" xfId="0" applyAlignment="1" applyBorder="1" applyFont="1" applyNumberFormat="1">
      <alignment horizontal="center" vertical="center"/>
    </xf>
    <xf borderId="2" fillId="7" fontId="8" numFmtId="3" xfId="0" applyAlignment="1" applyBorder="1" applyFill="1" applyFont="1" applyNumberFormat="1">
      <alignment horizontal="center" vertical="center"/>
    </xf>
    <xf borderId="2" fillId="3" fontId="5" numFmtId="165" xfId="0" applyAlignment="1" applyBorder="1" applyFill="1" applyFont="1" applyNumberFormat="1">
      <alignment horizontal="center" shrinkToFit="0" vertical="center" wrapText="1"/>
    </xf>
    <xf borderId="2" fillId="2" fontId="3" numFmtId="0" xfId="0" applyAlignment="1" applyBorder="1" applyFill="1" applyFont="1">
      <alignment vertical="center"/>
    </xf>
    <xf borderId="2" fillId="2" fontId="3" numFmtId="3" xfId="0" applyAlignment="1" applyBorder="1" applyFill="1" applyFont="1" applyNumberFormat="1">
      <alignment vertical="center"/>
    </xf>
    <xf borderId="2" fillId="2" fontId="3" numFmtId="3" xfId="0" applyAlignment="1" applyBorder="1" applyFill="1" applyFont="1" applyNumberFormat="1">
      <alignment horizontal="center" vertical="center"/>
    </xf>
    <xf borderId="2" fillId="2" fontId="3" numFmtId="164" xfId="0" applyAlignment="1" applyBorder="1" applyFill="1" applyFont="1" applyNumberFormat="1">
      <alignment vertical="center"/>
    </xf>
    <xf borderId="2" fillId="2" fontId="3" numFmtId="165" xfId="0" applyAlignment="1" applyBorder="1" applyFill="1" applyFont="1" applyNumberFormat="1">
      <alignment vertical="center"/>
    </xf>
    <xf borderId="2" fillId="7" fontId="8" numFmtId="165" xfId="0" applyAlignment="1" applyBorder="1" applyFill="1" applyFont="1" applyNumberFormat="1">
      <alignment vertical="center"/>
    </xf>
    <xf borderId="2" fillId="4" fontId="4" numFmtId="3" xfId="0" applyAlignment="1" applyBorder="1" applyFill="1" applyFont="1" applyNumberFormat="1">
      <alignment vertical="center"/>
    </xf>
    <xf borderId="3" fillId="4" fontId="4" numFmtId="3" xfId="0" applyAlignment="1" applyBorder="1" applyFill="1" applyFont="1" applyNumberFormat="1">
      <alignment horizontal="center" vertical="center"/>
    </xf>
    <xf borderId="2" fillId="4" fontId="4" numFmtId="3" xfId="0" applyAlignment="1" applyBorder="1" applyFill="1" applyFont="1" applyNumberFormat="1">
      <alignment horizontal="center" vertical="center"/>
    </xf>
    <xf borderId="2" fillId="5" fontId="4" numFmtId="164" xfId="0" applyAlignment="1" applyBorder="1" applyFill="1" applyFont="1" applyNumberFormat="1">
      <alignment vertical="center"/>
    </xf>
    <xf borderId="2" fillId="4" fontId="4" numFmtId="164" xfId="0" applyAlignment="1" applyBorder="1" applyFill="1" applyFont="1" applyNumberFormat="1">
      <alignment vertical="center"/>
    </xf>
    <xf borderId="2" fillId="5" fontId="4" numFmtId="3" xfId="0" applyAlignment="1" applyBorder="1" applyFill="1" applyFont="1" applyNumberFormat="1">
      <alignment vertical="center"/>
    </xf>
    <xf borderId="2" fillId="8" fontId="8" numFmtId="0" xfId="0" applyAlignment="1" applyBorder="1" applyFill="1" applyFont="1">
      <alignment vertical="center"/>
    </xf>
    <xf borderId="4" fillId="0" fontId="10" numFmtId="0" xfId="0" applyBorder="1" applyFont="1"/>
    <xf borderId="3" fillId="8" fontId="8" numFmtId="165" xfId="0" applyAlignment="1" applyBorder="1" applyFill="1" applyFont="1" applyNumberFormat="1">
      <alignment horizontal="center" vertical="center"/>
    </xf>
    <xf borderId="1" fillId="2" fontId="4" numFmtId="165" xfId="0" applyBorder="1" applyFill="1" applyFont="1" applyNumberFormat="1"/>
    <xf borderId="5" fillId="0" fontId="4" numFmtId="0" xfId="0" applyBorder="1" applyFont="1"/>
    <xf borderId="5" fillId="4" fontId="4" numFmtId="0" xfId="0" applyBorder="1" applyFill="1" applyFont="1"/>
    <xf borderId="5" fillId="4" fontId="4" numFmtId="0" xfId="0" applyAlignment="1" applyBorder="1" applyFill="1" applyFont="1">
      <alignment horizontal="right"/>
    </xf>
    <xf borderId="6" fillId="4" fontId="4" numFmtId="0" xfId="0" applyAlignment="1" applyBorder="1" applyFill="1" applyFont="1">
      <alignment horizontal="right"/>
    </xf>
    <xf borderId="1" fillId="4" fontId="4" numFmtId="3" xfId="0" applyAlignment="1" applyBorder="1" applyFill="1" applyFont="1" applyNumberFormat="1">
      <alignment horizontal="center" vertical="center"/>
    </xf>
    <xf borderId="0" fillId="0" fontId="4" numFmtId="10" xfId="0" applyFont="1" applyNumberFormat="1"/>
    <xf borderId="6" fillId="4" fontId="4" numFmtId="3" xfId="0" applyAlignment="1" applyBorder="1" applyFill="1" applyFont="1" applyNumberFormat="1">
      <alignment horizontal="center" vertical="center"/>
    </xf>
    <xf borderId="7" fillId="4" fontId="4" numFmtId="3" xfId="0" applyAlignment="1" applyBorder="1" applyFill="1" applyFont="1" applyNumberFormat="1">
      <alignment horizontal="center" vertical="center"/>
    </xf>
    <xf borderId="8" fillId="4" fontId="4" numFmtId="3" xfId="0" applyAlignment="1" applyBorder="1" applyFill="1" applyFont="1" applyNumberFormat="1">
      <alignment horizontal="center" vertical="center"/>
    </xf>
    <xf borderId="2" fillId="8" fontId="8" numFmtId="165" xfId="0" applyAlignment="1" applyBorder="1" applyFill="1" applyFont="1" applyNumberFormat="1">
      <alignment horizontal="center" vertical="center"/>
    </xf>
    <xf borderId="7" fillId="4" fontId="4" numFmtId="3" xfId="0" applyAlignment="1" applyBorder="1" applyFill="1" applyFont="1" applyNumberFormat="1">
      <alignment vertical="center"/>
    </xf>
    <xf borderId="8" fillId="4" fontId="4" numFmtId="3" xfId="0" applyAlignment="1" applyBorder="1" applyFill="1" applyFont="1" applyNumberFormat="1">
      <alignment vertical="center"/>
    </xf>
    <xf borderId="3" fillId="8" fontId="11" numFmtId="165" xfId="0" applyAlignment="1" applyBorder="1" applyFill="1" applyFont="1" applyNumberFormat="1">
      <alignment horizontal="center" vertical="center"/>
    </xf>
    <xf borderId="3" fillId="4" fontId="4" numFmtId="165" xfId="0" applyAlignment="1" applyBorder="1" applyFill="1" applyFont="1" applyNumberFormat="1">
      <alignment horizontal="center" vertical="center"/>
    </xf>
    <xf borderId="9" fillId="4" fontId="4" numFmtId="3" xfId="0" applyAlignment="1" applyBorder="1" applyFill="1" applyFont="1" applyNumberFormat="1">
      <alignment vertical="center"/>
    </xf>
    <xf borderId="9" fillId="4" fontId="4" numFmtId="3" xfId="0" applyAlignment="1" applyBorder="1" applyFill="1" applyFont="1" applyNumberFormat="1">
      <alignment horizontal="center" vertical="center"/>
    </xf>
    <xf borderId="2" fillId="5" fontId="4" numFmtId="9" xfId="0" applyAlignment="1" applyBorder="1" applyFill="1" applyFont="1" applyNumberFormat="1">
      <alignment vertical="center"/>
    </xf>
    <xf borderId="9" fillId="4" fontId="4" numFmtId="165" xfId="0" applyAlignment="1" applyBorder="1" applyFill="1" applyFont="1" applyNumberFormat="1">
      <alignment horizontal="center" vertical="center"/>
    </xf>
    <xf borderId="2" fillId="4" fontId="4" numFmtId="165" xfId="0" applyAlignment="1" applyBorder="1" applyFill="1" applyFont="1" applyNumberFormat="1">
      <alignment horizontal="center" vertical="center"/>
    </xf>
    <xf borderId="1" fillId="4" fontId="4" numFmtId="165" xfId="0" applyAlignment="1" applyBorder="1" applyFill="1" applyFont="1" applyNumberFormat="1">
      <alignment horizontal="center" vertical="center"/>
    </xf>
    <xf borderId="2" fillId="7" fontId="8" numFmtId="9" xfId="0" applyAlignment="1" applyBorder="1" applyFill="1" applyFont="1" applyNumberFormat="1">
      <alignment vertical="center"/>
    </xf>
    <xf borderId="2" fillId="9" fontId="4" numFmtId="3" xfId="0" applyAlignment="1" applyBorder="1" applyFill="1" applyFont="1" applyNumberFormat="1">
      <alignment vertical="center"/>
    </xf>
    <xf borderId="2" fillId="9" fontId="4" numFmtId="9" xfId="0" applyAlignment="1" applyBorder="1" applyFill="1" applyFont="1" applyNumberFormat="1">
      <alignment horizontal="center" vertical="center"/>
    </xf>
    <xf borderId="7" fillId="4" fontId="4" numFmtId="165" xfId="0" applyAlignment="1" applyBorder="1" applyFill="1" applyFont="1" applyNumberFormat="1">
      <alignment horizontal="center" vertical="center"/>
    </xf>
    <xf borderId="8" fillId="4" fontId="4" numFmtId="165" xfId="0" applyAlignment="1" applyBorder="1" applyFill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none"/>
      </fill>
      <border/>
    </dxf>
    <dxf>
      <font>
        <b/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2"/>
  <cols>
    <col customWidth="1" min="1" max="1" width="24.71"/>
    <col customWidth="1" min="2" max="2" width="13.0"/>
    <col customWidth="1" min="3" max="3" width="14.0"/>
    <col customWidth="1" min="4" max="4" width="9.0"/>
    <col customWidth="1" min="5" max="5" width="10.0"/>
    <col customWidth="1" min="6" max="6" width="12.0"/>
    <col customWidth="1" min="7" max="7" width="10.0"/>
    <col customWidth="1" min="8" max="8" width="11.0"/>
    <col customWidth="1" min="9" max="9" width="10.43"/>
    <col customWidth="1" min="10" max="10" width="14.0"/>
    <col customWidth="1" min="11" max="11" width="13.0"/>
    <col customWidth="1" min="12" max="12" width="9.0"/>
    <col customWidth="1" min="13" max="26" width="8.71"/>
  </cols>
  <sheetData>
    <row r="1" ht="15.0" customHeight="1">
      <c r="A1" s="1" t="s">
        <v>0</v>
      </c>
    </row>
    <row r="2" ht="15.0" customHeight="1">
      <c r="A2" s="2" t="s">
        <v>1</v>
      </c>
    </row>
    <row r="4" ht="15.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0" customHeight="1">
      <c r="A5" s="4" t="s">
        <v>3</v>
      </c>
      <c r="B5" s="5">
        <v>30000.0</v>
      </c>
      <c r="C5" s="4" t="s">
        <v>4</v>
      </c>
      <c r="D5" s="6">
        <v>0.1</v>
      </c>
      <c r="F5" s="4" t="s">
        <v>5</v>
      </c>
      <c r="G5" s="5">
        <v>856.0</v>
      </c>
      <c r="I5" s="4" t="s">
        <v>6</v>
      </c>
      <c r="J5" s="7">
        <v>0.95</v>
      </c>
    </row>
    <row r="6" ht="21.75" customHeight="1" outlineLevel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9" t="s">
        <v>15</v>
      </c>
      <c r="I6" s="9" t="s">
        <v>16</v>
      </c>
      <c r="J6" s="9" t="s">
        <v>17</v>
      </c>
      <c r="K6" s="9" t="s">
        <v>18</v>
      </c>
      <c r="L6" s="9" t="s">
        <v>19</v>
      </c>
    </row>
    <row r="7" ht="15.0" customHeight="1" outlineLevel="1">
      <c r="A7" s="4" t="s">
        <v>20</v>
      </c>
      <c r="B7" s="11">
        <v>15000.0</v>
      </c>
      <c r="C7" s="11">
        <v>10000.0</v>
      </c>
      <c r="D7" s="13">
        <v>0.05</v>
      </c>
      <c r="E7" s="16">
        <f t="shared" ref="E7:E13" si="1">IF(OR(C7="",D7=""),"",ROUND(C7*D7,0))</f>
        <v>500</v>
      </c>
      <c r="F7" s="13">
        <v>0.5</v>
      </c>
      <c r="G7" s="16">
        <f t="shared" ref="G7:G13" si="2">IF(OR(E7="",F7=""),"",ROUND(E7*F7,0))</f>
        <v>250</v>
      </c>
      <c r="H7" s="19">
        <f t="shared" ref="H7:H14" si="3">IF(N(G7)=0,"",B7/G7)</f>
        <v>60</v>
      </c>
      <c r="I7" s="19">
        <f t="shared" ref="I7:I13" si="4">IF(OR(N(G7)=0,$J$5=""),"",ROUND(G7*$J$5,0))</f>
        <v>238</v>
      </c>
      <c r="J7" s="19">
        <f t="shared" ref="J7:J14" si="5">IF(N(I7)=0,"",B7/I7)</f>
        <v>63.02521008</v>
      </c>
      <c r="K7" s="19">
        <f t="shared" ref="K7:K13" si="6">IF(N(I7)=0,"",I7*$G$5)</f>
        <v>203728</v>
      </c>
      <c r="L7" s="24">
        <f t="shared" ref="L7:L14" si="7">IF(N(K7)=0,"",B7/K7)</f>
        <v>0.07362758187</v>
      </c>
    </row>
    <row r="8" ht="15.0" customHeight="1" outlineLevel="1">
      <c r="A8" s="4"/>
      <c r="B8" s="11"/>
      <c r="C8" s="11"/>
      <c r="D8" s="13"/>
      <c r="E8" s="16" t="str">
        <f t="shared" si="1"/>
        <v/>
      </c>
      <c r="F8" s="13"/>
      <c r="G8" s="16" t="str">
        <f t="shared" si="2"/>
        <v/>
      </c>
      <c r="H8" s="19" t="str">
        <f t="shared" si="3"/>
        <v/>
      </c>
      <c r="I8" s="19" t="str">
        <f t="shared" si="4"/>
        <v/>
      </c>
      <c r="J8" s="19" t="str">
        <f t="shared" si="5"/>
        <v/>
      </c>
      <c r="K8" s="19" t="str">
        <f t="shared" si="6"/>
        <v/>
      </c>
      <c r="L8" s="24" t="str">
        <f t="shared" si="7"/>
        <v/>
      </c>
    </row>
    <row r="9" ht="15.0" customHeight="1" outlineLevel="1">
      <c r="A9" s="4"/>
      <c r="B9" s="11"/>
      <c r="C9" s="11"/>
      <c r="D9" s="13"/>
      <c r="E9" s="16" t="str">
        <f t="shared" si="1"/>
        <v/>
      </c>
      <c r="F9" s="13"/>
      <c r="G9" s="16" t="str">
        <f t="shared" si="2"/>
        <v/>
      </c>
      <c r="H9" s="19" t="str">
        <f t="shared" si="3"/>
        <v/>
      </c>
      <c r="I9" s="19" t="str">
        <f t="shared" si="4"/>
        <v/>
      </c>
      <c r="J9" s="19" t="str">
        <f t="shared" si="5"/>
        <v/>
      </c>
      <c r="K9" s="19" t="str">
        <f t="shared" si="6"/>
        <v/>
      </c>
      <c r="L9" s="24" t="str">
        <f t="shared" si="7"/>
        <v/>
      </c>
    </row>
    <row r="10" ht="15.0" customHeight="1" outlineLevel="1">
      <c r="A10" s="4"/>
      <c r="B10" s="11"/>
      <c r="C10" s="11"/>
      <c r="D10" s="13"/>
      <c r="E10" s="16" t="str">
        <f t="shared" si="1"/>
        <v/>
      </c>
      <c r="F10" s="13"/>
      <c r="G10" s="16" t="str">
        <f t="shared" si="2"/>
        <v/>
      </c>
      <c r="H10" s="19" t="str">
        <f t="shared" si="3"/>
        <v/>
      </c>
      <c r="I10" s="19" t="str">
        <f t="shared" si="4"/>
        <v/>
      </c>
      <c r="J10" s="19" t="str">
        <f t="shared" si="5"/>
        <v/>
      </c>
      <c r="K10" s="19" t="str">
        <f t="shared" si="6"/>
        <v/>
      </c>
      <c r="L10" s="24" t="str">
        <f t="shared" si="7"/>
        <v/>
      </c>
    </row>
    <row r="11" ht="15.0" customHeight="1" outlineLevel="1">
      <c r="A11" s="4"/>
      <c r="B11" s="11"/>
      <c r="C11" s="11"/>
      <c r="D11" s="13"/>
      <c r="E11" s="16" t="str">
        <f t="shared" si="1"/>
        <v/>
      </c>
      <c r="F11" s="13"/>
      <c r="G11" s="16" t="str">
        <f t="shared" si="2"/>
        <v/>
      </c>
      <c r="H11" s="19" t="str">
        <f t="shared" si="3"/>
        <v/>
      </c>
      <c r="I11" s="19" t="str">
        <f t="shared" si="4"/>
        <v/>
      </c>
      <c r="J11" s="19" t="str">
        <f t="shared" si="5"/>
        <v/>
      </c>
      <c r="K11" s="19" t="str">
        <f t="shared" si="6"/>
        <v/>
      </c>
      <c r="L11" s="24" t="str">
        <f t="shared" si="7"/>
        <v/>
      </c>
    </row>
    <row r="12" ht="15.0" customHeight="1" outlineLevel="1">
      <c r="A12" s="4"/>
      <c r="B12" s="11"/>
      <c r="C12" s="11"/>
      <c r="D12" s="13"/>
      <c r="E12" s="16" t="str">
        <f t="shared" si="1"/>
        <v/>
      </c>
      <c r="F12" s="13"/>
      <c r="G12" s="16" t="str">
        <f t="shared" si="2"/>
        <v/>
      </c>
      <c r="H12" s="19" t="str">
        <f t="shared" si="3"/>
        <v/>
      </c>
      <c r="I12" s="19" t="str">
        <f t="shared" si="4"/>
        <v/>
      </c>
      <c r="J12" s="19" t="str">
        <f t="shared" si="5"/>
        <v/>
      </c>
      <c r="K12" s="19" t="str">
        <f t="shared" si="6"/>
        <v/>
      </c>
      <c r="L12" s="24" t="str">
        <f t="shared" si="7"/>
        <v/>
      </c>
    </row>
    <row r="13" ht="15.0" customHeight="1" outlineLevel="1">
      <c r="A13" s="4"/>
      <c r="B13" s="11"/>
      <c r="C13" s="11"/>
      <c r="D13" s="13"/>
      <c r="E13" s="16" t="str">
        <f t="shared" si="1"/>
        <v/>
      </c>
      <c r="F13" s="13"/>
      <c r="G13" s="16" t="str">
        <f t="shared" si="2"/>
        <v/>
      </c>
      <c r="H13" s="19" t="str">
        <f t="shared" si="3"/>
        <v/>
      </c>
      <c r="I13" s="19" t="str">
        <f t="shared" si="4"/>
        <v/>
      </c>
      <c r="J13" s="19" t="str">
        <f t="shared" si="5"/>
        <v/>
      </c>
      <c r="K13" s="19" t="str">
        <f t="shared" si="6"/>
        <v/>
      </c>
      <c r="L13" s="24" t="str">
        <f t="shared" si="7"/>
        <v/>
      </c>
    </row>
    <row r="14" ht="15.0" customHeight="1" outlineLevel="1">
      <c r="A14" s="27" t="s">
        <v>30</v>
      </c>
      <c r="B14" s="28">
        <f t="shared" ref="B14:C14" si="8">SUM(B7:B13)</f>
        <v>15000</v>
      </c>
      <c r="C14" s="28">
        <f t="shared" si="8"/>
        <v>10000</v>
      </c>
      <c r="D14" s="27"/>
      <c r="E14" s="28">
        <f>SUM(E7:E13)</f>
        <v>500</v>
      </c>
      <c r="F14" s="27"/>
      <c r="G14" s="28">
        <f>SUM(G7:G13)</f>
        <v>250</v>
      </c>
      <c r="H14" s="28">
        <f t="shared" si="3"/>
        <v>60</v>
      </c>
      <c r="I14" s="28">
        <f>SUM(I7:I13)</f>
        <v>238</v>
      </c>
      <c r="J14" s="28">
        <f t="shared" si="5"/>
        <v>63.02521008</v>
      </c>
      <c r="K14" s="28">
        <f>SUM(K7:K13)</f>
        <v>203728</v>
      </c>
      <c r="L14" s="29">
        <f t="shared" si="7"/>
        <v>0.07362758187</v>
      </c>
    </row>
    <row r="15" ht="15.0" customHeight="1" outlineLevel="1">
      <c r="A15" s="4" t="s">
        <v>33</v>
      </c>
      <c r="B15" s="30" t="str">
        <f>IF(OR(N(K14)=0,N($D$5)=0),"— заполни цели",IF(AND(B14&lt;=$B$5,B14/K14&lt;=$D$5),"OK: в лимите и по DRR",IF(B14&gt;$B$5,"БЮДЖЕТ ПРЕВЫШЕН","DRR ВЫШЕ ЦЕЛЕВОГО")))</f>
        <v>OK: в лимите и по DRR</v>
      </c>
    </row>
    <row r="17" ht="15.0" customHeight="1">
      <c r="A17" s="3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5.0" customHeight="1">
      <c r="A18" s="4" t="s">
        <v>3</v>
      </c>
      <c r="B18" s="5">
        <v>70500.0</v>
      </c>
      <c r="C18" s="4" t="s">
        <v>4</v>
      </c>
      <c r="D18" s="6">
        <v>0.1</v>
      </c>
      <c r="F18" s="4" t="s">
        <v>5</v>
      </c>
      <c r="G18" s="5">
        <v>856.0</v>
      </c>
      <c r="I18" s="4" t="s">
        <v>6</v>
      </c>
      <c r="J18" s="7">
        <v>0.95</v>
      </c>
    </row>
    <row r="19" ht="21.75" customHeight="1" outlineLevel="1">
      <c r="A19" s="9" t="s">
        <v>8</v>
      </c>
      <c r="B19" s="9" t="s">
        <v>9</v>
      </c>
      <c r="C19" s="9" t="s">
        <v>10</v>
      </c>
      <c r="D19" s="9" t="s">
        <v>11</v>
      </c>
      <c r="E19" s="9" t="s">
        <v>12</v>
      </c>
      <c r="F19" s="9" t="s">
        <v>13</v>
      </c>
      <c r="G19" s="9" t="s">
        <v>14</v>
      </c>
      <c r="H19" s="9" t="s">
        <v>15</v>
      </c>
      <c r="I19" s="9" t="s">
        <v>16</v>
      </c>
      <c r="J19" s="9" t="s">
        <v>17</v>
      </c>
      <c r="K19" s="9" t="s">
        <v>18</v>
      </c>
      <c r="L19" s="9" t="s">
        <v>19</v>
      </c>
    </row>
    <row r="20" ht="15.0" customHeight="1" outlineLevel="1">
      <c r="A20" s="4" t="s">
        <v>37</v>
      </c>
      <c r="B20" s="11">
        <v>35000.0</v>
      </c>
      <c r="C20" s="11">
        <v>190000.0</v>
      </c>
      <c r="D20" s="13">
        <v>0.064</v>
      </c>
      <c r="E20" s="16">
        <f t="shared" ref="E20:E26" si="9">IF(OR(C20="",D20=""),"",ROUND(C20*D20,0))</f>
        <v>12160</v>
      </c>
      <c r="F20" s="13">
        <v>0.051</v>
      </c>
      <c r="G20" s="16">
        <f t="shared" ref="G20:G26" si="10">IF(OR(E20="",F20=""),"",ROUND(E20*F20,0))</f>
        <v>620</v>
      </c>
      <c r="H20" s="19">
        <f t="shared" ref="H20:H27" si="11">IF(N(G20)=0,"",B20/G20)</f>
        <v>56.4516129</v>
      </c>
      <c r="I20" s="19">
        <f t="shared" ref="I20:I26" si="12">IF(OR(N(G20)=0,$J$18=""),"",ROUND(G20*$J$18,0))</f>
        <v>589</v>
      </c>
      <c r="J20" s="19">
        <f t="shared" ref="J20:J27" si="13">IF(N(I20)=0,"",B20/I20)</f>
        <v>59.42275042</v>
      </c>
      <c r="K20" s="19">
        <f t="shared" ref="K20:K26" si="14">IF(N(I20)=0,"",I20*$G$18)</f>
        <v>504184</v>
      </c>
      <c r="L20" s="24">
        <f t="shared" ref="L20:L27" si="15">IF(N(K20)=0,"",B20/K20)</f>
        <v>0.06941910096</v>
      </c>
    </row>
    <row r="21" ht="15.0" customHeight="1" outlineLevel="1">
      <c r="A21" s="4" t="s">
        <v>38</v>
      </c>
      <c r="B21" s="11">
        <v>35000.0</v>
      </c>
      <c r="C21" s="11">
        <v>70000.0</v>
      </c>
      <c r="D21" s="13">
        <v>0.034</v>
      </c>
      <c r="E21" s="16">
        <f t="shared" si="9"/>
        <v>2380</v>
      </c>
      <c r="F21" s="13">
        <v>0.13</v>
      </c>
      <c r="G21" s="16">
        <f t="shared" si="10"/>
        <v>309</v>
      </c>
      <c r="H21" s="19">
        <f t="shared" si="11"/>
        <v>113.2686084</v>
      </c>
      <c r="I21" s="19">
        <f t="shared" si="12"/>
        <v>294</v>
      </c>
      <c r="J21" s="19">
        <f t="shared" si="13"/>
        <v>119.047619</v>
      </c>
      <c r="K21" s="19">
        <f t="shared" si="14"/>
        <v>251664</v>
      </c>
      <c r="L21" s="24">
        <f t="shared" si="15"/>
        <v>0.1390743213</v>
      </c>
    </row>
    <row r="22" ht="15.0" customHeight="1" outlineLevel="1">
      <c r="A22" s="4"/>
      <c r="B22" s="11"/>
      <c r="C22" s="11"/>
      <c r="D22" s="13"/>
      <c r="E22" s="16" t="str">
        <f t="shared" si="9"/>
        <v/>
      </c>
      <c r="F22" s="13"/>
      <c r="G22" s="16" t="str">
        <f t="shared" si="10"/>
        <v/>
      </c>
      <c r="H22" s="19" t="str">
        <f t="shared" si="11"/>
        <v/>
      </c>
      <c r="I22" s="19" t="str">
        <f t="shared" si="12"/>
        <v/>
      </c>
      <c r="J22" s="19" t="str">
        <f t="shared" si="13"/>
        <v/>
      </c>
      <c r="K22" s="19" t="str">
        <f t="shared" si="14"/>
        <v/>
      </c>
      <c r="L22" s="24" t="str">
        <f t="shared" si="15"/>
        <v/>
      </c>
    </row>
    <row r="23" ht="15.0" customHeight="1" outlineLevel="1">
      <c r="A23" s="4"/>
      <c r="B23" s="11"/>
      <c r="C23" s="11"/>
      <c r="D23" s="13"/>
      <c r="E23" s="16" t="str">
        <f t="shared" si="9"/>
        <v/>
      </c>
      <c r="F23" s="13"/>
      <c r="G23" s="16" t="str">
        <f t="shared" si="10"/>
        <v/>
      </c>
      <c r="H23" s="19" t="str">
        <f t="shared" si="11"/>
        <v/>
      </c>
      <c r="I23" s="19" t="str">
        <f t="shared" si="12"/>
        <v/>
      </c>
      <c r="J23" s="19" t="str">
        <f t="shared" si="13"/>
        <v/>
      </c>
      <c r="K23" s="19" t="str">
        <f t="shared" si="14"/>
        <v/>
      </c>
      <c r="L23" s="24" t="str">
        <f t="shared" si="15"/>
        <v/>
      </c>
    </row>
    <row r="24" ht="15.0" customHeight="1" outlineLevel="1">
      <c r="A24" s="4"/>
      <c r="B24" s="11"/>
      <c r="C24" s="11"/>
      <c r="D24" s="13"/>
      <c r="E24" s="16" t="str">
        <f t="shared" si="9"/>
        <v/>
      </c>
      <c r="F24" s="13"/>
      <c r="G24" s="16" t="str">
        <f t="shared" si="10"/>
        <v/>
      </c>
      <c r="H24" s="19" t="str">
        <f t="shared" si="11"/>
        <v/>
      </c>
      <c r="I24" s="19" t="str">
        <f t="shared" si="12"/>
        <v/>
      </c>
      <c r="J24" s="19" t="str">
        <f t="shared" si="13"/>
        <v/>
      </c>
      <c r="K24" s="19" t="str">
        <f t="shared" si="14"/>
        <v/>
      </c>
      <c r="L24" s="24" t="str">
        <f t="shared" si="15"/>
        <v/>
      </c>
    </row>
    <row r="25" ht="15.0" customHeight="1" outlineLevel="1">
      <c r="A25" s="4"/>
      <c r="B25" s="11"/>
      <c r="C25" s="11"/>
      <c r="D25" s="13"/>
      <c r="E25" s="16" t="str">
        <f t="shared" si="9"/>
        <v/>
      </c>
      <c r="F25" s="13"/>
      <c r="G25" s="16" t="str">
        <f t="shared" si="10"/>
        <v/>
      </c>
      <c r="H25" s="19" t="str">
        <f t="shared" si="11"/>
        <v/>
      </c>
      <c r="I25" s="19" t="str">
        <f t="shared" si="12"/>
        <v/>
      </c>
      <c r="J25" s="19" t="str">
        <f t="shared" si="13"/>
        <v/>
      </c>
      <c r="K25" s="19" t="str">
        <f t="shared" si="14"/>
        <v/>
      </c>
      <c r="L25" s="24" t="str">
        <f t="shared" si="15"/>
        <v/>
      </c>
    </row>
    <row r="26" ht="15.0" customHeight="1" outlineLevel="1">
      <c r="A26" s="4"/>
      <c r="B26" s="11"/>
      <c r="C26" s="11"/>
      <c r="D26" s="13"/>
      <c r="E26" s="16" t="str">
        <f t="shared" si="9"/>
        <v/>
      </c>
      <c r="F26" s="13"/>
      <c r="G26" s="16" t="str">
        <f t="shared" si="10"/>
        <v/>
      </c>
      <c r="H26" s="19" t="str">
        <f t="shared" si="11"/>
        <v/>
      </c>
      <c r="I26" s="19" t="str">
        <f t="shared" si="12"/>
        <v/>
      </c>
      <c r="J26" s="19" t="str">
        <f t="shared" si="13"/>
        <v/>
      </c>
      <c r="K26" s="19" t="str">
        <f t="shared" si="14"/>
        <v/>
      </c>
      <c r="L26" s="24" t="str">
        <f t="shared" si="15"/>
        <v/>
      </c>
    </row>
    <row r="27" ht="15.0" customHeight="1" outlineLevel="1">
      <c r="A27" s="27" t="s">
        <v>30</v>
      </c>
      <c r="B27" s="28">
        <f t="shared" ref="B27:C27" si="16">SUM(B20:B26)</f>
        <v>70000</v>
      </c>
      <c r="C27" s="28">
        <f t="shared" si="16"/>
        <v>260000</v>
      </c>
      <c r="D27" s="27"/>
      <c r="E27" s="28">
        <f>SUM(E20:E26)</f>
        <v>14540</v>
      </c>
      <c r="F27" s="27"/>
      <c r="G27" s="28">
        <f>SUM(G20:G26)</f>
        <v>929</v>
      </c>
      <c r="H27" s="28">
        <f t="shared" si="11"/>
        <v>75.34983854</v>
      </c>
      <c r="I27" s="28">
        <f>SUM(I20:I26)</f>
        <v>883</v>
      </c>
      <c r="J27" s="28">
        <f t="shared" si="13"/>
        <v>79.27519819</v>
      </c>
      <c r="K27" s="28">
        <f>SUM(K20:K26)</f>
        <v>755848</v>
      </c>
      <c r="L27" s="29">
        <f t="shared" si="15"/>
        <v>0.09261121284</v>
      </c>
    </row>
    <row r="28" ht="15.0" customHeight="1" outlineLevel="1">
      <c r="A28" s="4" t="s">
        <v>33</v>
      </c>
      <c r="B28" s="30" t="str">
        <f>IF(OR(N(K27)=0,N($D$18)=0),"— заполни цели",IF(AND(B27&lt;=$B$18,B27/K27&lt;=$D$18),"OK: в лимите и по DRR",IF(B27&gt;$B$18,"БЮДЖЕТ ПРЕВЫШЕН","DRR ВЫШЕ ЦЕЛЕВОГО")))</f>
        <v>OK: в лимите и по DRR</v>
      </c>
    </row>
    <row r="29" ht="15.75" customHeight="1"/>
    <row r="30" ht="15.0" customHeight="1">
      <c r="A30" s="3" t="s">
        <v>47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4" t="s">
        <v>3</v>
      </c>
      <c r="B31" s="5">
        <v>140000.0</v>
      </c>
      <c r="C31" s="4" t="s">
        <v>4</v>
      </c>
      <c r="D31" s="6">
        <v>0.1</v>
      </c>
      <c r="F31" s="4" t="s">
        <v>5</v>
      </c>
      <c r="G31" s="5">
        <v>900.0</v>
      </c>
      <c r="I31" s="4" t="s">
        <v>6</v>
      </c>
      <c r="J31" s="7">
        <v>0.95</v>
      </c>
    </row>
    <row r="32" ht="21.75" customHeight="1" outlineLevel="1">
      <c r="A32" s="9" t="s">
        <v>8</v>
      </c>
      <c r="B32" s="9" t="s">
        <v>9</v>
      </c>
      <c r="C32" s="9" t="s">
        <v>10</v>
      </c>
      <c r="D32" s="9" t="s">
        <v>11</v>
      </c>
      <c r="E32" s="9" t="s">
        <v>12</v>
      </c>
      <c r="F32" s="9" t="s">
        <v>13</v>
      </c>
      <c r="G32" s="9" t="s">
        <v>14</v>
      </c>
      <c r="H32" s="9" t="s">
        <v>15</v>
      </c>
      <c r="I32" s="9" t="s">
        <v>16</v>
      </c>
      <c r="J32" s="9" t="s">
        <v>17</v>
      </c>
      <c r="K32" s="9" t="s">
        <v>18</v>
      </c>
      <c r="L32" s="9" t="s">
        <v>19</v>
      </c>
    </row>
    <row r="33" ht="15.0" customHeight="1" outlineLevel="1">
      <c r="A33" s="4" t="s">
        <v>37</v>
      </c>
      <c r="B33" s="11">
        <v>35000.0</v>
      </c>
      <c r="C33" s="11">
        <v>153900.0</v>
      </c>
      <c r="D33" s="13">
        <v>0.0284</v>
      </c>
      <c r="E33" s="16">
        <f t="shared" ref="E33:E39" si="17">IF(OR(C33="",D33=""),"",ROUND(C33*D33,0))</f>
        <v>4371</v>
      </c>
      <c r="F33" s="13">
        <v>0.0364</v>
      </c>
      <c r="G33" s="16">
        <f t="shared" ref="G33:G39" si="18">IF(OR(E33="",F33=""),"",ROUND(E33*F33,0))</f>
        <v>159</v>
      </c>
      <c r="H33" s="19">
        <f t="shared" ref="H33:H40" si="19">IF(N(G33)=0,"",B33/G33)</f>
        <v>220.1257862</v>
      </c>
      <c r="I33" s="19">
        <f t="shared" ref="I33:I39" si="20">IF(OR(N(G33)=0,$J$31=""),"",ROUND(G33*$J$31,0))</f>
        <v>151</v>
      </c>
      <c r="J33" s="19">
        <f t="shared" ref="J33:J40" si="21">IF(N(I33)=0,"",B33/I33)</f>
        <v>231.7880795</v>
      </c>
      <c r="K33" s="19">
        <f t="shared" ref="K33:K39" si="22">IF(N(I33)=0,"",I33*$G$31)</f>
        <v>135900</v>
      </c>
      <c r="L33" s="24">
        <f t="shared" ref="L33:L40" si="23">IF(N(K33)=0,"",B33/K33)</f>
        <v>0.2575423105</v>
      </c>
    </row>
    <row r="34" ht="15.0" customHeight="1" outlineLevel="1">
      <c r="A34" s="4" t="s">
        <v>38</v>
      </c>
      <c r="B34" s="11">
        <v>35000.0</v>
      </c>
      <c r="C34" s="11">
        <v>59372.0</v>
      </c>
      <c r="D34" s="13">
        <v>0.0577</v>
      </c>
      <c r="E34" s="16">
        <f t="shared" si="17"/>
        <v>3426</v>
      </c>
      <c r="F34" s="13">
        <v>0.0938</v>
      </c>
      <c r="G34" s="16">
        <f t="shared" si="18"/>
        <v>321</v>
      </c>
      <c r="H34" s="19">
        <f t="shared" si="19"/>
        <v>109.0342679</v>
      </c>
      <c r="I34" s="19">
        <f t="shared" si="20"/>
        <v>305</v>
      </c>
      <c r="J34" s="19">
        <f t="shared" si="21"/>
        <v>114.7540984</v>
      </c>
      <c r="K34" s="19">
        <f t="shared" si="22"/>
        <v>274500</v>
      </c>
      <c r="L34" s="24">
        <f t="shared" si="23"/>
        <v>0.1275045537</v>
      </c>
    </row>
    <row r="35" ht="15.0" customHeight="1" outlineLevel="1">
      <c r="A35" s="4" t="s">
        <v>49</v>
      </c>
      <c r="B35" s="11">
        <v>70000.0</v>
      </c>
      <c r="C35" s="11">
        <v>13100.0</v>
      </c>
      <c r="D35" s="13">
        <v>0.068</v>
      </c>
      <c r="E35" s="16">
        <f t="shared" si="17"/>
        <v>891</v>
      </c>
      <c r="F35" s="13">
        <v>0.46</v>
      </c>
      <c r="G35" s="16">
        <f t="shared" si="18"/>
        <v>410</v>
      </c>
      <c r="H35" s="19">
        <f t="shared" si="19"/>
        <v>170.7317073</v>
      </c>
      <c r="I35" s="19">
        <f t="shared" si="20"/>
        <v>390</v>
      </c>
      <c r="J35" s="19">
        <f t="shared" si="21"/>
        <v>179.4871795</v>
      </c>
      <c r="K35" s="19">
        <f t="shared" si="22"/>
        <v>351000</v>
      </c>
      <c r="L35" s="24">
        <f t="shared" si="23"/>
        <v>0.1994301994</v>
      </c>
    </row>
    <row r="36" ht="15.0" customHeight="1" outlineLevel="1">
      <c r="A36" s="4"/>
      <c r="B36" s="11"/>
      <c r="C36" s="11"/>
      <c r="D36" s="13"/>
      <c r="E36" s="16" t="str">
        <f t="shared" si="17"/>
        <v/>
      </c>
      <c r="F36" s="13"/>
      <c r="G36" s="16" t="str">
        <f t="shared" si="18"/>
        <v/>
      </c>
      <c r="H36" s="19" t="str">
        <f t="shared" si="19"/>
        <v/>
      </c>
      <c r="I36" s="19" t="str">
        <f t="shared" si="20"/>
        <v/>
      </c>
      <c r="J36" s="19" t="str">
        <f t="shared" si="21"/>
        <v/>
      </c>
      <c r="K36" s="19" t="str">
        <f t="shared" si="22"/>
        <v/>
      </c>
      <c r="L36" s="24" t="str">
        <f t="shared" si="23"/>
        <v/>
      </c>
    </row>
    <row r="37" ht="15.0" customHeight="1" outlineLevel="1">
      <c r="A37" s="4"/>
      <c r="B37" s="11"/>
      <c r="C37" s="11"/>
      <c r="D37" s="13"/>
      <c r="E37" s="16" t="str">
        <f t="shared" si="17"/>
        <v/>
      </c>
      <c r="F37" s="13"/>
      <c r="G37" s="16" t="str">
        <f t="shared" si="18"/>
        <v/>
      </c>
      <c r="H37" s="19" t="str">
        <f t="shared" si="19"/>
        <v/>
      </c>
      <c r="I37" s="19" t="str">
        <f t="shared" si="20"/>
        <v/>
      </c>
      <c r="J37" s="19" t="str">
        <f t="shared" si="21"/>
        <v/>
      </c>
      <c r="K37" s="19" t="str">
        <f t="shared" si="22"/>
        <v/>
      </c>
      <c r="L37" s="24" t="str">
        <f t="shared" si="23"/>
        <v/>
      </c>
    </row>
    <row r="38" ht="15.0" customHeight="1" outlineLevel="1">
      <c r="A38" s="4"/>
      <c r="B38" s="11"/>
      <c r="C38" s="11"/>
      <c r="D38" s="13"/>
      <c r="E38" s="16" t="str">
        <f t="shared" si="17"/>
        <v/>
      </c>
      <c r="F38" s="13"/>
      <c r="G38" s="16" t="str">
        <f t="shared" si="18"/>
        <v/>
      </c>
      <c r="H38" s="19" t="str">
        <f t="shared" si="19"/>
        <v/>
      </c>
      <c r="I38" s="19" t="str">
        <f t="shared" si="20"/>
        <v/>
      </c>
      <c r="J38" s="19" t="str">
        <f t="shared" si="21"/>
        <v/>
      </c>
      <c r="K38" s="19" t="str">
        <f t="shared" si="22"/>
        <v/>
      </c>
      <c r="L38" s="24" t="str">
        <f t="shared" si="23"/>
        <v/>
      </c>
    </row>
    <row r="39" ht="15.0" customHeight="1" outlineLevel="1">
      <c r="A39" s="4"/>
      <c r="B39" s="11"/>
      <c r="C39" s="11"/>
      <c r="D39" s="13"/>
      <c r="E39" s="16" t="str">
        <f t="shared" si="17"/>
        <v/>
      </c>
      <c r="F39" s="13"/>
      <c r="G39" s="16" t="str">
        <f t="shared" si="18"/>
        <v/>
      </c>
      <c r="H39" s="19" t="str">
        <f t="shared" si="19"/>
        <v/>
      </c>
      <c r="I39" s="19" t="str">
        <f t="shared" si="20"/>
        <v/>
      </c>
      <c r="J39" s="19" t="str">
        <f t="shared" si="21"/>
        <v/>
      </c>
      <c r="K39" s="19" t="str">
        <f t="shared" si="22"/>
        <v/>
      </c>
      <c r="L39" s="24" t="str">
        <f t="shared" si="23"/>
        <v/>
      </c>
    </row>
    <row r="40" ht="15.0" customHeight="1" outlineLevel="1">
      <c r="A40" s="27" t="s">
        <v>30</v>
      </c>
      <c r="B40" s="28">
        <f t="shared" ref="B40:C40" si="24">SUM(B33:B39)</f>
        <v>140000</v>
      </c>
      <c r="C40" s="28">
        <f t="shared" si="24"/>
        <v>226372</v>
      </c>
      <c r="D40" s="27"/>
      <c r="E40" s="28">
        <f>SUM(E33:E39)</f>
        <v>8688</v>
      </c>
      <c r="F40" s="27"/>
      <c r="G40" s="28">
        <f>SUM(G33:G39)</f>
        <v>890</v>
      </c>
      <c r="H40" s="28">
        <f t="shared" si="19"/>
        <v>157.3033708</v>
      </c>
      <c r="I40" s="28">
        <f>SUM(I33:I39)</f>
        <v>846</v>
      </c>
      <c r="J40" s="28">
        <f t="shared" si="21"/>
        <v>165.4846336</v>
      </c>
      <c r="K40" s="28">
        <f>SUM(K33:K39)</f>
        <v>761400</v>
      </c>
      <c r="L40" s="29">
        <f t="shared" si="23"/>
        <v>0.1838718151</v>
      </c>
    </row>
    <row r="41" ht="15.0" customHeight="1" outlineLevel="1">
      <c r="A41" s="4" t="s">
        <v>33</v>
      </c>
      <c r="B41" s="30" t="str">
        <f>IF(OR(N(K40)=0,N($D$31)=0),"— заполни цели",IF(AND(B40&lt;=$B$31,B40/K40&lt;=$D$31),"OK: в лимите и по DRR",IF(B40&gt;$B$31,"БЮДЖЕТ ПРЕВЫШЕН","DRR ВЫШЕ ЦЕЛЕВОГО")))</f>
        <v>DRR ВЫШЕ ЦЕЛЕВОГО</v>
      </c>
    </row>
    <row r="42" ht="15.75" customHeight="1"/>
    <row r="43" ht="15.0" customHeight="1">
      <c r="A43" s="3" t="s">
        <v>50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0" customHeight="1">
      <c r="A44" s="4" t="s">
        <v>3</v>
      </c>
      <c r="B44" s="5"/>
      <c r="C44" s="4" t="s">
        <v>4</v>
      </c>
      <c r="D44" s="6"/>
      <c r="F44" s="4" t="s">
        <v>5</v>
      </c>
      <c r="G44" s="5"/>
      <c r="I44" s="4" t="s">
        <v>6</v>
      </c>
      <c r="J44" s="7"/>
    </row>
    <row r="45" ht="21.75" customHeight="1" outlineLevel="1">
      <c r="A45" s="9" t="s">
        <v>8</v>
      </c>
      <c r="B45" s="9" t="s">
        <v>9</v>
      </c>
      <c r="C45" s="9" t="s">
        <v>10</v>
      </c>
      <c r="D45" s="9" t="s">
        <v>11</v>
      </c>
      <c r="E45" s="9" t="s">
        <v>12</v>
      </c>
      <c r="F45" s="9" t="s">
        <v>13</v>
      </c>
      <c r="G45" s="9" t="s">
        <v>14</v>
      </c>
      <c r="H45" s="9" t="s">
        <v>15</v>
      </c>
      <c r="I45" s="9" t="s">
        <v>16</v>
      </c>
      <c r="J45" s="9" t="s">
        <v>17</v>
      </c>
      <c r="K45" s="9" t="s">
        <v>18</v>
      </c>
      <c r="L45" s="9" t="s">
        <v>19</v>
      </c>
    </row>
    <row r="46" ht="15.0" customHeight="1" outlineLevel="1">
      <c r="A46" s="4"/>
      <c r="B46" s="11"/>
      <c r="C46" s="11"/>
      <c r="D46" s="13"/>
      <c r="E46" s="16" t="str">
        <f t="shared" ref="E46:E52" si="25">IF(OR(C46="",D46=""),"",ROUND(C46*D46,0))</f>
        <v/>
      </c>
      <c r="F46" s="13"/>
      <c r="G46" s="16" t="str">
        <f t="shared" ref="G46:G52" si="26">IF(OR(E46="",F46=""),"",ROUND(E46*F46,0))</f>
        <v/>
      </c>
      <c r="H46" s="19" t="str">
        <f t="shared" ref="H46:H53" si="27">IF(N(G46)=0,"",B46/G46)</f>
        <v/>
      </c>
      <c r="I46" s="19" t="str">
        <f t="shared" ref="I46:I52" si="28">IF(OR(N(G46)=0,$J$44=""),"",ROUND(G46*$J$44,0))</f>
        <v/>
      </c>
      <c r="J46" s="19" t="str">
        <f t="shared" ref="J46:J53" si="29">IF(N(I46)=0,"",B46/I46)</f>
        <v/>
      </c>
      <c r="K46" s="19" t="str">
        <f t="shared" ref="K46:K52" si="30">IF(N(I46)=0,"",I46*$G$44)</f>
        <v/>
      </c>
      <c r="L46" s="24" t="str">
        <f t="shared" ref="L46:L53" si="31">IF(N(K46)=0,"",B46/K46)</f>
        <v/>
      </c>
    </row>
    <row r="47" ht="15.0" customHeight="1" outlineLevel="1">
      <c r="A47" s="4"/>
      <c r="B47" s="11"/>
      <c r="C47" s="11"/>
      <c r="D47" s="13"/>
      <c r="E47" s="16" t="str">
        <f t="shared" si="25"/>
        <v/>
      </c>
      <c r="F47" s="13"/>
      <c r="G47" s="16" t="str">
        <f t="shared" si="26"/>
        <v/>
      </c>
      <c r="H47" s="19" t="str">
        <f t="shared" si="27"/>
        <v/>
      </c>
      <c r="I47" s="19" t="str">
        <f t="shared" si="28"/>
        <v/>
      </c>
      <c r="J47" s="19" t="str">
        <f t="shared" si="29"/>
        <v/>
      </c>
      <c r="K47" s="19" t="str">
        <f t="shared" si="30"/>
        <v/>
      </c>
      <c r="L47" s="24" t="str">
        <f t="shared" si="31"/>
        <v/>
      </c>
    </row>
    <row r="48" ht="15.0" customHeight="1" outlineLevel="1">
      <c r="A48" s="4"/>
      <c r="B48" s="11"/>
      <c r="C48" s="11"/>
      <c r="D48" s="13"/>
      <c r="E48" s="16" t="str">
        <f t="shared" si="25"/>
        <v/>
      </c>
      <c r="F48" s="13"/>
      <c r="G48" s="16" t="str">
        <f t="shared" si="26"/>
        <v/>
      </c>
      <c r="H48" s="19" t="str">
        <f t="shared" si="27"/>
        <v/>
      </c>
      <c r="I48" s="19" t="str">
        <f t="shared" si="28"/>
        <v/>
      </c>
      <c r="J48" s="19" t="str">
        <f t="shared" si="29"/>
        <v/>
      </c>
      <c r="K48" s="19" t="str">
        <f t="shared" si="30"/>
        <v/>
      </c>
      <c r="L48" s="24" t="str">
        <f t="shared" si="31"/>
        <v/>
      </c>
    </row>
    <row r="49" ht="15.0" customHeight="1" outlineLevel="1">
      <c r="A49" s="4"/>
      <c r="B49" s="11"/>
      <c r="C49" s="11"/>
      <c r="D49" s="13"/>
      <c r="E49" s="16" t="str">
        <f t="shared" si="25"/>
        <v/>
      </c>
      <c r="F49" s="13"/>
      <c r="G49" s="16" t="str">
        <f t="shared" si="26"/>
        <v/>
      </c>
      <c r="H49" s="19" t="str">
        <f t="shared" si="27"/>
        <v/>
      </c>
      <c r="I49" s="19" t="str">
        <f t="shared" si="28"/>
        <v/>
      </c>
      <c r="J49" s="19" t="str">
        <f t="shared" si="29"/>
        <v/>
      </c>
      <c r="K49" s="19" t="str">
        <f t="shared" si="30"/>
        <v/>
      </c>
      <c r="L49" s="24" t="str">
        <f t="shared" si="31"/>
        <v/>
      </c>
    </row>
    <row r="50" ht="15.0" customHeight="1" outlineLevel="1">
      <c r="A50" s="4"/>
      <c r="B50" s="11"/>
      <c r="C50" s="11"/>
      <c r="D50" s="13"/>
      <c r="E50" s="16" t="str">
        <f t="shared" si="25"/>
        <v/>
      </c>
      <c r="F50" s="13"/>
      <c r="G50" s="16" t="str">
        <f t="shared" si="26"/>
        <v/>
      </c>
      <c r="H50" s="19" t="str">
        <f t="shared" si="27"/>
        <v/>
      </c>
      <c r="I50" s="19" t="str">
        <f t="shared" si="28"/>
        <v/>
      </c>
      <c r="J50" s="19" t="str">
        <f t="shared" si="29"/>
        <v/>
      </c>
      <c r="K50" s="19" t="str">
        <f t="shared" si="30"/>
        <v/>
      </c>
      <c r="L50" s="24" t="str">
        <f t="shared" si="31"/>
        <v/>
      </c>
    </row>
    <row r="51" ht="15.0" customHeight="1" outlineLevel="1">
      <c r="A51" s="4"/>
      <c r="B51" s="11"/>
      <c r="C51" s="11"/>
      <c r="D51" s="13"/>
      <c r="E51" s="16" t="str">
        <f t="shared" si="25"/>
        <v/>
      </c>
      <c r="F51" s="13"/>
      <c r="G51" s="16" t="str">
        <f t="shared" si="26"/>
        <v/>
      </c>
      <c r="H51" s="19" t="str">
        <f t="shared" si="27"/>
        <v/>
      </c>
      <c r="I51" s="19" t="str">
        <f t="shared" si="28"/>
        <v/>
      </c>
      <c r="J51" s="19" t="str">
        <f t="shared" si="29"/>
        <v/>
      </c>
      <c r="K51" s="19" t="str">
        <f t="shared" si="30"/>
        <v/>
      </c>
      <c r="L51" s="24" t="str">
        <f t="shared" si="31"/>
        <v/>
      </c>
    </row>
    <row r="52" ht="15.0" customHeight="1" outlineLevel="1">
      <c r="A52" s="4"/>
      <c r="B52" s="11"/>
      <c r="C52" s="11"/>
      <c r="D52" s="13"/>
      <c r="E52" s="16" t="str">
        <f t="shared" si="25"/>
        <v/>
      </c>
      <c r="F52" s="13"/>
      <c r="G52" s="16" t="str">
        <f t="shared" si="26"/>
        <v/>
      </c>
      <c r="H52" s="19" t="str">
        <f t="shared" si="27"/>
        <v/>
      </c>
      <c r="I52" s="19" t="str">
        <f t="shared" si="28"/>
        <v/>
      </c>
      <c r="J52" s="19" t="str">
        <f t="shared" si="29"/>
        <v/>
      </c>
      <c r="K52" s="19" t="str">
        <f t="shared" si="30"/>
        <v/>
      </c>
      <c r="L52" s="24" t="str">
        <f t="shared" si="31"/>
        <v/>
      </c>
    </row>
    <row r="53" ht="15.0" customHeight="1" outlineLevel="1">
      <c r="A53" s="27" t="s">
        <v>30</v>
      </c>
      <c r="B53" s="28">
        <f t="shared" ref="B53:C53" si="32">SUM(B46:B52)</f>
        <v>0</v>
      </c>
      <c r="C53" s="28">
        <f t="shared" si="32"/>
        <v>0</v>
      </c>
      <c r="D53" s="27"/>
      <c r="E53" s="28">
        <f>SUM(E46:E52)</f>
        <v>0</v>
      </c>
      <c r="F53" s="27"/>
      <c r="G53" s="28">
        <f>SUM(G46:G52)</f>
        <v>0</v>
      </c>
      <c r="H53" s="28" t="str">
        <f t="shared" si="27"/>
        <v/>
      </c>
      <c r="I53" s="28">
        <f>SUM(I46:I52)</f>
        <v>0</v>
      </c>
      <c r="J53" s="28" t="str">
        <f t="shared" si="29"/>
        <v/>
      </c>
      <c r="K53" s="28">
        <f>SUM(K46:K52)</f>
        <v>0</v>
      </c>
      <c r="L53" s="29" t="str">
        <f t="shared" si="31"/>
        <v/>
      </c>
    </row>
    <row r="54" ht="15.0" customHeight="1" outlineLevel="1">
      <c r="A54" s="4" t="s">
        <v>33</v>
      </c>
      <c r="B54" s="30" t="str">
        <f>IF(OR(N(K53)=0,N($D$44)=0),"— заполни цели",IF(AND(B53&lt;=$B$44,B53/K53&lt;=$D$44),"OK: в лимите и по DRR",IF(B53&gt;$B$44,"БЮДЖЕТ ПРЕВЫШЕН","DRR ВЫШЕ ЦЕЛЕВОГО")))</f>
        <v>— заполни цели</v>
      </c>
    </row>
    <row r="55" ht="15.75" customHeight="1"/>
    <row r="56" ht="15.0" customHeight="1">
      <c r="A56" s="3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0" customHeight="1">
      <c r="A57" s="4" t="s">
        <v>3</v>
      </c>
      <c r="B57" s="5"/>
      <c r="C57" s="4" t="s">
        <v>4</v>
      </c>
      <c r="D57" s="6"/>
      <c r="F57" s="4" t="s">
        <v>5</v>
      </c>
      <c r="G57" s="5"/>
      <c r="I57" s="4" t="s">
        <v>6</v>
      </c>
      <c r="J57" s="7"/>
    </row>
    <row r="58" ht="21.75" customHeight="1" outlineLevel="1">
      <c r="A58" s="9" t="s">
        <v>8</v>
      </c>
      <c r="B58" s="9" t="s">
        <v>9</v>
      </c>
      <c r="C58" s="9" t="s">
        <v>10</v>
      </c>
      <c r="D58" s="9" t="s">
        <v>11</v>
      </c>
      <c r="E58" s="9" t="s">
        <v>12</v>
      </c>
      <c r="F58" s="9" t="s">
        <v>13</v>
      </c>
      <c r="G58" s="9" t="s">
        <v>14</v>
      </c>
      <c r="H58" s="9" t="s">
        <v>15</v>
      </c>
      <c r="I58" s="9" t="s">
        <v>16</v>
      </c>
      <c r="J58" s="9" t="s">
        <v>17</v>
      </c>
      <c r="K58" s="9" t="s">
        <v>18</v>
      </c>
      <c r="L58" s="9" t="s">
        <v>19</v>
      </c>
    </row>
    <row r="59" ht="15.0" customHeight="1" outlineLevel="1">
      <c r="A59" s="4"/>
      <c r="B59" s="11"/>
      <c r="C59" s="11"/>
      <c r="D59" s="13"/>
      <c r="E59" s="16" t="str">
        <f t="shared" ref="E59:E65" si="33">IF(OR(C59="",D59=""),"",ROUND(C59*D59,0))</f>
        <v/>
      </c>
      <c r="F59" s="13"/>
      <c r="G59" s="16" t="str">
        <f t="shared" ref="G59:G65" si="34">IF(OR(E59="",F59=""),"",ROUND(E59*F59,0))</f>
        <v/>
      </c>
      <c r="H59" s="19" t="str">
        <f t="shared" ref="H59:H66" si="35">IF(N(G59)=0,"",B59/G59)</f>
        <v/>
      </c>
      <c r="I59" s="19" t="str">
        <f t="shared" ref="I59:I65" si="36">IF(OR(N(G59)=0,$J$57=""),"",ROUND(G59*$J$57,0))</f>
        <v/>
      </c>
      <c r="J59" s="19" t="str">
        <f t="shared" ref="J59:J66" si="37">IF(N(I59)=0,"",B59/I59)</f>
        <v/>
      </c>
      <c r="K59" s="19" t="str">
        <f t="shared" ref="K59:K65" si="38">IF(N(I59)=0,"",I59*$G$57)</f>
        <v/>
      </c>
      <c r="L59" s="24" t="str">
        <f t="shared" ref="L59:L66" si="39">IF(N(K59)=0,"",B59/K59)</f>
        <v/>
      </c>
    </row>
    <row r="60" ht="15.0" customHeight="1" outlineLevel="1">
      <c r="A60" s="4"/>
      <c r="B60" s="11"/>
      <c r="C60" s="11"/>
      <c r="D60" s="13"/>
      <c r="E60" s="16" t="str">
        <f t="shared" si="33"/>
        <v/>
      </c>
      <c r="F60" s="13"/>
      <c r="G60" s="16" t="str">
        <f t="shared" si="34"/>
        <v/>
      </c>
      <c r="H60" s="19" t="str">
        <f t="shared" si="35"/>
        <v/>
      </c>
      <c r="I60" s="19" t="str">
        <f t="shared" si="36"/>
        <v/>
      </c>
      <c r="J60" s="19" t="str">
        <f t="shared" si="37"/>
        <v/>
      </c>
      <c r="K60" s="19" t="str">
        <f t="shared" si="38"/>
        <v/>
      </c>
      <c r="L60" s="24" t="str">
        <f t="shared" si="39"/>
        <v/>
      </c>
    </row>
    <row r="61" ht="15.0" customHeight="1" outlineLevel="1">
      <c r="A61" s="4"/>
      <c r="B61" s="11"/>
      <c r="C61" s="11"/>
      <c r="D61" s="13"/>
      <c r="E61" s="16" t="str">
        <f t="shared" si="33"/>
        <v/>
      </c>
      <c r="F61" s="13"/>
      <c r="G61" s="16" t="str">
        <f t="shared" si="34"/>
        <v/>
      </c>
      <c r="H61" s="19" t="str">
        <f t="shared" si="35"/>
        <v/>
      </c>
      <c r="I61" s="19" t="str">
        <f t="shared" si="36"/>
        <v/>
      </c>
      <c r="J61" s="19" t="str">
        <f t="shared" si="37"/>
        <v/>
      </c>
      <c r="K61" s="19" t="str">
        <f t="shared" si="38"/>
        <v/>
      </c>
      <c r="L61" s="24" t="str">
        <f t="shared" si="39"/>
        <v/>
      </c>
    </row>
    <row r="62" ht="15.0" customHeight="1" outlineLevel="1">
      <c r="A62" s="4"/>
      <c r="B62" s="11"/>
      <c r="C62" s="11"/>
      <c r="D62" s="13"/>
      <c r="E62" s="16" t="str">
        <f t="shared" si="33"/>
        <v/>
      </c>
      <c r="F62" s="13"/>
      <c r="G62" s="16" t="str">
        <f t="shared" si="34"/>
        <v/>
      </c>
      <c r="H62" s="19" t="str">
        <f t="shared" si="35"/>
        <v/>
      </c>
      <c r="I62" s="19" t="str">
        <f t="shared" si="36"/>
        <v/>
      </c>
      <c r="J62" s="19" t="str">
        <f t="shared" si="37"/>
        <v/>
      </c>
      <c r="K62" s="19" t="str">
        <f t="shared" si="38"/>
        <v/>
      </c>
      <c r="L62" s="24" t="str">
        <f t="shared" si="39"/>
        <v/>
      </c>
    </row>
    <row r="63" ht="15.0" customHeight="1" outlineLevel="1">
      <c r="A63" s="4"/>
      <c r="B63" s="11"/>
      <c r="C63" s="11"/>
      <c r="D63" s="13"/>
      <c r="E63" s="16" t="str">
        <f t="shared" si="33"/>
        <v/>
      </c>
      <c r="F63" s="13"/>
      <c r="G63" s="16" t="str">
        <f t="shared" si="34"/>
        <v/>
      </c>
      <c r="H63" s="19" t="str">
        <f t="shared" si="35"/>
        <v/>
      </c>
      <c r="I63" s="19" t="str">
        <f t="shared" si="36"/>
        <v/>
      </c>
      <c r="J63" s="19" t="str">
        <f t="shared" si="37"/>
        <v/>
      </c>
      <c r="K63" s="19" t="str">
        <f t="shared" si="38"/>
        <v/>
      </c>
      <c r="L63" s="24" t="str">
        <f t="shared" si="39"/>
        <v/>
      </c>
    </row>
    <row r="64" ht="15.0" customHeight="1" outlineLevel="1">
      <c r="A64" s="4"/>
      <c r="B64" s="11"/>
      <c r="C64" s="11"/>
      <c r="D64" s="13"/>
      <c r="E64" s="16" t="str">
        <f t="shared" si="33"/>
        <v/>
      </c>
      <c r="F64" s="13"/>
      <c r="G64" s="16" t="str">
        <f t="shared" si="34"/>
        <v/>
      </c>
      <c r="H64" s="19" t="str">
        <f t="shared" si="35"/>
        <v/>
      </c>
      <c r="I64" s="19" t="str">
        <f t="shared" si="36"/>
        <v/>
      </c>
      <c r="J64" s="19" t="str">
        <f t="shared" si="37"/>
        <v/>
      </c>
      <c r="K64" s="19" t="str">
        <f t="shared" si="38"/>
        <v/>
      </c>
      <c r="L64" s="24" t="str">
        <f t="shared" si="39"/>
        <v/>
      </c>
    </row>
    <row r="65" ht="15.0" customHeight="1" outlineLevel="1">
      <c r="A65" s="4"/>
      <c r="B65" s="11"/>
      <c r="C65" s="11"/>
      <c r="D65" s="13"/>
      <c r="E65" s="16" t="str">
        <f t="shared" si="33"/>
        <v/>
      </c>
      <c r="F65" s="13"/>
      <c r="G65" s="16" t="str">
        <f t="shared" si="34"/>
        <v/>
      </c>
      <c r="H65" s="19" t="str">
        <f t="shared" si="35"/>
        <v/>
      </c>
      <c r="I65" s="19" t="str">
        <f t="shared" si="36"/>
        <v/>
      </c>
      <c r="J65" s="19" t="str">
        <f t="shared" si="37"/>
        <v/>
      </c>
      <c r="K65" s="19" t="str">
        <f t="shared" si="38"/>
        <v/>
      </c>
      <c r="L65" s="24" t="str">
        <f t="shared" si="39"/>
        <v/>
      </c>
    </row>
    <row r="66" ht="15.0" customHeight="1" outlineLevel="1">
      <c r="A66" s="27" t="s">
        <v>30</v>
      </c>
      <c r="B66" s="28">
        <f t="shared" ref="B66:C66" si="40">SUM(B59:B65)</f>
        <v>0</v>
      </c>
      <c r="C66" s="28">
        <f t="shared" si="40"/>
        <v>0</v>
      </c>
      <c r="D66" s="27"/>
      <c r="E66" s="28">
        <f>SUM(E59:E65)</f>
        <v>0</v>
      </c>
      <c r="F66" s="27"/>
      <c r="G66" s="28">
        <f>SUM(G59:G65)</f>
        <v>0</v>
      </c>
      <c r="H66" s="28" t="str">
        <f t="shared" si="35"/>
        <v/>
      </c>
      <c r="I66" s="28">
        <f>SUM(I59:I65)</f>
        <v>0</v>
      </c>
      <c r="J66" s="28" t="str">
        <f t="shared" si="37"/>
        <v/>
      </c>
      <c r="K66" s="28">
        <f>SUM(K59:K65)</f>
        <v>0</v>
      </c>
      <c r="L66" s="29" t="str">
        <f t="shared" si="39"/>
        <v/>
      </c>
    </row>
    <row r="67" ht="15.0" customHeight="1" outlineLevel="1">
      <c r="A67" s="4" t="s">
        <v>33</v>
      </c>
      <c r="B67" s="30" t="str">
        <f>IF(OR(N(K66)=0,N($D$57)=0),"— заполни цели",IF(AND(B66&lt;=$B$57,B66/K66&lt;=$D$57),"OK: в лимите и по DRR",IF(B66&gt;$B$57,"БЮДЖЕТ ПРЕВЫШЕН","DRR ВЫШЕ ЦЕЛЕВОГО")))</f>
        <v>— заполни цели</v>
      </c>
    </row>
    <row r="68" ht="15.75" customHeight="1"/>
    <row r="69" ht="15.0" customHeight="1">
      <c r="A69" s="3" t="s">
        <v>66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0" customHeight="1">
      <c r="A70" s="4" t="s">
        <v>3</v>
      </c>
      <c r="B70" s="5"/>
      <c r="C70" s="4" t="s">
        <v>4</v>
      </c>
      <c r="D70" s="6"/>
      <c r="F70" s="4" t="s">
        <v>5</v>
      </c>
      <c r="G70" s="5"/>
      <c r="I70" s="4" t="s">
        <v>6</v>
      </c>
      <c r="J70" s="7"/>
    </row>
    <row r="71" ht="21.75" customHeight="1" outlineLevel="1">
      <c r="A71" s="9" t="s">
        <v>8</v>
      </c>
      <c r="B71" s="9" t="s">
        <v>9</v>
      </c>
      <c r="C71" s="9" t="s">
        <v>10</v>
      </c>
      <c r="D71" s="9" t="s">
        <v>11</v>
      </c>
      <c r="E71" s="9" t="s">
        <v>12</v>
      </c>
      <c r="F71" s="9" t="s">
        <v>13</v>
      </c>
      <c r="G71" s="9" t="s">
        <v>14</v>
      </c>
      <c r="H71" s="9" t="s">
        <v>15</v>
      </c>
      <c r="I71" s="9" t="s">
        <v>16</v>
      </c>
      <c r="J71" s="9" t="s">
        <v>17</v>
      </c>
      <c r="K71" s="9" t="s">
        <v>18</v>
      </c>
      <c r="L71" s="9" t="s">
        <v>19</v>
      </c>
    </row>
    <row r="72" ht="15.0" customHeight="1" outlineLevel="1">
      <c r="A72" s="4"/>
      <c r="B72" s="11"/>
      <c r="C72" s="11"/>
      <c r="D72" s="13"/>
      <c r="E72" s="16" t="str">
        <f t="shared" ref="E72:E78" si="41">IF(OR(C72="",D72=""),"",ROUND(C72*D72,0))</f>
        <v/>
      </c>
      <c r="F72" s="13"/>
      <c r="G72" s="16" t="str">
        <f t="shared" ref="G72:G78" si="42">IF(OR(E72="",F72=""),"",ROUND(E72*F72,0))</f>
        <v/>
      </c>
      <c r="H72" s="19" t="str">
        <f t="shared" ref="H72:H79" si="43">IF(N(G72)=0,"",B72/G72)</f>
        <v/>
      </c>
      <c r="I72" s="19" t="str">
        <f t="shared" ref="I72:I78" si="44">IF(OR(N(G72)=0,$J$70=""),"",ROUND(G72*$J$70,0))</f>
        <v/>
      </c>
      <c r="J72" s="19" t="str">
        <f t="shared" ref="J72:J79" si="45">IF(N(I72)=0,"",B72/I72)</f>
        <v/>
      </c>
      <c r="K72" s="19" t="str">
        <f t="shared" ref="K72:K78" si="46">IF(N(I72)=0,"",I72*$G$70)</f>
        <v/>
      </c>
      <c r="L72" s="24" t="str">
        <f t="shared" ref="L72:L79" si="47">IF(N(K72)=0,"",B72/K72)</f>
        <v/>
      </c>
    </row>
    <row r="73" ht="15.0" customHeight="1" outlineLevel="1">
      <c r="A73" s="4"/>
      <c r="B73" s="11"/>
      <c r="C73" s="11"/>
      <c r="D73" s="13"/>
      <c r="E73" s="16" t="str">
        <f t="shared" si="41"/>
        <v/>
      </c>
      <c r="F73" s="13"/>
      <c r="G73" s="16" t="str">
        <f t="shared" si="42"/>
        <v/>
      </c>
      <c r="H73" s="19" t="str">
        <f t="shared" si="43"/>
        <v/>
      </c>
      <c r="I73" s="19" t="str">
        <f t="shared" si="44"/>
        <v/>
      </c>
      <c r="J73" s="19" t="str">
        <f t="shared" si="45"/>
        <v/>
      </c>
      <c r="K73" s="19" t="str">
        <f t="shared" si="46"/>
        <v/>
      </c>
      <c r="L73" s="24" t="str">
        <f t="shared" si="47"/>
        <v/>
      </c>
    </row>
    <row r="74" ht="15.0" customHeight="1" outlineLevel="1">
      <c r="A74" s="4"/>
      <c r="B74" s="11"/>
      <c r="C74" s="11"/>
      <c r="D74" s="13"/>
      <c r="E74" s="16" t="str">
        <f t="shared" si="41"/>
        <v/>
      </c>
      <c r="F74" s="13"/>
      <c r="G74" s="16" t="str">
        <f t="shared" si="42"/>
        <v/>
      </c>
      <c r="H74" s="19" t="str">
        <f t="shared" si="43"/>
        <v/>
      </c>
      <c r="I74" s="19" t="str">
        <f t="shared" si="44"/>
        <v/>
      </c>
      <c r="J74" s="19" t="str">
        <f t="shared" si="45"/>
        <v/>
      </c>
      <c r="K74" s="19" t="str">
        <f t="shared" si="46"/>
        <v/>
      </c>
      <c r="L74" s="24" t="str">
        <f t="shared" si="47"/>
        <v/>
      </c>
    </row>
    <row r="75" ht="15.0" customHeight="1" outlineLevel="1">
      <c r="A75" s="4"/>
      <c r="B75" s="11"/>
      <c r="C75" s="11"/>
      <c r="D75" s="13"/>
      <c r="E75" s="16" t="str">
        <f t="shared" si="41"/>
        <v/>
      </c>
      <c r="F75" s="13"/>
      <c r="G75" s="16" t="str">
        <f t="shared" si="42"/>
        <v/>
      </c>
      <c r="H75" s="19" t="str">
        <f t="shared" si="43"/>
        <v/>
      </c>
      <c r="I75" s="19" t="str">
        <f t="shared" si="44"/>
        <v/>
      </c>
      <c r="J75" s="19" t="str">
        <f t="shared" si="45"/>
        <v/>
      </c>
      <c r="K75" s="19" t="str">
        <f t="shared" si="46"/>
        <v/>
      </c>
      <c r="L75" s="24" t="str">
        <f t="shared" si="47"/>
        <v/>
      </c>
    </row>
    <row r="76" ht="15.0" customHeight="1" outlineLevel="1">
      <c r="A76" s="4"/>
      <c r="B76" s="11"/>
      <c r="C76" s="11"/>
      <c r="D76" s="13"/>
      <c r="E76" s="16" t="str">
        <f t="shared" si="41"/>
        <v/>
      </c>
      <c r="F76" s="13"/>
      <c r="G76" s="16" t="str">
        <f t="shared" si="42"/>
        <v/>
      </c>
      <c r="H76" s="19" t="str">
        <f t="shared" si="43"/>
        <v/>
      </c>
      <c r="I76" s="19" t="str">
        <f t="shared" si="44"/>
        <v/>
      </c>
      <c r="J76" s="19" t="str">
        <f t="shared" si="45"/>
        <v/>
      </c>
      <c r="K76" s="19" t="str">
        <f t="shared" si="46"/>
        <v/>
      </c>
      <c r="L76" s="24" t="str">
        <f t="shared" si="47"/>
        <v/>
      </c>
    </row>
    <row r="77" ht="15.0" customHeight="1" outlineLevel="1">
      <c r="A77" s="4"/>
      <c r="B77" s="11"/>
      <c r="C77" s="11"/>
      <c r="D77" s="13"/>
      <c r="E77" s="16" t="str">
        <f t="shared" si="41"/>
        <v/>
      </c>
      <c r="F77" s="13"/>
      <c r="G77" s="16" t="str">
        <f t="shared" si="42"/>
        <v/>
      </c>
      <c r="H77" s="19" t="str">
        <f t="shared" si="43"/>
        <v/>
      </c>
      <c r="I77" s="19" t="str">
        <f t="shared" si="44"/>
        <v/>
      </c>
      <c r="J77" s="19" t="str">
        <f t="shared" si="45"/>
        <v/>
      </c>
      <c r="K77" s="19" t="str">
        <f t="shared" si="46"/>
        <v/>
      </c>
      <c r="L77" s="24" t="str">
        <f t="shared" si="47"/>
        <v/>
      </c>
    </row>
    <row r="78" ht="15.0" customHeight="1" outlineLevel="1">
      <c r="A78" s="4"/>
      <c r="B78" s="11"/>
      <c r="C78" s="11"/>
      <c r="D78" s="13"/>
      <c r="E78" s="16" t="str">
        <f t="shared" si="41"/>
        <v/>
      </c>
      <c r="F78" s="13"/>
      <c r="G78" s="16" t="str">
        <f t="shared" si="42"/>
        <v/>
      </c>
      <c r="H78" s="19" t="str">
        <f t="shared" si="43"/>
        <v/>
      </c>
      <c r="I78" s="19" t="str">
        <f t="shared" si="44"/>
        <v/>
      </c>
      <c r="J78" s="19" t="str">
        <f t="shared" si="45"/>
        <v/>
      </c>
      <c r="K78" s="19" t="str">
        <f t="shared" si="46"/>
        <v/>
      </c>
      <c r="L78" s="24" t="str">
        <f t="shared" si="47"/>
        <v/>
      </c>
    </row>
    <row r="79" ht="15.0" customHeight="1" outlineLevel="1">
      <c r="A79" s="27" t="s">
        <v>30</v>
      </c>
      <c r="B79" s="28">
        <f t="shared" ref="B79:C79" si="48">SUM(B72:B78)</f>
        <v>0</v>
      </c>
      <c r="C79" s="28">
        <f t="shared" si="48"/>
        <v>0</v>
      </c>
      <c r="D79" s="27"/>
      <c r="E79" s="28">
        <f>SUM(E72:E78)</f>
        <v>0</v>
      </c>
      <c r="F79" s="27"/>
      <c r="G79" s="28">
        <f>SUM(G72:G78)</f>
        <v>0</v>
      </c>
      <c r="H79" s="28" t="str">
        <f t="shared" si="43"/>
        <v/>
      </c>
      <c r="I79" s="28">
        <f>SUM(I72:I78)</f>
        <v>0</v>
      </c>
      <c r="J79" s="28" t="str">
        <f t="shared" si="45"/>
        <v/>
      </c>
      <c r="K79" s="28">
        <f>SUM(K72:K78)</f>
        <v>0</v>
      </c>
      <c r="L79" s="29" t="str">
        <f t="shared" si="47"/>
        <v/>
      </c>
    </row>
    <row r="80" ht="15.0" customHeight="1" outlineLevel="1">
      <c r="A80" s="4" t="s">
        <v>33</v>
      </c>
      <c r="B80" s="30" t="str">
        <f>IF(OR(N(K79)=0,N($D$70)=0),"— заполни цели",IF(AND(B79&lt;=$B$70,B79/K79&lt;=$D$70),"OK: в лимите и по DRR",IF(B79&gt;$B$70,"БЮДЖЕТ ПРЕВЫШЕН","DRR ВЫШЕ ЦЕЛЕВОГО")))</f>
        <v>— заполни цели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5">
    <cfRule type="expression" dxfId="0" priority="1">
      <formula>ISNUMBER(SEARCH("OK",B15))</formula>
    </cfRule>
  </conditionalFormatting>
  <conditionalFormatting sqref="B15">
    <cfRule type="expression" dxfId="1" priority="2">
      <formula>OR(ISNUMBER(SEARCH("ПРЕВЫШЕН",B15)),ISNUMBER(SEARCH("ВЫШЕ",B15)))</formula>
    </cfRule>
  </conditionalFormatting>
  <conditionalFormatting sqref="B28">
    <cfRule type="expression" dxfId="0" priority="3">
      <formula>ISNUMBER(SEARCH("OK",B28))</formula>
    </cfRule>
  </conditionalFormatting>
  <conditionalFormatting sqref="B28">
    <cfRule type="expression" dxfId="1" priority="4">
      <formula>OR(ISNUMBER(SEARCH("ПРЕВЫШЕН",B28)),ISNUMBER(SEARCH("ВЫШЕ",B28)))</formula>
    </cfRule>
  </conditionalFormatting>
  <conditionalFormatting sqref="B41">
    <cfRule type="expression" dxfId="0" priority="5">
      <formula>ISNUMBER(SEARCH("OK",B41))</formula>
    </cfRule>
  </conditionalFormatting>
  <conditionalFormatting sqref="B41">
    <cfRule type="expression" dxfId="1" priority="6">
      <formula>OR(ISNUMBER(SEARCH("ПРЕВЫШЕН",B41)),ISNUMBER(SEARCH("ВЫШЕ",B41)))</formula>
    </cfRule>
  </conditionalFormatting>
  <conditionalFormatting sqref="B54">
    <cfRule type="expression" dxfId="0" priority="7">
      <formula>ISNUMBER(SEARCH("OK",B54))</formula>
    </cfRule>
  </conditionalFormatting>
  <conditionalFormatting sqref="B54">
    <cfRule type="expression" dxfId="1" priority="8">
      <formula>OR(ISNUMBER(SEARCH("ПРЕВЫШЕН",B54)),ISNUMBER(SEARCH("ВЫШЕ",B54)))</formula>
    </cfRule>
  </conditionalFormatting>
  <conditionalFormatting sqref="B67">
    <cfRule type="expression" dxfId="0" priority="9">
      <formula>ISNUMBER(SEARCH("OK",B67))</formula>
    </cfRule>
  </conditionalFormatting>
  <conditionalFormatting sqref="B67">
    <cfRule type="expression" dxfId="1" priority="10">
      <formula>OR(ISNUMBER(SEARCH("ПРЕВЫШЕН",B67)),ISNUMBER(SEARCH("ВЫШЕ",B67)))</formula>
    </cfRule>
  </conditionalFormatting>
  <conditionalFormatting sqref="B80">
    <cfRule type="expression" dxfId="0" priority="11">
      <formula>ISNUMBER(SEARCH("OK",B80))</formula>
    </cfRule>
  </conditionalFormatting>
  <conditionalFormatting sqref="B80">
    <cfRule type="expression" dxfId="1" priority="12">
      <formula>OR(ISNUMBER(SEARCH("ПРЕВЫШЕН",B80)),ISNUMBER(SEARCH("ВЫШЕ",B80)))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2"/>
  <cols>
    <col customWidth="1" min="1" max="1" width="30.0"/>
    <col customWidth="1" min="2" max="2" width="14.0"/>
    <col customWidth="1" min="3" max="3" width="13.0"/>
    <col customWidth="1" min="4" max="4" width="10.0"/>
    <col customWidth="1" hidden="1" min="5" max="5" width="10.0"/>
    <col customWidth="1" min="6" max="7" width="9.0"/>
    <col customWidth="1" hidden="1" min="8" max="8" width="9.0"/>
    <col customWidth="1" min="9" max="9" width="9.0"/>
    <col customWidth="1" min="10" max="10" width="11.0"/>
    <col customWidth="1" min="11" max="11" width="9.0"/>
    <col customWidth="1" min="12" max="14" width="10.0"/>
    <col customWidth="1" min="15" max="15" width="12.0"/>
    <col customWidth="1" min="16" max="16" width="14.0"/>
    <col customWidth="1" min="17" max="17" width="12.0"/>
    <col customWidth="1" min="18" max="18" width="16.0"/>
    <col customWidth="1" min="19" max="19" width="9.0"/>
    <col customWidth="1" min="20" max="20" width="14.0"/>
    <col customWidth="1" min="21" max="21" width="13.0"/>
    <col customWidth="1" hidden="1" min="22" max="22" width="10.0"/>
    <col customWidth="1" hidden="1" min="23" max="23" width="13.0"/>
    <col customWidth="1" min="24" max="25" width="6.86"/>
    <col customWidth="1" min="26" max="26" width="8.71"/>
  </cols>
  <sheetData>
    <row r="1" ht="15.0" customHeight="1">
      <c r="A1" s="8" t="s">
        <v>7</v>
      </c>
      <c r="F1" s="10"/>
      <c r="G1" s="10"/>
      <c r="H1" s="10"/>
      <c r="X1" s="12"/>
      <c r="Y1" s="14" t="str">
        <f>IF($B$15="Весь период","&lt;&gt;",$B$15)</f>
        <v>&lt;&gt;</v>
      </c>
    </row>
    <row r="2" ht="15.0" customHeight="1">
      <c r="A2" s="15" t="s">
        <v>21</v>
      </c>
      <c r="F2" s="10"/>
      <c r="G2" s="10"/>
      <c r="H2" s="10"/>
      <c r="X2" s="12"/>
      <c r="Y2" s="14" t="str">
        <f>IF($D$15="Все недели","&lt;&gt;",$D$15)</f>
        <v>&lt;&gt;</v>
      </c>
    </row>
    <row r="3">
      <c r="F3" s="10"/>
      <c r="G3" s="10"/>
      <c r="H3" s="10"/>
      <c r="X3" s="12"/>
    </row>
    <row r="4" ht="15.0" customHeight="1">
      <c r="A4" s="17" t="s">
        <v>22</v>
      </c>
      <c r="B4" s="18"/>
      <c r="C4" s="18"/>
      <c r="D4" s="18"/>
      <c r="E4" s="18"/>
      <c r="F4" s="20"/>
      <c r="G4" s="20"/>
      <c r="H4" s="20"/>
      <c r="I4" s="18"/>
      <c r="X4" s="12"/>
    </row>
    <row r="5" ht="21.75" customHeight="1">
      <c r="A5" s="21" t="s">
        <v>23</v>
      </c>
      <c r="B5" s="21" t="s">
        <v>24</v>
      </c>
      <c r="C5" s="21" t="s">
        <v>25</v>
      </c>
      <c r="D5" s="21" t="s">
        <v>26</v>
      </c>
      <c r="E5" s="21"/>
      <c r="F5" s="21" t="s">
        <v>27</v>
      </c>
      <c r="G5" s="21" t="s">
        <v>14</v>
      </c>
      <c r="H5" s="21"/>
      <c r="I5" s="21" t="s">
        <v>16</v>
      </c>
      <c r="X5" s="12"/>
    </row>
    <row r="6" ht="15.0" customHeight="1">
      <c r="A6" s="22" t="s">
        <v>28</v>
      </c>
      <c r="B6" s="23">
        <f>T25</f>
        <v>203728</v>
      </c>
      <c r="C6" s="23">
        <f>P25</f>
        <v>140469</v>
      </c>
      <c r="D6" s="25">
        <f t="shared" ref="D6:D12" si="1">IF(N(B6)=0,"",C6/B6)</f>
        <v>0.6894928532</v>
      </c>
      <c r="E6" s="25"/>
      <c r="F6" s="26">
        <f>S25</f>
        <v>0.1986630502</v>
      </c>
      <c r="G6" s="23">
        <f>I25</f>
        <v>214</v>
      </c>
      <c r="H6" s="23"/>
      <c r="I6" s="23">
        <f>L25</f>
        <v>208</v>
      </c>
      <c r="X6" s="12"/>
    </row>
    <row r="7" ht="15.0" customHeight="1">
      <c r="A7" s="22" t="s">
        <v>29</v>
      </c>
      <c r="B7" s="23">
        <f>T56</f>
        <v>755848</v>
      </c>
      <c r="C7" s="23">
        <f>P56</f>
        <v>299234</v>
      </c>
      <c r="D7" s="25">
        <f t="shared" si="1"/>
        <v>0.3958917666</v>
      </c>
      <c r="E7" s="25"/>
      <c r="F7" s="26">
        <f>S56</f>
        <v>0.2462988831</v>
      </c>
      <c r="G7" s="23">
        <f>I56</f>
        <v>498</v>
      </c>
      <c r="H7" s="23"/>
      <c r="I7" s="23">
        <f>L56</f>
        <v>425</v>
      </c>
      <c r="X7" s="12"/>
    </row>
    <row r="8" ht="15.0" customHeight="1">
      <c r="A8" s="22" t="s">
        <v>31</v>
      </c>
      <c r="B8" s="23">
        <f>T87</f>
        <v>761400</v>
      </c>
      <c r="C8" s="23">
        <f>P87</f>
        <v>747664</v>
      </c>
      <c r="D8" s="25">
        <f t="shared" si="1"/>
        <v>0.9819595482</v>
      </c>
      <c r="E8" s="25"/>
      <c r="F8" s="26">
        <f>S87</f>
        <v>0.2450632905</v>
      </c>
      <c r="G8" s="23">
        <f>I87</f>
        <v>1150</v>
      </c>
      <c r="H8" s="23"/>
      <c r="I8" s="23">
        <f>L87</f>
        <v>1072</v>
      </c>
      <c r="X8" s="12"/>
    </row>
    <row r="9" ht="15.0" customHeight="1">
      <c r="A9" s="22" t="s">
        <v>32</v>
      </c>
      <c r="B9" s="23">
        <f>T129</f>
        <v>0</v>
      </c>
      <c r="C9" s="23">
        <f>P129</f>
        <v>0</v>
      </c>
      <c r="D9" s="25" t="str">
        <f t="shared" si="1"/>
        <v/>
      </c>
      <c r="E9" s="25"/>
      <c r="F9" s="26" t="str">
        <f>S129</f>
        <v/>
      </c>
      <c r="G9" s="23">
        <f>I129</f>
        <v>0</v>
      </c>
      <c r="H9" s="23"/>
      <c r="I9" s="23">
        <f>L129</f>
        <v>0</v>
      </c>
      <c r="X9" s="12"/>
    </row>
    <row r="10" ht="15.0" customHeight="1">
      <c r="A10" s="22" t="s">
        <v>34</v>
      </c>
      <c r="B10" s="23">
        <f>T160</f>
        <v>0</v>
      </c>
      <c r="C10" s="23">
        <f>P160</f>
        <v>0</v>
      </c>
      <c r="D10" s="25" t="str">
        <f t="shared" si="1"/>
        <v/>
      </c>
      <c r="E10" s="25"/>
      <c r="F10" s="26" t="str">
        <f>S160</f>
        <v/>
      </c>
      <c r="G10" s="23">
        <f>I160</f>
        <v>0</v>
      </c>
      <c r="H10" s="23"/>
      <c r="I10" s="23">
        <f>L160</f>
        <v>0</v>
      </c>
      <c r="X10" s="12"/>
    </row>
    <row r="11" ht="15.0" customHeight="1">
      <c r="A11" s="22" t="s">
        <v>36</v>
      </c>
      <c r="B11" s="23">
        <f>T191</f>
        <v>0</v>
      </c>
      <c r="C11" s="23">
        <f>P191</f>
        <v>0</v>
      </c>
      <c r="D11" s="25" t="str">
        <f t="shared" si="1"/>
        <v/>
      </c>
      <c r="E11" s="25"/>
      <c r="F11" s="26" t="str">
        <f>S191</f>
        <v/>
      </c>
      <c r="G11" s="23">
        <f>I191</f>
        <v>0</v>
      </c>
      <c r="H11" s="23"/>
      <c r="I11" s="23">
        <f>L191</f>
        <v>0</v>
      </c>
      <c r="X11" s="12"/>
    </row>
    <row r="12" ht="15.0" customHeight="1">
      <c r="A12" s="31" t="s">
        <v>30</v>
      </c>
      <c r="B12" s="32">
        <f t="shared" ref="B12:C12" si="2">SUM(B6:B11)</f>
        <v>1720976</v>
      </c>
      <c r="C12" s="32">
        <f t="shared" si="2"/>
        <v>1187367</v>
      </c>
      <c r="D12" s="33">
        <f t="shared" si="1"/>
        <v>0.6899381514</v>
      </c>
      <c r="E12" s="33"/>
      <c r="F12" s="34">
        <f>IF(N(C12)=0,"",SUMIFS(C25:C221,V25:V221,"&lt;&gt;")/C12)</f>
        <v>0.2272911408</v>
      </c>
      <c r="G12" s="32">
        <f>SUM(G6:G11)</f>
        <v>1862</v>
      </c>
      <c r="H12" s="32"/>
      <c r="I12" s="32">
        <f>SUM(I6:I11)</f>
        <v>1705</v>
      </c>
      <c r="X12" s="12"/>
    </row>
    <row r="13">
      <c r="F13" s="10"/>
      <c r="G13" s="10"/>
      <c r="H13" s="10"/>
      <c r="X13" s="12"/>
    </row>
    <row r="14" ht="15.0" customHeight="1">
      <c r="A14" s="17" t="s">
        <v>39</v>
      </c>
      <c r="B14" s="18"/>
      <c r="C14" s="18"/>
      <c r="D14" s="18"/>
      <c r="E14" s="18"/>
      <c r="F14" s="20"/>
      <c r="G14" s="20"/>
      <c r="H14" s="20"/>
      <c r="I14" s="18"/>
      <c r="J14" s="18"/>
      <c r="X14" s="12"/>
    </row>
    <row r="15" ht="15.0" customHeight="1">
      <c r="A15" s="35" t="s">
        <v>40</v>
      </c>
      <c r="B15" s="36" t="s">
        <v>41</v>
      </c>
      <c r="C15" s="35" t="s">
        <v>42</v>
      </c>
      <c r="D15" s="36" t="s">
        <v>43</v>
      </c>
      <c r="E15" s="36"/>
      <c r="F15" s="36"/>
      <c r="G15" s="37"/>
      <c r="H15" s="37"/>
      <c r="X15" s="12"/>
    </row>
    <row r="16" ht="21.75" customHeight="1">
      <c r="A16" s="21" t="s">
        <v>44</v>
      </c>
      <c r="B16" s="21" t="s">
        <v>9</v>
      </c>
      <c r="C16" s="21" t="s">
        <v>14</v>
      </c>
      <c r="D16" s="21" t="s">
        <v>16</v>
      </c>
      <c r="E16" s="21"/>
      <c r="F16" s="21" t="s">
        <v>25</v>
      </c>
      <c r="G16" s="21" t="s">
        <v>15</v>
      </c>
      <c r="H16" s="21"/>
      <c r="I16" s="21" t="s">
        <v>45</v>
      </c>
      <c r="J16" s="21" t="s">
        <v>19</v>
      </c>
      <c r="X16" s="12"/>
    </row>
    <row r="17" ht="15.0" customHeight="1">
      <c r="A17" s="38" t="s">
        <v>46</v>
      </c>
      <c r="B17" s="23">
        <f>IF($A$17="","",SUMIFS($C$25:$C$221,$V$25:$V$221,$Y$1,$W$25:$W$221,$Y$2,$B$25:$B$221,$A$17))</f>
        <v>258515</v>
      </c>
      <c r="C17" s="23">
        <f>IF($A$17="","",SUMIFS($I$25:$I$221,$V$25:$V$221,$Y$1,$W$25:$W$221,$Y$2,$B$25:$B$221,$A$17))</f>
        <v>1807</v>
      </c>
      <c r="D17" s="23">
        <f>IF($A$17="","",SUMIFS($L$25:$L$221,$V$25:$V$221,$Y$1,$W$25:$W$221,$Y$2,$B$25:$B$221,$A$17))</f>
        <v>1656</v>
      </c>
      <c r="E17" s="23"/>
      <c r="F17" s="39">
        <f>IF($A$17="","",SUMIFS($P$25:$P$221,$V$25:$V$221,$Y$1,$W$25:$W$221,$Y$2,$B$25:$B$221,$A$17))</f>
        <v>1136556</v>
      </c>
      <c r="G17" s="23">
        <f t="shared" ref="G17:G22" si="3">IF(N(C17)=0,"",B17/C17)</f>
        <v>143.063088</v>
      </c>
      <c r="H17" s="23"/>
      <c r="I17" s="23">
        <f t="shared" ref="I17:I22" si="4">IF(N(D17)=0,"",B17/D17)</f>
        <v>156.1080918</v>
      </c>
      <c r="J17" s="25">
        <f t="shared" ref="J17:J22" si="5">IF(N(F17)=0,"",B17/F17)</f>
        <v>0.2274546965</v>
      </c>
      <c r="X17" s="12"/>
    </row>
    <row r="18" ht="15.0" customHeight="1">
      <c r="A18" s="38" t="s">
        <v>48</v>
      </c>
      <c r="B18" s="23">
        <f>IF($A$18="","",SUMIFS($C$25:$C$221,$V$25:$V$221,$Y$1,$W$25:$W$221,$Y$2,$B$25:$B$221,$A$18))</f>
        <v>10411</v>
      </c>
      <c r="C18" s="23">
        <f>IF($A$18="","",SUMIFS($I$25:$I$221,$V$25:$V$221,$Y$1,$W$25:$W$221,$Y$2,$B$25:$B$221,$A$18))</f>
        <v>6</v>
      </c>
      <c r="D18" s="23">
        <f>IF($A$18="","",SUMIFS($L$25:$L$221,$V$25:$V$221,$Y$1,$W$25:$W$221,$Y$2,$B$25:$B$221,$A$18))</f>
        <v>6</v>
      </c>
      <c r="E18" s="23"/>
      <c r="F18" s="39">
        <f>IF($A$18="","",SUMIFS($P$25:$P$221,$V$25:$V$221,$Y$1,$W$25:$W$221,$Y$2,$B$25:$B$221,$A$18))</f>
        <v>17385</v>
      </c>
      <c r="G18" s="23">
        <f t="shared" si="3"/>
        <v>1735.166667</v>
      </c>
      <c r="H18" s="23"/>
      <c r="I18" s="23">
        <f t="shared" si="4"/>
        <v>1735.166667</v>
      </c>
      <c r="J18" s="25">
        <f t="shared" si="5"/>
        <v>0.598849583</v>
      </c>
      <c r="X18" s="12"/>
    </row>
    <row r="19" ht="15.0" customHeight="1">
      <c r="A19" s="38"/>
      <c r="B19" s="23" t="str">
        <f>IF($A$19="","",SUMIFS($C$25:$C$221,$V$25:$V$221,$Y$1,$W$25:$W$221,$Y$2,$B$25:$B$221,$A$19))</f>
        <v/>
      </c>
      <c r="C19" s="23" t="str">
        <f>IF($A$19="","",SUMIFS($I$25:$I$221,$V$25:$V$221,$Y$1,$W$25:$W$221,$Y$2,$B$25:$B$221,$A$19))</f>
        <v/>
      </c>
      <c r="D19" s="23" t="str">
        <f>IF($A$19="","",SUMIFS($L$25:$L$221,$V$25:$V$221,$Y$1,$W$25:$W$221,$Y$2,$B$25:$B$221,$A$19))</f>
        <v/>
      </c>
      <c r="E19" s="23"/>
      <c r="F19" s="39" t="str">
        <f>IF($A$19="","",SUMIFS($P$25:$P$221,$V$25:$V$221,$Y$1,$W$25:$W$221,$Y$2,$B$25:$B$221,$A$19))</f>
        <v/>
      </c>
      <c r="G19" s="23" t="str">
        <f t="shared" si="3"/>
        <v/>
      </c>
      <c r="H19" s="23"/>
      <c r="I19" s="23" t="str">
        <f t="shared" si="4"/>
        <v/>
      </c>
      <c r="J19" s="25" t="str">
        <f t="shared" si="5"/>
        <v/>
      </c>
      <c r="X19" s="12"/>
    </row>
    <row r="20" ht="15.0" customHeight="1">
      <c r="A20" s="38"/>
      <c r="B20" s="23" t="str">
        <f>IF($A$20="","",SUMIFS($C$25:$C$221,$V$25:$V$221,$Y$1,$W$25:$W$221,$Y$2,$B$25:$B$221,$A$20))</f>
        <v/>
      </c>
      <c r="C20" s="23" t="str">
        <f>IF($A$20="","",SUMIFS($I$25:$I$221,$V$25:$V$221,$Y$1,$W$25:$W$221,$Y$2,$B$25:$B$221,$A$20))</f>
        <v/>
      </c>
      <c r="D20" s="23" t="str">
        <f>IF($A$20="","",SUMIFS($L$25:$L$221,$V$25:$V$221,$Y$1,$W$25:$W$221,$Y$2,$B$25:$B$221,$A$20))</f>
        <v/>
      </c>
      <c r="E20" s="23"/>
      <c r="F20" s="39" t="str">
        <f>IF($A$20="","",SUMIFS($P$25:$P$221,$V$25:$V$221,$Y$1,$W$25:$W$221,$Y$2,$B$25:$B$221,$A$20))</f>
        <v/>
      </c>
      <c r="G20" s="23" t="str">
        <f t="shared" si="3"/>
        <v/>
      </c>
      <c r="H20" s="23"/>
      <c r="I20" s="23" t="str">
        <f t="shared" si="4"/>
        <v/>
      </c>
      <c r="J20" s="25" t="str">
        <f t="shared" si="5"/>
        <v/>
      </c>
      <c r="X20" s="12"/>
    </row>
    <row r="21" ht="15.0" customHeight="1">
      <c r="A21" s="38"/>
      <c r="B21" s="23" t="str">
        <f>IF($A$21="","",SUMIFS($C$25:$C$221,$V$25:$V$221,$Y$1,$W$25:$W$221,$Y$2,$B$25:$B$221,$A$21))</f>
        <v/>
      </c>
      <c r="C21" s="23" t="str">
        <f>IF($A$21="","",SUMIFS($I$25:$I$221,$V$25:$V$221,$Y$1,$W$25:$W$221,$Y$2,$B$25:$B$221,$A$21))</f>
        <v/>
      </c>
      <c r="D21" s="23" t="str">
        <f>IF($A$21="","",SUMIFS($L$25:$L$221,$V$25:$V$221,$Y$1,$W$25:$W$221,$Y$2,$B$25:$B$221,$A$21))</f>
        <v/>
      </c>
      <c r="E21" s="23"/>
      <c r="F21" s="39" t="str">
        <f>IF($A$21="","",SUMIFS($P$25:$P$221,$V$25:$V$221,$Y$1,$W$25:$W$221,$Y$2,$B$25:$B$221,$A$21))</f>
        <v/>
      </c>
      <c r="G21" s="23" t="str">
        <f t="shared" si="3"/>
        <v/>
      </c>
      <c r="H21" s="23"/>
      <c r="I21" s="23" t="str">
        <f t="shared" si="4"/>
        <v/>
      </c>
      <c r="J21" s="25" t="str">
        <f t="shared" si="5"/>
        <v/>
      </c>
      <c r="X21" s="12"/>
    </row>
    <row r="22" ht="15.0" customHeight="1">
      <c r="A22" s="31" t="s">
        <v>30</v>
      </c>
      <c r="B22" s="32">
        <f>SUMIFS($C$25:$C$221,$V$25:$V$221,$Y$1,$W$25:$W$221,$Y$2)</f>
        <v>269878</v>
      </c>
      <c r="C22" s="32">
        <f>SUMIFS($I$25:$I$221,$V$25:$V$221,$Y$1,$W$25:$W$221,$Y$2)</f>
        <v>1813</v>
      </c>
      <c r="D22" s="32">
        <f>SUMIFS($L$25:$L$221,$V$25:$V$221,$Y$1,$W$25:$W$221,$Y$2)</f>
        <v>1662</v>
      </c>
      <c r="E22" s="32"/>
      <c r="F22" s="40">
        <f>SUMIFS($P$25:$P$221,$V$25:$V$221,$Y$1,$W$25:$W$221,$Y$2)</f>
        <v>1153941</v>
      </c>
      <c r="G22" s="32">
        <f t="shared" si="3"/>
        <v>148.8571429</v>
      </c>
      <c r="H22" s="32"/>
      <c r="I22" s="32">
        <f t="shared" si="4"/>
        <v>162.3814681</v>
      </c>
      <c r="J22" s="33">
        <f t="shared" si="5"/>
        <v>0.2338750421</v>
      </c>
      <c r="X22" s="12"/>
    </row>
    <row r="23" ht="15.75" customHeight="1">
      <c r="F23" s="10"/>
      <c r="G23" s="10"/>
      <c r="H23" s="10"/>
      <c r="X23" s="12"/>
    </row>
    <row r="24" ht="37.5" customHeight="1">
      <c r="A24" s="21" t="s">
        <v>52</v>
      </c>
      <c r="B24" s="21" t="s">
        <v>44</v>
      </c>
      <c r="C24" s="21" t="s">
        <v>53</v>
      </c>
      <c r="D24" s="21" t="s">
        <v>54</v>
      </c>
      <c r="E24" s="21" t="s">
        <v>55</v>
      </c>
      <c r="F24" s="21" t="s">
        <v>56</v>
      </c>
      <c r="G24" s="21" t="s">
        <v>57</v>
      </c>
      <c r="H24" s="21" t="s">
        <v>58</v>
      </c>
      <c r="I24" s="21" t="s">
        <v>59</v>
      </c>
      <c r="J24" s="21" t="s">
        <v>13</v>
      </c>
      <c r="K24" s="21" t="s">
        <v>6</v>
      </c>
      <c r="L24" s="21" t="s">
        <v>16</v>
      </c>
      <c r="M24" s="21" t="s">
        <v>60</v>
      </c>
      <c r="N24" s="21" t="s">
        <v>61</v>
      </c>
      <c r="O24" s="21" t="s">
        <v>5</v>
      </c>
      <c r="P24" s="21" t="s">
        <v>25</v>
      </c>
      <c r="Q24" s="21" t="s">
        <v>62</v>
      </c>
      <c r="R24" s="21" t="s">
        <v>63</v>
      </c>
      <c r="S24" s="21" t="s">
        <v>27</v>
      </c>
      <c r="T24" s="21" t="s">
        <v>24</v>
      </c>
      <c r="U24" s="21" t="s">
        <v>64</v>
      </c>
      <c r="X24" s="41" t="s">
        <v>65</v>
      </c>
    </row>
    <row r="25" ht="15.0" customHeight="1" collapsed="1">
      <c r="A25" s="42" t="s">
        <v>2</v>
      </c>
      <c r="B25" s="42"/>
      <c r="C25" s="43">
        <f t="shared" ref="C25:D25" si="6">C26+C32+C38+C44+C50</f>
        <v>27906</v>
      </c>
      <c r="D25" s="43">
        <f t="shared" si="6"/>
        <v>97351</v>
      </c>
      <c r="E25" s="43"/>
      <c r="F25" s="44">
        <f>F26+F32+F38+F44+F50</f>
        <v>707</v>
      </c>
      <c r="G25" s="44"/>
      <c r="H25" s="44"/>
      <c r="I25" s="43">
        <f>I26+I32+I38+I44+I50</f>
        <v>214</v>
      </c>
      <c r="J25" s="45">
        <f t="shared" ref="J25:J90" si="8">IF(N(D25)=0,"",I25/D25)</f>
        <v>0.002198231143</v>
      </c>
      <c r="K25" s="45">
        <f t="shared" ref="K25:K26" si="9">IF(N(I25)=0,"",L25/I25)</f>
        <v>0.9719626168</v>
      </c>
      <c r="L25" s="43">
        <f>L26+L32+L38+L44+L50</f>
        <v>208</v>
      </c>
      <c r="M25" s="43"/>
      <c r="N25" s="43"/>
      <c r="O25" s="43">
        <f t="shared" ref="O25:O26" si="10">IF(N(L25)=0,"",P25/L25)</f>
        <v>675.3317308</v>
      </c>
      <c r="P25" s="43">
        <f>P26+P32+P38+P44+P50</f>
        <v>140469</v>
      </c>
      <c r="Q25" s="43">
        <f t="shared" ref="Q25:Q90" si="11">IF(N(I25)=0,"",C25/I25)</f>
        <v>130.4018692</v>
      </c>
      <c r="R25" s="43">
        <f t="shared" ref="R25:R90" si="12">IF(N(L25)=0,"",C25/L25)</f>
        <v>134.1634615</v>
      </c>
      <c r="S25" s="45">
        <f t="shared" ref="S25:S90" si="13">IF(N(P25)=0,"",C25/P25)</f>
        <v>0.1986630502</v>
      </c>
      <c r="T25" s="43">
        <f>'Медиаплан'!$K$14</f>
        <v>203728</v>
      </c>
      <c r="U25" s="45">
        <f t="shared" ref="U25:U26" si="14">IF(N(T25)=0,"",P25/T25)</f>
        <v>0.6894928532</v>
      </c>
      <c r="X25" s="46"/>
    </row>
    <row r="26" ht="15.0" hidden="1" customHeight="1" outlineLevel="1">
      <c r="A26" s="31" t="s">
        <v>67</v>
      </c>
      <c r="B26" s="31"/>
      <c r="C26" s="32">
        <f t="shared" ref="C26:D26" si="7">SUM(C27:C31)</f>
        <v>5096</v>
      </c>
      <c r="D26" s="32">
        <f t="shared" si="7"/>
        <v>11166</v>
      </c>
      <c r="E26" s="32"/>
      <c r="F26" s="40">
        <f>SUM(F27:F31)</f>
        <v>66</v>
      </c>
      <c r="G26" s="40"/>
      <c r="H26" s="40"/>
      <c r="I26" s="32">
        <f>SUM(I27:I31)</f>
        <v>40</v>
      </c>
      <c r="J26" s="33">
        <f t="shared" si="8"/>
        <v>0.003582303421</v>
      </c>
      <c r="K26" s="33">
        <f t="shared" si="9"/>
        <v>0.725</v>
      </c>
      <c r="L26" s="32">
        <f>SUM(L27:L31)</f>
        <v>29</v>
      </c>
      <c r="M26" s="32"/>
      <c r="N26" s="32"/>
      <c r="O26" s="32">
        <f t="shared" si="10"/>
        <v>722.5862069</v>
      </c>
      <c r="P26" s="32">
        <f>SUM(P27:P31)</f>
        <v>20955</v>
      </c>
      <c r="Q26" s="32">
        <f t="shared" si="11"/>
        <v>127.4</v>
      </c>
      <c r="R26" s="32">
        <f t="shared" si="12"/>
        <v>175.7241379</v>
      </c>
      <c r="S26" s="33">
        <f t="shared" si="13"/>
        <v>0.2431877833</v>
      </c>
      <c r="T26" s="32">
        <f>ROUND('Медиаплан'!$K$14*7/31,0)</f>
        <v>46003</v>
      </c>
      <c r="U26" s="33">
        <f t="shared" si="14"/>
        <v>0.4555137708</v>
      </c>
      <c r="X26" s="47"/>
    </row>
    <row r="27" ht="15.0" hidden="1" customHeight="1" outlineLevel="2">
      <c r="A27" s="22" t="s">
        <v>68</v>
      </c>
      <c r="B27" s="38" t="s">
        <v>46</v>
      </c>
      <c r="C27" s="48">
        <v>2979.0</v>
      </c>
      <c r="D27" s="48">
        <v>4364.0</v>
      </c>
      <c r="E27" s="48"/>
      <c r="F27" s="49">
        <v>48.0</v>
      </c>
      <c r="G27" s="50"/>
      <c r="H27" s="50"/>
      <c r="I27" s="48">
        <v>39.0</v>
      </c>
      <c r="J27" s="51">
        <f t="shared" si="8"/>
        <v>0.00893675527</v>
      </c>
      <c r="K27" s="52">
        <v>0.7166</v>
      </c>
      <c r="L27" s="53">
        <f t="shared" ref="L27:L31" si="15">IF(OR(I27="",K27=""),"",ROUND(I27*K27,0))</f>
        <v>28</v>
      </c>
      <c r="M27" s="53"/>
      <c r="N27" s="53"/>
      <c r="O27" s="48">
        <v>595.0</v>
      </c>
      <c r="P27" s="53">
        <f t="shared" ref="P27:P31" si="16">IF(N(L27)=0,"",L27*O27)</f>
        <v>16660</v>
      </c>
      <c r="Q27" s="53">
        <f t="shared" si="11"/>
        <v>76.38461538</v>
      </c>
      <c r="R27" s="53">
        <f t="shared" si="12"/>
        <v>106.3928571</v>
      </c>
      <c r="S27" s="51">
        <f t="shared" si="13"/>
        <v>0.1788115246</v>
      </c>
      <c r="T27" s="23"/>
      <c r="U27" s="25"/>
      <c r="V27" s="14" t="s">
        <v>28</v>
      </c>
      <c r="W27" s="14" t="s">
        <v>69</v>
      </c>
      <c r="X27" s="54"/>
    </row>
    <row r="28" ht="15.0" hidden="1" customHeight="1" outlineLevel="2">
      <c r="A28" s="22" t="s">
        <v>70</v>
      </c>
      <c r="B28" s="38" t="s">
        <v>46</v>
      </c>
      <c r="C28" s="48"/>
      <c r="D28" s="48"/>
      <c r="E28" s="48"/>
      <c r="F28" s="55"/>
      <c r="G28" s="50"/>
      <c r="H28" s="50"/>
      <c r="I28" s="48"/>
      <c r="J28" s="51" t="str">
        <f t="shared" si="8"/>
        <v/>
      </c>
      <c r="K28" s="52"/>
      <c r="L28" s="53" t="str">
        <f t="shared" si="15"/>
        <v/>
      </c>
      <c r="M28" s="53"/>
      <c r="N28" s="53"/>
      <c r="O28" s="48"/>
      <c r="P28" s="53" t="str">
        <f t="shared" si="16"/>
        <v/>
      </c>
      <c r="Q28" s="53" t="str">
        <f t="shared" si="11"/>
        <v/>
      </c>
      <c r="R28" s="53" t="str">
        <f t="shared" si="12"/>
        <v/>
      </c>
      <c r="S28" s="51" t="str">
        <f t="shared" si="13"/>
        <v/>
      </c>
      <c r="T28" s="23"/>
      <c r="U28" s="25"/>
      <c r="V28" s="14" t="s">
        <v>28</v>
      </c>
      <c r="W28" s="14" t="s">
        <v>69</v>
      </c>
      <c r="X28" s="54"/>
    </row>
    <row r="29" ht="15.0" hidden="1" customHeight="1" outlineLevel="2">
      <c r="A29" s="22" t="s">
        <v>68</v>
      </c>
      <c r="B29" s="38" t="s">
        <v>48</v>
      </c>
      <c r="C29" s="48">
        <v>120.0</v>
      </c>
      <c r="D29" s="48">
        <v>37.0</v>
      </c>
      <c r="E29" s="48"/>
      <c r="F29" s="49">
        <v>18.0</v>
      </c>
      <c r="G29" s="50"/>
      <c r="H29" s="50"/>
      <c r="I29" s="48">
        <v>1.0</v>
      </c>
      <c r="J29" s="51">
        <f t="shared" si="8"/>
        <v>0.02702702703</v>
      </c>
      <c r="K29" s="52">
        <v>1.0</v>
      </c>
      <c r="L29" s="53">
        <f t="shared" si="15"/>
        <v>1</v>
      </c>
      <c r="M29" s="53"/>
      <c r="N29" s="53"/>
      <c r="O29" s="48">
        <v>4295.0</v>
      </c>
      <c r="P29" s="53">
        <f t="shared" si="16"/>
        <v>4295</v>
      </c>
      <c r="Q29" s="53">
        <f t="shared" si="11"/>
        <v>120</v>
      </c>
      <c r="R29" s="53">
        <f t="shared" si="12"/>
        <v>120</v>
      </c>
      <c r="S29" s="51">
        <f t="shared" si="13"/>
        <v>0.02793946449</v>
      </c>
      <c r="T29" s="23"/>
      <c r="U29" s="25"/>
      <c r="V29" s="14" t="s">
        <v>28</v>
      </c>
      <c r="W29" s="14" t="s">
        <v>69</v>
      </c>
      <c r="X29" s="54"/>
    </row>
    <row r="30" ht="15.0" hidden="1" customHeight="1" outlineLevel="2">
      <c r="A30" s="22" t="s">
        <v>71</v>
      </c>
      <c r="B30" s="38" t="s">
        <v>48</v>
      </c>
      <c r="C30" s="48">
        <v>1997.0</v>
      </c>
      <c r="D30" s="48">
        <v>6765.0</v>
      </c>
      <c r="E30" s="48"/>
      <c r="F30" s="55"/>
      <c r="G30" s="50"/>
      <c r="H30" s="50"/>
      <c r="I30" s="48">
        <v>0.0</v>
      </c>
      <c r="J30" s="51">
        <f t="shared" si="8"/>
        <v>0</v>
      </c>
      <c r="K30" s="52"/>
      <c r="L30" s="53" t="str">
        <f t="shared" si="15"/>
        <v/>
      </c>
      <c r="M30" s="53"/>
      <c r="N30" s="53"/>
      <c r="O30" s="48">
        <v>4295.0</v>
      </c>
      <c r="P30" s="53" t="str">
        <f t="shared" si="16"/>
        <v/>
      </c>
      <c r="Q30" s="53" t="str">
        <f t="shared" si="11"/>
        <v/>
      </c>
      <c r="R30" s="53" t="str">
        <f t="shared" si="12"/>
        <v/>
      </c>
      <c r="S30" s="51" t="str">
        <f t="shared" si="13"/>
        <v/>
      </c>
      <c r="T30" s="23"/>
      <c r="U30" s="25"/>
      <c r="V30" s="14" t="s">
        <v>28</v>
      </c>
      <c r="W30" s="14" t="s">
        <v>69</v>
      </c>
      <c r="X30" s="54"/>
    </row>
    <row r="31" ht="15.0" hidden="1" customHeight="1" outlineLevel="2">
      <c r="A31" s="22"/>
      <c r="B31" s="38"/>
      <c r="C31" s="48"/>
      <c r="D31" s="48"/>
      <c r="E31" s="48"/>
      <c r="F31" s="50"/>
      <c r="G31" s="50"/>
      <c r="H31" s="50"/>
      <c r="I31" s="48"/>
      <c r="J31" s="51" t="str">
        <f t="shared" si="8"/>
        <v/>
      </c>
      <c r="K31" s="52"/>
      <c r="L31" s="53" t="str">
        <f t="shared" si="15"/>
        <v/>
      </c>
      <c r="M31" s="53"/>
      <c r="N31" s="53"/>
      <c r="O31" s="48"/>
      <c r="P31" s="53" t="str">
        <f t="shared" si="16"/>
        <v/>
      </c>
      <c r="Q31" s="53" t="str">
        <f t="shared" si="11"/>
        <v/>
      </c>
      <c r="R31" s="53" t="str">
        <f t="shared" si="12"/>
        <v/>
      </c>
      <c r="S31" s="51" t="str">
        <f t="shared" si="13"/>
        <v/>
      </c>
      <c r="T31" s="23"/>
      <c r="U31" s="25"/>
      <c r="V31" s="14" t="s">
        <v>28</v>
      </c>
      <c r="W31" s="14" t="s">
        <v>69</v>
      </c>
      <c r="X31" s="54"/>
    </row>
    <row r="32" ht="15.0" hidden="1" customHeight="1" outlineLevel="1">
      <c r="A32" s="31" t="s">
        <v>72</v>
      </c>
      <c r="B32" s="31"/>
      <c r="C32" s="32">
        <f t="shared" ref="C32:D32" si="17">SUM(C33:C37)</f>
        <v>631</v>
      </c>
      <c r="D32" s="32">
        <f t="shared" si="17"/>
        <v>1800</v>
      </c>
      <c r="E32" s="32"/>
      <c r="F32" s="40">
        <f>SUM(F33:F37)</f>
        <v>202</v>
      </c>
      <c r="G32" s="40"/>
      <c r="H32" s="40"/>
      <c r="I32" s="32">
        <f>SUM(I33:I37)</f>
        <v>10</v>
      </c>
      <c r="J32" s="33">
        <f t="shared" si="8"/>
        <v>0.005555555556</v>
      </c>
      <c r="K32" s="33">
        <f>IF(N(I32)=0,"",L32/I32)</f>
        <v>0.6</v>
      </c>
      <c r="L32" s="32">
        <f>SUM(L33:L37)</f>
        <v>6</v>
      </c>
      <c r="M32" s="32"/>
      <c r="N32" s="32"/>
      <c r="O32" s="32">
        <f>IF(N(L32)=0,"",P32/L32)</f>
        <v>595</v>
      </c>
      <c r="P32" s="32">
        <f>SUM(P33:P37)</f>
        <v>3570</v>
      </c>
      <c r="Q32" s="32">
        <f t="shared" si="11"/>
        <v>63.1</v>
      </c>
      <c r="R32" s="32">
        <f t="shared" si="12"/>
        <v>105.1666667</v>
      </c>
      <c r="S32" s="33">
        <f t="shared" si="13"/>
        <v>0.1767507003</v>
      </c>
      <c r="T32" s="32">
        <f>ROUND('Медиаплан'!$K$14*7/31,0)</f>
        <v>46003</v>
      </c>
      <c r="U32" s="33">
        <f>IF(N(T32)=0,"",P32/T32)</f>
        <v>0.07760363455</v>
      </c>
      <c r="X32" s="47"/>
    </row>
    <row r="33" ht="15.0" hidden="1" customHeight="1" outlineLevel="2">
      <c r="A33" s="22" t="s">
        <v>68</v>
      </c>
      <c r="B33" s="38" t="s">
        <v>46</v>
      </c>
      <c r="C33" s="48">
        <v>462.0</v>
      </c>
      <c r="D33" s="48">
        <v>1235.0</v>
      </c>
      <c r="E33" s="48"/>
      <c r="F33" s="49">
        <v>198.0</v>
      </c>
      <c r="G33" s="50"/>
      <c r="H33" s="50"/>
      <c r="I33" s="48">
        <v>10.0</v>
      </c>
      <c r="J33" s="51">
        <f t="shared" si="8"/>
        <v>0.008097165992</v>
      </c>
      <c r="K33" s="52">
        <v>0.5883</v>
      </c>
      <c r="L33" s="53">
        <f t="shared" ref="L33:L37" si="18">IF(OR(I33="",K33=""),"",ROUND(I33*K33,0))</f>
        <v>6</v>
      </c>
      <c r="M33" s="53"/>
      <c r="N33" s="53"/>
      <c r="O33" s="48">
        <v>595.0</v>
      </c>
      <c r="P33" s="53">
        <f t="shared" ref="P33:P37" si="19">IF(N(L33)=0,"",L33*O33)</f>
        <v>3570</v>
      </c>
      <c r="Q33" s="53">
        <f t="shared" si="11"/>
        <v>46.2</v>
      </c>
      <c r="R33" s="53">
        <f t="shared" si="12"/>
        <v>77</v>
      </c>
      <c r="S33" s="51">
        <f t="shared" si="13"/>
        <v>0.1294117647</v>
      </c>
      <c r="T33" s="23"/>
      <c r="U33" s="25"/>
      <c r="V33" s="14" t="s">
        <v>28</v>
      </c>
      <c r="W33" s="14" t="s">
        <v>73</v>
      </c>
      <c r="X33" s="54"/>
    </row>
    <row r="34" ht="15.0" hidden="1" customHeight="1" outlineLevel="2">
      <c r="A34" s="22" t="s">
        <v>70</v>
      </c>
      <c r="B34" s="38" t="s">
        <v>46</v>
      </c>
      <c r="C34" s="48"/>
      <c r="D34" s="48"/>
      <c r="E34" s="48"/>
      <c r="F34" s="55"/>
      <c r="G34" s="50"/>
      <c r="H34" s="50"/>
      <c r="I34" s="48"/>
      <c r="J34" s="51" t="str">
        <f t="shared" si="8"/>
        <v/>
      </c>
      <c r="K34" s="52">
        <v>0.5883</v>
      </c>
      <c r="L34" s="53" t="str">
        <f t="shared" si="18"/>
        <v/>
      </c>
      <c r="M34" s="53"/>
      <c r="N34" s="53"/>
      <c r="O34" s="48">
        <v>595.0</v>
      </c>
      <c r="P34" s="53" t="str">
        <f t="shared" si="19"/>
        <v/>
      </c>
      <c r="Q34" s="53" t="str">
        <f t="shared" si="11"/>
        <v/>
      </c>
      <c r="R34" s="53" t="str">
        <f t="shared" si="12"/>
        <v/>
      </c>
      <c r="S34" s="51" t="str">
        <f t="shared" si="13"/>
        <v/>
      </c>
      <c r="T34" s="23"/>
      <c r="U34" s="25"/>
      <c r="V34" s="14" t="s">
        <v>28</v>
      </c>
      <c r="W34" s="14" t="s">
        <v>73</v>
      </c>
      <c r="X34" s="54"/>
    </row>
    <row r="35" ht="15.0" hidden="1" customHeight="1" outlineLevel="2">
      <c r="A35" s="22" t="s">
        <v>68</v>
      </c>
      <c r="B35" s="38" t="s">
        <v>48</v>
      </c>
      <c r="C35" s="48"/>
      <c r="D35" s="48"/>
      <c r="E35" s="48"/>
      <c r="F35" s="49">
        <v>4.0</v>
      </c>
      <c r="G35" s="50"/>
      <c r="H35" s="50"/>
      <c r="I35" s="48"/>
      <c r="J35" s="51" t="str">
        <f t="shared" si="8"/>
        <v/>
      </c>
      <c r="K35" s="52"/>
      <c r="L35" s="53" t="str">
        <f t="shared" si="18"/>
        <v/>
      </c>
      <c r="M35" s="53"/>
      <c r="N35" s="53"/>
      <c r="O35" s="48"/>
      <c r="P35" s="53" t="str">
        <f t="shared" si="19"/>
        <v/>
      </c>
      <c r="Q35" s="53" t="str">
        <f t="shared" si="11"/>
        <v/>
      </c>
      <c r="R35" s="53" t="str">
        <f t="shared" si="12"/>
        <v/>
      </c>
      <c r="S35" s="51" t="str">
        <f t="shared" si="13"/>
        <v/>
      </c>
      <c r="T35" s="23"/>
      <c r="U35" s="25"/>
      <c r="V35" s="14" t="s">
        <v>28</v>
      </c>
      <c r="W35" s="14" t="s">
        <v>73</v>
      </c>
      <c r="X35" s="54"/>
    </row>
    <row r="36" ht="15.0" hidden="1" customHeight="1" outlineLevel="2">
      <c r="A36" s="22" t="s">
        <v>71</v>
      </c>
      <c r="B36" s="38" t="s">
        <v>48</v>
      </c>
      <c r="C36" s="48">
        <v>169.0</v>
      </c>
      <c r="D36" s="48">
        <v>565.0</v>
      </c>
      <c r="E36" s="48"/>
      <c r="F36" s="55"/>
      <c r="G36" s="50"/>
      <c r="H36" s="50"/>
      <c r="I36" s="48">
        <v>0.0</v>
      </c>
      <c r="J36" s="51">
        <f t="shared" si="8"/>
        <v>0</v>
      </c>
      <c r="K36" s="52"/>
      <c r="L36" s="53" t="str">
        <f t="shared" si="18"/>
        <v/>
      </c>
      <c r="M36" s="53"/>
      <c r="N36" s="53"/>
      <c r="O36" s="48">
        <v>4295.0</v>
      </c>
      <c r="P36" s="53" t="str">
        <f t="shared" si="19"/>
        <v/>
      </c>
      <c r="Q36" s="53" t="str">
        <f t="shared" si="11"/>
        <v/>
      </c>
      <c r="R36" s="53" t="str">
        <f t="shared" si="12"/>
        <v/>
      </c>
      <c r="S36" s="51" t="str">
        <f t="shared" si="13"/>
        <v/>
      </c>
      <c r="T36" s="23"/>
      <c r="U36" s="25"/>
      <c r="V36" s="14" t="s">
        <v>28</v>
      </c>
      <c r="W36" s="14" t="s">
        <v>73</v>
      </c>
      <c r="X36" s="54"/>
    </row>
    <row r="37" ht="15.0" hidden="1" customHeight="1" outlineLevel="2">
      <c r="A37" s="22"/>
      <c r="B37" s="38"/>
      <c r="C37" s="48"/>
      <c r="D37" s="48"/>
      <c r="E37" s="48"/>
      <c r="F37" s="50"/>
      <c r="G37" s="50"/>
      <c r="H37" s="50"/>
      <c r="I37" s="48"/>
      <c r="J37" s="51" t="str">
        <f t="shared" si="8"/>
        <v/>
      </c>
      <c r="K37" s="52"/>
      <c r="L37" s="53" t="str">
        <f t="shared" si="18"/>
        <v/>
      </c>
      <c r="M37" s="53"/>
      <c r="N37" s="53"/>
      <c r="O37" s="48"/>
      <c r="P37" s="53" t="str">
        <f t="shared" si="19"/>
        <v/>
      </c>
      <c r="Q37" s="53" t="str">
        <f t="shared" si="11"/>
        <v/>
      </c>
      <c r="R37" s="53" t="str">
        <f t="shared" si="12"/>
        <v/>
      </c>
      <c r="S37" s="51" t="str">
        <f t="shared" si="13"/>
        <v/>
      </c>
      <c r="T37" s="23"/>
      <c r="U37" s="25"/>
      <c r="V37" s="14" t="s">
        <v>28</v>
      </c>
      <c r="W37" s="14" t="s">
        <v>73</v>
      </c>
      <c r="X37" s="54"/>
    </row>
    <row r="38" ht="15.0" hidden="1" customHeight="1" outlineLevel="1">
      <c r="A38" s="31" t="s">
        <v>74</v>
      </c>
      <c r="B38" s="31"/>
      <c r="C38" s="32">
        <f t="shared" ref="C38:D38" si="20">SUM(C39:C43)</f>
        <v>4084</v>
      </c>
      <c r="D38" s="32">
        <f t="shared" si="20"/>
        <v>13884</v>
      </c>
      <c r="E38" s="32"/>
      <c r="F38" s="40">
        <f>SUM(F39:F43)</f>
        <v>240</v>
      </c>
      <c r="G38" s="40"/>
      <c r="H38" s="40"/>
      <c r="I38" s="32">
        <f>SUM(I39:I43)</f>
        <v>31</v>
      </c>
      <c r="J38" s="33">
        <f t="shared" si="8"/>
        <v>0.002232785941</v>
      </c>
      <c r="K38" s="33">
        <f>IF(N(I38)=0,"",L38/I38)</f>
        <v>1.677419355</v>
      </c>
      <c r="L38" s="32">
        <f>SUM(L39:L43)</f>
        <v>52</v>
      </c>
      <c r="M38" s="32"/>
      <c r="N38" s="32"/>
      <c r="O38" s="32">
        <f>IF(N(L38)=0,"",P38/L38)</f>
        <v>666</v>
      </c>
      <c r="P38" s="32">
        <f>SUM(P39:P43)</f>
        <v>34632</v>
      </c>
      <c r="Q38" s="32">
        <f t="shared" si="11"/>
        <v>131.7419355</v>
      </c>
      <c r="R38" s="32">
        <f t="shared" si="12"/>
        <v>78.53846154</v>
      </c>
      <c r="S38" s="33">
        <f t="shared" si="13"/>
        <v>0.1179256179</v>
      </c>
      <c r="T38" s="32">
        <f>ROUND('Медиаплан'!$K$14*7/31,0)</f>
        <v>46003</v>
      </c>
      <c r="U38" s="33">
        <f>IF(N(T38)=0,"",P38/T38)</f>
        <v>0.7528204682</v>
      </c>
      <c r="X38" s="47"/>
    </row>
    <row r="39" ht="15.0" hidden="1" customHeight="1" outlineLevel="2">
      <c r="A39" s="22" t="s">
        <v>68</v>
      </c>
      <c r="B39" s="38" t="s">
        <v>46</v>
      </c>
      <c r="C39" s="48">
        <v>819.0</v>
      </c>
      <c r="D39" s="48">
        <v>1821.0</v>
      </c>
      <c r="E39" s="48"/>
      <c r="F39" s="49">
        <v>239.0</v>
      </c>
      <c r="G39" s="50"/>
      <c r="H39" s="50"/>
      <c r="I39" s="48">
        <v>11.0</v>
      </c>
      <c r="J39" s="51">
        <f t="shared" si="8"/>
        <v>0.006040637013</v>
      </c>
      <c r="K39" s="52">
        <v>1.68</v>
      </c>
      <c r="L39" s="53">
        <f t="shared" ref="L39:L43" si="21">IF(OR(I39="",K39=""),"",ROUND(I39*K39,0))</f>
        <v>18</v>
      </c>
      <c r="M39" s="53"/>
      <c r="N39" s="53"/>
      <c r="O39" s="48">
        <v>666.0</v>
      </c>
      <c r="P39" s="53">
        <f t="shared" ref="P39:P43" si="22">IF(N(L39)=0,"",L39*O39)</f>
        <v>11988</v>
      </c>
      <c r="Q39" s="53">
        <f t="shared" si="11"/>
        <v>74.45454545</v>
      </c>
      <c r="R39" s="53">
        <f t="shared" si="12"/>
        <v>45.5</v>
      </c>
      <c r="S39" s="51">
        <f t="shared" si="13"/>
        <v>0.06831831832</v>
      </c>
      <c r="T39" s="23"/>
      <c r="U39" s="25"/>
      <c r="V39" s="14" t="s">
        <v>28</v>
      </c>
      <c r="W39" s="14" t="s">
        <v>75</v>
      </c>
      <c r="X39" s="54"/>
    </row>
    <row r="40" ht="15.0" hidden="1" customHeight="1" outlineLevel="2">
      <c r="A40" s="22" t="s">
        <v>70</v>
      </c>
      <c r="B40" s="38" t="s">
        <v>46</v>
      </c>
      <c r="C40" s="48">
        <v>3190.0</v>
      </c>
      <c r="D40" s="48">
        <v>12026.0</v>
      </c>
      <c r="E40" s="48"/>
      <c r="F40" s="55"/>
      <c r="G40" s="50"/>
      <c r="H40" s="50"/>
      <c r="I40" s="48">
        <v>20.0</v>
      </c>
      <c r="J40" s="51">
        <f t="shared" si="8"/>
        <v>0.001663063363</v>
      </c>
      <c r="K40" s="52">
        <v>1.68</v>
      </c>
      <c r="L40" s="53">
        <f t="shared" si="21"/>
        <v>34</v>
      </c>
      <c r="M40" s="53"/>
      <c r="N40" s="53"/>
      <c r="O40" s="48">
        <v>666.0</v>
      </c>
      <c r="P40" s="53">
        <f t="shared" si="22"/>
        <v>22644</v>
      </c>
      <c r="Q40" s="53">
        <f t="shared" si="11"/>
        <v>159.5</v>
      </c>
      <c r="R40" s="53">
        <f t="shared" si="12"/>
        <v>93.82352941</v>
      </c>
      <c r="S40" s="51">
        <f t="shared" si="13"/>
        <v>0.1408761703</v>
      </c>
      <c r="T40" s="23"/>
      <c r="U40" s="25"/>
      <c r="V40" s="14" t="s">
        <v>28</v>
      </c>
      <c r="W40" s="14" t="s">
        <v>75</v>
      </c>
      <c r="X40" s="54"/>
    </row>
    <row r="41" ht="15.0" hidden="1" customHeight="1" outlineLevel="2">
      <c r="A41" s="22" t="s">
        <v>68</v>
      </c>
      <c r="B41" s="38" t="s">
        <v>48</v>
      </c>
      <c r="C41" s="48">
        <v>75.0</v>
      </c>
      <c r="D41" s="48">
        <v>37.0</v>
      </c>
      <c r="E41" s="48"/>
      <c r="F41" s="49">
        <v>1.0</v>
      </c>
      <c r="G41" s="50"/>
      <c r="H41" s="50"/>
      <c r="I41" s="48"/>
      <c r="J41" s="51">
        <f t="shared" si="8"/>
        <v>0</v>
      </c>
      <c r="K41" s="52">
        <v>1.0</v>
      </c>
      <c r="L41" s="53" t="str">
        <f t="shared" si="21"/>
        <v/>
      </c>
      <c r="M41" s="53"/>
      <c r="N41" s="53"/>
      <c r="O41" s="48">
        <v>4295.0</v>
      </c>
      <c r="P41" s="53" t="str">
        <f t="shared" si="22"/>
        <v/>
      </c>
      <c r="Q41" s="53" t="str">
        <f t="shared" si="11"/>
        <v/>
      </c>
      <c r="R41" s="53" t="str">
        <f t="shared" si="12"/>
        <v/>
      </c>
      <c r="S41" s="51" t="str">
        <f t="shared" si="13"/>
        <v/>
      </c>
      <c r="T41" s="23"/>
      <c r="U41" s="25"/>
      <c r="V41" s="14" t="s">
        <v>28</v>
      </c>
      <c r="W41" s="14" t="s">
        <v>75</v>
      </c>
      <c r="X41" s="54"/>
    </row>
    <row r="42" ht="15.0" hidden="1" customHeight="1" outlineLevel="2">
      <c r="A42" s="22" t="s">
        <v>71</v>
      </c>
      <c r="B42" s="38" t="s">
        <v>48</v>
      </c>
      <c r="C42" s="48"/>
      <c r="D42" s="48"/>
      <c r="E42" s="48"/>
      <c r="F42" s="55"/>
      <c r="G42" s="50"/>
      <c r="H42" s="50"/>
      <c r="I42" s="48"/>
      <c r="J42" s="51" t="str">
        <f t="shared" si="8"/>
        <v/>
      </c>
      <c r="K42" s="52"/>
      <c r="L42" s="53" t="str">
        <f t="shared" si="21"/>
        <v/>
      </c>
      <c r="M42" s="53"/>
      <c r="N42" s="53"/>
      <c r="O42" s="48"/>
      <c r="P42" s="53" t="str">
        <f t="shared" si="22"/>
        <v/>
      </c>
      <c r="Q42" s="53" t="str">
        <f t="shared" si="11"/>
        <v/>
      </c>
      <c r="R42" s="53" t="str">
        <f t="shared" si="12"/>
        <v/>
      </c>
      <c r="S42" s="51" t="str">
        <f t="shared" si="13"/>
        <v/>
      </c>
      <c r="T42" s="23"/>
      <c r="U42" s="25"/>
      <c r="V42" s="14" t="s">
        <v>28</v>
      </c>
      <c r="W42" s="14" t="s">
        <v>75</v>
      </c>
      <c r="X42" s="54"/>
    </row>
    <row r="43" ht="15.0" hidden="1" customHeight="1" outlineLevel="2">
      <c r="A43" s="22"/>
      <c r="B43" s="38"/>
      <c r="C43" s="48"/>
      <c r="D43" s="48"/>
      <c r="E43" s="48"/>
      <c r="F43" s="50"/>
      <c r="G43" s="50"/>
      <c r="H43" s="50"/>
      <c r="I43" s="48"/>
      <c r="J43" s="51" t="str">
        <f t="shared" si="8"/>
        <v/>
      </c>
      <c r="K43" s="52"/>
      <c r="L43" s="53" t="str">
        <f t="shared" si="21"/>
        <v/>
      </c>
      <c r="M43" s="53"/>
      <c r="N43" s="53"/>
      <c r="O43" s="48"/>
      <c r="P43" s="53" t="str">
        <f t="shared" si="22"/>
        <v/>
      </c>
      <c r="Q43" s="53" t="str">
        <f t="shared" si="11"/>
        <v/>
      </c>
      <c r="R43" s="53" t="str">
        <f t="shared" si="12"/>
        <v/>
      </c>
      <c r="S43" s="51" t="str">
        <f t="shared" si="13"/>
        <v/>
      </c>
      <c r="T43" s="23"/>
      <c r="U43" s="25"/>
      <c r="V43" s="14" t="s">
        <v>28</v>
      </c>
      <c r="W43" s="14" t="s">
        <v>75</v>
      </c>
      <c r="X43" s="54"/>
    </row>
    <row r="44" ht="15.0" hidden="1" customHeight="1" outlineLevel="1">
      <c r="A44" s="31" t="s">
        <v>76</v>
      </c>
      <c r="B44" s="31"/>
      <c r="C44" s="32">
        <f t="shared" ref="C44:D44" si="23">SUM(C45:C49)</f>
        <v>12108</v>
      </c>
      <c r="D44" s="32">
        <f t="shared" si="23"/>
        <v>38115</v>
      </c>
      <c r="E44" s="32"/>
      <c r="F44" s="40">
        <f>SUM(F45:F49)</f>
        <v>157</v>
      </c>
      <c r="G44" s="40"/>
      <c r="H44" s="40"/>
      <c r="I44" s="32">
        <f>SUM(I45:I49)</f>
        <v>109</v>
      </c>
      <c r="J44" s="33">
        <f t="shared" si="8"/>
        <v>0.002859766496</v>
      </c>
      <c r="K44" s="33">
        <f>IF(N(I44)=0,"",L44/I44)</f>
        <v>0.8073394495</v>
      </c>
      <c r="L44" s="32">
        <f>SUM(L45:L49)</f>
        <v>88</v>
      </c>
      <c r="M44" s="32"/>
      <c r="N44" s="32"/>
      <c r="O44" s="32">
        <f>IF(N(L44)=0,"",P44/L44)</f>
        <v>639</v>
      </c>
      <c r="P44" s="32">
        <f>SUM(P45:P49)</f>
        <v>56232</v>
      </c>
      <c r="Q44" s="32">
        <f t="shared" si="11"/>
        <v>111.0825688</v>
      </c>
      <c r="R44" s="32">
        <f t="shared" si="12"/>
        <v>137.5909091</v>
      </c>
      <c r="S44" s="33">
        <f t="shared" si="13"/>
        <v>0.2153222364</v>
      </c>
      <c r="T44" s="32">
        <f>ROUND('Медиаплан'!$K$14*7/31,0)</f>
        <v>46003</v>
      </c>
      <c r="U44" s="33">
        <f>IF(N(T44)=0,"",P44/T44)</f>
        <v>1.222355064</v>
      </c>
      <c r="X44" s="31"/>
    </row>
    <row r="45" ht="15.0" hidden="1" customHeight="1" outlineLevel="2">
      <c r="A45" s="22" t="s">
        <v>68</v>
      </c>
      <c r="B45" s="38" t="s">
        <v>46</v>
      </c>
      <c r="C45" s="48">
        <v>4544.0</v>
      </c>
      <c r="D45" s="48">
        <v>8466.0</v>
      </c>
      <c r="E45" s="48"/>
      <c r="F45" s="49">
        <v>154.0</v>
      </c>
      <c r="G45" s="50"/>
      <c r="H45" s="50"/>
      <c r="I45" s="48">
        <v>62.0</v>
      </c>
      <c r="J45" s="51">
        <f t="shared" si="8"/>
        <v>0.007323411292</v>
      </c>
      <c r="K45" s="52">
        <v>0.81</v>
      </c>
      <c r="L45" s="53">
        <f t="shared" ref="L45:L49" si="24">IF(OR(I45="",K45=""),"",ROUND(I45*K45,0))</f>
        <v>50</v>
      </c>
      <c r="M45" s="53"/>
      <c r="N45" s="53"/>
      <c r="O45" s="48">
        <v>639.0</v>
      </c>
      <c r="P45" s="53">
        <f t="shared" ref="P45:P49" si="25">IF(N(L45)=0,"",L45*O45)</f>
        <v>31950</v>
      </c>
      <c r="Q45" s="53">
        <f t="shared" si="11"/>
        <v>73.29032258</v>
      </c>
      <c r="R45" s="53">
        <f t="shared" si="12"/>
        <v>90.88</v>
      </c>
      <c r="S45" s="51">
        <f t="shared" si="13"/>
        <v>0.1422222222</v>
      </c>
      <c r="T45" s="23"/>
      <c r="U45" s="25"/>
      <c r="V45" s="14" t="s">
        <v>28</v>
      </c>
      <c r="W45" s="14" t="s">
        <v>77</v>
      </c>
      <c r="X45" s="54"/>
    </row>
    <row r="46" ht="15.0" hidden="1" customHeight="1" outlineLevel="2">
      <c r="A46" s="22" t="s">
        <v>70</v>
      </c>
      <c r="B46" s="38" t="s">
        <v>46</v>
      </c>
      <c r="C46" s="48">
        <v>7464.0</v>
      </c>
      <c r="D46" s="48">
        <v>29611.0</v>
      </c>
      <c r="E46" s="48"/>
      <c r="F46" s="55"/>
      <c r="G46" s="50"/>
      <c r="H46" s="50"/>
      <c r="I46" s="48">
        <v>47.0</v>
      </c>
      <c r="J46" s="51">
        <f t="shared" si="8"/>
        <v>0.001587247982</v>
      </c>
      <c r="K46" s="52">
        <v>0.81</v>
      </c>
      <c r="L46" s="53">
        <f t="shared" si="24"/>
        <v>38</v>
      </c>
      <c r="M46" s="53"/>
      <c r="N46" s="53"/>
      <c r="O46" s="48">
        <v>639.0</v>
      </c>
      <c r="P46" s="53">
        <f t="shared" si="25"/>
        <v>24282</v>
      </c>
      <c r="Q46" s="53">
        <f t="shared" si="11"/>
        <v>158.8085106</v>
      </c>
      <c r="R46" s="53">
        <f t="shared" si="12"/>
        <v>196.4210526</v>
      </c>
      <c r="S46" s="51">
        <f t="shared" si="13"/>
        <v>0.3073881888</v>
      </c>
      <c r="T46" s="23"/>
      <c r="U46" s="25"/>
      <c r="V46" s="14" t="s">
        <v>28</v>
      </c>
      <c r="W46" s="14" t="s">
        <v>77</v>
      </c>
      <c r="X46" s="54"/>
    </row>
    <row r="47" ht="15.0" hidden="1" customHeight="1" outlineLevel="2">
      <c r="A47" s="22" t="s">
        <v>68</v>
      </c>
      <c r="B47" s="38" t="s">
        <v>48</v>
      </c>
      <c r="C47" s="48">
        <v>100.0</v>
      </c>
      <c r="D47" s="48">
        <v>38.0</v>
      </c>
      <c r="E47" s="48"/>
      <c r="F47" s="49">
        <v>3.0</v>
      </c>
      <c r="G47" s="50"/>
      <c r="H47" s="50"/>
      <c r="I47" s="48"/>
      <c r="J47" s="51">
        <f t="shared" si="8"/>
        <v>0</v>
      </c>
      <c r="K47" s="52"/>
      <c r="L47" s="53" t="str">
        <f t="shared" si="24"/>
        <v/>
      </c>
      <c r="M47" s="53"/>
      <c r="N47" s="53"/>
      <c r="O47" s="48">
        <v>4295.0</v>
      </c>
      <c r="P47" s="53" t="str">
        <f t="shared" si="25"/>
        <v/>
      </c>
      <c r="Q47" s="53" t="str">
        <f t="shared" si="11"/>
        <v/>
      </c>
      <c r="R47" s="53" t="str">
        <f t="shared" si="12"/>
        <v/>
      </c>
      <c r="S47" s="51" t="str">
        <f t="shared" si="13"/>
        <v/>
      </c>
      <c r="T47" s="23"/>
      <c r="U47" s="25"/>
      <c r="V47" s="14" t="s">
        <v>28</v>
      </c>
      <c r="W47" s="14" t="s">
        <v>77</v>
      </c>
      <c r="X47" s="54"/>
    </row>
    <row r="48" ht="15.0" hidden="1" customHeight="1" outlineLevel="2">
      <c r="A48" s="22" t="s">
        <v>71</v>
      </c>
      <c r="B48" s="38" t="s">
        <v>48</v>
      </c>
      <c r="C48" s="48"/>
      <c r="D48" s="48"/>
      <c r="E48" s="48"/>
      <c r="F48" s="55"/>
      <c r="G48" s="50"/>
      <c r="H48" s="50"/>
      <c r="I48" s="48"/>
      <c r="J48" s="51" t="str">
        <f t="shared" si="8"/>
        <v/>
      </c>
      <c r="K48" s="52"/>
      <c r="L48" s="53" t="str">
        <f t="shared" si="24"/>
        <v/>
      </c>
      <c r="M48" s="53"/>
      <c r="N48" s="53"/>
      <c r="O48" s="48"/>
      <c r="P48" s="53" t="str">
        <f t="shared" si="25"/>
        <v/>
      </c>
      <c r="Q48" s="53" t="str">
        <f t="shared" si="11"/>
        <v/>
      </c>
      <c r="R48" s="53" t="str">
        <f t="shared" si="12"/>
        <v/>
      </c>
      <c r="S48" s="51" t="str">
        <f t="shared" si="13"/>
        <v/>
      </c>
      <c r="T48" s="23"/>
      <c r="U48" s="25"/>
      <c r="V48" s="14" t="s">
        <v>28</v>
      </c>
      <c r="W48" s="14" t="s">
        <v>77</v>
      </c>
      <c r="X48" s="54"/>
    </row>
    <row r="49" ht="15.0" hidden="1" customHeight="1" outlineLevel="2">
      <c r="A49" s="22"/>
      <c r="B49" s="38"/>
      <c r="C49" s="48"/>
      <c r="D49" s="48"/>
      <c r="E49" s="48"/>
      <c r="F49" s="50"/>
      <c r="G49" s="50"/>
      <c r="H49" s="50"/>
      <c r="I49" s="48"/>
      <c r="J49" s="51" t="str">
        <f t="shared" si="8"/>
        <v/>
      </c>
      <c r="K49" s="52"/>
      <c r="L49" s="53" t="str">
        <f t="shared" si="24"/>
        <v/>
      </c>
      <c r="M49" s="53"/>
      <c r="N49" s="53"/>
      <c r="O49" s="48"/>
      <c r="P49" s="53" t="str">
        <f t="shared" si="25"/>
        <v/>
      </c>
      <c r="Q49" s="53" t="str">
        <f t="shared" si="11"/>
        <v/>
      </c>
      <c r="R49" s="53" t="str">
        <f t="shared" si="12"/>
        <v/>
      </c>
      <c r="S49" s="51" t="str">
        <f t="shared" si="13"/>
        <v/>
      </c>
      <c r="T49" s="23"/>
      <c r="U49" s="25"/>
      <c r="V49" s="14" t="s">
        <v>28</v>
      </c>
      <c r="W49" s="14" t="s">
        <v>77</v>
      </c>
      <c r="X49" s="54"/>
    </row>
    <row r="50" ht="15.0" hidden="1" customHeight="1" outlineLevel="1">
      <c r="A50" s="31" t="s">
        <v>78</v>
      </c>
      <c r="B50" s="31"/>
      <c r="C50" s="32">
        <f t="shared" ref="C50:D50" si="26">SUM(C51:C55)</f>
        <v>5987</v>
      </c>
      <c r="D50" s="32">
        <f t="shared" si="26"/>
        <v>32386</v>
      </c>
      <c r="E50" s="32"/>
      <c r="F50" s="40">
        <f>SUM(F51:F55)</f>
        <v>42</v>
      </c>
      <c r="G50" s="40"/>
      <c r="H50" s="40"/>
      <c r="I50" s="32">
        <f>SUM(I51:I55)</f>
        <v>24</v>
      </c>
      <c r="J50" s="33">
        <f t="shared" si="8"/>
        <v>0.0007410609523</v>
      </c>
      <c r="K50" s="33">
        <f>IF(N(I50)=0,"",L50/I50)</f>
        <v>1.375</v>
      </c>
      <c r="L50" s="32">
        <f>SUM(L51:L55)</f>
        <v>33</v>
      </c>
      <c r="M50" s="32"/>
      <c r="N50" s="32"/>
      <c r="O50" s="32">
        <f>IF(N(L50)=0,"",P50/L50)</f>
        <v>760</v>
      </c>
      <c r="P50" s="32">
        <f>SUM(P51:P55)</f>
        <v>25080</v>
      </c>
      <c r="Q50" s="32">
        <f t="shared" si="11"/>
        <v>249.4583333</v>
      </c>
      <c r="R50" s="32">
        <f t="shared" si="12"/>
        <v>181.4242424</v>
      </c>
      <c r="S50" s="33">
        <f t="shared" si="13"/>
        <v>0.2387161085</v>
      </c>
      <c r="T50" s="32">
        <f>'Медиаплан'!$K$14-(T26+T32+T38+T44)</f>
        <v>19716</v>
      </c>
      <c r="U50" s="33">
        <f>IF(N(T50)=0,"",P50/T50)</f>
        <v>1.272063299</v>
      </c>
      <c r="X50" s="31"/>
    </row>
    <row r="51" ht="15.0" hidden="1" customHeight="1" outlineLevel="2">
      <c r="A51" s="22" t="s">
        <v>68</v>
      </c>
      <c r="B51" s="38" t="s">
        <v>46</v>
      </c>
      <c r="C51" s="48">
        <v>621.0</v>
      </c>
      <c r="D51" s="48">
        <v>1942.0</v>
      </c>
      <c r="E51" s="48"/>
      <c r="F51" s="49">
        <v>41.0</v>
      </c>
      <c r="G51" s="50"/>
      <c r="H51" s="50"/>
      <c r="I51" s="48">
        <v>6.0</v>
      </c>
      <c r="J51" s="51">
        <f t="shared" si="8"/>
        <v>0.003089598352</v>
      </c>
      <c r="K51" s="52">
        <v>1.41</v>
      </c>
      <c r="L51" s="53">
        <f t="shared" ref="L51:L55" si="27">IF(OR(I51="",K51=""),"",ROUND(I51*K51,0))</f>
        <v>8</v>
      </c>
      <c r="M51" s="53"/>
      <c r="N51" s="53"/>
      <c r="O51" s="48">
        <v>760.0</v>
      </c>
      <c r="P51" s="53">
        <f t="shared" ref="P51:P55" si="28">IF(N(L51)=0,"",L51*O51)</f>
        <v>6080</v>
      </c>
      <c r="Q51" s="53">
        <f t="shared" si="11"/>
        <v>103.5</v>
      </c>
      <c r="R51" s="53">
        <f t="shared" si="12"/>
        <v>77.625</v>
      </c>
      <c r="S51" s="51">
        <f t="shared" si="13"/>
        <v>0.1021381579</v>
      </c>
      <c r="T51" s="23"/>
      <c r="U51" s="25"/>
      <c r="V51" s="14" t="s">
        <v>28</v>
      </c>
      <c r="W51" s="14" t="s">
        <v>79</v>
      </c>
      <c r="X51" s="56">
        <v>4.5</v>
      </c>
    </row>
    <row r="52" ht="15.0" hidden="1" customHeight="1" outlineLevel="2">
      <c r="A52" s="22" t="s">
        <v>70</v>
      </c>
      <c r="B52" s="38" t="s">
        <v>46</v>
      </c>
      <c r="C52" s="48">
        <v>5366.0</v>
      </c>
      <c r="D52" s="48">
        <v>30444.0</v>
      </c>
      <c r="E52" s="48"/>
      <c r="F52" s="55"/>
      <c r="G52" s="50"/>
      <c r="H52" s="50"/>
      <c r="I52" s="48">
        <v>18.0</v>
      </c>
      <c r="J52" s="51">
        <f t="shared" si="8"/>
        <v>0.0005912495073</v>
      </c>
      <c r="K52" s="52">
        <v>1.41</v>
      </c>
      <c r="L52" s="53">
        <f t="shared" si="27"/>
        <v>25</v>
      </c>
      <c r="M52" s="53"/>
      <c r="N52" s="53"/>
      <c r="O52" s="48">
        <v>760.0</v>
      </c>
      <c r="P52" s="53">
        <f t="shared" si="28"/>
        <v>19000</v>
      </c>
      <c r="Q52" s="53">
        <f t="shared" si="11"/>
        <v>298.1111111</v>
      </c>
      <c r="R52" s="53">
        <f t="shared" si="12"/>
        <v>214.64</v>
      </c>
      <c r="S52" s="51">
        <f t="shared" si="13"/>
        <v>0.2824210526</v>
      </c>
      <c r="T52" s="23"/>
      <c r="U52" s="25"/>
      <c r="V52" s="14" t="s">
        <v>28</v>
      </c>
      <c r="W52" s="14" t="s">
        <v>79</v>
      </c>
      <c r="X52" s="55"/>
    </row>
    <row r="53" ht="15.0" hidden="1" customHeight="1" outlineLevel="2">
      <c r="A53" s="22" t="s">
        <v>68</v>
      </c>
      <c r="B53" s="38" t="s">
        <v>48</v>
      </c>
      <c r="C53" s="48"/>
      <c r="D53" s="48"/>
      <c r="E53" s="48"/>
      <c r="F53" s="49">
        <v>1.0</v>
      </c>
      <c r="G53" s="50"/>
      <c r="H53" s="50"/>
      <c r="I53" s="48"/>
      <c r="J53" s="51" t="str">
        <f t="shared" si="8"/>
        <v/>
      </c>
      <c r="K53" s="52"/>
      <c r="L53" s="53" t="str">
        <f t="shared" si="27"/>
        <v/>
      </c>
      <c r="M53" s="53"/>
      <c r="N53" s="53"/>
      <c r="O53" s="48"/>
      <c r="P53" s="53" t="str">
        <f t="shared" si="28"/>
        <v/>
      </c>
      <c r="Q53" s="53" t="str">
        <f t="shared" si="11"/>
        <v/>
      </c>
      <c r="R53" s="53" t="str">
        <f t="shared" si="12"/>
        <v/>
      </c>
      <c r="S53" s="51" t="str">
        <f t="shared" si="13"/>
        <v/>
      </c>
      <c r="T53" s="23"/>
      <c r="U53" s="25"/>
      <c r="V53" s="14" t="s">
        <v>28</v>
      </c>
      <c r="W53" s="14" t="s">
        <v>79</v>
      </c>
      <c r="X53" s="54"/>
    </row>
    <row r="54" ht="15.0" hidden="1" customHeight="1" outlineLevel="2">
      <c r="A54" s="22" t="s">
        <v>71</v>
      </c>
      <c r="B54" s="38" t="s">
        <v>48</v>
      </c>
      <c r="C54" s="48"/>
      <c r="D54" s="48"/>
      <c r="E54" s="48"/>
      <c r="F54" s="55"/>
      <c r="G54" s="50"/>
      <c r="H54" s="50"/>
      <c r="I54" s="48"/>
      <c r="J54" s="51" t="str">
        <f t="shared" si="8"/>
        <v/>
      </c>
      <c r="K54" s="52"/>
      <c r="L54" s="53" t="str">
        <f t="shared" si="27"/>
        <v/>
      </c>
      <c r="M54" s="53"/>
      <c r="N54" s="53"/>
      <c r="O54" s="48"/>
      <c r="P54" s="53" t="str">
        <f t="shared" si="28"/>
        <v/>
      </c>
      <c r="Q54" s="53" t="str">
        <f t="shared" si="11"/>
        <v/>
      </c>
      <c r="R54" s="53" t="str">
        <f t="shared" si="12"/>
        <v/>
      </c>
      <c r="S54" s="51" t="str">
        <f t="shared" si="13"/>
        <v/>
      </c>
      <c r="T54" s="23"/>
      <c r="U54" s="25"/>
      <c r="V54" s="14" t="s">
        <v>28</v>
      </c>
      <c r="W54" s="14" t="s">
        <v>79</v>
      </c>
      <c r="X54" s="54"/>
    </row>
    <row r="55" ht="15.0" hidden="1" customHeight="1" outlineLevel="2">
      <c r="A55" s="22"/>
      <c r="B55" s="38"/>
      <c r="C55" s="48"/>
      <c r="D55" s="48"/>
      <c r="E55" s="48"/>
      <c r="F55" s="50"/>
      <c r="G55" s="50"/>
      <c r="H55" s="50"/>
      <c r="I55" s="48"/>
      <c r="J55" s="51" t="str">
        <f t="shared" si="8"/>
        <v/>
      </c>
      <c r="K55" s="52"/>
      <c r="L55" s="53" t="str">
        <f t="shared" si="27"/>
        <v/>
      </c>
      <c r="M55" s="53"/>
      <c r="N55" s="53"/>
      <c r="O55" s="48"/>
      <c r="P55" s="53" t="str">
        <f t="shared" si="28"/>
        <v/>
      </c>
      <c r="Q55" s="53" t="str">
        <f t="shared" si="11"/>
        <v/>
      </c>
      <c r="R55" s="53" t="str">
        <f t="shared" si="12"/>
        <v/>
      </c>
      <c r="S55" s="51" t="str">
        <f t="shared" si="13"/>
        <v/>
      </c>
      <c r="T55" s="23"/>
      <c r="U55" s="25"/>
      <c r="V55" s="14" t="s">
        <v>28</v>
      </c>
      <c r="W55" s="14" t="s">
        <v>79</v>
      </c>
      <c r="X55" s="54"/>
    </row>
    <row r="56" ht="15.0" customHeight="1" collapsed="1">
      <c r="A56" s="42" t="s">
        <v>35</v>
      </c>
      <c r="B56" s="42"/>
      <c r="C56" s="43">
        <f t="shared" ref="C56:D56" si="29">C57+C63+C69+C75+C81</f>
        <v>73701</v>
      </c>
      <c r="D56" s="43">
        <f t="shared" si="29"/>
        <v>164759</v>
      </c>
      <c r="E56" s="43"/>
      <c r="F56" s="44">
        <f t="shared" ref="F56:G56" si="30">F57+F63+F69+F75+F81</f>
        <v>1544</v>
      </c>
      <c r="G56" s="44">
        <f t="shared" si="30"/>
        <v>239</v>
      </c>
      <c r="H56" s="44"/>
      <c r="I56" s="43">
        <f>I57+I63+I69+I75+I81</f>
        <v>498</v>
      </c>
      <c r="J56" s="45">
        <f t="shared" si="8"/>
        <v>0.003022596641</v>
      </c>
      <c r="K56" s="45">
        <f t="shared" ref="K56:K57" si="33">IF(N(I56)=0,"",L56/I56)</f>
        <v>0.8534136546</v>
      </c>
      <c r="L56" s="43">
        <f>L57+L63+L69+L75+L81</f>
        <v>425</v>
      </c>
      <c r="M56" s="43"/>
      <c r="N56" s="43"/>
      <c r="O56" s="43">
        <f t="shared" ref="O56:O57" si="34">IF(N(L56)=0,"",P56/L56)</f>
        <v>704.08</v>
      </c>
      <c r="P56" s="43">
        <f>P57+P63+P69+P75+P81</f>
        <v>299234</v>
      </c>
      <c r="Q56" s="43">
        <f t="shared" si="11"/>
        <v>147.9939759</v>
      </c>
      <c r="R56" s="43">
        <f t="shared" si="12"/>
        <v>173.4141176</v>
      </c>
      <c r="S56" s="45">
        <f t="shared" si="13"/>
        <v>0.2462988831</v>
      </c>
      <c r="T56" s="43">
        <f>'Медиаплан'!$K$27</f>
        <v>755848</v>
      </c>
      <c r="U56" s="45">
        <f t="shared" ref="U56:U57" si="35">IF(N(T56)=0,"",P56/T56)</f>
        <v>0.3958917666</v>
      </c>
      <c r="X56" s="57"/>
    </row>
    <row r="57" ht="27.75" hidden="1" customHeight="1" outlineLevel="1">
      <c r="A57" s="31" t="s">
        <v>80</v>
      </c>
      <c r="B57" s="31"/>
      <c r="C57" s="32">
        <f t="shared" ref="C57:D57" si="31">SUM(C58:C62)</f>
        <v>11275</v>
      </c>
      <c r="D57" s="32">
        <f t="shared" si="31"/>
        <v>41709</v>
      </c>
      <c r="E57" s="32"/>
      <c r="F57" s="40">
        <f t="shared" ref="F57:G57" si="32">SUM(F58:F62)</f>
        <v>176</v>
      </c>
      <c r="G57" s="32">
        <f t="shared" si="32"/>
        <v>30</v>
      </c>
      <c r="H57" s="32"/>
      <c r="I57" s="32">
        <f>SUM(I58:I62)</f>
        <v>80</v>
      </c>
      <c r="J57" s="33">
        <f t="shared" si="8"/>
        <v>0.00191805126</v>
      </c>
      <c r="K57" s="33">
        <f t="shared" si="33"/>
        <v>0.7375</v>
      </c>
      <c r="L57" s="32">
        <f>SUM(L58:L62)</f>
        <v>59</v>
      </c>
      <c r="M57" s="32"/>
      <c r="N57" s="32"/>
      <c r="O57" s="32">
        <f t="shared" si="34"/>
        <v>814</v>
      </c>
      <c r="P57" s="32">
        <f>SUM(P58:P62)</f>
        <v>48026</v>
      </c>
      <c r="Q57" s="32">
        <f t="shared" si="11"/>
        <v>140.9375</v>
      </c>
      <c r="R57" s="32">
        <f t="shared" si="12"/>
        <v>191.1016949</v>
      </c>
      <c r="S57" s="33">
        <f t="shared" si="13"/>
        <v>0.234768667</v>
      </c>
      <c r="T57" s="32">
        <f>ROUND('Медиаплан'!$K$27*7/31,0)</f>
        <v>170675</v>
      </c>
      <c r="U57" s="33">
        <f t="shared" si="35"/>
        <v>0.2813886041</v>
      </c>
      <c r="X57" s="31"/>
    </row>
    <row r="58" ht="15.0" hidden="1" customHeight="1" outlineLevel="2">
      <c r="A58" s="58" t="s">
        <v>68</v>
      </c>
      <c r="B58" s="59" t="s">
        <v>46</v>
      </c>
      <c r="C58" s="60">
        <v>4019.0</v>
      </c>
      <c r="D58" s="60">
        <v>6603.0</v>
      </c>
      <c r="E58" s="61"/>
      <c r="F58" s="49">
        <v>151.0</v>
      </c>
      <c r="G58" s="49">
        <v>30.0</v>
      </c>
      <c r="H58" s="62"/>
      <c r="I58" s="60">
        <v>34.0</v>
      </c>
      <c r="J58" s="51">
        <f t="shared" si="8"/>
        <v>0.005149174618</v>
      </c>
      <c r="K58" s="63">
        <v>0.731</v>
      </c>
      <c r="L58" s="53">
        <f t="shared" ref="L58:L62" si="36">IF(OR(I58="",K58=""),"",ROUND(I58*K58,0))</f>
        <v>25</v>
      </c>
      <c r="M58" s="53"/>
      <c r="N58" s="53"/>
      <c r="O58" s="48">
        <v>814.0</v>
      </c>
      <c r="P58" s="53">
        <f t="shared" ref="P58:P62" si="37">IF(N(L58)=0,"",L58*O58)</f>
        <v>20350</v>
      </c>
      <c r="Q58" s="53">
        <f t="shared" si="11"/>
        <v>118.2058824</v>
      </c>
      <c r="R58" s="53">
        <f t="shared" si="12"/>
        <v>160.76</v>
      </c>
      <c r="S58" s="51">
        <f t="shared" si="13"/>
        <v>0.1974938575</v>
      </c>
      <c r="T58" s="23"/>
      <c r="U58" s="25"/>
      <c r="V58" s="14" t="s">
        <v>29</v>
      </c>
      <c r="W58" s="14" t="s">
        <v>69</v>
      </c>
      <c r="X58" s="56">
        <v>4.6</v>
      </c>
    </row>
    <row r="59" ht="15.0" hidden="1" customHeight="1" outlineLevel="2">
      <c r="A59" s="58" t="s">
        <v>70</v>
      </c>
      <c r="B59" s="59" t="s">
        <v>46</v>
      </c>
      <c r="C59" s="60">
        <v>7256.0</v>
      </c>
      <c r="D59" s="60">
        <v>35106.0</v>
      </c>
      <c r="E59" s="61"/>
      <c r="F59" s="55"/>
      <c r="G59" s="55"/>
      <c r="H59" s="64"/>
      <c r="I59" s="60">
        <v>46.0</v>
      </c>
      <c r="J59" s="51">
        <f t="shared" si="8"/>
        <v>0.001310317325</v>
      </c>
      <c r="K59" s="63">
        <v>0.731</v>
      </c>
      <c r="L59" s="53">
        <f t="shared" si="36"/>
        <v>34</v>
      </c>
      <c r="M59" s="53"/>
      <c r="N59" s="53"/>
      <c r="O59" s="48">
        <v>814.0</v>
      </c>
      <c r="P59" s="53">
        <f t="shared" si="37"/>
        <v>27676</v>
      </c>
      <c r="Q59" s="53">
        <f t="shared" si="11"/>
        <v>157.7391304</v>
      </c>
      <c r="R59" s="53">
        <f t="shared" si="12"/>
        <v>213.4117647</v>
      </c>
      <c r="S59" s="51">
        <f t="shared" si="13"/>
        <v>0.2621766151</v>
      </c>
      <c r="T59" s="23"/>
      <c r="U59" s="25"/>
      <c r="V59" s="14" t="s">
        <v>29</v>
      </c>
      <c r="W59" s="14" t="s">
        <v>69</v>
      </c>
      <c r="X59" s="55"/>
    </row>
    <row r="60" ht="15.0" hidden="1" customHeight="1" outlineLevel="2">
      <c r="A60" s="58" t="s">
        <v>68</v>
      </c>
      <c r="B60" s="59" t="s">
        <v>48</v>
      </c>
      <c r="C60" s="60"/>
      <c r="D60" s="60"/>
      <c r="E60" s="61"/>
      <c r="F60" s="49">
        <v>0.0</v>
      </c>
      <c r="G60" s="64"/>
      <c r="H60" s="64"/>
      <c r="I60" s="60"/>
      <c r="J60" s="51" t="str">
        <f t="shared" si="8"/>
        <v/>
      </c>
      <c r="K60" s="52"/>
      <c r="L60" s="53" t="str">
        <f t="shared" si="36"/>
        <v/>
      </c>
      <c r="M60" s="53"/>
      <c r="N60" s="53"/>
      <c r="O60" s="48"/>
      <c r="P60" s="53" t="str">
        <f t="shared" si="37"/>
        <v/>
      </c>
      <c r="Q60" s="53" t="str">
        <f t="shared" si="11"/>
        <v/>
      </c>
      <c r="R60" s="53" t="str">
        <f t="shared" si="12"/>
        <v/>
      </c>
      <c r="S60" s="51" t="str">
        <f t="shared" si="13"/>
        <v/>
      </c>
      <c r="T60" s="23"/>
      <c r="U60" s="25"/>
      <c r="V60" s="14" t="s">
        <v>29</v>
      </c>
      <c r="W60" s="14" t="s">
        <v>69</v>
      </c>
      <c r="X60" s="54"/>
    </row>
    <row r="61" ht="15.0" hidden="1" customHeight="1" outlineLevel="2">
      <c r="A61" s="58" t="s">
        <v>71</v>
      </c>
      <c r="B61" s="59" t="s">
        <v>48</v>
      </c>
      <c r="C61" s="60"/>
      <c r="D61" s="60"/>
      <c r="E61" s="61"/>
      <c r="F61" s="55"/>
      <c r="G61" s="64"/>
      <c r="H61" s="64"/>
      <c r="I61" s="60"/>
      <c r="J61" s="51" t="str">
        <f t="shared" si="8"/>
        <v/>
      </c>
      <c r="K61" s="52"/>
      <c r="L61" s="53" t="str">
        <f t="shared" si="36"/>
        <v/>
      </c>
      <c r="M61" s="53"/>
      <c r="N61" s="53"/>
      <c r="O61" s="48"/>
      <c r="P61" s="53" t="str">
        <f t="shared" si="37"/>
        <v/>
      </c>
      <c r="Q61" s="53" t="str">
        <f t="shared" si="11"/>
        <v/>
      </c>
      <c r="R61" s="53" t="str">
        <f t="shared" si="12"/>
        <v/>
      </c>
      <c r="S61" s="51" t="str">
        <f t="shared" si="13"/>
        <v/>
      </c>
      <c r="T61" s="23"/>
      <c r="U61" s="25"/>
      <c r="V61" s="14" t="s">
        <v>29</v>
      </c>
      <c r="W61" s="14" t="s">
        <v>69</v>
      </c>
      <c r="X61" s="54"/>
    </row>
    <row r="62" ht="15.0" hidden="1" customHeight="1" outlineLevel="2">
      <c r="A62" s="22" t="s">
        <v>49</v>
      </c>
      <c r="B62" s="38" t="s">
        <v>46</v>
      </c>
      <c r="C62" s="48"/>
      <c r="D62" s="48"/>
      <c r="E62" s="48"/>
      <c r="F62" s="50">
        <v>25.0</v>
      </c>
      <c r="G62" s="50"/>
      <c r="H62" s="50"/>
      <c r="I62" s="48"/>
      <c r="J62" s="51" t="str">
        <f t="shared" si="8"/>
        <v/>
      </c>
      <c r="K62" s="52"/>
      <c r="L62" s="53" t="str">
        <f t="shared" si="36"/>
        <v/>
      </c>
      <c r="M62" s="53"/>
      <c r="N62" s="53"/>
      <c r="O62" s="48">
        <v>590.0</v>
      </c>
      <c r="P62" s="53" t="str">
        <f t="shared" si="37"/>
        <v/>
      </c>
      <c r="Q62" s="53" t="str">
        <f t="shared" si="11"/>
        <v/>
      </c>
      <c r="R62" s="53" t="str">
        <f t="shared" si="12"/>
        <v/>
      </c>
      <c r="S62" s="51" t="str">
        <f t="shared" si="13"/>
        <v/>
      </c>
      <c r="T62" s="23"/>
      <c r="U62" s="25"/>
      <c r="V62" s="14" t="s">
        <v>29</v>
      </c>
      <c r="W62" s="14" t="s">
        <v>69</v>
      </c>
      <c r="X62" s="54"/>
    </row>
    <row r="63" ht="15.0" hidden="1" customHeight="1" outlineLevel="1">
      <c r="A63" s="31" t="s">
        <v>81</v>
      </c>
      <c r="B63" s="31"/>
      <c r="C63" s="32">
        <f t="shared" ref="C63:D63" si="38">SUM(C64:C68)</f>
        <v>16715</v>
      </c>
      <c r="D63" s="32">
        <f t="shared" si="38"/>
        <v>40531</v>
      </c>
      <c r="E63" s="32"/>
      <c r="F63" s="40">
        <f t="shared" ref="F63:G63" si="39">SUM(F64:F68)</f>
        <v>260</v>
      </c>
      <c r="G63" s="32">
        <f t="shared" si="39"/>
        <v>62</v>
      </c>
      <c r="H63" s="32"/>
      <c r="I63" s="32">
        <f>SUM(I64:I68)</f>
        <v>94</v>
      </c>
      <c r="J63" s="33">
        <f t="shared" si="8"/>
        <v>0.002319212455</v>
      </c>
      <c r="K63" s="33">
        <f>IF(N(I63)=0,"",L63/I63)</f>
        <v>0.6914893617</v>
      </c>
      <c r="L63" s="32">
        <f>SUM(L64:L68)</f>
        <v>65</v>
      </c>
      <c r="M63" s="32"/>
      <c r="N63" s="32"/>
      <c r="O63" s="32">
        <f>IF(N(L63)=0,"",P63/L63)</f>
        <v>738.6153846</v>
      </c>
      <c r="P63" s="32">
        <f>SUM(P64:P68)</f>
        <v>48010</v>
      </c>
      <c r="Q63" s="32">
        <f t="shared" si="11"/>
        <v>177.8191489</v>
      </c>
      <c r="R63" s="32">
        <f t="shared" si="12"/>
        <v>257.1538462</v>
      </c>
      <c r="S63" s="33">
        <f t="shared" si="13"/>
        <v>0.348156634</v>
      </c>
      <c r="T63" s="32">
        <f>ROUND('Медиаплан'!$K$27*7/31,0)</f>
        <v>170675</v>
      </c>
      <c r="U63" s="33">
        <f>IF(N(T63)=0,"",P63/T63)</f>
        <v>0.2812948586</v>
      </c>
      <c r="X63" s="31"/>
    </row>
    <row r="64" ht="15.0" hidden="1" customHeight="1" outlineLevel="2">
      <c r="A64" s="58" t="s">
        <v>68</v>
      </c>
      <c r="B64" s="59" t="s">
        <v>46</v>
      </c>
      <c r="C64" s="48">
        <v>5784.0</v>
      </c>
      <c r="D64" s="48">
        <v>7717.0</v>
      </c>
      <c r="E64" s="48"/>
      <c r="F64" s="49">
        <v>167.0</v>
      </c>
      <c r="G64" s="49">
        <v>52.0</v>
      </c>
      <c r="H64" s="65"/>
      <c r="I64" s="48">
        <v>30.0</v>
      </c>
      <c r="J64" s="51">
        <f t="shared" si="8"/>
        <v>0.003887521057</v>
      </c>
      <c r="K64" s="52">
        <v>0.6849</v>
      </c>
      <c r="L64" s="53">
        <f t="shared" ref="L64:L68" si="40">IF(OR(I64="",K64=""),"",ROUND(I64*K64,0))</f>
        <v>21</v>
      </c>
      <c r="M64" s="53"/>
      <c r="N64" s="53"/>
      <c r="O64" s="48">
        <v>800.0</v>
      </c>
      <c r="P64" s="53">
        <f t="shared" ref="P64:P68" si="41">IF(N(L64)=0,"",L64*O64)</f>
        <v>16800</v>
      </c>
      <c r="Q64" s="53">
        <f t="shared" si="11"/>
        <v>192.8</v>
      </c>
      <c r="R64" s="53">
        <f t="shared" si="12"/>
        <v>275.4285714</v>
      </c>
      <c r="S64" s="51">
        <f t="shared" si="13"/>
        <v>0.3442857143</v>
      </c>
      <c r="T64" s="23"/>
      <c r="U64" s="25"/>
      <c r="V64" s="14" t="s">
        <v>29</v>
      </c>
      <c r="W64" s="14" t="s">
        <v>73</v>
      </c>
      <c r="X64" s="56">
        <v>4.6</v>
      </c>
    </row>
    <row r="65" ht="15.0" hidden="1" customHeight="1" outlineLevel="2">
      <c r="A65" s="58" t="s">
        <v>70</v>
      </c>
      <c r="B65" s="59" t="s">
        <v>46</v>
      </c>
      <c r="C65" s="48">
        <v>6798.0</v>
      </c>
      <c r="D65" s="48">
        <v>30219.0</v>
      </c>
      <c r="E65" s="48"/>
      <c r="F65" s="55"/>
      <c r="G65" s="55"/>
      <c r="H65" s="66"/>
      <c r="I65" s="48">
        <v>36.0</v>
      </c>
      <c r="J65" s="51">
        <f t="shared" si="8"/>
        <v>0.001191303485</v>
      </c>
      <c r="K65" s="52">
        <v>0.6849</v>
      </c>
      <c r="L65" s="53">
        <f t="shared" si="40"/>
        <v>25</v>
      </c>
      <c r="M65" s="53"/>
      <c r="N65" s="53"/>
      <c r="O65" s="48">
        <v>800.0</v>
      </c>
      <c r="P65" s="53">
        <f t="shared" si="41"/>
        <v>20000</v>
      </c>
      <c r="Q65" s="53">
        <f t="shared" si="11"/>
        <v>188.8333333</v>
      </c>
      <c r="R65" s="53">
        <f t="shared" si="12"/>
        <v>271.92</v>
      </c>
      <c r="S65" s="51">
        <f t="shared" si="13"/>
        <v>0.3399</v>
      </c>
      <c r="T65" s="23"/>
      <c r="U65" s="25"/>
      <c r="V65" s="14" t="s">
        <v>29</v>
      </c>
      <c r="W65" s="14" t="s">
        <v>73</v>
      </c>
      <c r="X65" s="55"/>
    </row>
    <row r="66" ht="15.0" hidden="1" customHeight="1" outlineLevel="2">
      <c r="A66" s="58" t="s">
        <v>68</v>
      </c>
      <c r="B66" s="59" t="s">
        <v>48</v>
      </c>
      <c r="C66" s="48">
        <v>240.0</v>
      </c>
      <c r="D66" s="48">
        <v>138.0</v>
      </c>
      <c r="E66" s="48"/>
      <c r="F66" s="49">
        <v>1.0</v>
      </c>
      <c r="G66" s="50"/>
      <c r="H66" s="50"/>
      <c r="I66" s="48"/>
      <c r="J66" s="51">
        <f t="shared" si="8"/>
        <v>0</v>
      </c>
      <c r="K66" s="52" t="s">
        <v>82</v>
      </c>
      <c r="L66" s="53" t="str">
        <f t="shared" si="40"/>
        <v/>
      </c>
      <c r="M66" s="53"/>
      <c r="N66" s="53"/>
      <c r="O66" s="48">
        <v>3505.0</v>
      </c>
      <c r="P66" s="53" t="str">
        <f t="shared" si="41"/>
        <v/>
      </c>
      <c r="Q66" s="53" t="str">
        <f t="shared" si="11"/>
        <v/>
      </c>
      <c r="R66" s="53" t="str">
        <f t="shared" si="12"/>
        <v/>
      </c>
      <c r="S66" s="51" t="str">
        <f t="shared" si="13"/>
        <v/>
      </c>
      <c r="T66" s="23"/>
      <c r="U66" s="25"/>
      <c r="V66" s="14" t="s">
        <v>29</v>
      </c>
      <c r="W66" s="14" t="s">
        <v>73</v>
      </c>
      <c r="X66" s="54"/>
    </row>
    <row r="67" ht="15.0" hidden="1" customHeight="1" outlineLevel="2">
      <c r="A67" s="58" t="s">
        <v>71</v>
      </c>
      <c r="B67" s="59" t="s">
        <v>48</v>
      </c>
      <c r="C67" s="48"/>
      <c r="D67" s="48"/>
      <c r="E67" s="48"/>
      <c r="F67" s="55"/>
      <c r="G67" s="50"/>
      <c r="H67" s="50"/>
      <c r="I67" s="48"/>
      <c r="J67" s="51" t="str">
        <f t="shared" si="8"/>
        <v/>
      </c>
      <c r="K67" s="52"/>
      <c r="L67" s="53" t="str">
        <f t="shared" si="40"/>
        <v/>
      </c>
      <c r="M67" s="53"/>
      <c r="N67" s="53"/>
      <c r="O67" s="48"/>
      <c r="P67" s="53" t="str">
        <f t="shared" si="41"/>
        <v/>
      </c>
      <c r="Q67" s="53" t="str">
        <f t="shared" si="11"/>
        <v/>
      </c>
      <c r="R67" s="53" t="str">
        <f t="shared" si="12"/>
        <v/>
      </c>
      <c r="S67" s="51" t="str">
        <f t="shared" si="13"/>
        <v/>
      </c>
      <c r="T67" s="23"/>
      <c r="U67" s="25"/>
      <c r="V67" s="14" t="s">
        <v>29</v>
      </c>
      <c r="W67" s="14" t="s">
        <v>73</v>
      </c>
      <c r="X67" s="54"/>
    </row>
    <row r="68" ht="15.0" hidden="1" customHeight="1" outlineLevel="2">
      <c r="A68" s="22" t="s">
        <v>49</v>
      </c>
      <c r="B68" s="38" t="s">
        <v>46</v>
      </c>
      <c r="C68" s="48">
        <v>3893.0</v>
      </c>
      <c r="D68" s="48">
        <v>2457.0</v>
      </c>
      <c r="E68" s="48"/>
      <c r="F68" s="50">
        <v>92.0</v>
      </c>
      <c r="G68" s="50">
        <v>10.0</v>
      </c>
      <c r="H68" s="50"/>
      <c r="I68" s="48">
        <v>28.0</v>
      </c>
      <c r="J68" s="51">
        <f t="shared" si="8"/>
        <v>0.0113960114</v>
      </c>
      <c r="K68" s="52">
        <v>0.6849</v>
      </c>
      <c r="L68" s="53">
        <f t="shared" si="40"/>
        <v>19</v>
      </c>
      <c r="M68" s="53"/>
      <c r="N68" s="53"/>
      <c r="O68" s="48">
        <v>590.0</v>
      </c>
      <c r="P68" s="53">
        <f t="shared" si="41"/>
        <v>11210</v>
      </c>
      <c r="Q68" s="53">
        <f t="shared" si="11"/>
        <v>139.0357143</v>
      </c>
      <c r="R68" s="53">
        <f t="shared" si="12"/>
        <v>204.8947368</v>
      </c>
      <c r="S68" s="51">
        <f t="shared" si="13"/>
        <v>0.347279215</v>
      </c>
      <c r="T68" s="23"/>
      <c r="U68" s="25"/>
      <c r="V68" s="14" t="s">
        <v>29</v>
      </c>
      <c r="W68" s="14" t="s">
        <v>73</v>
      </c>
      <c r="X68" s="67">
        <v>5.0</v>
      </c>
    </row>
    <row r="69" ht="15.0" hidden="1" customHeight="1" outlineLevel="1">
      <c r="A69" s="31" t="s">
        <v>83</v>
      </c>
      <c r="B69" s="31"/>
      <c r="C69" s="32">
        <f t="shared" ref="C69:D69" si="42">SUM(C70:C74)</f>
        <v>23408</v>
      </c>
      <c r="D69" s="32">
        <f t="shared" si="42"/>
        <v>29682</v>
      </c>
      <c r="E69" s="32"/>
      <c r="F69" s="40">
        <f t="shared" ref="F69:G69" si="43">SUM(F70:F74)</f>
        <v>406</v>
      </c>
      <c r="G69" s="32">
        <f t="shared" si="43"/>
        <v>75</v>
      </c>
      <c r="H69" s="32"/>
      <c r="I69" s="32">
        <f>SUM(I70:I74)</f>
        <v>165</v>
      </c>
      <c r="J69" s="33">
        <f t="shared" si="8"/>
        <v>0.005558924601</v>
      </c>
      <c r="K69" s="33">
        <f>IF(N(I69)=0,"",L69/I69)</f>
        <v>0.9636363636</v>
      </c>
      <c r="L69" s="32">
        <f>SUM(L70:L74)</f>
        <v>159</v>
      </c>
      <c r="M69" s="32"/>
      <c r="N69" s="32"/>
      <c r="O69" s="32">
        <f>IF(N(L69)=0,"",P69/L69)</f>
        <v>676.7044025</v>
      </c>
      <c r="P69" s="32">
        <f>SUM(P70:P74)</f>
        <v>107596</v>
      </c>
      <c r="Q69" s="32">
        <f t="shared" si="11"/>
        <v>141.8666667</v>
      </c>
      <c r="R69" s="32">
        <f t="shared" si="12"/>
        <v>147.2201258</v>
      </c>
      <c r="S69" s="33">
        <f t="shared" si="13"/>
        <v>0.2175545559</v>
      </c>
      <c r="T69" s="32">
        <f>ROUND('Медиаплан'!$K$27*7/31,0)</f>
        <v>170675</v>
      </c>
      <c r="U69" s="33">
        <f>IF(N(T69)=0,"",P69/T69)</f>
        <v>0.6304145305</v>
      </c>
      <c r="X69" s="31"/>
    </row>
    <row r="70" ht="15.0" hidden="1" customHeight="1" outlineLevel="2">
      <c r="A70" s="58" t="s">
        <v>68</v>
      </c>
      <c r="B70" s="59" t="s">
        <v>46</v>
      </c>
      <c r="C70" s="48">
        <v>2253.0</v>
      </c>
      <c r="D70" s="48">
        <v>4807.0</v>
      </c>
      <c r="E70" s="68"/>
      <c r="F70" s="49">
        <v>146.0</v>
      </c>
      <c r="G70" s="49">
        <v>68.0</v>
      </c>
      <c r="H70" s="65"/>
      <c r="I70" s="48">
        <v>19.0</v>
      </c>
      <c r="J70" s="51">
        <f t="shared" si="8"/>
        <v>0.00395256917</v>
      </c>
      <c r="K70" s="52">
        <v>0.9507</v>
      </c>
      <c r="L70" s="53">
        <f t="shared" ref="L70:L74" si="44">IF(OR(I70="",K70=""),"",ROUND(I70*K70,0))</f>
        <v>18</v>
      </c>
      <c r="M70" s="53"/>
      <c r="N70" s="53"/>
      <c r="O70" s="48">
        <v>743.0</v>
      </c>
      <c r="P70" s="53">
        <f t="shared" ref="P70:P74" si="45">IF(N(L70)=0,"",L70*O70)</f>
        <v>13374</v>
      </c>
      <c r="Q70" s="53">
        <f t="shared" si="11"/>
        <v>118.5789474</v>
      </c>
      <c r="R70" s="53">
        <f t="shared" si="12"/>
        <v>125.1666667</v>
      </c>
      <c r="S70" s="51">
        <f t="shared" si="13"/>
        <v>0.1684611934</v>
      </c>
      <c r="T70" s="23"/>
      <c r="U70" s="25"/>
      <c r="V70" s="14" t="s">
        <v>29</v>
      </c>
      <c r="W70" s="14" t="s">
        <v>75</v>
      </c>
      <c r="X70" s="56">
        <v>4.6</v>
      </c>
    </row>
    <row r="71" ht="15.0" hidden="1" customHeight="1" outlineLevel="2">
      <c r="A71" s="58" t="s">
        <v>70</v>
      </c>
      <c r="B71" s="59" t="s">
        <v>46</v>
      </c>
      <c r="C71" s="48">
        <v>5595.0</v>
      </c>
      <c r="D71" s="48">
        <v>22890.0</v>
      </c>
      <c r="E71" s="69"/>
      <c r="F71" s="55"/>
      <c r="G71" s="55"/>
      <c r="H71" s="66"/>
      <c r="I71" s="48">
        <v>15.0</v>
      </c>
      <c r="J71" s="51">
        <f t="shared" si="8"/>
        <v>0.0006553079948</v>
      </c>
      <c r="K71" s="52">
        <v>0.9507</v>
      </c>
      <c r="L71" s="53">
        <f t="shared" si="44"/>
        <v>14</v>
      </c>
      <c r="M71" s="53"/>
      <c r="N71" s="53"/>
      <c r="O71" s="48">
        <v>743.0</v>
      </c>
      <c r="P71" s="53">
        <f t="shared" si="45"/>
        <v>10402</v>
      </c>
      <c r="Q71" s="53">
        <f t="shared" si="11"/>
        <v>373</v>
      </c>
      <c r="R71" s="53">
        <f t="shared" si="12"/>
        <v>399.6428571</v>
      </c>
      <c r="S71" s="51">
        <f t="shared" si="13"/>
        <v>0.5378773313</v>
      </c>
      <c r="T71" s="23"/>
      <c r="U71" s="25"/>
      <c r="V71" s="14" t="s">
        <v>29</v>
      </c>
      <c r="W71" s="14" t="s">
        <v>75</v>
      </c>
      <c r="X71" s="55"/>
    </row>
    <row r="72" ht="15.0" hidden="1" customHeight="1" outlineLevel="2">
      <c r="A72" s="58" t="s">
        <v>68</v>
      </c>
      <c r="B72" s="59" t="s">
        <v>48</v>
      </c>
      <c r="C72" s="48">
        <v>720.0</v>
      </c>
      <c r="D72" s="48">
        <v>300.0</v>
      </c>
      <c r="E72" s="48"/>
      <c r="F72" s="50"/>
      <c r="G72" s="50"/>
      <c r="H72" s="50"/>
      <c r="I72" s="48"/>
      <c r="J72" s="51">
        <f t="shared" si="8"/>
        <v>0</v>
      </c>
      <c r="K72" s="52"/>
      <c r="L72" s="53" t="str">
        <f t="shared" si="44"/>
        <v/>
      </c>
      <c r="M72" s="53"/>
      <c r="N72" s="53"/>
      <c r="O72" s="48">
        <v>3505.0</v>
      </c>
      <c r="P72" s="53" t="str">
        <f t="shared" si="45"/>
        <v/>
      </c>
      <c r="Q72" s="53" t="str">
        <f t="shared" si="11"/>
        <v/>
      </c>
      <c r="R72" s="53" t="str">
        <f t="shared" si="12"/>
        <v/>
      </c>
      <c r="S72" s="51" t="str">
        <f t="shared" si="13"/>
        <v/>
      </c>
      <c r="T72" s="23"/>
      <c r="U72" s="25"/>
      <c r="V72" s="14" t="s">
        <v>29</v>
      </c>
      <c r="W72" s="14" t="s">
        <v>75</v>
      </c>
      <c r="X72" s="54"/>
    </row>
    <row r="73" ht="15.0" hidden="1" customHeight="1" outlineLevel="2">
      <c r="A73" s="58" t="s">
        <v>71</v>
      </c>
      <c r="B73" s="59" t="s">
        <v>48</v>
      </c>
      <c r="C73" s="48"/>
      <c r="D73" s="48"/>
      <c r="E73" s="48"/>
      <c r="F73" s="50"/>
      <c r="G73" s="50"/>
      <c r="H73" s="50"/>
      <c r="I73" s="48"/>
      <c r="J73" s="51" t="str">
        <f t="shared" si="8"/>
        <v/>
      </c>
      <c r="K73" s="52"/>
      <c r="L73" s="53" t="str">
        <f t="shared" si="44"/>
        <v/>
      </c>
      <c r="M73" s="53"/>
      <c r="N73" s="53"/>
      <c r="O73" s="48"/>
      <c r="P73" s="53" t="str">
        <f t="shared" si="45"/>
        <v/>
      </c>
      <c r="Q73" s="53" t="str">
        <f t="shared" si="11"/>
        <v/>
      </c>
      <c r="R73" s="53" t="str">
        <f t="shared" si="12"/>
        <v/>
      </c>
      <c r="S73" s="51" t="str">
        <f t="shared" si="13"/>
        <v/>
      </c>
      <c r="T73" s="23"/>
      <c r="U73" s="25"/>
      <c r="V73" s="14" t="s">
        <v>29</v>
      </c>
      <c r="W73" s="14" t="s">
        <v>75</v>
      </c>
      <c r="X73" s="54"/>
    </row>
    <row r="74" ht="15.0" hidden="1" customHeight="1" outlineLevel="2">
      <c r="A74" s="22" t="s">
        <v>49</v>
      </c>
      <c r="B74" s="38" t="s">
        <v>46</v>
      </c>
      <c r="C74" s="48">
        <v>14840.0</v>
      </c>
      <c r="D74" s="48">
        <v>1685.0</v>
      </c>
      <c r="E74" s="48"/>
      <c r="F74" s="50">
        <v>260.0</v>
      </c>
      <c r="G74" s="50">
        <v>7.0</v>
      </c>
      <c r="H74" s="50"/>
      <c r="I74" s="48">
        <v>131.0</v>
      </c>
      <c r="J74" s="51">
        <f t="shared" si="8"/>
        <v>0.07774480712</v>
      </c>
      <c r="K74" s="52">
        <v>0.97</v>
      </c>
      <c r="L74" s="53">
        <f t="shared" si="44"/>
        <v>127</v>
      </c>
      <c r="M74" s="53"/>
      <c r="N74" s="53"/>
      <c r="O74" s="48">
        <v>660.0</v>
      </c>
      <c r="P74" s="53">
        <f t="shared" si="45"/>
        <v>83820</v>
      </c>
      <c r="Q74" s="53">
        <f t="shared" si="11"/>
        <v>113.2824427</v>
      </c>
      <c r="R74" s="53">
        <f t="shared" si="12"/>
        <v>116.8503937</v>
      </c>
      <c r="S74" s="51">
        <f t="shared" si="13"/>
        <v>0.1770460511</v>
      </c>
      <c r="T74" s="23"/>
      <c r="U74" s="25"/>
      <c r="V74" s="14" t="s">
        <v>29</v>
      </c>
      <c r="W74" s="14" t="s">
        <v>75</v>
      </c>
      <c r="X74" s="67">
        <v>4.9</v>
      </c>
    </row>
    <row r="75" ht="15.0" hidden="1" customHeight="1" outlineLevel="1">
      <c r="A75" s="31" t="s">
        <v>84</v>
      </c>
      <c r="B75" s="31"/>
      <c r="C75" s="32">
        <f t="shared" ref="C75:D75" si="46">SUM(C76:C80)</f>
        <v>15623</v>
      </c>
      <c r="D75" s="32">
        <f t="shared" si="46"/>
        <v>30190</v>
      </c>
      <c r="E75" s="32"/>
      <c r="F75" s="40">
        <f t="shared" ref="F75:G75" si="47">SUM(F76:F80)</f>
        <v>470</v>
      </c>
      <c r="G75" s="32">
        <f t="shared" si="47"/>
        <v>26</v>
      </c>
      <c r="H75" s="32"/>
      <c r="I75" s="32">
        <f>SUM(I76:I80)</f>
        <v>107</v>
      </c>
      <c r="J75" s="33">
        <f t="shared" si="8"/>
        <v>0.00354421994</v>
      </c>
      <c r="K75" s="33">
        <f>IF(N(I75)=0,"",L75/I75)</f>
        <v>0.8971962617</v>
      </c>
      <c r="L75" s="32">
        <f>SUM(L76:L80)</f>
        <v>96</v>
      </c>
      <c r="M75" s="32"/>
      <c r="N75" s="32"/>
      <c r="O75" s="32">
        <f>IF(N(L75)=0,"",P75/L75)</f>
        <v>670.6354167</v>
      </c>
      <c r="P75" s="32">
        <f>SUM(P76:P80)</f>
        <v>64381</v>
      </c>
      <c r="Q75" s="32">
        <f t="shared" si="11"/>
        <v>146.0093458</v>
      </c>
      <c r="R75" s="32">
        <f t="shared" si="12"/>
        <v>162.7395833</v>
      </c>
      <c r="S75" s="33">
        <f t="shared" si="13"/>
        <v>0.2426647613</v>
      </c>
      <c r="T75" s="32">
        <f>ROUND('Медиаплан'!$K$27*7/31,0)</f>
        <v>170675</v>
      </c>
      <c r="U75" s="33">
        <f>IF(N(T75)=0,"",P75/T75)</f>
        <v>0.3772140032</v>
      </c>
      <c r="X75" s="31"/>
    </row>
    <row r="76" ht="15.0" hidden="1" customHeight="1" outlineLevel="2">
      <c r="A76" s="58" t="s">
        <v>68</v>
      </c>
      <c r="B76" s="59" t="s">
        <v>46</v>
      </c>
      <c r="C76" s="48">
        <v>1104.0</v>
      </c>
      <c r="D76" s="48">
        <v>3197.0</v>
      </c>
      <c r="E76" s="68"/>
      <c r="F76" s="49">
        <v>107.0</v>
      </c>
      <c r="G76" s="49">
        <v>25.0</v>
      </c>
      <c r="H76" s="65"/>
      <c r="I76" s="48">
        <v>29.0</v>
      </c>
      <c r="J76" s="51">
        <f t="shared" si="8"/>
        <v>0.009071004066</v>
      </c>
      <c r="K76" s="52">
        <v>0.859</v>
      </c>
      <c r="L76" s="53">
        <f t="shared" ref="L76:L80" si="48">IF(OR(I76="",K76=""),"",ROUND(I76*K76,0))</f>
        <v>25</v>
      </c>
      <c r="M76" s="53"/>
      <c r="N76" s="53"/>
      <c r="O76" s="48">
        <v>713.0</v>
      </c>
      <c r="P76" s="53">
        <f t="shared" ref="P76:P80" si="49">IF(N(L76)=0,"",L76*O76)</f>
        <v>17825</v>
      </c>
      <c r="Q76" s="53">
        <f t="shared" si="11"/>
        <v>38.06896552</v>
      </c>
      <c r="R76" s="53">
        <f t="shared" si="12"/>
        <v>44.16</v>
      </c>
      <c r="S76" s="51">
        <f t="shared" si="13"/>
        <v>0.06193548387</v>
      </c>
      <c r="T76" s="23"/>
      <c r="U76" s="25"/>
      <c r="V76" s="14" t="s">
        <v>29</v>
      </c>
      <c r="W76" s="14" t="s">
        <v>77</v>
      </c>
      <c r="X76" s="56">
        <v>4.7</v>
      </c>
    </row>
    <row r="77" ht="15.0" hidden="1" customHeight="1" outlineLevel="2">
      <c r="A77" s="58" t="s">
        <v>70</v>
      </c>
      <c r="B77" s="59" t="s">
        <v>46</v>
      </c>
      <c r="C77" s="48">
        <v>6392.0</v>
      </c>
      <c r="D77" s="48">
        <v>26296.0</v>
      </c>
      <c r="E77" s="69"/>
      <c r="F77" s="55"/>
      <c r="G77" s="55"/>
      <c r="H77" s="66"/>
      <c r="I77" s="48">
        <v>26.0</v>
      </c>
      <c r="J77" s="51">
        <f t="shared" si="8"/>
        <v>0.0009887435351</v>
      </c>
      <c r="K77" s="52">
        <v>0.859</v>
      </c>
      <c r="L77" s="53">
        <f t="shared" si="48"/>
        <v>22</v>
      </c>
      <c r="M77" s="53"/>
      <c r="N77" s="53"/>
      <c r="O77" s="48">
        <v>713.0</v>
      </c>
      <c r="P77" s="53">
        <f t="shared" si="49"/>
        <v>15686</v>
      </c>
      <c r="Q77" s="53">
        <f t="shared" si="11"/>
        <v>245.8461538</v>
      </c>
      <c r="R77" s="53">
        <f t="shared" si="12"/>
        <v>290.5454545</v>
      </c>
      <c r="S77" s="51">
        <f t="shared" si="13"/>
        <v>0.4074971312</v>
      </c>
      <c r="T77" s="23"/>
      <c r="U77" s="25"/>
      <c r="V77" s="14" t="s">
        <v>29</v>
      </c>
      <c r="W77" s="14" t="s">
        <v>77</v>
      </c>
      <c r="X77" s="55"/>
    </row>
    <row r="78" ht="15.0" hidden="1" customHeight="1" outlineLevel="2">
      <c r="A78" s="58" t="s">
        <v>68</v>
      </c>
      <c r="B78" s="59" t="s">
        <v>48</v>
      </c>
      <c r="C78" s="48">
        <v>2280.0</v>
      </c>
      <c r="D78" s="48">
        <v>236.0</v>
      </c>
      <c r="E78" s="68"/>
      <c r="F78" s="49">
        <v>3.0</v>
      </c>
      <c r="G78" s="50"/>
      <c r="H78" s="50"/>
      <c r="I78" s="48"/>
      <c r="J78" s="51">
        <f t="shared" si="8"/>
        <v>0</v>
      </c>
      <c r="K78" s="52">
        <v>0.95</v>
      </c>
      <c r="L78" s="53" t="str">
        <f t="shared" si="48"/>
        <v/>
      </c>
      <c r="M78" s="53"/>
      <c r="N78" s="53"/>
      <c r="O78" s="48">
        <v>3505.0</v>
      </c>
      <c r="P78" s="53" t="str">
        <f t="shared" si="49"/>
        <v/>
      </c>
      <c r="Q78" s="53" t="str">
        <f t="shared" si="11"/>
        <v/>
      </c>
      <c r="R78" s="53" t="str">
        <f t="shared" si="12"/>
        <v/>
      </c>
      <c r="S78" s="51" t="str">
        <f t="shared" si="13"/>
        <v/>
      </c>
      <c r="T78" s="23"/>
      <c r="U78" s="25"/>
      <c r="V78" s="14" t="s">
        <v>29</v>
      </c>
      <c r="W78" s="14" t="s">
        <v>77</v>
      </c>
      <c r="X78" s="70">
        <v>4.9</v>
      </c>
    </row>
    <row r="79" ht="15.0" hidden="1" customHeight="1" outlineLevel="2">
      <c r="A79" s="58" t="s">
        <v>71</v>
      </c>
      <c r="B79" s="59" t="s">
        <v>48</v>
      </c>
      <c r="C79" s="48"/>
      <c r="D79" s="48"/>
      <c r="E79" s="69"/>
      <c r="F79" s="55"/>
      <c r="G79" s="50"/>
      <c r="H79" s="50"/>
      <c r="I79" s="48"/>
      <c r="J79" s="51" t="str">
        <f t="shared" si="8"/>
        <v/>
      </c>
      <c r="K79" s="52"/>
      <c r="L79" s="53" t="str">
        <f t="shared" si="48"/>
        <v/>
      </c>
      <c r="M79" s="53"/>
      <c r="N79" s="53"/>
      <c r="O79" s="48">
        <v>3505.0</v>
      </c>
      <c r="P79" s="53" t="str">
        <f t="shared" si="49"/>
        <v/>
      </c>
      <c r="Q79" s="53" t="str">
        <f t="shared" si="11"/>
        <v/>
      </c>
      <c r="R79" s="53" t="str">
        <f t="shared" si="12"/>
        <v/>
      </c>
      <c r="S79" s="51" t="str">
        <f t="shared" si="13"/>
        <v/>
      </c>
      <c r="T79" s="23"/>
      <c r="U79" s="25"/>
      <c r="V79" s="14" t="s">
        <v>29</v>
      </c>
      <c r="W79" s="14" t="s">
        <v>77</v>
      </c>
      <c r="X79" s="55"/>
    </row>
    <row r="80" ht="15.0" hidden="1" customHeight="1" outlineLevel="2">
      <c r="A80" s="22" t="s">
        <v>49</v>
      </c>
      <c r="B80" s="38" t="s">
        <v>46</v>
      </c>
      <c r="C80" s="48">
        <v>5847.0</v>
      </c>
      <c r="D80" s="48">
        <v>461.0</v>
      </c>
      <c r="E80" s="48"/>
      <c r="F80" s="50">
        <v>360.0</v>
      </c>
      <c r="G80" s="50">
        <v>1.0</v>
      </c>
      <c r="H80" s="50"/>
      <c r="I80" s="48">
        <v>52.0</v>
      </c>
      <c r="J80" s="51">
        <f t="shared" si="8"/>
        <v>0.1127982646</v>
      </c>
      <c r="K80" s="52">
        <v>0.95</v>
      </c>
      <c r="L80" s="53">
        <f t="shared" si="48"/>
        <v>49</v>
      </c>
      <c r="M80" s="53"/>
      <c r="N80" s="53"/>
      <c r="O80" s="48">
        <v>630.0</v>
      </c>
      <c r="P80" s="53">
        <f t="shared" si="49"/>
        <v>30870</v>
      </c>
      <c r="Q80" s="53">
        <f t="shared" si="11"/>
        <v>112.4423077</v>
      </c>
      <c r="R80" s="53">
        <f t="shared" si="12"/>
        <v>119.3265306</v>
      </c>
      <c r="S80" s="51">
        <f t="shared" si="13"/>
        <v>0.1894071914</v>
      </c>
      <c r="T80" s="23"/>
      <c r="U80" s="25"/>
      <c r="V80" s="14" t="s">
        <v>29</v>
      </c>
      <c r="W80" s="14" t="s">
        <v>77</v>
      </c>
      <c r="X80" s="67">
        <v>4.9</v>
      </c>
    </row>
    <row r="81" ht="15.0" hidden="1" customHeight="1" outlineLevel="1">
      <c r="A81" s="31" t="s">
        <v>85</v>
      </c>
      <c r="B81" s="31"/>
      <c r="C81" s="32">
        <f t="shared" ref="C81:D81" si="50">SUM(C82:C86)</f>
        <v>6680</v>
      </c>
      <c r="D81" s="32">
        <f t="shared" si="50"/>
        <v>22647</v>
      </c>
      <c r="E81" s="32"/>
      <c r="F81" s="40">
        <f t="shared" ref="F81:G81" si="51">SUM(F82:F86)</f>
        <v>232</v>
      </c>
      <c r="G81" s="40">
        <f t="shared" si="51"/>
        <v>46</v>
      </c>
      <c r="H81" s="40"/>
      <c r="I81" s="32">
        <f>SUM(I82:I86)</f>
        <v>52</v>
      </c>
      <c r="J81" s="33">
        <f t="shared" si="8"/>
        <v>0.00229610986</v>
      </c>
      <c r="K81" s="33">
        <f>IF(N(I81)=0,"",L81/I81)</f>
        <v>0.8846153846</v>
      </c>
      <c r="L81" s="32">
        <f>SUM(L82:L86)</f>
        <v>46</v>
      </c>
      <c r="M81" s="32"/>
      <c r="N81" s="32"/>
      <c r="O81" s="32">
        <f>IF(N(L81)=0,"",P81/L81)</f>
        <v>678.7173913</v>
      </c>
      <c r="P81" s="32">
        <f>SUM(P82:P86)</f>
        <v>31221</v>
      </c>
      <c r="Q81" s="32">
        <f t="shared" si="11"/>
        <v>128.4615385</v>
      </c>
      <c r="R81" s="32">
        <f t="shared" si="12"/>
        <v>145.2173913</v>
      </c>
      <c r="S81" s="33">
        <f t="shared" si="13"/>
        <v>0.2139585535</v>
      </c>
      <c r="T81" s="32">
        <f>'Медиаплан'!$K$27-(T57+T63+T69+T75)</f>
        <v>73148</v>
      </c>
      <c r="U81" s="33">
        <f>IF(N(T81)=0,"",P81/T81)</f>
        <v>0.4268195986</v>
      </c>
      <c r="X81" s="31"/>
    </row>
    <row r="82" ht="15.0" hidden="1" customHeight="1" outlineLevel="2">
      <c r="A82" s="58" t="s">
        <v>68</v>
      </c>
      <c r="B82" s="59" t="s">
        <v>46</v>
      </c>
      <c r="C82" s="48">
        <v>280.0</v>
      </c>
      <c r="D82" s="48">
        <v>405.0</v>
      </c>
      <c r="E82" s="68"/>
      <c r="F82" s="49">
        <v>86.0</v>
      </c>
      <c r="G82" s="49">
        <v>45.0</v>
      </c>
      <c r="H82" s="65"/>
      <c r="I82" s="48">
        <v>11.0</v>
      </c>
      <c r="J82" s="51">
        <f t="shared" si="8"/>
        <v>0.02716049383</v>
      </c>
      <c r="K82" s="52">
        <v>0.859</v>
      </c>
      <c r="L82" s="53">
        <f t="shared" ref="L82:L86" si="52">IF(OR(I82="",K82=""),"",ROUND(I82*K82,0))</f>
        <v>9</v>
      </c>
      <c r="M82" s="53"/>
      <c r="N82" s="53"/>
      <c r="O82" s="48">
        <v>713.0</v>
      </c>
      <c r="P82" s="53">
        <f t="shared" ref="P82:P86" si="53">IF(N(L82)=0,"",L82*O82)</f>
        <v>6417</v>
      </c>
      <c r="Q82" s="53">
        <f t="shared" si="11"/>
        <v>25.45454545</v>
      </c>
      <c r="R82" s="53">
        <f t="shared" si="12"/>
        <v>31.11111111</v>
      </c>
      <c r="S82" s="51">
        <f t="shared" si="13"/>
        <v>0.04363409693</v>
      </c>
      <c r="T82" s="23"/>
      <c r="U82" s="25"/>
      <c r="V82" s="14" t="s">
        <v>29</v>
      </c>
      <c r="W82" s="14" t="s">
        <v>79</v>
      </c>
      <c r="X82" s="12"/>
    </row>
    <row r="83" ht="15.0" hidden="1" customHeight="1" outlineLevel="2">
      <c r="A83" s="58" t="s">
        <v>70</v>
      </c>
      <c r="B83" s="59" t="s">
        <v>46</v>
      </c>
      <c r="C83" s="48">
        <v>4250.0</v>
      </c>
      <c r="D83" s="48">
        <v>20391.0</v>
      </c>
      <c r="E83" s="69"/>
      <c r="F83" s="55"/>
      <c r="G83" s="55"/>
      <c r="H83" s="66"/>
      <c r="I83" s="48">
        <v>21.0</v>
      </c>
      <c r="J83" s="51">
        <f t="shared" si="8"/>
        <v>0.001029866117</v>
      </c>
      <c r="K83" s="52">
        <v>0.859</v>
      </c>
      <c r="L83" s="53">
        <f t="shared" si="52"/>
        <v>18</v>
      </c>
      <c r="M83" s="53"/>
      <c r="N83" s="53"/>
      <c r="O83" s="48">
        <v>713.0</v>
      </c>
      <c r="P83" s="53">
        <f t="shared" si="53"/>
        <v>12834</v>
      </c>
      <c r="Q83" s="53">
        <f t="shared" si="11"/>
        <v>202.3809524</v>
      </c>
      <c r="R83" s="53">
        <f t="shared" si="12"/>
        <v>236.1111111</v>
      </c>
      <c r="S83" s="51">
        <f t="shared" si="13"/>
        <v>0.3311516285</v>
      </c>
      <c r="T83" s="23"/>
      <c r="U83" s="25"/>
      <c r="V83" s="14" t="s">
        <v>29</v>
      </c>
      <c r="W83" s="14" t="s">
        <v>79</v>
      </c>
      <c r="X83" s="12"/>
    </row>
    <row r="84" ht="15.0" hidden="1" customHeight="1" outlineLevel="2">
      <c r="A84" s="58" t="s">
        <v>68</v>
      </c>
      <c r="B84" s="59" t="s">
        <v>48</v>
      </c>
      <c r="C84" s="48"/>
      <c r="D84" s="48"/>
      <c r="E84" s="68"/>
      <c r="F84" s="49">
        <v>5.0</v>
      </c>
      <c r="G84" s="50"/>
      <c r="H84" s="50"/>
      <c r="I84" s="48"/>
      <c r="J84" s="51" t="str">
        <f t="shared" si="8"/>
        <v/>
      </c>
      <c r="K84" s="52">
        <v>0.95</v>
      </c>
      <c r="L84" s="53" t="str">
        <f t="shared" si="52"/>
        <v/>
      </c>
      <c r="M84" s="53"/>
      <c r="N84" s="53"/>
      <c r="O84" s="48">
        <v>3505.0</v>
      </c>
      <c r="P84" s="53" t="str">
        <f t="shared" si="53"/>
        <v/>
      </c>
      <c r="Q84" s="53" t="str">
        <f t="shared" si="11"/>
        <v/>
      </c>
      <c r="R84" s="53" t="str">
        <f t="shared" si="12"/>
        <v/>
      </c>
      <c r="S84" s="51" t="str">
        <f t="shared" si="13"/>
        <v/>
      </c>
      <c r="T84" s="23"/>
      <c r="U84" s="25"/>
      <c r="V84" s="14" t="s">
        <v>29</v>
      </c>
      <c r="W84" s="14" t="s">
        <v>79</v>
      </c>
      <c r="X84" s="12"/>
    </row>
    <row r="85" ht="15.0" hidden="1" customHeight="1" outlineLevel="2">
      <c r="A85" s="58" t="s">
        <v>71</v>
      </c>
      <c r="B85" s="59" t="s">
        <v>48</v>
      </c>
      <c r="C85" s="48"/>
      <c r="D85" s="48"/>
      <c r="E85" s="69"/>
      <c r="F85" s="55"/>
      <c r="G85" s="50"/>
      <c r="H85" s="50"/>
      <c r="I85" s="48"/>
      <c r="J85" s="51" t="str">
        <f t="shared" si="8"/>
        <v/>
      </c>
      <c r="K85" s="52"/>
      <c r="L85" s="53" t="str">
        <f t="shared" si="52"/>
        <v/>
      </c>
      <c r="M85" s="53"/>
      <c r="N85" s="53"/>
      <c r="O85" s="48">
        <v>3505.0</v>
      </c>
      <c r="P85" s="53" t="str">
        <f t="shared" si="53"/>
        <v/>
      </c>
      <c r="Q85" s="53" t="str">
        <f t="shared" si="11"/>
        <v/>
      </c>
      <c r="R85" s="53" t="str">
        <f t="shared" si="12"/>
        <v/>
      </c>
      <c r="S85" s="51" t="str">
        <f t="shared" si="13"/>
        <v/>
      </c>
      <c r="T85" s="23"/>
      <c r="U85" s="25"/>
      <c r="V85" s="14" t="s">
        <v>29</v>
      </c>
      <c r="W85" s="14" t="s">
        <v>79</v>
      </c>
      <c r="X85" s="12"/>
    </row>
    <row r="86" ht="15.0" hidden="1" customHeight="1" outlineLevel="2">
      <c r="A86" s="22" t="s">
        <v>49</v>
      </c>
      <c r="B86" s="38" t="s">
        <v>46</v>
      </c>
      <c r="C86" s="48">
        <v>2150.0</v>
      </c>
      <c r="D86" s="48">
        <v>1851.0</v>
      </c>
      <c r="E86" s="48"/>
      <c r="F86" s="50">
        <v>141.0</v>
      </c>
      <c r="G86" s="50">
        <v>1.0</v>
      </c>
      <c r="H86" s="50"/>
      <c r="I86" s="48">
        <v>20.0</v>
      </c>
      <c r="J86" s="51">
        <f t="shared" si="8"/>
        <v>0.01080497029</v>
      </c>
      <c r="K86" s="52">
        <v>0.95</v>
      </c>
      <c r="L86" s="53">
        <f t="shared" si="52"/>
        <v>19</v>
      </c>
      <c r="M86" s="53"/>
      <c r="N86" s="53"/>
      <c r="O86" s="48">
        <v>630.0</v>
      </c>
      <c r="P86" s="53">
        <f t="shared" si="53"/>
        <v>11970</v>
      </c>
      <c r="Q86" s="53">
        <f t="shared" si="11"/>
        <v>107.5</v>
      </c>
      <c r="R86" s="53">
        <f t="shared" si="12"/>
        <v>113.1578947</v>
      </c>
      <c r="S86" s="51">
        <f t="shared" si="13"/>
        <v>0.1796157059</v>
      </c>
      <c r="T86" s="23"/>
      <c r="U86" s="25"/>
      <c r="V86" s="14" t="s">
        <v>29</v>
      </c>
      <c r="W86" s="14" t="s">
        <v>79</v>
      </c>
      <c r="X86" s="12"/>
    </row>
    <row r="87" ht="15.0" customHeight="1">
      <c r="A87" s="42" t="s">
        <v>47</v>
      </c>
      <c r="B87" s="42"/>
      <c r="C87" s="43">
        <f t="shared" ref="C87:D87" si="54">C88+C96+C105+C114+C123</f>
        <v>183225</v>
      </c>
      <c r="D87" s="43">
        <f t="shared" si="54"/>
        <v>504839</v>
      </c>
      <c r="E87" s="43"/>
      <c r="F87" s="43">
        <f t="shared" ref="F87:G87" si="55">F88+F96+F105+F114+F123</f>
        <v>3179</v>
      </c>
      <c r="G87" s="43">
        <f t="shared" si="55"/>
        <v>88</v>
      </c>
      <c r="H87" s="43"/>
      <c r="I87" s="43">
        <f>I88+I96+I105+I114+I123</f>
        <v>1150</v>
      </c>
      <c r="J87" s="45">
        <f t="shared" si="8"/>
        <v>0.002277953962</v>
      </c>
      <c r="K87" s="45">
        <f t="shared" ref="K87:K88" si="58">IF(N(I87)=0,"",L87/I87)</f>
        <v>0.932173913</v>
      </c>
      <c r="L87" s="43">
        <f>L88+L96+L105+L114+L123</f>
        <v>1072</v>
      </c>
      <c r="M87" s="43"/>
      <c r="N87" s="43"/>
      <c r="O87" s="43">
        <f t="shared" ref="O87:O88" si="59">IF(N(L87)=0,"",P87/L87)</f>
        <v>697.4477612</v>
      </c>
      <c r="P87" s="43">
        <f>P88+P96+P105+P114+P123</f>
        <v>747664</v>
      </c>
      <c r="Q87" s="43">
        <f t="shared" si="11"/>
        <v>159.326087</v>
      </c>
      <c r="R87" s="43">
        <f t="shared" si="12"/>
        <v>170.9188433</v>
      </c>
      <c r="S87" s="45">
        <f t="shared" si="13"/>
        <v>0.2450632905</v>
      </c>
      <c r="T87" s="43">
        <f>'Медиаплан'!$K$40</f>
        <v>761400</v>
      </c>
      <c r="U87" s="45">
        <f t="shared" ref="U87:U88" si="60">IF(N(T87)=0,"",P87/T87)</f>
        <v>0.9819595482</v>
      </c>
      <c r="X87" s="57"/>
    </row>
    <row r="88" ht="15.0" customHeight="1" outlineLevel="1">
      <c r="A88" s="31" t="s">
        <v>86</v>
      </c>
      <c r="B88" s="31"/>
      <c r="C88" s="32">
        <f t="shared" ref="C88:D88" si="56">SUM(C89:C95)</f>
        <v>20300</v>
      </c>
      <c r="D88" s="32">
        <f t="shared" si="56"/>
        <v>63634</v>
      </c>
      <c r="E88" s="32"/>
      <c r="F88" s="32">
        <f t="shared" ref="F88:G88" si="57">SUM(F89:F95)</f>
        <v>395</v>
      </c>
      <c r="G88" s="32">
        <f t="shared" si="57"/>
        <v>16</v>
      </c>
      <c r="H88" s="32"/>
      <c r="I88" s="32">
        <f>SUM(I89:I95)</f>
        <v>115</v>
      </c>
      <c r="J88" s="33">
        <f t="shared" si="8"/>
        <v>0.001807209982</v>
      </c>
      <c r="K88" s="33">
        <f t="shared" si="58"/>
        <v>0.9130434783</v>
      </c>
      <c r="L88" s="32">
        <f>SUM(L89:L95)</f>
        <v>105</v>
      </c>
      <c r="M88" s="32"/>
      <c r="N88" s="32"/>
      <c r="O88" s="32">
        <f t="shared" si="59"/>
        <v>678.8571429</v>
      </c>
      <c r="P88" s="32">
        <f>SUM(P89:P94)</f>
        <v>71280</v>
      </c>
      <c r="Q88" s="32">
        <f t="shared" si="11"/>
        <v>176.5217391</v>
      </c>
      <c r="R88" s="32">
        <f t="shared" si="12"/>
        <v>193.3333333</v>
      </c>
      <c r="S88" s="33">
        <f t="shared" si="13"/>
        <v>0.2847923681</v>
      </c>
      <c r="T88" s="32">
        <f>ROUND('Медиаплан'!$K$40*7/30,0)</f>
        <v>177660</v>
      </c>
      <c r="U88" s="33">
        <f t="shared" si="60"/>
        <v>0.4012158055</v>
      </c>
      <c r="X88" s="57"/>
    </row>
    <row r="89" ht="15.0" customHeight="1" outlineLevel="2">
      <c r="A89" s="58" t="s">
        <v>68</v>
      </c>
      <c r="B89" s="59" t="s">
        <v>46</v>
      </c>
      <c r="C89" s="48">
        <v>738.0</v>
      </c>
      <c r="D89" s="48">
        <v>1121.0</v>
      </c>
      <c r="E89" s="68"/>
      <c r="F89" s="49">
        <v>116.0</v>
      </c>
      <c r="G89" s="49">
        <v>12.0</v>
      </c>
      <c r="H89" s="65"/>
      <c r="I89" s="48">
        <v>5.0</v>
      </c>
      <c r="J89" s="51">
        <f t="shared" si="8"/>
        <v>0.004460303301</v>
      </c>
      <c r="K89" s="52">
        <v>0.85</v>
      </c>
      <c r="L89" s="53">
        <f t="shared" ref="L89:L94" si="61">IF(OR(I89="",K89=""),"",ROUND(I89*K89,0))</f>
        <v>4</v>
      </c>
      <c r="M89" s="53"/>
      <c r="N89" s="53"/>
      <c r="O89" s="48">
        <v>731.0</v>
      </c>
      <c r="P89" s="53">
        <f t="shared" ref="P89:P90" si="62">IF(N(L89)=0,"",L89*O89)</f>
        <v>2924</v>
      </c>
      <c r="Q89" s="53">
        <f t="shared" si="11"/>
        <v>147.6</v>
      </c>
      <c r="R89" s="53">
        <f t="shared" si="12"/>
        <v>184.5</v>
      </c>
      <c r="S89" s="51">
        <f t="shared" si="13"/>
        <v>0.2523939808</v>
      </c>
      <c r="T89" s="23"/>
      <c r="U89" s="25"/>
      <c r="V89" s="14" t="s">
        <v>31</v>
      </c>
      <c r="W89" s="14" t="s">
        <v>69</v>
      </c>
      <c r="X89" s="71">
        <v>4.7</v>
      </c>
    </row>
    <row r="90" ht="15.0" customHeight="1" outlineLevel="2">
      <c r="A90" s="58" t="s">
        <v>70</v>
      </c>
      <c r="B90" s="59" t="s">
        <v>46</v>
      </c>
      <c r="C90" s="48">
        <v>8542.0</v>
      </c>
      <c r="D90" s="48">
        <v>47558.0</v>
      </c>
      <c r="E90" s="69"/>
      <c r="F90" s="55"/>
      <c r="G90" s="55"/>
      <c r="H90" s="66"/>
      <c r="I90" s="48">
        <v>31.0</v>
      </c>
      <c r="J90" s="51">
        <f t="shared" si="8"/>
        <v>0.0006518356533</v>
      </c>
      <c r="K90" s="52">
        <v>0.85</v>
      </c>
      <c r="L90" s="53">
        <f t="shared" si="61"/>
        <v>26</v>
      </c>
      <c r="M90" s="53"/>
      <c r="N90" s="53"/>
      <c r="O90" s="48">
        <v>731.0</v>
      </c>
      <c r="P90" s="53">
        <f t="shared" si="62"/>
        <v>19006</v>
      </c>
      <c r="Q90" s="53">
        <f t="shared" si="11"/>
        <v>275.5483871</v>
      </c>
      <c r="R90" s="53">
        <f t="shared" si="12"/>
        <v>328.5384615</v>
      </c>
      <c r="S90" s="51">
        <f t="shared" si="13"/>
        <v>0.4494370199</v>
      </c>
      <c r="U90" s="25"/>
      <c r="V90" s="14" t="s">
        <v>31</v>
      </c>
      <c r="W90" s="14" t="s">
        <v>69</v>
      </c>
      <c r="X90" s="55"/>
    </row>
    <row r="91" ht="15.0" customHeight="1" outlineLevel="2">
      <c r="A91" s="22" t="s">
        <v>87</v>
      </c>
      <c r="B91" s="38" t="s">
        <v>88</v>
      </c>
      <c r="C91" s="48"/>
      <c r="D91" s="48"/>
      <c r="E91" s="72"/>
      <c r="F91" s="73">
        <v>27.0</v>
      </c>
      <c r="G91" s="73"/>
      <c r="H91" s="73"/>
      <c r="I91" s="48"/>
      <c r="J91" s="51"/>
      <c r="K91" s="52">
        <v>0.85</v>
      </c>
      <c r="L91" s="53" t="str">
        <f t="shared" si="61"/>
        <v/>
      </c>
      <c r="M91" s="53"/>
      <c r="N91" s="74"/>
      <c r="O91" s="48">
        <v>1154.0</v>
      </c>
      <c r="P91" s="53"/>
      <c r="Q91" s="53"/>
      <c r="R91" s="53"/>
      <c r="S91" s="51"/>
      <c r="U91" s="25"/>
      <c r="X91" s="75">
        <v>5.0</v>
      </c>
    </row>
    <row r="92" ht="15.0" customHeight="1" outlineLevel="2">
      <c r="A92" s="58" t="s">
        <v>68</v>
      </c>
      <c r="B92" s="59" t="s">
        <v>48</v>
      </c>
      <c r="C92" s="48"/>
      <c r="D92" s="48"/>
      <c r="E92" s="68"/>
      <c r="F92" s="49">
        <v>3.0</v>
      </c>
      <c r="G92" s="49"/>
      <c r="H92" s="65"/>
      <c r="I92" s="48"/>
      <c r="J92" s="51" t="str">
        <f t="shared" ref="J92:J94" si="63">IF(N(D92)=0,"",I92/D92)</f>
        <v/>
      </c>
      <c r="K92" s="52">
        <v>0.95</v>
      </c>
      <c r="L92" s="53" t="str">
        <f t="shared" si="61"/>
        <v/>
      </c>
      <c r="M92" s="53"/>
      <c r="N92" s="53"/>
      <c r="O92" s="48">
        <v>3806.0</v>
      </c>
      <c r="P92" s="53" t="str">
        <f t="shared" ref="P92:P94" si="64">IF(N(L92)=0,"",L92*O92)</f>
        <v/>
      </c>
      <c r="Q92" s="53" t="str">
        <f t="shared" ref="Q92:Q94" si="65">IF(N(I92)=0,"",C92/I92)</f>
        <v/>
      </c>
      <c r="R92" s="53" t="str">
        <f t="shared" ref="R92:R94" si="66">IF(N(L92)=0,"",C92/L92)</f>
        <v/>
      </c>
      <c r="S92" s="51" t="str">
        <f t="shared" ref="S92:S94" si="67">IF(N(P92)=0,"",C92/P92)</f>
        <v/>
      </c>
      <c r="T92" s="23"/>
      <c r="U92" s="25"/>
      <c r="V92" s="14" t="s">
        <v>31</v>
      </c>
      <c r="W92" s="14" t="s">
        <v>69</v>
      </c>
      <c r="X92" s="71">
        <v>4.9</v>
      </c>
    </row>
    <row r="93" ht="15.0" customHeight="1" outlineLevel="2">
      <c r="A93" s="58" t="s">
        <v>71</v>
      </c>
      <c r="B93" s="59" t="s">
        <v>48</v>
      </c>
      <c r="C93" s="48"/>
      <c r="D93" s="48"/>
      <c r="E93" s="69"/>
      <c r="F93" s="55"/>
      <c r="G93" s="55"/>
      <c r="H93" s="66"/>
      <c r="I93" s="48"/>
      <c r="J93" s="51" t="str">
        <f t="shared" si="63"/>
        <v/>
      </c>
      <c r="K93" s="52">
        <v>0.95</v>
      </c>
      <c r="L93" s="53" t="str">
        <f t="shared" si="61"/>
        <v/>
      </c>
      <c r="M93" s="53"/>
      <c r="N93" s="53"/>
      <c r="O93" s="48">
        <v>3806.0</v>
      </c>
      <c r="P93" s="53" t="str">
        <f t="shared" si="64"/>
        <v/>
      </c>
      <c r="Q93" s="53" t="str">
        <f t="shared" si="65"/>
        <v/>
      </c>
      <c r="R93" s="53" t="str">
        <f t="shared" si="66"/>
        <v/>
      </c>
      <c r="S93" s="51" t="str">
        <f t="shared" si="67"/>
        <v/>
      </c>
      <c r="T93" s="23"/>
      <c r="U93" s="25"/>
      <c r="V93" s="14" t="s">
        <v>31</v>
      </c>
      <c r="W93" s="14" t="s">
        <v>69</v>
      </c>
      <c r="X93" s="55"/>
    </row>
    <row r="94" ht="15.0" customHeight="1" outlineLevel="2">
      <c r="A94" s="22" t="s">
        <v>49</v>
      </c>
      <c r="B94" s="38" t="s">
        <v>46</v>
      </c>
      <c r="C94" s="48">
        <v>11020.0</v>
      </c>
      <c r="D94" s="48">
        <v>14955.0</v>
      </c>
      <c r="E94" s="48"/>
      <c r="F94" s="50">
        <v>227.0</v>
      </c>
      <c r="G94" s="50">
        <v>4.0</v>
      </c>
      <c r="H94" s="50"/>
      <c r="I94" s="48">
        <v>79.0</v>
      </c>
      <c r="J94" s="51">
        <f t="shared" si="63"/>
        <v>0.005282514209</v>
      </c>
      <c r="K94" s="52">
        <v>0.95</v>
      </c>
      <c r="L94" s="53">
        <f t="shared" si="61"/>
        <v>75</v>
      </c>
      <c r="M94" s="53"/>
      <c r="N94" s="53"/>
      <c r="O94" s="48">
        <v>658.0</v>
      </c>
      <c r="P94" s="53">
        <f t="shared" si="64"/>
        <v>49350</v>
      </c>
      <c r="Q94" s="53">
        <f t="shared" si="65"/>
        <v>139.4936709</v>
      </c>
      <c r="R94" s="53">
        <f t="shared" si="66"/>
        <v>146.9333333</v>
      </c>
      <c r="S94" s="51">
        <f t="shared" si="67"/>
        <v>0.2233029382</v>
      </c>
      <c r="T94" s="23"/>
      <c r="U94" s="25"/>
      <c r="V94" s="14" t="s">
        <v>31</v>
      </c>
      <c r="W94" s="14" t="s">
        <v>69</v>
      </c>
      <c r="X94" s="76">
        <v>4.8</v>
      </c>
    </row>
    <row r="95" ht="15.0" customHeight="1" outlineLevel="2">
      <c r="A95" s="22" t="s">
        <v>49</v>
      </c>
      <c r="B95" s="38" t="s">
        <v>88</v>
      </c>
      <c r="C95" s="48"/>
      <c r="D95" s="48"/>
      <c r="E95" s="48"/>
      <c r="F95" s="50">
        <v>22.0</v>
      </c>
      <c r="G95" s="50"/>
      <c r="H95" s="50"/>
      <c r="I95" s="48"/>
      <c r="J95" s="51"/>
      <c r="K95" s="52">
        <v>0.95</v>
      </c>
      <c r="L95" s="53"/>
      <c r="M95" s="53"/>
      <c r="N95" s="74"/>
      <c r="O95" s="48">
        <v>1069.0</v>
      </c>
      <c r="P95" s="53"/>
      <c r="Q95" s="53"/>
      <c r="R95" s="53"/>
      <c r="S95" s="51"/>
      <c r="T95" s="23"/>
      <c r="U95" s="25"/>
      <c r="X95" s="77"/>
    </row>
    <row r="96" ht="15.0" customHeight="1" outlineLevel="1">
      <c r="A96" s="31" t="s">
        <v>89</v>
      </c>
      <c r="B96" s="31"/>
      <c r="C96" s="32">
        <f t="shared" ref="C96:D96" si="68">SUM(C97:C102)</f>
        <v>34622</v>
      </c>
      <c r="D96" s="32">
        <f t="shared" si="68"/>
        <v>107515</v>
      </c>
      <c r="E96" s="32"/>
      <c r="F96" s="32">
        <f t="shared" ref="F96:G96" si="69">SUM(F97:F104)</f>
        <v>908</v>
      </c>
      <c r="G96" s="32">
        <f t="shared" si="69"/>
        <v>5</v>
      </c>
      <c r="H96" s="32"/>
      <c r="I96" s="32">
        <f>SUM(I97:I104)</f>
        <v>273</v>
      </c>
      <c r="J96" s="33">
        <f t="shared" ref="J96:J98" si="70">IF(N(D96)=0,"",I96/D96)</f>
        <v>0.002539180579</v>
      </c>
      <c r="K96" s="33">
        <f>IF(N(I96)=0,"",L96/I96)</f>
        <v>0.9157509158</v>
      </c>
      <c r="L96" s="32">
        <f>SUM(L97:L104)</f>
        <v>250</v>
      </c>
      <c r="M96" s="32"/>
      <c r="N96" s="78">
        <f>AVERAGE(N97:N103)</f>
        <v>0.3342857143</v>
      </c>
      <c r="O96" s="32">
        <f>IF(N(L96)=0,"",P96/L96)</f>
        <v>639.616</v>
      </c>
      <c r="P96" s="32">
        <f>SUM(P97:P102)</f>
        <v>159904</v>
      </c>
      <c r="Q96" s="32">
        <f t="shared" ref="Q96:Q98" si="71">IF(N(I96)=0,"",C96/I96)</f>
        <v>126.8205128</v>
      </c>
      <c r="R96" s="32">
        <f t="shared" ref="R96:R98" si="72">IF(N(L96)=0,"",C96/L96)</f>
        <v>138.488</v>
      </c>
      <c r="S96" s="33">
        <f t="shared" ref="S96:S98" si="73">IF(N(P96)=0,"",C96/P96)</f>
        <v>0.2165174104</v>
      </c>
      <c r="T96" s="32">
        <f>ROUND('Медиаплан'!$K$40*7/30,0)</f>
        <v>177660</v>
      </c>
      <c r="U96" s="33">
        <f>IF(N(T96)=0,"",P96/T96)</f>
        <v>0.9000562873</v>
      </c>
      <c r="X96" s="57"/>
    </row>
    <row r="97" ht="15.0" customHeight="1" outlineLevel="2">
      <c r="A97" s="58" t="s">
        <v>68</v>
      </c>
      <c r="B97" s="59" t="s">
        <v>46</v>
      </c>
      <c r="C97" s="48">
        <v>6075.0</v>
      </c>
      <c r="D97" s="48">
        <v>7966.0</v>
      </c>
      <c r="E97" s="68"/>
      <c r="F97" s="49">
        <v>296.0</v>
      </c>
      <c r="G97" s="49">
        <v>0.0</v>
      </c>
      <c r="H97" s="65"/>
      <c r="I97" s="48">
        <v>79.0</v>
      </c>
      <c r="J97" s="51">
        <f t="shared" si="70"/>
        <v>0.009917147878</v>
      </c>
      <c r="K97" s="52">
        <v>0.86</v>
      </c>
      <c r="L97" s="53">
        <f t="shared" ref="L97:L98" si="74">IF(OR(I97="",K97=""),"",ROUND(I97*K97,0))</f>
        <v>68</v>
      </c>
      <c r="M97" s="53">
        <v>812.0</v>
      </c>
      <c r="N97" s="74">
        <v>0.2</v>
      </c>
      <c r="O97" s="48">
        <v>656.0</v>
      </c>
      <c r="P97" s="53">
        <f t="shared" ref="P97:P98" si="75">IF(N(L97)=0,"",L97*O97)</f>
        <v>44608</v>
      </c>
      <c r="Q97" s="53">
        <f t="shared" si="71"/>
        <v>76.89873418</v>
      </c>
      <c r="R97" s="53">
        <f t="shared" si="72"/>
        <v>89.33823529</v>
      </c>
      <c r="S97" s="51">
        <f t="shared" si="73"/>
        <v>0.1361863343</v>
      </c>
      <c r="T97" s="23"/>
      <c r="U97" s="25"/>
      <c r="V97" s="14" t="s">
        <v>31</v>
      </c>
      <c r="W97" s="14" t="s">
        <v>73</v>
      </c>
      <c r="X97" s="71">
        <v>4.7</v>
      </c>
    </row>
    <row r="98" ht="15.0" customHeight="1" outlineLevel="2">
      <c r="A98" s="58" t="s">
        <v>70</v>
      </c>
      <c r="B98" s="59" t="s">
        <v>46</v>
      </c>
      <c r="C98" s="48">
        <v>11911.0</v>
      </c>
      <c r="D98" s="48">
        <v>73781.0</v>
      </c>
      <c r="E98" s="69"/>
      <c r="F98" s="55"/>
      <c r="G98" s="55"/>
      <c r="H98" s="66"/>
      <c r="I98" s="48">
        <v>63.0</v>
      </c>
      <c r="J98" s="51">
        <f t="shared" si="70"/>
        <v>0.0008538783698</v>
      </c>
      <c r="K98" s="52">
        <v>0.86</v>
      </c>
      <c r="L98" s="53">
        <f t="shared" si="74"/>
        <v>54</v>
      </c>
      <c r="M98" s="53">
        <v>812.0</v>
      </c>
      <c r="N98" s="74">
        <v>0.2</v>
      </c>
      <c r="O98" s="48">
        <v>656.0</v>
      </c>
      <c r="P98" s="53">
        <f t="shared" si="75"/>
        <v>35424</v>
      </c>
      <c r="Q98" s="53">
        <f t="shared" si="71"/>
        <v>189.0634921</v>
      </c>
      <c r="R98" s="53">
        <f t="shared" si="72"/>
        <v>220.5740741</v>
      </c>
      <c r="S98" s="51">
        <f t="shared" si="73"/>
        <v>0.3362409666</v>
      </c>
      <c r="T98" s="23"/>
      <c r="U98" s="25"/>
      <c r="V98" s="14" t="s">
        <v>31</v>
      </c>
      <c r="W98" s="14" t="s">
        <v>73</v>
      </c>
      <c r="X98" s="55"/>
    </row>
    <row r="99" ht="15.0" customHeight="1" outlineLevel="2">
      <c r="A99" s="58" t="s">
        <v>87</v>
      </c>
      <c r="B99" s="59" t="s">
        <v>88</v>
      </c>
      <c r="C99" s="48"/>
      <c r="D99" s="48"/>
      <c r="E99" s="72"/>
      <c r="F99" s="73">
        <v>26.0</v>
      </c>
      <c r="G99" s="73"/>
      <c r="H99" s="73"/>
      <c r="I99" s="48"/>
      <c r="J99" s="51"/>
      <c r="K99" s="52"/>
      <c r="L99" s="53"/>
      <c r="M99" s="53">
        <v>1508.0</v>
      </c>
      <c r="N99" s="74">
        <v>0.23</v>
      </c>
      <c r="O99" s="48">
        <v>1118.0</v>
      </c>
      <c r="P99" s="53"/>
      <c r="Q99" s="53"/>
      <c r="R99" s="53"/>
      <c r="S99" s="51"/>
      <c r="T99" s="23"/>
      <c r="U99" s="25"/>
      <c r="X99" s="75">
        <v>5.0</v>
      </c>
    </row>
    <row r="100" ht="15.0" customHeight="1" outlineLevel="2">
      <c r="A100" s="58" t="s">
        <v>68</v>
      </c>
      <c r="B100" s="59" t="s">
        <v>48</v>
      </c>
      <c r="C100" s="48"/>
      <c r="D100" s="48"/>
      <c r="E100" s="68"/>
      <c r="F100" s="49">
        <v>4.0</v>
      </c>
      <c r="G100" s="49">
        <v>0.0</v>
      </c>
      <c r="H100" s="65"/>
      <c r="I100" s="48"/>
      <c r="J100" s="51" t="str">
        <f t="shared" ref="J100:J102" si="76">IF(N(D100)=0,"",I100/D100)</f>
        <v/>
      </c>
      <c r="K100" s="52">
        <v>0.95</v>
      </c>
      <c r="L100" s="53" t="str">
        <f t="shared" ref="L100:L102" si="77">IF(OR(I100="",K100=""),"",ROUND(I100*K100,0))</f>
        <v/>
      </c>
      <c r="M100" s="53">
        <v>6603.0</v>
      </c>
      <c r="N100" s="74">
        <v>0.38</v>
      </c>
      <c r="O100" s="48">
        <v>3862.0</v>
      </c>
      <c r="P100" s="53" t="str">
        <f t="shared" ref="P100:P102" si="78">IF(N(L100)=0,"",L100*O100)</f>
        <v/>
      </c>
      <c r="Q100" s="53" t="str">
        <f t="shared" ref="Q100:Q102" si="79">IF(N(I100)=0,"",C100/I100)</f>
        <v/>
      </c>
      <c r="R100" s="53" t="str">
        <f t="shared" ref="R100:R102" si="80">IF(N(L100)=0,"",C100/L100)</f>
        <v/>
      </c>
      <c r="S100" s="51" t="str">
        <f t="shared" ref="S100:S102" si="81">IF(N(P100)=0,"",C100/P100)</f>
        <v/>
      </c>
      <c r="T100" s="23"/>
      <c r="U100" s="25"/>
      <c r="V100" s="14" t="s">
        <v>31</v>
      </c>
      <c r="W100" s="14" t="s">
        <v>73</v>
      </c>
      <c r="X100" s="71">
        <v>4.9</v>
      </c>
    </row>
    <row r="101" ht="15.0" customHeight="1" outlineLevel="2">
      <c r="A101" s="58" t="s">
        <v>71</v>
      </c>
      <c r="B101" s="59" t="s">
        <v>48</v>
      </c>
      <c r="C101" s="48"/>
      <c r="D101" s="48"/>
      <c r="E101" s="69"/>
      <c r="F101" s="55"/>
      <c r="G101" s="55"/>
      <c r="H101" s="66"/>
      <c r="I101" s="48"/>
      <c r="J101" s="51" t="str">
        <f t="shared" si="76"/>
        <v/>
      </c>
      <c r="K101" s="52">
        <v>0.95</v>
      </c>
      <c r="L101" s="53" t="str">
        <f t="shared" si="77"/>
        <v/>
      </c>
      <c r="M101" s="53">
        <v>6603.0</v>
      </c>
      <c r="N101" s="74">
        <v>0.38</v>
      </c>
      <c r="O101" s="48">
        <v>3862.0</v>
      </c>
      <c r="P101" s="53" t="str">
        <f t="shared" si="78"/>
        <v/>
      </c>
      <c r="Q101" s="53" t="str">
        <f t="shared" si="79"/>
        <v/>
      </c>
      <c r="R101" s="53" t="str">
        <f t="shared" si="80"/>
        <v/>
      </c>
      <c r="S101" s="51" t="str">
        <f t="shared" si="81"/>
        <v/>
      </c>
      <c r="T101" s="23"/>
      <c r="U101" s="25"/>
      <c r="V101" s="14" t="s">
        <v>31</v>
      </c>
      <c r="W101" s="14" t="s">
        <v>73</v>
      </c>
      <c r="X101" s="55"/>
    </row>
    <row r="102" ht="15.0" customHeight="1" outlineLevel="2">
      <c r="A102" s="22" t="s">
        <v>49</v>
      </c>
      <c r="B102" s="38" t="s">
        <v>46</v>
      </c>
      <c r="C102" s="48">
        <v>16636.0</v>
      </c>
      <c r="D102" s="48">
        <v>25768.0</v>
      </c>
      <c r="E102" s="48"/>
      <c r="F102" s="50">
        <v>535.0</v>
      </c>
      <c r="G102" s="50">
        <v>5.0</v>
      </c>
      <c r="H102" s="50"/>
      <c r="I102" s="48">
        <v>131.0</v>
      </c>
      <c r="J102" s="51">
        <f t="shared" si="76"/>
        <v>0.005083824899</v>
      </c>
      <c r="K102" s="52">
        <v>0.9765</v>
      </c>
      <c r="L102" s="53">
        <f t="shared" si="77"/>
        <v>128</v>
      </c>
      <c r="M102" s="53">
        <v>1184.0</v>
      </c>
      <c r="N102" s="74">
        <v>0.47</v>
      </c>
      <c r="O102" s="48">
        <v>624.0</v>
      </c>
      <c r="P102" s="53">
        <f t="shared" si="78"/>
        <v>79872</v>
      </c>
      <c r="Q102" s="53">
        <f t="shared" si="79"/>
        <v>126.9923664</v>
      </c>
      <c r="R102" s="53">
        <f t="shared" si="80"/>
        <v>129.96875</v>
      </c>
      <c r="S102" s="51">
        <f t="shared" si="81"/>
        <v>0.2082832532</v>
      </c>
      <c r="T102" s="23"/>
      <c r="U102" s="25"/>
      <c r="V102" s="14" t="s">
        <v>31</v>
      </c>
      <c r="W102" s="14" t="s">
        <v>73</v>
      </c>
      <c r="X102" s="76">
        <v>4.8</v>
      </c>
    </row>
    <row r="103" ht="15.0" customHeight="1" outlineLevel="2">
      <c r="A103" s="22" t="s">
        <v>49</v>
      </c>
      <c r="B103" s="38" t="s">
        <v>88</v>
      </c>
      <c r="C103" s="48"/>
      <c r="D103" s="48"/>
      <c r="E103" s="48"/>
      <c r="F103" s="50">
        <v>46.0</v>
      </c>
      <c r="G103" s="50"/>
      <c r="H103" s="50"/>
      <c r="I103" s="48"/>
      <c r="J103" s="51"/>
      <c r="K103" s="52">
        <v>0.9765</v>
      </c>
      <c r="L103" s="53"/>
      <c r="M103" s="53">
        <v>1974.0</v>
      </c>
      <c r="N103" s="74">
        <v>0.48</v>
      </c>
      <c r="O103" s="48">
        <v>1029.0</v>
      </c>
      <c r="P103" s="53"/>
      <c r="Q103" s="53"/>
      <c r="R103" s="53"/>
      <c r="S103" s="51"/>
      <c r="T103" s="23"/>
      <c r="U103" s="25"/>
      <c r="X103" s="77"/>
    </row>
    <row r="104" ht="15.0" customHeight="1" outlineLevel="2">
      <c r="A104" s="22" t="s">
        <v>49</v>
      </c>
      <c r="B104" s="38" t="s">
        <v>48</v>
      </c>
      <c r="C104" s="48"/>
      <c r="D104" s="48"/>
      <c r="E104" s="48"/>
      <c r="F104" s="50">
        <v>1.0</v>
      </c>
      <c r="G104" s="50"/>
      <c r="H104" s="50"/>
      <c r="I104" s="48"/>
      <c r="J104" s="51"/>
      <c r="K104" s="52">
        <v>0.9765</v>
      </c>
      <c r="L104" s="53"/>
      <c r="M104" s="53"/>
      <c r="N104" s="74"/>
      <c r="O104" s="48"/>
      <c r="P104" s="53"/>
      <c r="Q104" s="53"/>
      <c r="R104" s="53"/>
      <c r="S104" s="51"/>
      <c r="T104" s="23"/>
      <c r="U104" s="25"/>
      <c r="X104" s="77"/>
    </row>
    <row r="105" ht="15.0" customHeight="1" outlineLevel="1">
      <c r="A105" s="31" t="s">
        <v>90</v>
      </c>
      <c r="B105" s="31"/>
      <c r="C105" s="32">
        <f t="shared" ref="C105:D105" si="82">SUM(C106:C113)</f>
        <v>55168</v>
      </c>
      <c r="D105" s="32">
        <f t="shared" si="82"/>
        <v>170747</v>
      </c>
      <c r="E105" s="32"/>
      <c r="F105" s="32">
        <f t="shared" ref="F105:G105" si="83">SUM(F106:F113)</f>
        <v>970</v>
      </c>
      <c r="G105" s="32">
        <f t="shared" si="83"/>
        <v>30</v>
      </c>
      <c r="H105" s="32"/>
      <c r="I105" s="32">
        <f>SUM(I106:I113)</f>
        <v>378</v>
      </c>
      <c r="J105" s="33">
        <f t="shared" ref="J105:J108" si="84">IF(N(D105)=0,"",I105/D105)</f>
        <v>0.002213801707</v>
      </c>
      <c r="K105" s="33">
        <f>IF(N(I105)=0,"",L105/I105)</f>
        <v>0.9285714286</v>
      </c>
      <c r="L105" s="32">
        <f>SUM(L106:L113)</f>
        <v>351</v>
      </c>
      <c r="M105" s="32"/>
      <c r="N105" s="78">
        <f>AVERAGE(N106:N113)</f>
        <v>0.45</v>
      </c>
      <c r="O105" s="32">
        <f>IF(N(L105)=0,"",P105/L105)</f>
        <v>723.0740741</v>
      </c>
      <c r="P105" s="32">
        <f>SUM(P106:P113)</f>
        <v>253799</v>
      </c>
      <c r="Q105" s="32">
        <f t="shared" ref="Q105:Q108" si="85">IF(N(I105)=0,"",C105/I105)</f>
        <v>145.9470899</v>
      </c>
      <c r="R105" s="32">
        <f t="shared" ref="R105:R108" si="86">IF(N(L105)=0,"",C105/L105)</f>
        <v>157.1737892</v>
      </c>
      <c r="S105" s="33">
        <f t="shared" ref="S105:S108" si="87">IF(N(P105)=0,"",C105/P105)</f>
        <v>0.2173688628</v>
      </c>
      <c r="T105" s="32">
        <f>ROUND('Медиаплан'!$K$40*7/30,0)</f>
        <v>177660</v>
      </c>
      <c r="U105" s="33">
        <f>IF(N(T105)=0,"",P105/T105)</f>
        <v>1.4285658</v>
      </c>
      <c r="X105" s="57"/>
    </row>
    <row r="106" ht="15.0" customHeight="1" outlineLevel="2">
      <c r="A106" s="58" t="s">
        <v>68</v>
      </c>
      <c r="B106" s="59" t="s">
        <v>46</v>
      </c>
      <c r="C106" s="48">
        <v>8313.0</v>
      </c>
      <c r="D106" s="48">
        <v>8547.0</v>
      </c>
      <c r="E106" s="68"/>
      <c r="F106" s="49">
        <v>331.0</v>
      </c>
      <c r="G106" s="49"/>
      <c r="H106" s="50"/>
      <c r="I106" s="48">
        <v>100.0</v>
      </c>
      <c r="J106" s="51">
        <f t="shared" si="84"/>
        <v>0.0117000117</v>
      </c>
      <c r="K106" s="52">
        <v>0.87</v>
      </c>
      <c r="L106" s="53">
        <f t="shared" ref="L106:L108" si="88">IF(OR(I106="",K106=""),"",ROUND(I106*K106,0))</f>
        <v>87</v>
      </c>
      <c r="M106" s="53">
        <v>1234.0</v>
      </c>
      <c r="N106" s="74">
        <v>0.37</v>
      </c>
      <c r="O106" s="48">
        <v>773.0</v>
      </c>
      <c r="P106" s="53">
        <f t="shared" ref="P106:P108" si="89">IF(N(L106)=0,"",L106*O106)</f>
        <v>67251</v>
      </c>
      <c r="Q106" s="53">
        <f t="shared" si="85"/>
        <v>83.13</v>
      </c>
      <c r="R106" s="53">
        <f t="shared" si="86"/>
        <v>95.55172414</v>
      </c>
      <c r="S106" s="51">
        <f t="shared" si="87"/>
        <v>0.1236115448</v>
      </c>
      <c r="T106" s="23"/>
      <c r="U106" s="25"/>
      <c r="V106" s="14" t="s">
        <v>31</v>
      </c>
      <c r="W106" s="14" t="s">
        <v>75</v>
      </c>
      <c r="X106" s="71">
        <v>4.7</v>
      </c>
    </row>
    <row r="107" ht="15.0" customHeight="1" outlineLevel="2">
      <c r="A107" s="58" t="s">
        <v>70</v>
      </c>
      <c r="B107" s="59" t="s">
        <v>46</v>
      </c>
      <c r="C107" s="48">
        <v>14089.0</v>
      </c>
      <c r="D107" s="48">
        <v>83021.0</v>
      </c>
      <c r="E107" s="48"/>
      <c r="F107" s="55"/>
      <c r="G107" s="55"/>
      <c r="H107" s="50"/>
      <c r="I107" s="48">
        <v>67.0</v>
      </c>
      <c r="J107" s="51">
        <f t="shared" si="84"/>
        <v>0.0008070247287</v>
      </c>
      <c r="K107" s="52">
        <v>0.87</v>
      </c>
      <c r="L107" s="53">
        <f t="shared" si="88"/>
        <v>58</v>
      </c>
      <c r="M107" s="53">
        <v>1234.0</v>
      </c>
      <c r="N107" s="74">
        <v>0.37</v>
      </c>
      <c r="O107" s="48">
        <v>773.0</v>
      </c>
      <c r="P107" s="53">
        <f t="shared" si="89"/>
        <v>44834</v>
      </c>
      <c r="Q107" s="53">
        <f t="shared" si="85"/>
        <v>210.2835821</v>
      </c>
      <c r="R107" s="53">
        <f t="shared" si="86"/>
        <v>242.9137931</v>
      </c>
      <c r="S107" s="51">
        <f t="shared" si="87"/>
        <v>0.3142481153</v>
      </c>
      <c r="T107" s="23"/>
      <c r="U107" s="25"/>
      <c r="V107" s="14" t="s">
        <v>31</v>
      </c>
      <c r="W107" s="14" t="s">
        <v>75</v>
      </c>
      <c r="X107" s="55"/>
    </row>
    <row r="108" ht="15.0" customHeight="1" outlineLevel="2">
      <c r="A108" s="58" t="s">
        <v>87</v>
      </c>
      <c r="B108" s="59" t="s">
        <v>88</v>
      </c>
      <c r="C108" s="48"/>
      <c r="D108" s="48"/>
      <c r="E108" s="48"/>
      <c r="F108" s="50">
        <v>34.0</v>
      </c>
      <c r="G108" s="50"/>
      <c r="H108" s="50"/>
      <c r="I108" s="48"/>
      <c r="J108" s="51" t="str">
        <f t="shared" si="84"/>
        <v/>
      </c>
      <c r="K108" s="52">
        <v>0.87</v>
      </c>
      <c r="L108" s="53" t="str">
        <f t="shared" si="88"/>
        <v/>
      </c>
      <c r="M108" s="53">
        <v>2086.0</v>
      </c>
      <c r="N108" s="74">
        <v>0.42</v>
      </c>
      <c r="O108" s="48">
        <v>1209.0</v>
      </c>
      <c r="P108" s="53" t="str">
        <f t="shared" si="89"/>
        <v/>
      </c>
      <c r="Q108" s="53" t="str">
        <f t="shared" si="85"/>
        <v/>
      </c>
      <c r="R108" s="53" t="str">
        <f t="shared" si="86"/>
        <v/>
      </c>
      <c r="S108" s="51" t="str">
        <f t="shared" si="87"/>
        <v/>
      </c>
      <c r="T108" s="23"/>
      <c r="U108" s="25"/>
      <c r="V108" s="14" t="s">
        <v>31</v>
      </c>
      <c r="W108" s="14" t="s">
        <v>75</v>
      </c>
      <c r="X108" s="75">
        <v>5.0</v>
      </c>
    </row>
    <row r="109" ht="15.0" customHeight="1" outlineLevel="2">
      <c r="A109" s="58" t="s">
        <v>68</v>
      </c>
      <c r="B109" s="59" t="s">
        <v>48</v>
      </c>
      <c r="C109" s="48">
        <v>1744.0</v>
      </c>
      <c r="D109" s="48">
        <v>2655.0</v>
      </c>
      <c r="E109" s="48"/>
      <c r="F109" s="49">
        <v>1.0</v>
      </c>
      <c r="G109" s="49"/>
      <c r="H109" s="50"/>
      <c r="I109" s="48"/>
      <c r="J109" s="51"/>
      <c r="K109" s="52"/>
      <c r="L109" s="53"/>
      <c r="M109" s="53">
        <v>6603.0</v>
      </c>
      <c r="N109" s="74">
        <v>0.42</v>
      </c>
      <c r="O109" s="48">
        <v>3798.0</v>
      </c>
      <c r="P109" s="53"/>
      <c r="Q109" s="53"/>
      <c r="R109" s="53"/>
      <c r="S109" s="51"/>
      <c r="T109" s="23"/>
      <c r="U109" s="25"/>
      <c r="X109" s="71">
        <v>4.9</v>
      </c>
    </row>
    <row r="110" ht="15.0" customHeight="1" outlineLevel="2">
      <c r="A110" s="58" t="s">
        <v>71</v>
      </c>
      <c r="B110" s="59" t="s">
        <v>48</v>
      </c>
      <c r="C110" s="48"/>
      <c r="D110" s="48"/>
      <c r="E110" s="69"/>
      <c r="F110" s="55"/>
      <c r="G110" s="55"/>
      <c r="H110" s="50"/>
      <c r="I110" s="48"/>
      <c r="J110" s="51"/>
      <c r="K110" s="52"/>
      <c r="L110" s="53"/>
      <c r="M110" s="53">
        <v>6603.0</v>
      </c>
      <c r="N110" s="74">
        <v>0.42</v>
      </c>
      <c r="O110" s="48">
        <v>3798.0</v>
      </c>
      <c r="P110" s="53"/>
      <c r="Q110" s="53"/>
      <c r="R110" s="53"/>
      <c r="S110" s="51"/>
      <c r="T110" s="23"/>
      <c r="U110" s="25"/>
      <c r="X110" s="55"/>
    </row>
    <row r="111" ht="15.0" customHeight="1" outlineLevel="2">
      <c r="A111" s="22" t="s">
        <v>49</v>
      </c>
      <c r="B111" s="38" t="s">
        <v>46</v>
      </c>
      <c r="C111" s="48">
        <v>28463.0</v>
      </c>
      <c r="D111" s="48">
        <v>72019.0</v>
      </c>
      <c r="E111" s="79">
        <v>3236.0</v>
      </c>
      <c r="F111" s="50">
        <v>528.0</v>
      </c>
      <c r="G111" s="50">
        <v>30.0</v>
      </c>
      <c r="H111" s="80">
        <f>(I111/E111)*100%</f>
        <v>0.06489493201</v>
      </c>
      <c r="I111" s="48">
        <v>210.0</v>
      </c>
      <c r="J111" s="51">
        <f t="shared" ref="J111:J221" si="90">IF(N(D111)=0,"",I111/D111)</f>
        <v>0.002915897194</v>
      </c>
      <c r="K111" s="52">
        <v>0.9765</v>
      </c>
      <c r="L111" s="53">
        <f t="shared" ref="L111:L113" si="91">IF(OR(I111="",K111=""),"",ROUND(I111*K111,0))</f>
        <v>205</v>
      </c>
      <c r="M111" s="53">
        <v>1398.0</v>
      </c>
      <c r="N111" s="74">
        <v>0.52</v>
      </c>
      <c r="O111" s="48">
        <v>678.0</v>
      </c>
      <c r="P111" s="53">
        <f t="shared" ref="P111:P113" si="92">IF(N(L111)=0,"",L111*O111)</f>
        <v>138990</v>
      </c>
      <c r="Q111" s="53">
        <f t="shared" ref="Q111:Q221" si="93">IF(N(I111)=0,"",C111/I111)</f>
        <v>135.5380952</v>
      </c>
      <c r="R111" s="53">
        <f t="shared" ref="R111:R221" si="94">IF(N(L111)=0,"",C111/L111)</f>
        <v>138.8439024</v>
      </c>
      <c r="S111" s="51">
        <f t="shared" ref="S111:S115" si="95">IF(N(P111)=0,"",C111/P111)</f>
        <v>0.2047845169</v>
      </c>
      <c r="T111" s="23"/>
      <c r="U111" s="25"/>
      <c r="V111" s="14" t="s">
        <v>31</v>
      </c>
      <c r="W111" s="14" t="s">
        <v>75</v>
      </c>
      <c r="X111" s="76">
        <v>4.8</v>
      </c>
    </row>
    <row r="112" ht="15.0" customHeight="1" outlineLevel="2">
      <c r="A112" s="22" t="s">
        <v>49</v>
      </c>
      <c r="B112" s="38" t="s">
        <v>88</v>
      </c>
      <c r="C112" s="48"/>
      <c r="D112" s="48"/>
      <c r="E112" s="48"/>
      <c r="F112" s="50">
        <v>74.0</v>
      </c>
      <c r="G112" s="50"/>
      <c r="H112" s="50"/>
      <c r="I112" s="48"/>
      <c r="J112" s="51" t="str">
        <f t="shared" si="90"/>
        <v/>
      </c>
      <c r="K112" s="52">
        <v>0.9765</v>
      </c>
      <c r="L112" s="53" t="str">
        <f t="shared" si="91"/>
        <v/>
      </c>
      <c r="M112" s="53">
        <v>2377.0</v>
      </c>
      <c r="N112" s="74">
        <v>0.48</v>
      </c>
      <c r="O112" s="48">
        <v>1230.0</v>
      </c>
      <c r="P112" s="53" t="str">
        <f t="shared" si="92"/>
        <v/>
      </c>
      <c r="Q112" s="53" t="str">
        <f t="shared" si="93"/>
        <v/>
      </c>
      <c r="R112" s="53" t="str">
        <f t="shared" si="94"/>
        <v/>
      </c>
      <c r="S112" s="51" t="str">
        <f t="shared" si="95"/>
        <v/>
      </c>
      <c r="T112" s="23"/>
      <c r="U112" s="25"/>
      <c r="V112" s="14" t="s">
        <v>31</v>
      </c>
      <c r="W112" s="14" t="s">
        <v>75</v>
      </c>
      <c r="X112" s="77"/>
    </row>
    <row r="113" ht="15.0" customHeight="1" outlineLevel="2">
      <c r="A113" s="22" t="s">
        <v>49</v>
      </c>
      <c r="B113" s="38" t="s">
        <v>48</v>
      </c>
      <c r="C113" s="48">
        <v>2559.0</v>
      </c>
      <c r="D113" s="48">
        <v>4505.0</v>
      </c>
      <c r="E113" s="48"/>
      <c r="F113" s="50">
        <v>2.0</v>
      </c>
      <c r="G113" s="50"/>
      <c r="H113" s="50"/>
      <c r="I113" s="48">
        <v>1.0</v>
      </c>
      <c r="J113" s="51">
        <f t="shared" si="90"/>
        <v>0.0002219755827</v>
      </c>
      <c r="K113" s="52">
        <v>0.9765</v>
      </c>
      <c r="L113" s="53">
        <f t="shared" si="91"/>
        <v>1</v>
      </c>
      <c r="M113" s="53">
        <v>6996.0</v>
      </c>
      <c r="N113" s="74">
        <v>0.6</v>
      </c>
      <c r="O113" s="48">
        <v>2724.0</v>
      </c>
      <c r="P113" s="53">
        <f t="shared" si="92"/>
        <v>2724</v>
      </c>
      <c r="Q113" s="53">
        <f t="shared" si="93"/>
        <v>2559</v>
      </c>
      <c r="R113" s="53">
        <f t="shared" si="94"/>
        <v>2559</v>
      </c>
      <c r="S113" s="51">
        <f t="shared" si="95"/>
        <v>0.9394273128</v>
      </c>
      <c r="T113" s="23"/>
      <c r="U113" s="25"/>
      <c r="X113" s="77"/>
    </row>
    <row r="114" ht="15.0" customHeight="1" outlineLevel="1">
      <c r="A114" s="31" t="s">
        <v>91</v>
      </c>
      <c r="B114" s="31"/>
      <c r="C114" s="32">
        <f t="shared" ref="C114:D114" si="96">SUM(C115:C122)</f>
        <v>73135</v>
      </c>
      <c r="D114" s="32">
        <f t="shared" si="96"/>
        <v>162943</v>
      </c>
      <c r="E114" s="32"/>
      <c r="F114" s="32">
        <f t="shared" ref="F114:G114" si="97">SUM(F115:F122)</f>
        <v>906</v>
      </c>
      <c r="G114" s="32">
        <f t="shared" si="97"/>
        <v>37</v>
      </c>
      <c r="H114" s="32"/>
      <c r="I114" s="32">
        <f>SUM(I115:I122)</f>
        <v>384</v>
      </c>
      <c r="J114" s="33">
        <f t="shared" si="90"/>
        <v>0.002356652326</v>
      </c>
      <c r="K114" s="33">
        <f>IF(N(I114)=0,"",L114/I114)</f>
        <v>0.953125</v>
      </c>
      <c r="L114" s="32">
        <f>SUM(L115:L122)</f>
        <v>366</v>
      </c>
      <c r="M114" s="32"/>
      <c r="N114" s="78">
        <f>AVERAGE(N115:N122)</f>
        <v>0.42875</v>
      </c>
      <c r="O114" s="32">
        <f>IF(N(L114)=0,"",P114/L114)</f>
        <v>717.7076503</v>
      </c>
      <c r="P114" s="32">
        <f>SUM(P115:P122)</f>
        <v>262681</v>
      </c>
      <c r="Q114" s="32">
        <f t="shared" si="93"/>
        <v>190.4557292</v>
      </c>
      <c r="R114" s="32">
        <f t="shared" si="94"/>
        <v>199.8224044</v>
      </c>
      <c r="S114" s="33">
        <f t="shared" si="95"/>
        <v>0.2784175483</v>
      </c>
      <c r="T114" s="32">
        <f>ROUND('Медиаплан'!$K$40*7/30,0)</f>
        <v>177660</v>
      </c>
      <c r="U114" s="33">
        <f>IF(N(T114)=0,"",P114/T114)</f>
        <v>1.478560171</v>
      </c>
      <c r="X114" s="57"/>
    </row>
    <row r="115" ht="15.75" customHeight="1" outlineLevel="2">
      <c r="A115" s="58" t="s">
        <v>68</v>
      </c>
      <c r="B115" s="59" t="s">
        <v>46</v>
      </c>
      <c r="C115" s="48">
        <v>2649.0</v>
      </c>
      <c r="D115" s="48">
        <v>3232.0</v>
      </c>
      <c r="E115" s="48"/>
      <c r="F115" s="49">
        <v>176.0</v>
      </c>
      <c r="G115" s="49">
        <v>13.0</v>
      </c>
      <c r="H115" s="50"/>
      <c r="I115" s="48">
        <v>38.0</v>
      </c>
      <c r="J115" s="51">
        <f t="shared" si="90"/>
        <v>0.01175742574</v>
      </c>
      <c r="K115" s="52">
        <v>0.87</v>
      </c>
      <c r="L115" s="53">
        <f t="shared" ref="L115:L122" si="98">IF(OR(I115="",K115=""),"",ROUND(I115*K115,0))</f>
        <v>33</v>
      </c>
      <c r="M115" s="53">
        <v>1272.0</v>
      </c>
      <c r="N115" s="74">
        <v>0.36</v>
      </c>
      <c r="O115" s="48">
        <v>731.0</v>
      </c>
      <c r="P115" s="53">
        <f t="shared" ref="P115:P122" si="99">IF(N(L115)=0,"",L115*O115)</f>
        <v>24123</v>
      </c>
      <c r="Q115" s="53">
        <f t="shared" si="93"/>
        <v>69.71052632</v>
      </c>
      <c r="R115" s="53">
        <f t="shared" si="94"/>
        <v>80.27272727</v>
      </c>
      <c r="S115" s="51">
        <f t="shared" si="95"/>
        <v>0.1098122124</v>
      </c>
      <c r="T115" s="23"/>
      <c r="U115" s="25"/>
      <c r="V115" s="14" t="s">
        <v>31</v>
      </c>
      <c r="W115" s="14" t="s">
        <v>77</v>
      </c>
      <c r="X115" s="71">
        <v>4.7</v>
      </c>
    </row>
    <row r="116" ht="15.75" customHeight="1" outlineLevel="2">
      <c r="A116" s="58" t="s">
        <v>70</v>
      </c>
      <c r="B116" s="59" t="s">
        <v>46</v>
      </c>
      <c r="C116" s="48">
        <v>10331.0</v>
      </c>
      <c r="D116" s="48">
        <v>65974.0</v>
      </c>
      <c r="E116" s="48"/>
      <c r="F116" s="55"/>
      <c r="G116" s="55"/>
      <c r="H116" s="50"/>
      <c r="I116" s="48">
        <v>48.0</v>
      </c>
      <c r="J116" s="51">
        <f t="shared" si="90"/>
        <v>0.0007275593416</v>
      </c>
      <c r="K116" s="52">
        <v>0.87</v>
      </c>
      <c r="L116" s="53">
        <f t="shared" si="98"/>
        <v>42</v>
      </c>
      <c r="M116" s="53">
        <v>1272.0</v>
      </c>
      <c r="N116" s="74">
        <v>0.36</v>
      </c>
      <c r="O116" s="48">
        <v>731.0</v>
      </c>
      <c r="P116" s="53">
        <f t="shared" si="99"/>
        <v>30702</v>
      </c>
      <c r="Q116" s="53">
        <f t="shared" si="93"/>
        <v>215.2291667</v>
      </c>
      <c r="R116" s="53">
        <f t="shared" si="94"/>
        <v>245.9761905</v>
      </c>
      <c r="S116" s="51"/>
      <c r="T116" s="23"/>
      <c r="U116" s="25"/>
      <c r="X116" s="55"/>
    </row>
    <row r="117" ht="15.0" customHeight="1" outlineLevel="2">
      <c r="A117" s="58" t="s">
        <v>87</v>
      </c>
      <c r="B117" s="59" t="s">
        <v>88</v>
      </c>
      <c r="C117" s="48"/>
      <c r="D117" s="48"/>
      <c r="E117" s="48"/>
      <c r="F117" s="50">
        <v>23.0</v>
      </c>
      <c r="G117" s="50"/>
      <c r="H117" s="50"/>
      <c r="I117" s="48"/>
      <c r="J117" s="51" t="str">
        <f t="shared" si="90"/>
        <v/>
      </c>
      <c r="K117" s="52">
        <v>0.87</v>
      </c>
      <c r="L117" s="53" t="str">
        <f t="shared" si="98"/>
        <v/>
      </c>
      <c r="M117" s="53">
        <v>2086.0</v>
      </c>
      <c r="N117" s="74">
        <v>0.36</v>
      </c>
      <c r="O117" s="48">
        <v>1200.0</v>
      </c>
      <c r="P117" s="53" t="str">
        <f t="shared" si="99"/>
        <v/>
      </c>
      <c r="Q117" s="53" t="str">
        <f t="shared" si="93"/>
        <v/>
      </c>
      <c r="R117" s="53" t="str">
        <f t="shared" si="94"/>
        <v/>
      </c>
      <c r="S117" s="51"/>
      <c r="T117" s="23"/>
      <c r="U117" s="25"/>
      <c r="X117" s="75">
        <v>4.5</v>
      </c>
    </row>
    <row r="118" ht="15.0" customHeight="1" outlineLevel="2">
      <c r="A118" s="58" t="s">
        <v>68</v>
      </c>
      <c r="B118" s="59" t="s">
        <v>48</v>
      </c>
      <c r="C118" s="48">
        <v>320.0</v>
      </c>
      <c r="D118" s="48">
        <v>794.0</v>
      </c>
      <c r="E118" s="48"/>
      <c r="F118" s="50"/>
      <c r="G118" s="50"/>
      <c r="H118" s="50"/>
      <c r="I118" s="48"/>
      <c r="J118" s="51">
        <f t="shared" si="90"/>
        <v>0</v>
      </c>
      <c r="K118" s="52"/>
      <c r="L118" s="53" t="str">
        <f t="shared" si="98"/>
        <v/>
      </c>
      <c r="M118" s="53">
        <v>6603.0</v>
      </c>
      <c r="N118" s="74">
        <v>0.37</v>
      </c>
      <c r="O118" s="48">
        <v>3757.0</v>
      </c>
      <c r="P118" s="53" t="str">
        <f t="shared" si="99"/>
        <v/>
      </c>
      <c r="Q118" s="53" t="str">
        <f t="shared" si="93"/>
        <v/>
      </c>
      <c r="R118" s="53" t="str">
        <f t="shared" si="94"/>
        <v/>
      </c>
      <c r="S118" s="51"/>
      <c r="T118" s="23"/>
      <c r="U118" s="25"/>
      <c r="X118" s="71">
        <v>4.9</v>
      </c>
    </row>
    <row r="119" ht="15.0" customHeight="1" outlineLevel="2">
      <c r="A119" s="58" t="s">
        <v>71</v>
      </c>
      <c r="B119" s="59" t="s">
        <v>48</v>
      </c>
      <c r="C119" s="48"/>
      <c r="D119" s="48"/>
      <c r="E119" s="48"/>
      <c r="F119" s="50"/>
      <c r="G119" s="50"/>
      <c r="H119" s="50"/>
      <c r="I119" s="48"/>
      <c r="J119" s="51" t="str">
        <f t="shared" si="90"/>
        <v/>
      </c>
      <c r="K119" s="52"/>
      <c r="L119" s="53" t="str">
        <f t="shared" si="98"/>
        <v/>
      </c>
      <c r="M119" s="53">
        <v>6603.0</v>
      </c>
      <c r="N119" s="74">
        <v>0.37</v>
      </c>
      <c r="O119" s="48">
        <v>3757.0</v>
      </c>
      <c r="P119" s="53" t="str">
        <f t="shared" si="99"/>
        <v/>
      </c>
      <c r="Q119" s="53" t="str">
        <f t="shared" si="93"/>
        <v/>
      </c>
      <c r="R119" s="53" t="str">
        <f t="shared" si="94"/>
        <v/>
      </c>
      <c r="S119" s="51" t="str">
        <f t="shared" ref="S119:S221" si="100">IF(N(P119)=0,"",C119/P119)</f>
        <v/>
      </c>
      <c r="T119" s="23"/>
      <c r="U119" s="25"/>
      <c r="V119" s="14" t="s">
        <v>31</v>
      </c>
      <c r="W119" s="14" t="s">
        <v>77</v>
      </c>
      <c r="X119" s="55"/>
    </row>
    <row r="120" ht="15.0" customHeight="1" outlineLevel="2">
      <c r="A120" s="22" t="s">
        <v>49</v>
      </c>
      <c r="B120" s="38" t="s">
        <v>46</v>
      </c>
      <c r="C120" s="48">
        <v>54173.0</v>
      </c>
      <c r="D120" s="48">
        <v>83380.0</v>
      </c>
      <c r="E120" s="48"/>
      <c r="F120" s="50">
        <v>656.0</v>
      </c>
      <c r="G120" s="50">
        <v>19.0</v>
      </c>
      <c r="H120" s="50"/>
      <c r="I120" s="48">
        <v>293.0</v>
      </c>
      <c r="J120" s="51">
        <f t="shared" si="90"/>
        <v>0.003514032142</v>
      </c>
      <c r="K120" s="52">
        <v>0.9765</v>
      </c>
      <c r="L120" s="53">
        <f t="shared" si="98"/>
        <v>286</v>
      </c>
      <c r="M120" s="53">
        <v>1640.0</v>
      </c>
      <c r="N120" s="74">
        <v>0.54</v>
      </c>
      <c r="O120" s="48">
        <v>681.0</v>
      </c>
      <c r="P120" s="53">
        <f t="shared" si="99"/>
        <v>194766</v>
      </c>
      <c r="Q120" s="53">
        <f t="shared" si="93"/>
        <v>184.890785</v>
      </c>
      <c r="R120" s="53">
        <f t="shared" si="94"/>
        <v>189.4160839</v>
      </c>
      <c r="S120" s="51">
        <f t="shared" si="100"/>
        <v>0.2781440292</v>
      </c>
      <c r="T120" s="23"/>
      <c r="U120" s="25"/>
      <c r="V120" s="14" t="s">
        <v>31</v>
      </c>
      <c r="W120" s="14" t="s">
        <v>77</v>
      </c>
      <c r="X120" s="76">
        <v>4.8</v>
      </c>
    </row>
    <row r="121" ht="15.0" customHeight="1" outlineLevel="2">
      <c r="A121" s="22" t="s">
        <v>49</v>
      </c>
      <c r="B121" s="38" t="s">
        <v>88</v>
      </c>
      <c r="C121" s="48">
        <v>952.0</v>
      </c>
      <c r="D121" s="48">
        <v>3812.0</v>
      </c>
      <c r="E121" s="48"/>
      <c r="F121" s="50">
        <f>24+17</f>
        <v>41</v>
      </c>
      <c r="G121" s="50"/>
      <c r="H121" s="50"/>
      <c r="I121" s="48"/>
      <c r="J121" s="51">
        <f t="shared" si="90"/>
        <v>0</v>
      </c>
      <c r="K121" s="52">
        <v>0.9765</v>
      </c>
      <c r="L121" s="53" t="str">
        <f t="shared" si="98"/>
        <v/>
      </c>
      <c r="M121" s="53">
        <v>2560.0</v>
      </c>
      <c r="N121" s="74">
        <v>0.52</v>
      </c>
      <c r="O121" s="48">
        <v>1113.0</v>
      </c>
      <c r="P121" s="53" t="str">
        <f t="shared" si="99"/>
        <v/>
      </c>
      <c r="Q121" s="53" t="str">
        <f t="shared" si="93"/>
        <v/>
      </c>
      <c r="R121" s="53" t="str">
        <f t="shared" si="94"/>
        <v/>
      </c>
      <c r="S121" s="51" t="str">
        <f t="shared" si="100"/>
        <v/>
      </c>
      <c r="T121" s="23"/>
      <c r="U121" s="25"/>
      <c r="V121" s="14" t="s">
        <v>31</v>
      </c>
      <c r="W121" s="14" t="s">
        <v>77</v>
      </c>
      <c r="X121" s="76">
        <v>4.8</v>
      </c>
    </row>
    <row r="122" ht="15.0" customHeight="1" outlineLevel="2">
      <c r="A122" s="22" t="s">
        <v>49</v>
      </c>
      <c r="B122" s="38" t="s">
        <v>48</v>
      </c>
      <c r="C122" s="48">
        <v>4710.0</v>
      </c>
      <c r="D122" s="48">
        <v>5751.0</v>
      </c>
      <c r="E122" s="48"/>
      <c r="F122" s="50">
        <v>10.0</v>
      </c>
      <c r="G122" s="50">
        <v>5.0</v>
      </c>
      <c r="H122" s="50"/>
      <c r="I122" s="48">
        <v>5.0</v>
      </c>
      <c r="J122" s="51">
        <f t="shared" si="90"/>
        <v>0.000869414015</v>
      </c>
      <c r="K122" s="52">
        <v>0.9765</v>
      </c>
      <c r="L122" s="53">
        <f t="shared" si="98"/>
        <v>5</v>
      </c>
      <c r="M122" s="53">
        <v>6603.0</v>
      </c>
      <c r="N122" s="74">
        <v>0.55</v>
      </c>
      <c r="O122" s="48">
        <v>2618.0</v>
      </c>
      <c r="P122" s="53">
        <f t="shared" si="99"/>
        <v>13090</v>
      </c>
      <c r="Q122" s="53">
        <f t="shared" si="93"/>
        <v>942</v>
      </c>
      <c r="R122" s="53">
        <f t="shared" si="94"/>
        <v>942</v>
      </c>
      <c r="S122" s="51">
        <f t="shared" si="100"/>
        <v>0.3598166539</v>
      </c>
      <c r="T122" s="23"/>
      <c r="U122" s="25"/>
      <c r="V122" s="14" t="s">
        <v>31</v>
      </c>
      <c r="W122" s="14" t="s">
        <v>77</v>
      </c>
      <c r="X122" s="81">
        <v>5.0</v>
      </c>
    </row>
    <row r="123" ht="15.0" customHeight="1" outlineLevel="1">
      <c r="A123" s="31" t="s">
        <v>92</v>
      </c>
      <c r="B123" s="31"/>
      <c r="C123" s="32">
        <f t="shared" ref="C123:D123" si="101">SUM(C124:C128)</f>
        <v>0</v>
      </c>
      <c r="D123" s="32">
        <f t="shared" si="101"/>
        <v>0</v>
      </c>
      <c r="E123" s="32"/>
      <c r="F123" s="40"/>
      <c r="G123" s="40"/>
      <c r="H123" s="40"/>
      <c r="I123" s="32">
        <f>SUM(I124:I128)</f>
        <v>0</v>
      </c>
      <c r="J123" s="33" t="str">
        <f t="shared" si="90"/>
        <v/>
      </c>
      <c r="K123" s="33" t="str">
        <f>IF(N(I123)=0,"",L123/I123)</f>
        <v/>
      </c>
      <c r="L123" s="32">
        <f>SUM(L124:L128)</f>
        <v>0</v>
      </c>
      <c r="M123" s="32"/>
      <c r="N123" s="32"/>
      <c r="O123" s="32" t="str">
        <f>IF(N(L123)=0,"",P123/L123)</f>
        <v/>
      </c>
      <c r="P123" s="32">
        <f>SUM(P124:P128)</f>
        <v>0</v>
      </c>
      <c r="Q123" s="32" t="str">
        <f t="shared" si="93"/>
        <v/>
      </c>
      <c r="R123" s="32" t="str">
        <f t="shared" si="94"/>
        <v/>
      </c>
      <c r="S123" s="33" t="str">
        <f t="shared" si="100"/>
        <v/>
      </c>
      <c r="T123" s="32">
        <f>'Медиаплан'!$K$40-(T88+T96+T105+T114)</f>
        <v>50760</v>
      </c>
      <c r="U123" s="33">
        <f>IF(N(T123)=0,"",P123/T123)</f>
        <v>0</v>
      </c>
      <c r="X123" s="82"/>
    </row>
    <row r="124" ht="15.0" customHeight="1" outlineLevel="2">
      <c r="A124" s="22"/>
      <c r="B124" s="38"/>
      <c r="C124" s="48"/>
      <c r="D124" s="48"/>
      <c r="E124" s="48"/>
      <c r="F124" s="50"/>
      <c r="G124" s="50"/>
      <c r="H124" s="50"/>
      <c r="I124" s="48"/>
      <c r="J124" s="51" t="str">
        <f t="shared" si="90"/>
        <v/>
      </c>
      <c r="K124" s="52"/>
      <c r="L124" s="53" t="str">
        <f t="shared" ref="L124:L128" si="102">IF(OR(I124="",K124=""),"",ROUND(I124*K124,0))</f>
        <v/>
      </c>
      <c r="M124" s="53"/>
      <c r="N124" s="53"/>
      <c r="O124" s="48"/>
      <c r="P124" s="53" t="str">
        <f t="shared" ref="P124:P128" si="103">IF(N(L124)=0,"",L124*O124)</f>
        <v/>
      </c>
      <c r="Q124" s="53" t="str">
        <f t="shared" si="93"/>
        <v/>
      </c>
      <c r="R124" s="53" t="str">
        <f t="shared" si="94"/>
        <v/>
      </c>
      <c r="S124" s="51" t="str">
        <f t="shared" si="100"/>
        <v/>
      </c>
      <c r="T124" s="23"/>
      <c r="U124" s="25"/>
      <c r="V124" s="14" t="s">
        <v>31</v>
      </c>
      <c r="W124" s="14" t="s">
        <v>79</v>
      </c>
      <c r="X124" s="57"/>
    </row>
    <row r="125" ht="15.0" customHeight="1" outlineLevel="2">
      <c r="A125" s="22"/>
      <c r="B125" s="38"/>
      <c r="C125" s="48"/>
      <c r="D125" s="48"/>
      <c r="E125" s="48"/>
      <c r="F125" s="50"/>
      <c r="G125" s="50"/>
      <c r="H125" s="50"/>
      <c r="I125" s="48"/>
      <c r="J125" s="51" t="str">
        <f t="shared" si="90"/>
        <v/>
      </c>
      <c r="K125" s="52"/>
      <c r="L125" s="53" t="str">
        <f t="shared" si="102"/>
        <v/>
      </c>
      <c r="M125" s="53"/>
      <c r="N125" s="53"/>
      <c r="O125" s="48"/>
      <c r="P125" s="53" t="str">
        <f t="shared" si="103"/>
        <v/>
      </c>
      <c r="Q125" s="53" t="str">
        <f t="shared" si="93"/>
        <v/>
      </c>
      <c r="R125" s="53" t="str">
        <f t="shared" si="94"/>
        <v/>
      </c>
      <c r="S125" s="51" t="str">
        <f t="shared" si="100"/>
        <v/>
      </c>
      <c r="T125" s="23"/>
      <c r="U125" s="25"/>
      <c r="V125" s="14" t="s">
        <v>31</v>
      </c>
      <c r="W125" s="14" t="s">
        <v>79</v>
      </c>
      <c r="X125" s="57"/>
    </row>
    <row r="126" ht="15.0" customHeight="1" outlineLevel="2">
      <c r="A126" s="22"/>
      <c r="B126" s="38"/>
      <c r="C126" s="48"/>
      <c r="D126" s="48"/>
      <c r="E126" s="48"/>
      <c r="F126" s="50"/>
      <c r="G126" s="50"/>
      <c r="H126" s="50"/>
      <c r="I126" s="48"/>
      <c r="J126" s="51" t="str">
        <f t="shared" si="90"/>
        <v/>
      </c>
      <c r="K126" s="52"/>
      <c r="L126" s="53" t="str">
        <f t="shared" si="102"/>
        <v/>
      </c>
      <c r="M126" s="53"/>
      <c r="N126" s="53"/>
      <c r="O126" s="48"/>
      <c r="P126" s="53" t="str">
        <f t="shared" si="103"/>
        <v/>
      </c>
      <c r="Q126" s="53" t="str">
        <f t="shared" si="93"/>
        <v/>
      </c>
      <c r="R126" s="53" t="str">
        <f t="shared" si="94"/>
        <v/>
      </c>
      <c r="S126" s="51" t="str">
        <f t="shared" si="100"/>
        <v/>
      </c>
      <c r="T126" s="23"/>
      <c r="U126" s="25"/>
      <c r="V126" s="14" t="s">
        <v>31</v>
      </c>
      <c r="W126" s="14" t="s">
        <v>79</v>
      </c>
      <c r="X126" s="57"/>
    </row>
    <row r="127" ht="15.0" customHeight="1" outlineLevel="2">
      <c r="A127" s="22"/>
      <c r="B127" s="38"/>
      <c r="C127" s="48"/>
      <c r="D127" s="48"/>
      <c r="E127" s="48"/>
      <c r="F127" s="50"/>
      <c r="G127" s="50"/>
      <c r="H127" s="50"/>
      <c r="I127" s="48"/>
      <c r="J127" s="51" t="str">
        <f t="shared" si="90"/>
        <v/>
      </c>
      <c r="K127" s="52"/>
      <c r="L127" s="53" t="str">
        <f t="shared" si="102"/>
        <v/>
      </c>
      <c r="M127" s="53"/>
      <c r="N127" s="53"/>
      <c r="O127" s="48"/>
      <c r="P127" s="53" t="str">
        <f t="shared" si="103"/>
        <v/>
      </c>
      <c r="Q127" s="53" t="str">
        <f t="shared" si="93"/>
        <v/>
      </c>
      <c r="R127" s="53" t="str">
        <f t="shared" si="94"/>
        <v/>
      </c>
      <c r="S127" s="51" t="str">
        <f t="shared" si="100"/>
        <v/>
      </c>
      <c r="T127" s="23"/>
      <c r="U127" s="25"/>
      <c r="V127" s="14" t="s">
        <v>31</v>
      </c>
      <c r="W127" s="14" t="s">
        <v>79</v>
      </c>
      <c r="X127" s="57"/>
    </row>
    <row r="128" ht="15.0" customHeight="1" outlineLevel="2">
      <c r="A128" s="22"/>
      <c r="B128" s="38"/>
      <c r="C128" s="48"/>
      <c r="D128" s="48"/>
      <c r="E128" s="48"/>
      <c r="F128" s="50"/>
      <c r="G128" s="50"/>
      <c r="H128" s="50"/>
      <c r="I128" s="48"/>
      <c r="J128" s="51" t="str">
        <f t="shared" si="90"/>
        <v/>
      </c>
      <c r="K128" s="52"/>
      <c r="L128" s="53" t="str">
        <f t="shared" si="102"/>
        <v/>
      </c>
      <c r="M128" s="53"/>
      <c r="N128" s="53"/>
      <c r="O128" s="48"/>
      <c r="P128" s="53" t="str">
        <f t="shared" si="103"/>
        <v/>
      </c>
      <c r="Q128" s="53" t="str">
        <f t="shared" si="93"/>
        <v/>
      </c>
      <c r="R128" s="53" t="str">
        <f t="shared" si="94"/>
        <v/>
      </c>
      <c r="S128" s="51" t="str">
        <f t="shared" si="100"/>
        <v/>
      </c>
      <c r="T128" s="23"/>
      <c r="U128" s="25"/>
      <c r="V128" s="14" t="s">
        <v>31</v>
      </c>
      <c r="W128" s="14" t="s">
        <v>79</v>
      </c>
      <c r="X128" s="57"/>
    </row>
    <row r="129" ht="15.0" customHeight="1" collapsed="1">
      <c r="A129" s="42" t="s">
        <v>50</v>
      </c>
      <c r="B129" s="42"/>
      <c r="C129" s="43">
        <f t="shared" ref="C129:D129" si="104">C130+C136+C142+C148+C154</f>
        <v>0</v>
      </c>
      <c r="D129" s="43">
        <f t="shared" si="104"/>
        <v>0</v>
      </c>
      <c r="E129" s="43"/>
      <c r="F129" s="44"/>
      <c r="G129" s="44"/>
      <c r="H129" s="44"/>
      <c r="I129" s="43">
        <f>I130+I136+I142+I148+I154</f>
        <v>0</v>
      </c>
      <c r="J129" s="45" t="str">
        <f t="shared" si="90"/>
        <v/>
      </c>
      <c r="K129" s="45" t="str">
        <f t="shared" ref="K129:K130" si="106">IF(N(I129)=0,"",L129/I129)</f>
        <v/>
      </c>
      <c r="L129" s="43">
        <f>L130+L136+L142+L148+L154</f>
        <v>0</v>
      </c>
      <c r="M129" s="43"/>
      <c r="N129" s="43"/>
      <c r="O129" s="43" t="str">
        <f t="shared" ref="O129:O130" si="107">IF(N(L129)=0,"",P129/L129)</f>
        <v/>
      </c>
      <c r="P129" s="43">
        <f>P130+P136+P142+P148+P154</f>
        <v>0</v>
      </c>
      <c r="Q129" s="43" t="str">
        <f t="shared" si="93"/>
        <v/>
      </c>
      <c r="R129" s="43" t="str">
        <f t="shared" si="94"/>
        <v/>
      </c>
      <c r="S129" s="45" t="str">
        <f t="shared" si="100"/>
        <v/>
      </c>
      <c r="T129" s="43">
        <f>'Медиаплан'!$K$53</f>
        <v>0</v>
      </c>
      <c r="U129" s="45" t="str">
        <f t="shared" ref="U129:U130" si="108">IF(N(T129)=0,"",P129/T129)</f>
        <v/>
      </c>
      <c r="X129" s="57"/>
    </row>
    <row r="130" ht="15.0" hidden="1" customHeight="1" outlineLevel="1">
      <c r="A130" s="31" t="s">
        <v>93</v>
      </c>
      <c r="B130" s="31"/>
      <c r="C130" s="32">
        <f t="shared" ref="C130:D130" si="105">SUM(C131:C135)</f>
        <v>0</v>
      </c>
      <c r="D130" s="32">
        <f t="shared" si="105"/>
        <v>0</v>
      </c>
      <c r="E130" s="32"/>
      <c r="F130" s="40"/>
      <c r="G130" s="40"/>
      <c r="H130" s="40"/>
      <c r="I130" s="32">
        <f>SUM(I131:I135)</f>
        <v>0</v>
      </c>
      <c r="J130" s="33" t="str">
        <f t="shared" si="90"/>
        <v/>
      </c>
      <c r="K130" s="33" t="str">
        <f t="shared" si="106"/>
        <v/>
      </c>
      <c r="L130" s="32">
        <f>SUM(L131:L135)</f>
        <v>0</v>
      </c>
      <c r="M130" s="32"/>
      <c r="N130" s="32"/>
      <c r="O130" s="32" t="str">
        <f t="shared" si="107"/>
        <v/>
      </c>
      <c r="P130" s="32">
        <f>SUM(P131:P135)</f>
        <v>0</v>
      </c>
      <c r="Q130" s="32" t="str">
        <f t="shared" si="93"/>
        <v/>
      </c>
      <c r="R130" s="32" t="str">
        <f t="shared" si="94"/>
        <v/>
      </c>
      <c r="S130" s="33" t="str">
        <f t="shared" si="100"/>
        <v/>
      </c>
      <c r="T130" s="32">
        <f>ROUND('Медиаплан'!$K$53*7/31,0)</f>
        <v>0</v>
      </c>
      <c r="U130" s="33" t="str">
        <f t="shared" si="108"/>
        <v/>
      </c>
      <c r="X130" s="57"/>
    </row>
    <row r="131" ht="15.0" hidden="1" customHeight="1" outlineLevel="2">
      <c r="A131" s="22"/>
      <c r="B131" s="38"/>
      <c r="C131" s="48"/>
      <c r="D131" s="48"/>
      <c r="E131" s="48"/>
      <c r="F131" s="50"/>
      <c r="G131" s="50"/>
      <c r="H131" s="50"/>
      <c r="I131" s="48"/>
      <c r="J131" s="51" t="str">
        <f t="shared" si="90"/>
        <v/>
      </c>
      <c r="K131" s="52"/>
      <c r="L131" s="53" t="str">
        <f t="shared" ref="L131:L135" si="109">IF(OR(I131="",K131=""),"",ROUND(I131*K131,0))</f>
        <v/>
      </c>
      <c r="M131" s="53"/>
      <c r="N131" s="53"/>
      <c r="O131" s="48"/>
      <c r="P131" s="53" t="str">
        <f t="shared" ref="P131:P135" si="110">IF(N(L131)=0,"",L131*O131)</f>
        <v/>
      </c>
      <c r="Q131" s="53" t="str">
        <f t="shared" si="93"/>
        <v/>
      </c>
      <c r="R131" s="53" t="str">
        <f t="shared" si="94"/>
        <v/>
      </c>
      <c r="S131" s="51" t="str">
        <f t="shared" si="100"/>
        <v/>
      </c>
      <c r="T131" s="23"/>
      <c r="U131" s="25"/>
      <c r="V131" s="14" t="s">
        <v>32</v>
      </c>
      <c r="W131" s="14" t="s">
        <v>69</v>
      </c>
      <c r="X131" s="57"/>
    </row>
    <row r="132" ht="15.0" hidden="1" customHeight="1" outlineLevel="2">
      <c r="A132" s="22"/>
      <c r="B132" s="38"/>
      <c r="C132" s="48"/>
      <c r="D132" s="48"/>
      <c r="E132" s="48"/>
      <c r="F132" s="50"/>
      <c r="G132" s="50"/>
      <c r="H132" s="50"/>
      <c r="I132" s="48"/>
      <c r="J132" s="51" t="str">
        <f t="shared" si="90"/>
        <v/>
      </c>
      <c r="K132" s="52"/>
      <c r="L132" s="53" t="str">
        <f t="shared" si="109"/>
        <v/>
      </c>
      <c r="M132" s="53"/>
      <c r="N132" s="53"/>
      <c r="O132" s="48"/>
      <c r="P132" s="53" t="str">
        <f t="shared" si="110"/>
        <v/>
      </c>
      <c r="Q132" s="53" t="str">
        <f t="shared" si="93"/>
        <v/>
      </c>
      <c r="R132" s="53" t="str">
        <f t="shared" si="94"/>
        <v/>
      </c>
      <c r="S132" s="51" t="str">
        <f t="shared" si="100"/>
        <v/>
      </c>
      <c r="T132" s="23"/>
      <c r="U132" s="25"/>
      <c r="V132" s="14" t="s">
        <v>32</v>
      </c>
      <c r="W132" s="14" t="s">
        <v>69</v>
      </c>
      <c r="X132" s="57"/>
    </row>
    <row r="133" ht="15.0" hidden="1" customHeight="1" outlineLevel="2">
      <c r="A133" s="22"/>
      <c r="B133" s="38"/>
      <c r="C133" s="48"/>
      <c r="D133" s="48"/>
      <c r="E133" s="48"/>
      <c r="F133" s="50"/>
      <c r="G133" s="50"/>
      <c r="H133" s="50"/>
      <c r="I133" s="48"/>
      <c r="J133" s="51" t="str">
        <f t="shared" si="90"/>
        <v/>
      </c>
      <c r="K133" s="52"/>
      <c r="L133" s="53" t="str">
        <f t="shared" si="109"/>
        <v/>
      </c>
      <c r="M133" s="53"/>
      <c r="N133" s="53"/>
      <c r="O133" s="48"/>
      <c r="P133" s="53" t="str">
        <f t="shared" si="110"/>
        <v/>
      </c>
      <c r="Q133" s="53" t="str">
        <f t="shared" si="93"/>
        <v/>
      </c>
      <c r="R133" s="53" t="str">
        <f t="shared" si="94"/>
        <v/>
      </c>
      <c r="S133" s="51" t="str">
        <f t="shared" si="100"/>
        <v/>
      </c>
      <c r="T133" s="23"/>
      <c r="U133" s="25"/>
      <c r="V133" s="14" t="s">
        <v>32</v>
      </c>
      <c r="W133" s="14" t="s">
        <v>69</v>
      </c>
      <c r="X133" s="57"/>
    </row>
    <row r="134" ht="15.0" hidden="1" customHeight="1" outlineLevel="2">
      <c r="A134" s="22"/>
      <c r="B134" s="38"/>
      <c r="C134" s="48"/>
      <c r="D134" s="48"/>
      <c r="E134" s="48"/>
      <c r="F134" s="50"/>
      <c r="G134" s="50"/>
      <c r="H134" s="50"/>
      <c r="I134" s="48"/>
      <c r="J134" s="51" t="str">
        <f t="shared" si="90"/>
        <v/>
      </c>
      <c r="K134" s="52"/>
      <c r="L134" s="53" t="str">
        <f t="shared" si="109"/>
        <v/>
      </c>
      <c r="M134" s="53"/>
      <c r="N134" s="53"/>
      <c r="O134" s="48"/>
      <c r="P134" s="53" t="str">
        <f t="shared" si="110"/>
        <v/>
      </c>
      <c r="Q134" s="53" t="str">
        <f t="shared" si="93"/>
        <v/>
      </c>
      <c r="R134" s="53" t="str">
        <f t="shared" si="94"/>
        <v/>
      </c>
      <c r="S134" s="51" t="str">
        <f t="shared" si="100"/>
        <v/>
      </c>
      <c r="T134" s="23"/>
      <c r="U134" s="25"/>
      <c r="V134" s="14" t="s">
        <v>32</v>
      </c>
      <c r="W134" s="14" t="s">
        <v>69</v>
      </c>
      <c r="X134" s="57"/>
    </row>
    <row r="135" ht="15.0" hidden="1" customHeight="1" outlineLevel="2">
      <c r="A135" s="22"/>
      <c r="B135" s="38"/>
      <c r="C135" s="48"/>
      <c r="D135" s="48"/>
      <c r="E135" s="48"/>
      <c r="F135" s="50"/>
      <c r="G135" s="50"/>
      <c r="H135" s="50"/>
      <c r="I135" s="48"/>
      <c r="J135" s="51" t="str">
        <f t="shared" si="90"/>
        <v/>
      </c>
      <c r="K135" s="52"/>
      <c r="L135" s="53" t="str">
        <f t="shared" si="109"/>
        <v/>
      </c>
      <c r="M135" s="53"/>
      <c r="N135" s="53"/>
      <c r="O135" s="48"/>
      <c r="P135" s="53" t="str">
        <f t="shared" si="110"/>
        <v/>
      </c>
      <c r="Q135" s="53" t="str">
        <f t="shared" si="93"/>
        <v/>
      </c>
      <c r="R135" s="53" t="str">
        <f t="shared" si="94"/>
        <v/>
      </c>
      <c r="S135" s="51" t="str">
        <f t="shared" si="100"/>
        <v/>
      </c>
      <c r="T135" s="23"/>
      <c r="U135" s="25"/>
      <c r="V135" s="14" t="s">
        <v>32</v>
      </c>
      <c r="W135" s="14" t="s">
        <v>69</v>
      </c>
      <c r="X135" s="57"/>
    </row>
    <row r="136" ht="15.0" hidden="1" customHeight="1" outlineLevel="1">
      <c r="A136" s="31" t="s">
        <v>94</v>
      </c>
      <c r="B136" s="31"/>
      <c r="C136" s="32">
        <f t="shared" ref="C136:D136" si="111">SUM(C137:C141)</f>
        <v>0</v>
      </c>
      <c r="D136" s="32">
        <f t="shared" si="111"/>
        <v>0</v>
      </c>
      <c r="E136" s="32"/>
      <c r="F136" s="40"/>
      <c r="G136" s="40"/>
      <c r="H136" s="40"/>
      <c r="I136" s="32">
        <f>SUM(I137:I141)</f>
        <v>0</v>
      </c>
      <c r="J136" s="33" t="str">
        <f t="shared" si="90"/>
        <v/>
      </c>
      <c r="K136" s="33" t="str">
        <f>IF(N(I136)=0,"",L136/I136)</f>
        <v/>
      </c>
      <c r="L136" s="32">
        <f>SUM(L137:L141)</f>
        <v>0</v>
      </c>
      <c r="M136" s="32"/>
      <c r="N136" s="32"/>
      <c r="O136" s="32" t="str">
        <f>IF(N(L136)=0,"",P136/L136)</f>
        <v/>
      </c>
      <c r="P136" s="32">
        <f>SUM(P137:P141)</f>
        <v>0</v>
      </c>
      <c r="Q136" s="32" t="str">
        <f t="shared" si="93"/>
        <v/>
      </c>
      <c r="R136" s="32" t="str">
        <f t="shared" si="94"/>
        <v/>
      </c>
      <c r="S136" s="33" t="str">
        <f t="shared" si="100"/>
        <v/>
      </c>
      <c r="T136" s="32">
        <f>ROUND('Медиаплан'!$K$53*7/31,0)</f>
        <v>0</v>
      </c>
      <c r="U136" s="33" t="str">
        <f>IF(N(T136)=0,"",P136/T136)</f>
        <v/>
      </c>
      <c r="X136" s="57"/>
    </row>
    <row r="137" ht="15.0" hidden="1" customHeight="1" outlineLevel="2">
      <c r="A137" s="22"/>
      <c r="B137" s="38"/>
      <c r="C137" s="48"/>
      <c r="D137" s="48"/>
      <c r="E137" s="48"/>
      <c r="F137" s="50"/>
      <c r="G137" s="50"/>
      <c r="H137" s="50"/>
      <c r="I137" s="48"/>
      <c r="J137" s="51" t="str">
        <f t="shared" si="90"/>
        <v/>
      </c>
      <c r="K137" s="52"/>
      <c r="L137" s="53" t="str">
        <f t="shared" ref="L137:L141" si="112">IF(OR(I137="",K137=""),"",ROUND(I137*K137,0))</f>
        <v/>
      </c>
      <c r="M137" s="53"/>
      <c r="N137" s="53"/>
      <c r="O137" s="48"/>
      <c r="P137" s="53" t="str">
        <f t="shared" ref="P137:P141" si="113">IF(N(L137)=0,"",L137*O137)</f>
        <v/>
      </c>
      <c r="Q137" s="53" t="str">
        <f t="shared" si="93"/>
        <v/>
      </c>
      <c r="R137" s="53" t="str">
        <f t="shared" si="94"/>
        <v/>
      </c>
      <c r="S137" s="51" t="str">
        <f t="shared" si="100"/>
        <v/>
      </c>
      <c r="T137" s="23"/>
      <c r="U137" s="25"/>
      <c r="V137" s="14" t="s">
        <v>32</v>
      </c>
      <c r="W137" s="14" t="s">
        <v>73</v>
      </c>
      <c r="X137" s="57"/>
    </row>
    <row r="138" ht="15.0" hidden="1" customHeight="1" outlineLevel="2">
      <c r="A138" s="22"/>
      <c r="B138" s="38"/>
      <c r="C138" s="48"/>
      <c r="D138" s="48"/>
      <c r="E138" s="48"/>
      <c r="F138" s="50"/>
      <c r="G138" s="50"/>
      <c r="H138" s="50"/>
      <c r="I138" s="48"/>
      <c r="J138" s="51" t="str">
        <f t="shared" si="90"/>
        <v/>
      </c>
      <c r="K138" s="52"/>
      <c r="L138" s="53" t="str">
        <f t="shared" si="112"/>
        <v/>
      </c>
      <c r="M138" s="53"/>
      <c r="N138" s="53"/>
      <c r="O138" s="48"/>
      <c r="P138" s="53" t="str">
        <f t="shared" si="113"/>
        <v/>
      </c>
      <c r="Q138" s="53" t="str">
        <f t="shared" si="93"/>
        <v/>
      </c>
      <c r="R138" s="53" t="str">
        <f t="shared" si="94"/>
        <v/>
      </c>
      <c r="S138" s="51" t="str">
        <f t="shared" si="100"/>
        <v/>
      </c>
      <c r="T138" s="23"/>
      <c r="U138" s="25"/>
      <c r="V138" s="14" t="s">
        <v>32</v>
      </c>
      <c r="W138" s="14" t="s">
        <v>73</v>
      </c>
      <c r="X138" s="57"/>
    </row>
    <row r="139" ht="15.0" hidden="1" customHeight="1" outlineLevel="2">
      <c r="A139" s="22"/>
      <c r="B139" s="38"/>
      <c r="C139" s="48"/>
      <c r="D139" s="48"/>
      <c r="E139" s="48"/>
      <c r="F139" s="50"/>
      <c r="G139" s="50"/>
      <c r="H139" s="50"/>
      <c r="I139" s="48"/>
      <c r="J139" s="51" t="str">
        <f t="shared" si="90"/>
        <v/>
      </c>
      <c r="K139" s="52"/>
      <c r="L139" s="53" t="str">
        <f t="shared" si="112"/>
        <v/>
      </c>
      <c r="M139" s="53"/>
      <c r="N139" s="53"/>
      <c r="O139" s="48"/>
      <c r="P139" s="53" t="str">
        <f t="shared" si="113"/>
        <v/>
      </c>
      <c r="Q139" s="53" t="str">
        <f t="shared" si="93"/>
        <v/>
      </c>
      <c r="R139" s="53" t="str">
        <f t="shared" si="94"/>
        <v/>
      </c>
      <c r="S139" s="51" t="str">
        <f t="shared" si="100"/>
        <v/>
      </c>
      <c r="T139" s="23"/>
      <c r="U139" s="25"/>
      <c r="V139" s="14" t="s">
        <v>32</v>
      </c>
      <c r="W139" s="14" t="s">
        <v>73</v>
      </c>
      <c r="X139" s="57"/>
    </row>
    <row r="140" ht="15.0" hidden="1" customHeight="1" outlineLevel="2">
      <c r="A140" s="22"/>
      <c r="B140" s="38"/>
      <c r="C140" s="48"/>
      <c r="D140" s="48"/>
      <c r="E140" s="48"/>
      <c r="F140" s="50"/>
      <c r="G140" s="50"/>
      <c r="H140" s="50"/>
      <c r="I140" s="48"/>
      <c r="J140" s="51" t="str">
        <f t="shared" si="90"/>
        <v/>
      </c>
      <c r="K140" s="52"/>
      <c r="L140" s="53" t="str">
        <f t="shared" si="112"/>
        <v/>
      </c>
      <c r="M140" s="53"/>
      <c r="N140" s="53"/>
      <c r="O140" s="48"/>
      <c r="P140" s="53" t="str">
        <f t="shared" si="113"/>
        <v/>
      </c>
      <c r="Q140" s="53" t="str">
        <f t="shared" si="93"/>
        <v/>
      </c>
      <c r="R140" s="53" t="str">
        <f t="shared" si="94"/>
        <v/>
      </c>
      <c r="S140" s="51" t="str">
        <f t="shared" si="100"/>
        <v/>
      </c>
      <c r="T140" s="23"/>
      <c r="U140" s="25"/>
      <c r="V140" s="14" t="s">
        <v>32</v>
      </c>
      <c r="W140" s="14" t="s">
        <v>73</v>
      </c>
      <c r="X140" s="57"/>
    </row>
    <row r="141" ht="15.0" hidden="1" customHeight="1" outlineLevel="2">
      <c r="A141" s="22"/>
      <c r="B141" s="38"/>
      <c r="C141" s="48"/>
      <c r="D141" s="48"/>
      <c r="E141" s="48"/>
      <c r="F141" s="50"/>
      <c r="G141" s="50"/>
      <c r="H141" s="50"/>
      <c r="I141" s="48"/>
      <c r="J141" s="51" t="str">
        <f t="shared" si="90"/>
        <v/>
      </c>
      <c r="K141" s="52"/>
      <c r="L141" s="53" t="str">
        <f t="shared" si="112"/>
        <v/>
      </c>
      <c r="M141" s="53"/>
      <c r="N141" s="53"/>
      <c r="O141" s="48"/>
      <c r="P141" s="53" t="str">
        <f t="shared" si="113"/>
        <v/>
      </c>
      <c r="Q141" s="53" t="str">
        <f t="shared" si="93"/>
        <v/>
      </c>
      <c r="R141" s="53" t="str">
        <f t="shared" si="94"/>
        <v/>
      </c>
      <c r="S141" s="51" t="str">
        <f t="shared" si="100"/>
        <v/>
      </c>
      <c r="T141" s="23"/>
      <c r="U141" s="25"/>
      <c r="V141" s="14" t="s">
        <v>32</v>
      </c>
      <c r="W141" s="14" t="s">
        <v>73</v>
      </c>
      <c r="X141" s="57"/>
    </row>
    <row r="142" ht="15.0" hidden="1" customHeight="1" outlineLevel="1">
      <c r="A142" s="31" t="s">
        <v>95</v>
      </c>
      <c r="B142" s="31"/>
      <c r="C142" s="32">
        <f t="shared" ref="C142:D142" si="114">SUM(C143:C147)</f>
        <v>0</v>
      </c>
      <c r="D142" s="32">
        <f t="shared" si="114"/>
        <v>0</v>
      </c>
      <c r="E142" s="32"/>
      <c r="F142" s="40"/>
      <c r="G142" s="40"/>
      <c r="H142" s="40"/>
      <c r="I142" s="32">
        <f>SUM(I143:I147)</f>
        <v>0</v>
      </c>
      <c r="J142" s="33" t="str">
        <f t="shared" si="90"/>
        <v/>
      </c>
      <c r="K142" s="33" t="str">
        <f>IF(N(I142)=0,"",L142/I142)</f>
        <v/>
      </c>
      <c r="L142" s="32">
        <f>SUM(L143:L147)</f>
        <v>0</v>
      </c>
      <c r="M142" s="32"/>
      <c r="N142" s="32"/>
      <c r="O142" s="32" t="str">
        <f>IF(N(L142)=0,"",P142/L142)</f>
        <v/>
      </c>
      <c r="P142" s="32">
        <f>SUM(P143:P147)</f>
        <v>0</v>
      </c>
      <c r="Q142" s="32" t="str">
        <f t="shared" si="93"/>
        <v/>
      </c>
      <c r="R142" s="32" t="str">
        <f t="shared" si="94"/>
        <v/>
      </c>
      <c r="S142" s="33" t="str">
        <f t="shared" si="100"/>
        <v/>
      </c>
      <c r="T142" s="32">
        <f>ROUND('Медиаплан'!$K$53*7/31,0)</f>
        <v>0</v>
      </c>
      <c r="U142" s="33" t="str">
        <f>IF(N(T142)=0,"",P142/T142)</f>
        <v/>
      </c>
      <c r="X142" s="57"/>
    </row>
    <row r="143" ht="15.0" hidden="1" customHeight="1" outlineLevel="2">
      <c r="A143" s="22"/>
      <c r="B143" s="38"/>
      <c r="C143" s="48"/>
      <c r="D143" s="48"/>
      <c r="E143" s="48"/>
      <c r="F143" s="50"/>
      <c r="G143" s="50"/>
      <c r="H143" s="50"/>
      <c r="I143" s="48"/>
      <c r="J143" s="51" t="str">
        <f t="shared" si="90"/>
        <v/>
      </c>
      <c r="K143" s="52"/>
      <c r="L143" s="53" t="str">
        <f t="shared" ref="L143:L147" si="115">IF(OR(I143="",K143=""),"",ROUND(I143*K143,0))</f>
        <v/>
      </c>
      <c r="M143" s="53"/>
      <c r="N143" s="53"/>
      <c r="O143" s="48"/>
      <c r="P143" s="53" t="str">
        <f t="shared" ref="P143:P147" si="116">IF(N(L143)=0,"",L143*O143)</f>
        <v/>
      </c>
      <c r="Q143" s="53" t="str">
        <f t="shared" si="93"/>
        <v/>
      </c>
      <c r="R143" s="53" t="str">
        <f t="shared" si="94"/>
        <v/>
      </c>
      <c r="S143" s="51" t="str">
        <f t="shared" si="100"/>
        <v/>
      </c>
      <c r="T143" s="23"/>
      <c r="U143" s="25"/>
      <c r="V143" s="14" t="s">
        <v>32</v>
      </c>
      <c r="W143" s="14" t="s">
        <v>75</v>
      </c>
      <c r="X143" s="57"/>
    </row>
    <row r="144" ht="15.0" hidden="1" customHeight="1" outlineLevel="2">
      <c r="A144" s="22"/>
      <c r="B144" s="38"/>
      <c r="C144" s="48"/>
      <c r="D144" s="48"/>
      <c r="E144" s="48"/>
      <c r="F144" s="50"/>
      <c r="G144" s="50"/>
      <c r="H144" s="50"/>
      <c r="I144" s="48"/>
      <c r="J144" s="51" t="str">
        <f t="shared" si="90"/>
        <v/>
      </c>
      <c r="K144" s="52"/>
      <c r="L144" s="53" t="str">
        <f t="shared" si="115"/>
        <v/>
      </c>
      <c r="M144" s="53"/>
      <c r="N144" s="53"/>
      <c r="O144" s="48"/>
      <c r="P144" s="53" t="str">
        <f t="shared" si="116"/>
        <v/>
      </c>
      <c r="Q144" s="53" t="str">
        <f t="shared" si="93"/>
        <v/>
      </c>
      <c r="R144" s="53" t="str">
        <f t="shared" si="94"/>
        <v/>
      </c>
      <c r="S144" s="51" t="str">
        <f t="shared" si="100"/>
        <v/>
      </c>
      <c r="T144" s="23"/>
      <c r="U144" s="25"/>
      <c r="V144" s="14" t="s">
        <v>32</v>
      </c>
      <c r="W144" s="14" t="s">
        <v>75</v>
      </c>
      <c r="X144" s="57"/>
    </row>
    <row r="145" ht="15.0" hidden="1" customHeight="1" outlineLevel="2">
      <c r="A145" s="22"/>
      <c r="B145" s="38"/>
      <c r="C145" s="48"/>
      <c r="D145" s="48"/>
      <c r="E145" s="48"/>
      <c r="F145" s="50"/>
      <c r="G145" s="50"/>
      <c r="H145" s="50"/>
      <c r="I145" s="48"/>
      <c r="J145" s="51" t="str">
        <f t="shared" si="90"/>
        <v/>
      </c>
      <c r="K145" s="52"/>
      <c r="L145" s="53" t="str">
        <f t="shared" si="115"/>
        <v/>
      </c>
      <c r="M145" s="53"/>
      <c r="N145" s="53"/>
      <c r="O145" s="48"/>
      <c r="P145" s="53" t="str">
        <f t="shared" si="116"/>
        <v/>
      </c>
      <c r="Q145" s="53" t="str">
        <f t="shared" si="93"/>
        <v/>
      </c>
      <c r="R145" s="53" t="str">
        <f t="shared" si="94"/>
        <v/>
      </c>
      <c r="S145" s="51" t="str">
        <f t="shared" si="100"/>
        <v/>
      </c>
      <c r="T145" s="23"/>
      <c r="U145" s="25"/>
      <c r="V145" s="14" t="s">
        <v>32</v>
      </c>
      <c r="W145" s="14" t="s">
        <v>75</v>
      </c>
      <c r="X145" s="57"/>
    </row>
    <row r="146" ht="15.0" hidden="1" customHeight="1" outlineLevel="2">
      <c r="A146" s="22"/>
      <c r="B146" s="38"/>
      <c r="C146" s="48"/>
      <c r="D146" s="48"/>
      <c r="E146" s="48"/>
      <c r="F146" s="50"/>
      <c r="G146" s="50"/>
      <c r="H146" s="50"/>
      <c r="I146" s="48"/>
      <c r="J146" s="51" t="str">
        <f t="shared" si="90"/>
        <v/>
      </c>
      <c r="K146" s="52"/>
      <c r="L146" s="53" t="str">
        <f t="shared" si="115"/>
        <v/>
      </c>
      <c r="M146" s="53"/>
      <c r="N146" s="53"/>
      <c r="O146" s="48"/>
      <c r="P146" s="53" t="str">
        <f t="shared" si="116"/>
        <v/>
      </c>
      <c r="Q146" s="53" t="str">
        <f t="shared" si="93"/>
        <v/>
      </c>
      <c r="R146" s="53" t="str">
        <f t="shared" si="94"/>
        <v/>
      </c>
      <c r="S146" s="51" t="str">
        <f t="shared" si="100"/>
        <v/>
      </c>
      <c r="T146" s="23"/>
      <c r="U146" s="25"/>
      <c r="V146" s="14" t="s">
        <v>32</v>
      </c>
      <c r="W146" s="14" t="s">
        <v>75</v>
      </c>
      <c r="X146" s="57"/>
    </row>
    <row r="147" ht="15.0" hidden="1" customHeight="1" outlineLevel="2">
      <c r="A147" s="22"/>
      <c r="B147" s="38"/>
      <c r="C147" s="48"/>
      <c r="D147" s="48"/>
      <c r="E147" s="48"/>
      <c r="F147" s="50"/>
      <c r="G147" s="50"/>
      <c r="H147" s="50"/>
      <c r="I147" s="48"/>
      <c r="J147" s="51" t="str">
        <f t="shared" si="90"/>
        <v/>
      </c>
      <c r="K147" s="52"/>
      <c r="L147" s="53" t="str">
        <f t="shared" si="115"/>
        <v/>
      </c>
      <c r="M147" s="53"/>
      <c r="N147" s="53"/>
      <c r="O147" s="48"/>
      <c r="P147" s="53" t="str">
        <f t="shared" si="116"/>
        <v/>
      </c>
      <c r="Q147" s="53" t="str">
        <f t="shared" si="93"/>
        <v/>
      </c>
      <c r="R147" s="53" t="str">
        <f t="shared" si="94"/>
        <v/>
      </c>
      <c r="S147" s="51" t="str">
        <f t="shared" si="100"/>
        <v/>
      </c>
      <c r="T147" s="23"/>
      <c r="U147" s="25"/>
      <c r="V147" s="14" t="s">
        <v>32</v>
      </c>
      <c r="W147" s="14" t="s">
        <v>75</v>
      </c>
      <c r="X147" s="57"/>
    </row>
    <row r="148" ht="15.0" hidden="1" customHeight="1" outlineLevel="1">
      <c r="A148" s="31" t="s">
        <v>96</v>
      </c>
      <c r="B148" s="31"/>
      <c r="C148" s="32">
        <f t="shared" ref="C148:D148" si="117">SUM(C149:C153)</f>
        <v>0</v>
      </c>
      <c r="D148" s="32">
        <f t="shared" si="117"/>
        <v>0</v>
      </c>
      <c r="E148" s="32"/>
      <c r="F148" s="40"/>
      <c r="G148" s="40"/>
      <c r="H148" s="40"/>
      <c r="I148" s="32">
        <f>SUM(I149:I153)</f>
        <v>0</v>
      </c>
      <c r="J148" s="33" t="str">
        <f t="shared" si="90"/>
        <v/>
      </c>
      <c r="K148" s="33" t="str">
        <f>IF(N(I148)=0,"",L148/I148)</f>
        <v/>
      </c>
      <c r="L148" s="32">
        <f>SUM(L149:L153)</f>
        <v>0</v>
      </c>
      <c r="M148" s="32"/>
      <c r="N148" s="32"/>
      <c r="O148" s="32" t="str">
        <f>IF(N(L148)=0,"",P148/L148)</f>
        <v/>
      </c>
      <c r="P148" s="32">
        <f>SUM(P149:P153)</f>
        <v>0</v>
      </c>
      <c r="Q148" s="32" t="str">
        <f t="shared" si="93"/>
        <v/>
      </c>
      <c r="R148" s="32" t="str">
        <f t="shared" si="94"/>
        <v/>
      </c>
      <c r="S148" s="33" t="str">
        <f t="shared" si="100"/>
        <v/>
      </c>
      <c r="T148" s="32">
        <f>ROUND('Медиаплан'!$K$53*7/31,0)</f>
        <v>0</v>
      </c>
      <c r="U148" s="33" t="str">
        <f>IF(N(T148)=0,"",P148/T148)</f>
        <v/>
      </c>
      <c r="X148" s="57"/>
    </row>
    <row r="149" ht="15.0" hidden="1" customHeight="1" outlineLevel="2">
      <c r="A149" s="22"/>
      <c r="B149" s="38"/>
      <c r="C149" s="48"/>
      <c r="D149" s="48"/>
      <c r="E149" s="48"/>
      <c r="F149" s="50"/>
      <c r="G149" s="50"/>
      <c r="H149" s="50"/>
      <c r="I149" s="48"/>
      <c r="J149" s="51" t="str">
        <f t="shared" si="90"/>
        <v/>
      </c>
      <c r="K149" s="52"/>
      <c r="L149" s="53" t="str">
        <f t="shared" ref="L149:L153" si="118">IF(OR(I149="",K149=""),"",ROUND(I149*K149,0))</f>
        <v/>
      </c>
      <c r="M149" s="53"/>
      <c r="N149" s="53"/>
      <c r="O149" s="48"/>
      <c r="P149" s="53" t="str">
        <f t="shared" ref="P149:P153" si="119">IF(N(L149)=0,"",L149*O149)</f>
        <v/>
      </c>
      <c r="Q149" s="53" t="str">
        <f t="shared" si="93"/>
        <v/>
      </c>
      <c r="R149" s="53" t="str">
        <f t="shared" si="94"/>
        <v/>
      </c>
      <c r="S149" s="51" t="str">
        <f t="shared" si="100"/>
        <v/>
      </c>
      <c r="T149" s="23"/>
      <c r="U149" s="25"/>
      <c r="V149" s="14" t="s">
        <v>32</v>
      </c>
      <c r="W149" s="14" t="s">
        <v>77</v>
      </c>
      <c r="X149" s="57"/>
    </row>
    <row r="150" ht="15.0" hidden="1" customHeight="1" outlineLevel="2">
      <c r="A150" s="22"/>
      <c r="B150" s="38"/>
      <c r="C150" s="48"/>
      <c r="D150" s="48"/>
      <c r="E150" s="48"/>
      <c r="F150" s="50"/>
      <c r="G150" s="50"/>
      <c r="H150" s="50"/>
      <c r="I150" s="48"/>
      <c r="J150" s="51" t="str">
        <f t="shared" si="90"/>
        <v/>
      </c>
      <c r="K150" s="52"/>
      <c r="L150" s="53" t="str">
        <f t="shared" si="118"/>
        <v/>
      </c>
      <c r="M150" s="53"/>
      <c r="N150" s="53"/>
      <c r="O150" s="48"/>
      <c r="P150" s="53" t="str">
        <f t="shared" si="119"/>
        <v/>
      </c>
      <c r="Q150" s="53" t="str">
        <f t="shared" si="93"/>
        <v/>
      </c>
      <c r="R150" s="53" t="str">
        <f t="shared" si="94"/>
        <v/>
      </c>
      <c r="S150" s="51" t="str">
        <f t="shared" si="100"/>
        <v/>
      </c>
      <c r="T150" s="23"/>
      <c r="U150" s="25"/>
      <c r="V150" s="14" t="s">
        <v>32</v>
      </c>
      <c r="W150" s="14" t="s">
        <v>77</v>
      </c>
      <c r="X150" s="57"/>
    </row>
    <row r="151" ht="15.0" hidden="1" customHeight="1" outlineLevel="2">
      <c r="A151" s="22"/>
      <c r="B151" s="38"/>
      <c r="C151" s="48"/>
      <c r="D151" s="48"/>
      <c r="E151" s="48"/>
      <c r="F151" s="50"/>
      <c r="G151" s="50"/>
      <c r="H151" s="50"/>
      <c r="I151" s="48"/>
      <c r="J151" s="51" t="str">
        <f t="shared" si="90"/>
        <v/>
      </c>
      <c r="K151" s="52"/>
      <c r="L151" s="53" t="str">
        <f t="shared" si="118"/>
        <v/>
      </c>
      <c r="M151" s="53"/>
      <c r="N151" s="53"/>
      <c r="O151" s="48"/>
      <c r="P151" s="53" t="str">
        <f t="shared" si="119"/>
        <v/>
      </c>
      <c r="Q151" s="53" t="str">
        <f t="shared" si="93"/>
        <v/>
      </c>
      <c r="R151" s="53" t="str">
        <f t="shared" si="94"/>
        <v/>
      </c>
      <c r="S151" s="51" t="str">
        <f t="shared" si="100"/>
        <v/>
      </c>
      <c r="T151" s="23"/>
      <c r="U151" s="25"/>
      <c r="V151" s="14" t="s">
        <v>32</v>
      </c>
      <c r="W151" s="14" t="s">
        <v>77</v>
      </c>
      <c r="X151" s="57"/>
    </row>
    <row r="152" ht="15.0" hidden="1" customHeight="1" outlineLevel="2">
      <c r="A152" s="22"/>
      <c r="B152" s="38"/>
      <c r="C152" s="48"/>
      <c r="D152" s="48"/>
      <c r="E152" s="48"/>
      <c r="F152" s="50"/>
      <c r="G152" s="50"/>
      <c r="H152" s="50"/>
      <c r="I152" s="48"/>
      <c r="J152" s="51" t="str">
        <f t="shared" si="90"/>
        <v/>
      </c>
      <c r="K152" s="52"/>
      <c r="L152" s="53" t="str">
        <f t="shared" si="118"/>
        <v/>
      </c>
      <c r="M152" s="53"/>
      <c r="N152" s="53"/>
      <c r="O152" s="48"/>
      <c r="P152" s="53" t="str">
        <f t="shared" si="119"/>
        <v/>
      </c>
      <c r="Q152" s="53" t="str">
        <f t="shared" si="93"/>
        <v/>
      </c>
      <c r="R152" s="53" t="str">
        <f t="shared" si="94"/>
        <v/>
      </c>
      <c r="S152" s="51" t="str">
        <f t="shared" si="100"/>
        <v/>
      </c>
      <c r="T152" s="23"/>
      <c r="U152" s="25"/>
      <c r="V152" s="14" t="s">
        <v>32</v>
      </c>
      <c r="W152" s="14" t="s">
        <v>77</v>
      </c>
      <c r="X152" s="57"/>
    </row>
    <row r="153" ht="15.0" hidden="1" customHeight="1" outlineLevel="2">
      <c r="A153" s="22"/>
      <c r="B153" s="38"/>
      <c r="C153" s="48"/>
      <c r="D153" s="48"/>
      <c r="E153" s="48"/>
      <c r="F153" s="50"/>
      <c r="G153" s="50"/>
      <c r="H153" s="50"/>
      <c r="I153" s="48"/>
      <c r="J153" s="51" t="str">
        <f t="shared" si="90"/>
        <v/>
      </c>
      <c r="K153" s="52"/>
      <c r="L153" s="53" t="str">
        <f t="shared" si="118"/>
        <v/>
      </c>
      <c r="M153" s="53"/>
      <c r="N153" s="53"/>
      <c r="O153" s="48"/>
      <c r="P153" s="53" t="str">
        <f t="shared" si="119"/>
        <v/>
      </c>
      <c r="Q153" s="53" t="str">
        <f t="shared" si="93"/>
        <v/>
      </c>
      <c r="R153" s="53" t="str">
        <f t="shared" si="94"/>
        <v/>
      </c>
      <c r="S153" s="51" t="str">
        <f t="shared" si="100"/>
        <v/>
      </c>
      <c r="T153" s="23"/>
      <c r="U153" s="25"/>
      <c r="V153" s="14" t="s">
        <v>32</v>
      </c>
      <c r="W153" s="14" t="s">
        <v>77</v>
      </c>
      <c r="X153" s="57"/>
    </row>
    <row r="154" ht="15.0" hidden="1" customHeight="1" outlineLevel="1">
      <c r="A154" s="31" t="s">
        <v>97</v>
      </c>
      <c r="B154" s="31"/>
      <c r="C154" s="32">
        <f t="shared" ref="C154:D154" si="120">SUM(C155:C159)</f>
        <v>0</v>
      </c>
      <c r="D154" s="32">
        <f t="shared" si="120"/>
        <v>0</v>
      </c>
      <c r="E154" s="32"/>
      <c r="F154" s="40"/>
      <c r="G154" s="40"/>
      <c r="H154" s="40"/>
      <c r="I154" s="32">
        <f>SUM(I155:I159)</f>
        <v>0</v>
      </c>
      <c r="J154" s="33" t="str">
        <f t="shared" si="90"/>
        <v/>
      </c>
      <c r="K154" s="33" t="str">
        <f>IF(N(I154)=0,"",L154/I154)</f>
        <v/>
      </c>
      <c r="L154" s="32">
        <f>SUM(L155:L159)</f>
        <v>0</v>
      </c>
      <c r="M154" s="32"/>
      <c r="N154" s="32"/>
      <c r="O154" s="32" t="str">
        <f>IF(N(L154)=0,"",P154/L154)</f>
        <v/>
      </c>
      <c r="P154" s="32">
        <f>SUM(P155:P159)</f>
        <v>0</v>
      </c>
      <c r="Q154" s="32" t="str">
        <f t="shared" si="93"/>
        <v/>
      </c>
      <c r="R154" s="32" t="str">
        <f t="shared" si="94"/>
        <v/>
      </c>
      <c r="S154" s="33" t="str">
        <f t="shared" si="100"/>
        <v/>
      </c>
      <c r="T154" s="32">
        <f>'Медиаплан'!$K$53-(T130+T136+T142+T148)</f>
        <v>0</v>
      </c>
      <c r="U154" s="33" t="str">
        <f>IF(N(T154)=0,"",P154/T154)</f>
        <v/>
      </c>
      <c r="X154" s="57"/>
    </row>
    <row r="155" ht="15.0" hidden="1" customHeight="1" outlineLevel="2">
      <c r="A155" s="22"/>
      <c r="B155" s="38"/>
      <c r="C155" s="48"/>
      <c r="D155" s="48"/>
      <c r="E155" s="48"/>
      <c r="F155" s="50"/>
      <c r="G155" s="50"/>
      <c r="H155" s="50"/>
      <c r="I155" s="48"/>
      <c r="J155" s="51" t="str">
        <f t="shared" si="90"/>
        <v/>
      </c>
      <c r="K155" s="52"/>
      <c r="L155" s="53" t="str">
        <f t="shared" ref="L155:L159" si="121">IF(OR(I155="",K155=""),"",ROUND(I155*K155,0))</f>
        <v/>
      </c>
      <c r="M155" s="53"/>
      <c r="N155" s="53"/>
      <c r="O155" s="48"/>
      <c r="P155" s="53" t="str">
        <f t="shared" ref="P155:P159" si="122">IF(N(L155)=0,"",L155*O155)</f>
        <v/>
      </c>
      <c r="Q155" s="53" t="str">
        <f t="shared" si="93"/>
        <v/>
      </c>
      <c r="R155" s="53" t="str">
        <f t="shared" si="94"/>
        <v/>
      </c>
      <c r="S155" s="51" t="str">
        <f t="shared" si="100"/>
        <v/>
      </c>
      <c r="T155" s="23"/>
      <c r="U155" s="25"/>
      <c r="V155" s="14" t="s">
        <v>32</v>
      </c>
      <c r="W155" s="14" t="s">
        <v>79</v>
      </c>
      <c r="X155" s="57"/>
    </row>
    <row r="156" ht="15.0" hidden="1" customHeight="1" outlineLevel="2">
      <c r="A156" s="22"/>
      <c r="B156" s="38"/>
      <c r="C156" s="48"/>
      <c r="D156" s="48"/>
      <c r="E156" s="48"/>
      <c r="F156" s="50"/>
      <c r="G156" s="50"/>
      <c r="H156" s="50"/>
      <c r="I156" s="48"/>
      <c r="J156" s="51" t="str">
        <f t="shared" si="90"/>
        <v/>
      </c>
      <c r="K156" s="52"/>
      <c r="L156" s="53" t="str">
        <f t="shared" si="121"/>
        <v/>
      </c>
      <c r="M156" s="53"/>
      <c r="N156" s="53"/>
      <c r="O156" s="48"/>
      <c r="P156" s="53" t="str">
        <f t="shared" si="122"/>
        <v/>
      </c>
      <c r="Q156" s="53" t="str">
        <f t="shared" si="93"/>
        <v/>
      </c>
      <c r="R156" s="53" t="str">
        <f t="shared" si="94"/>
        <v/>
      </c>
      <c r="S156" s="51" t="str">
        <f t="shared" si="100"/>
        <v/>
      </c>
      <c r="T156" s="23"/>
      <c r="U156" s="25"/>
      <c r="V156" s="14" t="s">
        <v>32</v>
      </c>
      <c r="W156" s="14" t="s">
        <v>79</v>
      </c>
      <c r="X156" s="57"/>
    </row>
    <row r="157" ht="15.0" hidden="1" customHeight="1" outlineLevel="2">
      <c r="A157" s="22"/>
      <c r="B157" s="38"/>
      <c r="C157" s="48"/>
      <c r="D157" s="48"/>
      <c r="E157" s="48"/>
      <c r="F157" s="50"/>
      <c r="G157" s="50"/>
      <c r="H157" s="50"/>
      <c r="I157" s="48"/>
      <c r="J157" s="51" t="str">
        <f t="shared" si="90"/>
        <v/>
      </c>
      <c r="K157" s="52"/>
      <c r="L157" s="53" t="str">
        <f t="shared" si="121"/>
        <v/>
      </c>
      <c r="M157" s="53"/>
      <c r="N157" s="53"/>
      <c r="O157" s="48"/>
      <c r="P157" s="53" t="str">
        <f t="shared" si="122"/>
        <v/>
      </c>
      <c r="Q157" s="53" t="str">
        <f t="shared" si="93"/>
        <v/>
      </c>
      <c r="R157" s="53" t="str">
        <f t="shared" si="94"/>
        <v/>
      </c>
      <c r="S157" s="51" t="str">
        <f t="shared" si="100"/>
        <v/>
      </c>
      <c r="T157" s="23"/>
      <c r="U157" s="25"/>
      <c r="V157" s="14" t="s">
        <v>32</v>
      </c>
      <c r="W157" s="14" t="s">
        <v>79</v>
      </c>
      <c r="X157" s="57"/>
    </row>
    <row r="158" ht="15.0" hidden="1" customHeight="1" outlineLevel="2">
      <c r="A158" s="22"/>
      <c r="B158" s="38"/>
      <c r="C158" s="48"/>
      <c r="D158" s="48"/>
      <c r="E158" s="48"/>
      <c r="F158" s="50"/>
      <c r="G158" s="50"/>
      <c r="H158" s="50"/>
      <c r="I158" s="48"/>
      <c r="J158" s="51" t="str">
        <f t="shared" si="90"/>
        <v/>
      </c>
      <c r="K158" s="52"/>
      <c r="L158" s="53" t="str">
        <f t="shared" si="121"/>
        <v/>
      </c>
      <c r="M158" s="53"/>
      <c r="N158" s="53"/>
      <c r="O158" s="48"/>
      <c r="P158" s="53" t="str">
        <f t="shared" si="122"/>
        <v/>
      </c>
      <c r="Q158" s="53" t="str">
        <f t="shared" si="93"/>
        <v/>
      </c>
      <c r="R158" s="53" t="str">
        <f t="shared" si="94"/>
        <v/>
      </c>
      <c r="S158" s="51" t="str">
        <f t="shared" si="100"/>
        <v/>
      </c>
      <c r="T158" s="23"/>
      <c r="U158" s="25"/>
      <c r="V158" s="14" t="s">
        <v>32</v>
      </c>
      <c r="W158" s="14" t="s">
        <v>79</v>
      </c>
      <c r="X158" s="57"/>
    </row>
    <row r="159" ht="15.0" hidden="1" customHeight="1" outlineLevel="2">
      <c r="A159" s="22"/>
      <c r="B159" s="38"/>
      <c r="C159" s="48"/>
      <c r="D159" s="48"/>
      <c r="E159" s="48"/>
      <c r="F159" s="50"/>
      <c r="G159" s="50"/>
      <c r="H159" s="50"/>
      <c r="I159" s="48"/>
      <c r="J159" s="51" t="str">
        <f t="shared" si="90"/>
        <v/>
      </c>
      <c r="K159" s="52"/>
      <c r="L159" s="53" t="str">
        <f t="shared" si="121"/>
        <v/>
      </c>
      <c r="M159" s="53"/>
      <c r="N159" s="53"/>
      <c r="O159" s="48"/>
      <c r="P159" s="53" t="str">
        <f t="shared" si="122"/>
        <v/>
      </c>
      <c r="Q159" s="53" t="str">
        <f t="shared" si="93"/>
        <v/>
      </c>
      <c r="R159" s="53" t="str">
        <f t="shared" si="94"/>
        <v/>
      </c>
      <c r="S159" s="51" t="str">
        <f t="shared" si="100"/>
        <v/>
      </c>
      <c r="T159" s="23"/>
      <c r="U159" s="25"/>
      <c r="V159" s="14" t="s">
        <v>32</v>
      </c>
      <c r="W159" s="14" t="s">
        <v>79</v>
      </c>
      <c r="X159" s="57"/>
    </row>
    <row r="160" ht="15.0" customHeight="1" collapsed="1">
      <c r="A160" s="42" t="s">
        <v>51</v>
      </c>
      <c r="B160" s="42"/>
      <c r="C160" s="43">
        <f t="shared" ref="C160:D160" si="123">C161+C167+C173+C179+C185</f>
        <v>0</v>
      </c>
      <c r="D160" s="43">
        <f t="shared" si="123"/>
        <v>0</v>
      </c>
      <c r="E160" s="43"/>
      <c r="F160" s="44"/>
      <c r="G160" s="44"/>
      <c r="H160" s="44"/>
      <c r="I160" s="43">
        <f>I161+I167+I173+I179+I185</f>
        <v>0</v>
      </c>
      <c r="J160" s="45" t="str">
        <f t="shared" si="90"/>
        <v/>
      </c>
      <c r="K160" s="45" t="str">
        <f t="shared" ref="K160:K161" si="125">IF(N(I160)=0,"",L160/I160)</f>
        <v/>
      </c>
      <c r="L160" s="43">
        <f>L161+L167+L173+L179+L185</f>
        <v>0</v>
      </c>
      <c r="M160" s="43"/>
      <c r="N160" s="43"/>
      <c r="O160" s="43" t="str">
        <f t="shared" ref="O160:O161" si="126">IF(N(L160)=0,"",P160/L160)</f>
        <v/>
      </c>
      <c r="P160" s="43">
        <f>P161+P167+P173+P179+P185</f>
        <v>0</v>
      </c>
      <c r="Q160" s="43" t="str">
        <f t="shared" si="93"/>
        <v/>
      </c>
      <c r="R160" s="43" t="str">
        <f t="shared" si="94"/>
        <v/>
      </c>
      <c r="S160" s="45" t="str">
        <f t="shared" si="100"/>
        <v/>
      </c>
      <c r="T160" s="43">
        <f>'Медиаплан'!$K$66</f>
        <v>0</v>
      </c>
      <c r="U160" s="45" t="str">
        <f t="shared" ref="U160:U161" si="127">IF(N(T160)=0,"",P160/T160)</f>
        <v/>
      </c>
      <c r="X160" s="57"/>
    </row>
    <row r="161" ht="15.0" hidden="1" customHeight="1" outlineLevel="1">
      <c r="A161" s="31" t="s">
        <v>98</v>
      </c>
      <c r="B161" s="31"/>
      <c r="C161" s="32">
        <f t="shared" ref="C161:D161" si="124">SUM(C162:C166)</f>
        <v>0</v>
      </c>
      <c r="D161" s="32">
        <f t="shared" si="124"/>
        <v>0</v>
      </c>
      <c r="E161" s="32"/>
      <c r="F161" s="40"/>
      <c r="G161" s="40"/>
      <c r="H161" s="40"/>
      <c r="I161" s="32">
        <f>SUM(I162:I166)</f>
        <v>0</v>
      </c>
      <c r="J161" s="33" t="str">
        <f t="shared" si="90"/>
        <v/>
      </c>
      <c r="K161" s="33" t="str">
        <f t="shared" si="125"/>
        <v/>
      </c>
      <c r="L161" s="32">
        <f>SUM(L162:L166)</f>
        <v>0</v>
      </c>
      <c r="M161" s="32"/>
      <c r="N161" s="32"/>
      <c r="O161" s="32" t="str">
        <f t="shared" si="126"/>
        <v/>
      </c>
      <c r="P161" s="32">
        <f>SUM(P162:P166)</f>
        <v>0</v>
      </c>
      <c r="Q161" s="32" t="str">
        <f t="shared" si="93"/>
        <v/>
      </c>
      <c r="R161" s="32" t="str">
        <f t="shared" si="94"/>
        <v/>
      </c>
      <c r="S161" s="33" t="str">
        <f t="shared" si="100"/>
        <v/>
      </c>
      <c r="T161" s="32">
        <f>ROUND('Медиаплан'!$K$66*7/30,0)</f>
        <v>0</v>
      </c>
      <c r="U161" s="33" t="str">
        <f t="shared" si="127"/>
        <v/>
      </c>
      <c r="X161" s="57"/>
    </row>
    <row r="162" ht="15.0" hidden="1" customHeight="1" outlineLevel="2">
      <c r="A162" s="22"/>
      <c r="B162" s="38"/>
      <c r="C162" s="48"/>
      <c r="D162" s="48"/>
      <c r="E162" s="48"/>
      <c r="F162" s="50"/>
      <c r="G162" s="50"/>
      <c r="H162" s="50"/>
      <c r="I162" s="48"/>
      <c r="J162" s="51" t="str">
        <f t="shared" si="90"/>
        <v/>
      </c>
      <c r="K162" s="52"/>
      <c r="L162" s="53" t="str">
        <f t="shared" ref="L162:L166" si="128">IF(OR(I162="",K162=""),"",ROUND(I162*K162,0))</f>
        <v/>
      </c>
      <c r="M162" s="53"/>
      <c r="N162" s="53"/>
      <c r="O162" s="48"/>
      <c r="P162" s="53" t="str">
        <f t="shared" ref="P162:P166" si="129">IF(N(L162)=0,"",L162*O162)</f>
        <v/>
      </c>
      <c r="Q162" s="53" t="str">
        <f t="shared" si="93"/>
        <v/>
      </c>
      <c r="R162" s="53" t="str">
        <f t="shared" si="94"/>
        <v/>
      </c>
      <c r="S162" s="51" t="str">
        <f t="shared" si="100"/>
        <v/>
      </c>
      <c r="T162" s="23"/>
      <c r="U162" s="25"/>
      <c r="V162" s="14" t="s">
        <v>34</v>
      </c>
      <c r="W162" s="14" t="s">
        <v>69</v>
      </c>
      <c r="X162" s="57"/>
    </row>
    <row r="163" ht="15.0" hidden="1" customHeight="1" outlineLevel="2">
      <c r="A163" s="22"/>
      <c r="B163" s="38"/>
      <c r="C163" s="48"/>
      <c r="D163" s="48"/>
      <c r="E163" s="48"/>
      <c r="F163" s="50"/>
      <c r="G163" s="50"/>
      <c r="H163" s="50"/>
      <c r="I163" s="48"/>
      <c r="J163" s="51" t="str">
        <f t="shared" si="90"/>
        <v/>
      </c>
      <c r="K163" s="52"/>
      <c r="L163" s="53" t="str">
        <f t="shared" si="128"/>
        <v/>
      </c>
      <c r="M163" s="53"/>
      <c r="N163" s="53"/>
      <c r="O163" s="48"/>
      <c r="P163" s="53" t="str">
        <f t="shared" si="129"/>
        <v/>
      </c>
      <c r="Q163" s="53" t="str">
        <f t="shared" si="93"/>
        <v/>
      </c>
      <c r="R163" s="53" t="str">
        <f t="shared" si="94"/>
        <v/>
      </c>
      <c r="S163" s="51" t="str">
        <f t="shared" si="100"/>
        <v/>
      </c>
      <c r="T163" s="23"/>
      <c r="U163" s="25"/>
      <c r="V163" s="14" t="s">
        <v>34</v>
      </c>
      <c r="W163" s="14" t="s">
        <v>69</v>
      </c>
      <c r="X163" s="57"/>
    </row>
    <row r="164" ht="15.0" hidden="1" customHeight="1" outlineLevel="2">
      <c r="A164" s="22"/>
      <c r="B164" s="38"/>
      <c r="C164" s="48"/>
      <c r="D164" s="48"/>
      <c r="E164" s="48"/>
      <c r="F164" s="50"/>
      <c r="G164" s="50"/>
      <c r="H164" s="50"/>
      <c r="I164" s="48"/>
      <c r="J164" s="51" t="str">
        <f t="shared" si="90"/>
        <v/>
      </c>
      <c r="K164" s="52"/>
      <c r="L164" s="53" t="str">
        <f t="shared" si="128"/>
        <v/>
      </c>
      <c r="M164" s="53"/>
      <c r="N164" s="53"/>
      <c r="O164" s="48"/>
      <c r="P164" s="53" t="str">
        <f t="shared" si="129"/>
        <v/>
      </c>
      <c r="Q164" s="53" t="str">
        <f t="shared" si="93"/>
        <v/>
      </c>
      <c r="R164" s="53" t="str">
        <f t="shared" si="94"/>
        <v/>
      </c>
      <c r="S164" s="51" t="str">
        <f t="shared" si="100"/>
        <v/>
      </c>
      <c r="T164" s="23"/>
      <c r="U164" s="25"/>
      <c r="V164" s="14" t="s">
        <v>34</v>
      </c>
      <c r="W164" s="14" t="s">
        <v>69</v>
      </c>
      <c r="X164" s="57"/>
    </row>
    <row r="165" ht="15.0" hidden="1" customHeight="1" outlineLevel="2">
      <c r="A165" s="22"/>
      <c r="B165" s="38"/>
      <c r="C165" s="48"/>
      <c r="D165" s="48"/>
      <c r="E165" s="48"/>
      <c r="F165" s="50"/>
      <c r="G165" s="50"/>
      <c r="H165" s="50"/>
      <c r="I165" s="48"/>
      <c r="J165" s="51" t="str">
        <f t="shared" si="90"/>
        <v/>
      </c>
      <c r="K165" s="52"/>
      <c r="L165" s="53" t="str">
        <f t="shared" si="128"/>
        <v/>
      </c>
      <c r="M165" s="53"/>
      <c r="N165" s="53"/>
      <c r="O165" s="48"/>
      <c r="P165" s="53" t="str">
        <f t="shared" si="129"/>
        <v/>
      </c>
      <c r="Q165" s="53" t="str">
        <f t="shared" si="93"/>
        <v/>
      </c>
      <c r="R165" s="53" t="str">
        <f t="shared" si="94"/>
        <v/>
      </c>
      <c r="S165" s="51" t="str">
        <f t="shared" si="100"/>
        <v/>
      </c>
      <c r="T165" s="23"/>
      <c r="U165" s="25"/>
      <c r="V165" s="14" t="s">
        <v>34</v>
      </c>
      <c r="W165" s="14" t="s">
        <v>69</v>
      </c>
      <c r="X165" s="57"/>
    </row>
    <row r="166" ht="15.0" hidden="1" customHeight="1" outlineLevel="2">
      <c r="A166" s="22"/>
      <c r="B166" s="38"/>
      <c r="C166" s="48"/>
      <c r="D166" s="48"/>
      <c r="E166" s="48"/>
      <c r="F166" s="50"/>
      <c r="G166" s="50"/>
      <c r="H166" s="50"/>
      <c r="I166" s="48"/>
      <c r="J166" s="51" t="str">
        <f t="shared" si="90"/>
        <v/>
      </c>
      <c r="K166" s="52"/>
      <c r="L166" s="53" t="str">
        <f t="shared" si="128"/>
        <v/>
      </c>
      <c r="M166" s="53"/>
      <c r="N166" s="53"/>
      <c r="O166" s="48"/>
      <c r="P166" s="53" t="str">
        <f t="shared" si="129"/>
        <v/>
      </c>
      <c r="Q166" s="53" t="str">
        <f t="shared" si="93"/>
        <v/>
      </c>
      <c r="R166" s="53" t="str">
        <f t="shared" si="94"/>
        <v/>
      </c>
      <c r="S166" s="51" t="str">
        <f t="shared" si="100"/>
        <v/>
      </c>
      <c r="T166" s="23"/>
      <c r="U166" s="25"/>
      <c r="V166" s="14" t="s">
        <v>34</v>
      </c>
      <c r="W166" s="14" t="s">
        <v>69</v>
      </c>
      <c r="X166" s="57"/>
    </row>
    <row r="167" ht="15.0" hidden="1" customHeight="1" outlineLevel="1">
      <c r="A167" s="31" t="s">
        <v>99</v>
      </c>
      <c r="B167" s="31"/>
      <c r="C167" s="32">
        <f t="shared" ref="C167:D167" si="130">SUM(C168:C172)</f>
        <v>0</v>
      </c>
      <c r="D167" s="32">
        <f t="shared" si="130"/>
        <v>0</v>
      </c>
      <c r="E167" s="32"/>
      <c r="F167" s="40"/>
      <c r="G167" s="40"/>
      <c r="H167" s="40"/>
      <c r="I167" s="32">
        <f>SUM(I168:I172)</f>
        <v>0</v>
      </c>
      <c r="J167" s="33" t="str">
        <f t="shared" si="90"/>
        <v/>
      </c>
      <c r="K167" s="33" t="str">
        <f>IF(N(I167)=0,"",L167/I167)</f>
        <v/>
      </c>
      <c r="L167" s="32">
        <f>SUM(L168:L172)</f>
        <v>0</v>
      </c>
      <c r="M167" s="32"/>
      <c r="N167" s="32"/>
      <c r="O167" s="32" t="str">
        <f>IF(N(L167)=0,"",P167/L167)</f>
        <v/>
      </c>
      <c r="P167" s="32">
        <f>SUM(P168:P172)</f>
        <v>0</v>
      </c>
      <c r="Q167" s="32" t="str">
        <f t="shared" si="93"/>
        <v/>
      </c>
      <c r="R167" s="32" t="str">
        <f t="shared" si="94"/>
        <v/>
      </c>
      <c r="S167" s="33" t="str">
        <f t="shared" si="100"/>
        <v/>
      </c>
      <c r="T167" s="32">
        <f>ROUND('Медиаплан'!$K$66*7/30,0)</f>
        <v>0</v>
      </c>
      <c r="U167" s="33" t="str">
        <f>IF(N(T167)=0,"",P167/T167)</f>
        <v/>
      </c>
      <c r="X167" s="57"/>
    </row>
    <row r="168" ht="15.0" hidden="1" customHeight="1" outlineLevel="2">
      <c r="A168" s="22"/>
      <c r="B168" s="38"/>
      <c r="C168" s="48"/>
      <c r="D168" s="48"/>
      <c r="E168" s="48"/>
      <c r="F168" s="50"/>
      <c r="G168" s="50"/>
      <c r="H168" s="50"/>
      <c r="I168" s="48"/>
      <c r="J168" s="51" t="str">
        <f t="shared" si="90"/>
        <v/>
      </c>
      <c r="K168" s="52"/>
      <c r="L168" s="53" t="str">
        <f t="shared" ref="L168:L172" si="131">IF(OR(I168="",K168=""),"",ROUND(I168*K168,0))</f>
        <v/>
      </c>
      <c r="M168" s="53"/>
      <c r="N168" s="53"/>
      <c r="O168" s="48"/>
      <c r="P168" s="53" t="str">
        <f t="shared" ref="P168:P172" si="132">IF(N(L168)=0,"",L168*O168)</f>
        <v/>
      </c>
      <c r="Q168" s="53" t="str">
        <f t="shared" si="93"/>
        <v/>
      </c>
      <c r="R168" s="53" t="str">
        <f t="shared" si="94"/>
        <v/>
      </c>
      <c r="S168" s="51" t="str">
        <f t="shared" si="100"/>
        <v/>
      </c>
      <c r="T168" s="23"/>
      <c r="U168" s="25"/>
      <c r="V168" s="14" t="s">
        <v>34</v>
      </c>
      <c r="W168" s="14" t="s">
        <v>73</v>
      </c>
      <c r="X168" s="57"/>
    </row>
    <row r="169" ht="15.0" hidden="1" customHeight="1" outlineLevel="2">
      <c r="A169" s="22"/>
      <c r="B169" s="38"/>
      <c r="C169" s="48"/>
      <c r="D169" s="48"/>
      <c r="E169" s="48"/>
      <c r="F169" s="50"/>
      <c r="G169" s="50"/>
      <c r="H169" s="50"/>
      <c r="I169" s="48"/>
      <c r="J169" s="51" t="str">
        <f t="shared" si="90"/>
        <v/>
      </c>
      <c r="K169" s="52"/>
      <c r="L169" s="53" t="str">
        <f t="shared" si="131"/>
        <v/>
      </c>
      <c r="M169" s="53"/>
      <c r="N169" s="53"/>
      <c r="O169" s="48"/>
      <c r="P169" s="53" t="str">
        <f t="shared" si="132"/>
        <v/>
      </c>
      <c r="Q169" s="53" t="str">
        <f t="shared" si="93"/>
        <v/>
      </c>
      <c r="R169" s="53" t="str">
        <f t="shared" si="94"/>
        <v/>
      </c>
      <c r="S169" s="51" t="str">
        <f t="shared" si="100"/>
        <v/>
      </c>
      <c r="T169" s="23"/>
      <c r="U169" s="25"/>
      <c r="V169" s="14" t="s">
        <v>34</v>
      </c>
      <c r="W169" s="14" t="s">
        <v>73</v>
      </c>
      <c r="X169" s="57"/>
    </row>
    <row r="170" ht="15.0" hidden="1" customHeight="1" outlineLevel="2">
      <c r="A170" s="22"/>
      <c r="B170" s="38"/>
      <c r="C170" s="48"/>
      <c r="D170" s="48"/>
      <c r="E170" s="48"/>
      <c r="F170" s="50"/>
      <c r="G170" s="50"/>
      <c r="H170" s="50"/>
      <c r="I170" s="48"/>
      <c r="J170" s="51" t="str">
        <f t="shared" si="90"/>
        <v/>
      </c>
      <c r="K170" s="52"/>
      <c r="L170" s="53" t="str">
        <f t="shared" si="131"/>
        <v/>
      </c>
      <c r="M170" s="53"/>
      <c r="N170" s="53"/>
      <c r="O170" s="48"/>
      <c r="P170" s="53" t="str">
        <f t="shared" si="132"/>
        <v/>
      </c>
      <c r="Q170" s="53" t="str">
        <f t="shared" si="93"/>
        <v/>
      </c>
      <c r="R170" s="53" t="str">
        <f t="shared" si="94"/>
        <v/>
      </c>
      <c r="S170" s="51" t="str">
        <f t="shared" si="100"/>
        <v/>
      </c>
      <c r="T170" s="23"/>
      <c r="U170" s="25"/>
      <c r="V170" s="14" t="s">
        <v>34</v>
      </c>
      <c r="W170" s="14" t="s">
        <v>73</v>
      </c>
      <c r="X170" s="57"/>
    </row>
    <row r="171" ht="15.0" hidden="1" customHeight="1" outlineLevel="2">
      <c r="A171" s="22"/>
      <c r="B171" s="38"/>
      <c r="C171" s="48"/>
      <c r="D171" s="48"/>
      <c r="E171" s="48"/>
      <c r="F171" s="50"/>
      <c r="G171" s="50"/>
      <c r="H171" s="50"/>
      <c r="I171" s="48"/>
      <c r="J171" s="51" t="str">
        <f t="shared" si="90"/>
        <v/>
      </c>
      <c r="K171" s="52"/>
      <c r="L171" s="53" t="str">
        <f t="shared" si="131"/>
        <v/>
      </c>
      <c r="M171" s="53"/>
      <c r="N171" s="53"/>
      <c r="O171" s="48"/>
      <c r="P171" s="53" t="str">
        <f t="shared" si="132"/>
        <v/>
      </c>
      <c r="Q171" s="53" t="str">
        <f t="shared" si="93"/>
        <v/>
      </c>
      <c r="R171" s="53" t="str">
        <f t="shared" si="94"/>
        <v/>
      </c>
      <c r="S171" s="51" t="str">
        <f t="shared" si="100"/>
        <v/>
      </c>
      <c r="T171" s="23"/>
      <c r="U171" s="25"/>
      <c r="V171" s="14" t="s">
        <v>34</v>
      </c>
      <c r="W171" s="14" t="s">
        <v>73</v>
      </c>
      <c r="X171" s="57"/>
    </row>
    <row r="172" ht="15.0" hidden="1" customHeight="1" outlineLevel="2">
      <c r="A172" s="22"/>
      <c r="B172" s="38"/>
      <c r="C172" s="48"/>
      <c r="D172" s="48"/>
      <c r="E172" s="48"/>
      <c r="F172" s="50"/>
      <c r="G172" s="50"/>
      <c r="H172" s="50"/>
      <c r="I172" s="48"/>
      <c r="J172" s="51" t="str">
        <f t="shared" si="90"/>
        <v/>
      </c>
      <c r="K172" s="52"/>
      <c r="L172" s="53" t="str">
        <f t="shared" si="131"/>
        <v/>
      </c>
      <c r="M172" s="53"/>
      <c r="N172" s="53"/>
      <c r="O172" s="48"/>
      <c r="P172" s="53" t="str">
        <f t="shared" si="132"/>
        <v/>
      </c>
      <c r="Q172" s="53" t="str">
        <f t="shared" si="93"/>
        <v/>
      </c>
      <c r="R172" s="53" t="str">
        <f t="shared" si="94"/>
        <v/>
      </c>
      <c r="S172" s="51" t="str">
        <f t="shared" si="100"/>
        <v/>
      </c>
      <c r="T172" s="23"/>
      <c r="U172" s="25"/>
      <c r="V172" s="14" t="s">
        <v>34</v>
      </c>
      <c r="W172" s="14" t="s">
        <v>73</v>
      </c>
      <c r="X172" s="57"/>
    </row>
    <row r="173" ht="15.0" hidden="1" customHeight="1" outlineLevel="1">
      <c r="A173" s="31" t="s">
        <v>100</v>
      </c>
      <c r="B173" s="31"/>
      <c r="C173" s="32">
        <f t="shared" ref="C173:D173" si="133">SUM(C174:C178)</f>
        <v>0</v>
      </c>
      <c r="D173" s="32">
        <f t="shared" si="133"/>
        <v>0</v>
      </c>
      <c r="E173" s="32"/>
      <c r="F173" s="40"/>
      <c r="G173" s="40"/>
      <c r="H173" s="40"/>
      <c r="I173" s="32">
        <f>SUM(I174:I178)</f>
        <v>0</v>
      </c>
      <c r="J173" s="33" t="str">
        <f t="shared" si="90"/>
        <v/>
      </c>
      <c r="K173" s="33" t="str">
        <f>IF(N(I173)=0,"",L173/I173)</f>
        <v/>
      </c>
      <c r="L173" s="32">
        <f>SUM(L174:L178)</f>
        <v>0</v>
      </c>
      <c r="M173" s="32"/>
      <c r="N173" s="32"/>
      <c r="O173" s="32" t="str">
        <f>IF(N(L173)=0,"",P173/L173)</f>
        <v/>
      </c>
      <c r="P173" s="32">
        <f>SUM(P174:P178)</f>
        <v>0</v>
      </c>
      <c r="Q173" s="32" t="str">
        <f t="shared" si="93"/>
        <v/>
      </c>
      <c r="R173" s="32" t="str">
        <f t="shared" si="94"/>
        <v/>
      </c>
      <c r="S173" s="33" t="str">
        <f t="shared" si="100"/>
        <v/>
      </c>
      <c r="T173" s="32">
        <f>ROUND('Медиаплан'!$K$66*7/30,0)</f>
        <v>0</v>
      </c>
      <c r="U173" s="33" t="str">
        <f>IF(N(T173)=0,"",P173/T173)</f>
        <v/>
      </c>
      <c r="X173" s="57"/>
    </row>
    <row r="174" ht="15.0" hidden="1" customHeight="1" outlineLevel="2">
      <c r="A174" s="22"/>
      <c r="B174" s="38"/>
      <c r="C174" s="48"/>
      <c r="D174" s="48"/>
      <c r="E174" s="48"/>
      <c r="F174" s="50"/>
      <c r="G174" s="50"/>
      <c r="H174" s="50"/>
      <c r="I174" s="48"/>
      <c r="J174" s="51" t="str">
        <f t="shared" si="90"/>
        <v/>
      </c>
      <c r="K174" s="52"/>
      <c r="L174" s="53" t="str">
        <f t="shared" ref="L174:L178" si="134">IF(OR(I174="",K174=""),"",ROUND(I174*K174,0))</f>
        <v/>
      </c>
      <c r="M174" s="53"/>
      <c r="N174" s="53"/>
      <c r="O174" s="48"/>
      <c r="P174" s="53" t="str">
        <f t="shared" ref="P174:P178" si="135">IF(N(L174)=0,"",L174*O174)</f>
        <v/>
      </c>
      <c r="Q174" s="53" t="str">
        <f t="shared" si="93"/>
        <v/>
      </c>
      <c r="R174" s="53" t="str">
        <f t="shared" si="94"/>
        <v/>
      </c>
      <c r="S174" s="51" t="str">
        <f t="shared" si="100"/>
        <v/>
      </c>
      <c r="T174" s="23"/>
      <c r="U174" s="25"/>
      <c r="V174" s="14" t="s">
        <v>34</v>
      </c>
      <c r="W174" s="14" t="s">
        <v>75</v>
      </c>
      <c r="X174" s="57"/>
    </row>
    <row r="175" ht="15.0" hidden="1" customHeight="1" outlineLevel="2">
      <c r="A175" s="22"/>
      <c r="B175" s="38"/>
      <c r="C175" s="48"/>
      <c r="D175" s="48"/>
      <c r="E175" s="48"/>
      <c r="F175" s="50"/>
      <c r="G175" s="50"/>
      <c r="H175" s="50"/>
      <c r="I175" s="48"/>
      <c r="J175" s="51" t="str">
        <f t="shared" si="90"/>
        <v/>
      </c>
      <c r="K175" s="52"/>
      <c r="L175" s="53" t="str">
        <f t="shared" si="134"/>
        <v/>
      </c>
      <c r="M175" s="53"/>
      <c r="N175" s="53"/>
      <c r="O175" s="48"/>
      <c r="P175" s="53" t="str">
        <f t="shared" si="135"/>
        <v/>
      </c>
      <c r="Q175" s="53" t="str">
        <f t="shared" si="93"/>
        <v/>
      </c>
      <c r="R175" s="53" t="str">
        <f t="shared" si="94"/>
        <v/>
      </c>
      <c r="S175" s="51" t="str">
        <f t="shared" si="100"/>
        <v/>
      </c>
      <c r="T175" s="23"/>
      <c r="U175" s="25"/>
      <c r="V175" s="14" t="s">
        <v>34</v>
      </c>
      <c r="W175" s="14" t="s">
        <v>75</v>
      </c>
      <c r="X175" s="57"/>
    </row>
    <row r="176" ht="15.0" hidden="1" customHeight="1" outlineLevel="2">
      <c r="A176" s="22"/>
      <c r="B176" s="38"/>
      <c r="C176" s="48"/>
      <c r="D176" s="48"/>
      <c r="E176" s="48"/>
      <c r="F176" s="50"/>
      <c r="G176" s="50"/>
      <c r="H176" s="50"/>
      <c r="I176" s="48"/>
      <c r="J176" s="51" t="str">
        <f t="shared" si="90"/>
        <v/>
      </c>
      <c r="K176" s="52"/>
      <c r="L176" s="53" t="str">
        <f t="shared" si="134"/>
        <v/>
      </c>
      <c r="M176" s="53"/>
      <c r="N176" s="53"/>
      <c r="O176" s="48"/>
      <c r="P176" s="53" t="str">
        <f t="shared" si="135"/>
        <v/>
      </c>
      <c r="Q176" s="53" t="str">
        <f t="shared" si="93"/>
        <v/>
      </c>
      <c r="R176" s="53" t="str">
        <f t="shared" si="94"/>
        <v/>
      </c>
      <c r="S176" s="51" t="str">
        <f t="shared" si="100"/>
        <v/>
      </c>
      <c r="T176" s="23"/>
      <c r="U176" s="25"/>
      <c r="V176" s="14" t="s">
        <v>34</v>
      </c>
      <c r="W176" s="14" t="s">
        <v>75</v>
      </c>
      <c r="X176" s="57"/>
    </row>
    <row r="177" ht="15.0" hidden="1" customHeight="1" outlineLevel="2">
      <c r="A177" s="22"/>
      <c r="B177" s="38"/>
      <c r="C177" s="48"/>
      <c r="D177" s="48"/>
      <c r="E177" s="48"/>
      <c r="F177" s="50"/>
      <c r="G177" s="50"/>
      <c r="H177" s="50"/>
      <c r="I177" s="48"/>
      <c r="J177" s="51" t="str">
        <f t="shared" si="90"/>
        <v/>
      </c>
      <c r="K177" s="52"/>
      <c r="L177" s="53" t="str">
        <f t="shared" si="134"/>
        <v/>
      </c>
      <c r="M177" s="53"/>
      <c r="N177" s="53"/>
      <c r="O177" s="48"/>
      <c r="P177" s="53" t="str">
        <f t="shared" si="135"/>
        <v/>
      </c>
      <c r="Q177" s="53" t="str">
        <f t="shared" si="93"/>
        <v/>
      </c>
      <c r="R177" s="53" t="str">
        <f t="shared" si="94"/>
        <v/>
      </c>
      <c r="S177" s="51" t="str">
        <f t="shared" si="100"/>
        <v/>
      </c>
      <c r="T177" s="23"/>
      <c r="U177" s="25"/>
      <c r="V177" s="14" t="s">
        <v>34</v>
      </c>
      <c r="W177" s="14" t="s">
        <v>75</v>
      </c>
      <c r="X177" s="57"/>
    </row>
    <row r="178" ht="15.0" hidden="1" customHeight="1" outlineLevel="2">
      <c r="A178" s="22"/>
      <c r="B178" s="38"/>
      <c r="C178" s="48"/>
      <c r="D178" s="48"/>
      <c r="E178" s="48"/>
      <c r="F178" s="50"/>
      <c r="G178" s="50"/>
      <c r="H178" s="50"/>
      <c r="I178" s="48"/>
      <c r="J178" s="51" t="str">
        <f t="shared" si="90"/>
        <v/>
      </c>
      <c r="K178" s="52"/>
      <c r="L178" s="53" t="str">
        <f t="shared" si="134"/>
        <v/>
      </c>
      <c r="M178" s="53"/>
      <c r="N178" s="53"/>
      <c r="O178" s="48"/>
      <c r="P178" s="53" t="str">
        <f t="shared" si="135"/>
        <v/>
      </c>
      <c r="Q178" s="53" t="str">
        <f t="shared" si="93"/>
        <v/>
      </c>
      <c r="R178" s="53" t="str">
        <f t="shared" si="94"/>
        <v/>
      </c>
      <c r="S178" s="51" t="str">
        <f t="shared" si="100"/>
        <v/>
      </c>
      <c r="T178" s="23"/>
      <c r="U178" s="25"/>
      <c r="V178" s="14" t="s">
        <v>34</v>
      </c>
      <c r="W178" s="14" t="s">
        <v>75</v>
      </c>
      <c r="X178" s="57"/>
    </row>
    <row r="179" ht="15.0" hidden="1" customHeight="1" outlineLevel="1">
      <c r="A179" s="31" t="s">
        <v>101</v>
      </c>
      <c r="B179" s="31"/>
      <c r="C179" s="32">
        <f t="shared" ref="C179:D179" si="136">SUM(C180:C184)</f>
        <v>0</v>
      </c>
      <c r="D179" s="32">
        <f t="shared" si="136"/>
        <v>0</v>
      </c>
      <c r="E179" s="32"/>
      <c r="F179" s="40"/>
      <c r="G179" s="40"/>
      <c r="H179" s="40"/>
      <c r="I179" s="32">
        <f>SUM(I180:I184)</f>
        <v>0</v>
      </c>
      <c r="J179" s="33" t="str">
        <f t="shared" si="90"/>
        <v/>
      </c>
      <c r="K179" s="33" t="str">
        <f>IF(N(I179)=0,"",L179/I179)</f>
        <v/>
      </c>
      <c r="L179" s="32">
        <f>SUM(L180:L184)</f>
        <v>0</v>
      </c>
      <c r="M179" s="32"/>
      <c r="N179" s="32"/>
      <c r="O179" s="32" t="str">
        <f>IF(N(L179)=0,"",P179/L179)</f>
        <v/>
      </c>
      <c r="P179" s="32">
        <f>SUM(P180:P184)</f>
        <v>0</v>
      </c>
      <c r="Q179" s="32" t="str">
        <f t="shared" si="93"/>
        <v/>
      </c>
      <c r="R179" s="32" t="str">
        <f t="shared" si="94"/>
        <v/>
      </c>
      <c r="S179" s="33" t="str">
        <f t="shared" si="100"/>
        <v/>
      </c>
      <c r="T179" s="32">
        <f>ROUND('Медиаплан'!$K$66*7/30,0)</f>
        <v>0</v>
      </c>
      <c r="U179" s="33" t="str">
        <f>IF(N(T179)=0,"",P179/T179)</f>
        <v/>
      </c>
      <c r="X179" s="57"/>
    </row>
    <row r="180" ht="15.0" hidden="1" customHeight="1" outlineLevel="2">
      <c r="A180" s="22"/>
      <c r="B180" s="38"/>
      <c r="C180" s="48"/>
      <c r="D180" s="48"/>
      <c r="E180" s="48"/>
      <c r="F180" s="50"/>
      <c r="G180" s="50"/>
      <c r="H180" s="50"/>
      <c r="I180" s="48"/>
      <c r="J180" s="51" t="str">
        <f t="shared" si="90"/>
        <v/>
      </c>
      <c r="K180" s="52"/>
      <c r="L180" s="53" t="str">
        <f t="shared" ref="L180:L184" si="137">IF(OR(I180="",K180=""),"",ROUND(I180*K180,0))</f>
        <v/>
      </c>
      <c r="M180" s="53"/>
      <c r="N180" s="53"/>
      <c r="O180" s="48"/>
      <c r="P180" s="53" t="str">
        <f t="shared" ref="P180:P184" si="138">IF(N(L180)=0,"",L180*O180)</f>
        <v/>
      </c>
      <c r="Q180" s="53" t="str">
        <f t="shared" si="93"/>
        <v/>
      </c>
      <c r="R180" s="53" t="str">
        <f t="shared" si="94"/>
        <v/>
      </c>
      <c r="S180" s="51" t="str">
        <f t="shared" si="100"/>
        <v/>
      </c>
      <c r="T180" s="23"/>
      <c r="U180" s="25"/>
      <c r="V180" s="14" t="s">
        <v>34</v>
      </c>
      <c r="W180" s="14" t="s">
        <v>77</v>
      </c>
      <c r="X180" s="57"/>
    </row>
    <row r="181" ht="15.0" hidden="1" customHeight="1" outlineLevel="2">
      <c r="A181" s="22"/>
      <c r="B181" s="38"/>
      <c r="C181" s="48"/>
      <c r="D181" s="48"/>
      <c r="E181" s="48"/>
      <c r="F181" s="50"/>
      <c r="G181" s="50"/>
      <c r="H181" s="50"/>
      <c r="I181" s="48"/>
      <c r="J181" s="51" t="str">
        <f t="shared" si="90"/>
        <v/>
      </c>
      <c r="K181" s="52"/>
      <c r="L181" s="53" t="str">
        <f t="shared" si="137"/>
        <v/>
      </c>
      <c r="M181" s="53"/>
      <c r="N181" s="53"/>
      <c r="O181" s="48"/>
      <c r="P181" s="53" t="str">
        <f t="shared" si="138"/>
        <v/>
      </c>
      <c r="Q181" s="53" t="str">
        <f t="shared" si="93"/>
        <v/>
      </c>
      <c r="R181" s="53" t="str">
        <f t="shared" si="94"/>
        <v/>
      </c>
      <c r="S181" s="51" t="str">
        <f t="shared" si="100"/>
        <v/>
      </c>
      <c r="T181" s="23"/>
      <c r="U181" s="25"/>
      <c r="V181" s="14" t="s">
        <v>34</v>
      </c>
      <c r="W181" s="14" t="s">
        <v>77</v>
      </c>
      <c r="X181" s="57"/>
    </row>
    <row r="182" ht="15.0" hidden="1" customHeight="1" outlineLevel="2">
      <c r="A182" s="22"/>
      <c r="B182" s="38"/>
      <c r="C182" s="48"/>
      <c r="D182" s="48"/>
      <c r="E182" s="48"/>
      <c r="F182" s="50"/>
      <c r="G182" s="50"/>
      <c r="H182" s="50"/>
      <c r="I182" s="48"/>
      <c r="J182" s="51" t="str">
        <f t="shared" si="90"/>
        <v/>
      </c>
      <c r="K182" s="52"/>
      <c r="L182" s="53" t="str">
        <f t="shared" si="137"/>
        <v/>
      </c>
      <c r="M182" s="53"/>
      <c r="N182" s="53"/>
      <c r="O182" s="48"/>
      <c r="P182" s="53" t="str">
        <f t="shared" si="138"/>
        <v/>
      </c>
      <c r="Q182" s="53" t="str">
        <f t="shared" si="93"/>
        <v/>
      </c>
      <c r="R182" s="53" t="str">
        <f t="shared" si="94"/>
        <v/>
      </c>
      <c r="S182" s="51" t="str">
        <f t="shared" si="100"/>
        <v/>
      </c>
      <c r="T182" s="23"/>
      <c r="U182" s="25"/>
      <c r="V182" s="14" t="s">
        <v>34</v>
      </c>
      <c r="W182" s="14" t="s">
        <v>77</v>
      </c>
      <c r="X182" s="57"/>
    </row>
    <row r="183" ht="15.0" hidden="1" customHeight="1" outlineLevel="2">
      <c r="A183" s="22"/>
      <c r="B183" s="38"/>
      <c r="C183" s="48"/>
      <c r="D183" s="48"/>
      <c r="E183" s="48"/>
      <c r="F183" s="50"/>
      <c r="G183" s="50"/>
      <c r="H183" s="50"/>
      <c r="I183" s="48"/>
      <c r="J183" s="51" t="str">
        <f t="shared" si="90"/>
        <v/>
      </c>
      <c r="K183" s="52"/>
      <c r="L183" s="53" t="str">
        <f t="shared" si="137"/>
        <v/>
      </c>
      <c r="M183" s="53"/>
      <c r="N183" s="53"/>
      <c r="O183" s="48"/>
      <c r="P183" s="53" t="str">
        <f t="shared" si="138"/>
        <v/>
      </c>
      <c r="Q183" s="53" t="str">
        <f t="shared" si="93"/>
        <v/>
      </c>
      <c r="R183" s="53" t="str">
        <f t="shared" si="94"/>
        <v/>
      </c>
      <c r="S183" s="51" t="str">
        <f t="shared" si="100"/>
        <v/>
      </c>
      <c r="T183" s="23"/>
      <c r="U183" s="25"/>
      <c r="V183" s="14" t="s">
        <v>34</v>
      </c>
      <c r="W183" s="14" t="s">
        <v>77</v>
      </c>
      <c r="X183" s="57"/>
    </row>
    <row r="184" ht="15.0" hidden="1" customHeight="1" outlineLevel="2">
      <c r="A184" s="22"/>
      <c r="B184" s="38"/>
      <c r="C184" s="48"/>
      <c r="D184" s="48"/>
      <c r="E184" s="48"/>
      <c r="F184" s="50"/>
      <c r="G184" s="50"/>
      <c r="H184" s="50"/>
      <c r="I184" s="48"/>
      <c r="J184" s="51" t="str">
        <f t="shared" si="90"/>
        <v/>
      </c>
      <c r="K184" s="52"/>
      <c r="L184" s="53" t="str">
        <f t="shared" si="137"/>
        <v/>
      </c>
      <c r="M184" s="53"/>
      <c r="N184" s="53"/>
      <c r="O184" s="48"/>
      <c r="P184" s="53" t="str">
        <f t="shared" si="138"/>
        <v/>
      </c>
      <c r="Q184" s="53" t="str">
        <f t="shared" si="93"/>
        <v/>
      </c>
      <c r="R184" s="53" t="str">
        <f t="shared" si="94"/>
        <v/>
      </c>
      <c r="S184" s="51" t="str">
        <f t="shared" si="100"/>
        <v/>
      </c>
      <c r="T184" s="23"/>
      <c r="U184" s="25"/>
      <c r="V184" s="14" t="s">
        <v>34</v>
      </c>
      <c r="W184" s="14" t="s">
        <v>77</v>
      </c>
      <c r="X184" s="57"/>
    </row>
    <row r="185" ht="15.0" hidden="1" customHeight="1" outlineLevel="1">
      <c r="A185" s="31" t="s">
        <v>102</v>
      </c>
      <c r="B185" s="31"/>
      <c r="C185" s="32">
        <f t="shared" ref="C185:D185" si="139">SUM(C186:C190)</f>
        <v>0</v>
      </c>
      <c r="D185" s="32">
        <f t="shared" si="139"/>
        <v>0</v>
      </c>
      <c r="E185" s="32"/>
      <c r="F185" s="40"/>
      <c r="G185" s="40"/>
      <c r="H185" s="40"/>
      <c r="I185" s="32">
        <f>SUM(I186:I190)</f>
        <v>0</v>
      </c>
      <c r="J185" s="33" t="str">
        <f t="shared" si="90"/>
        <v/>
      </c>
      <c r="K185" s="33" t="str">
        <f>IF(N(I185)=0,"",L185/I185)</f>
        <v/>
      </c>
      <c r="L185" s="32">
        <f>SUM(L186:L190)</f>
        <v>0</v>
      </c>
      <c r="M185" s="32"/>
      <c r="N185" s="32"/>
      <c r="O185" s="32" t="str">
        <f>IF(N(L185)=0,"",P185/L185)</f>
        <v/>
      </c>
      <c r="P185" s="32">
        <f>SUM(P186:P190)</f>
        <v>0</v>
      </c>
      <c r="Q185" s="32" t="str">
        <f t="shared" si="93"/>
        <v/>
      </c>
      <c r="R185" s="32" t="str">
        <f t="shared" si="94"/>
        <v/>
      </c>
      <c r="S185" s="33" t="str">
        <f t="shared" si="100"/>
        <v/>
      </c>
      <c r="T185" s="32">
        <f>'Медиаплан'!$K$66-(T161+T167+T173+T179)</f>
        <v>0</v>
      </c>
      <c r="U185" s="33" t="str">
        <f>IF(N(T185)=0,"",P185/T185)</f>
        <v/>
      </c>
      <c r="X185" s="57"/>
    </row>
    <row r="186" ht="15.0" hidden="1" customHeight="1" outlineLevel="2">
      <c r="A186" s="22"/>
      <c r="B186" s="38"/>
      <c r="C186" s="48"/>
      <c r="D186" s="48"/>
      <c r="E186" s="48"/>
      <c r="F186" s="50"/>
      <c r="G186" s="50"/>
      <c r="H186" s="50"/>
      <c r="I186" s="48"/>
      <c r="J186" s="51" t="str">
        <f t="shared" si="90"/>
        <v/>
      </c>
      <c r="K186" s="52"/>
      <c r="L186" s="53" t="str">
        <f t="shared" ref="L186:L190" si="140">IF(OR(I186="",K186=""),"",ROUND(I186*K186,0))</f>
        <v/>
      </c>
      <c r="M186" s="53"/>
      <c r="N186" s="53"/>
      <c r="O186" s="48"/>
      <c r="P186" s="53" t="str">
        <f t="shared" ref="P186:P190" si="141">IF(N(L186)=0,"",L186*O186)</f>
        <v/>
      </c>
      <c r="Q186" s="53" t="str">
        <f t="shared" si="93"/>
        <v/>
      </c>
      <c r="R186" s="53" t="str">
        <f t="shared" si="94"/>
        <v/>
      </c>
      <c r="S186" s="51" t="str">
        <f t="shared" si="100"/>
        <v/>
      </c>
      <c r="T186" s="23"/>
      <c r="U186" s="25"/>
      <c r="V186" s="14" t="s">
        <v>34</v>
      </c>
      <c r="W186" s="14" t="s">
        <v>79</v>
      </c>
      <c r="X186" s="57"/>
    </row>
    <row r="187" ht="15.0" hidden="1" customHeight="1" outlineLevel="2">
      <c r="A187" s="22"/>
      <c r="B187" s="38"/>
      <c r="C187" s="48"/>
      <c r="D187" s="48"/>
      <c r="E187" s="48"/>
      <c r="F187" s="50"/>
      <c r="G187" s="50"/>
      <c r="H187" s="50"/>
      <c r="I187" s="48"/>
      <c r="J187" s="51" t="str">
        <f t="shared" si="90"/>
        <v/>
      </c>
      <c r="K187" s="52"/>
      <c r="L187" s="53" t="str">
        <f t="shared" si="140"/>
        <v/>
      </c>
      <c r="M187" s="53"/>
      <c r="N187" s="53"/>
      <c r="O187" s="48"/>
      <c r="P187" s="53" t="str">
        <f t="shared" si="141"/>
        <v/>
      </c>
      <c r="Q187" s="53" t="str">
        <f t="shared" si="93"/>
        <v/>
      </c>
      <c r="R187" s="53" t="str">
        <f t="shared" si="94"/>
        <v/>
      </c>
      <c r="S187" s="51" t="str">
        <f t="shared" si="100"/>
        <v/>
      </c>
      <c r="T187" s="23"/>
      <c r="U187" s="25"/>
      <c r="V187" s="14" t="s">
        <v>34</v>
      </c>
      <c r="W187" s="14" t="s">
        <v>79</v>
      </c>
      <c r="X187" s="57"/>
    </row>
    <row r="188" ht="15.0" hidden="1" customHeight="1" outlineLevel="2">
      <c r="A188" s="22"/>
      <c r="B188" s="38"/>
      <c r="C188" s="48"/>
      <c r="D188" s="48"/>
      <c r="E188" s="48"/>
      <c r="F188" s="50"/>
      <c r="G188" s="50"/>
      <c r="H188" s="50"/>
      <c r="I188" s="48"/>
      <c r="J188" s="51" t="str">
        <f t="shared" si="90"/>
        <v/>
      </c>
      <c r="K188" s="52"/>
      <c r="L188" s="53" t="str">
        <f t="shared" si="140"/>
        <v/>
      </c>
      <c r="M188" s="53"/>
      <c r="N188" s="53"/>
      <c r="O188" s="48"/>
      <c r="P188" s="53" t="str">
        <f t="shared" si="141"/>
        <v/>
      </c>
      <c r="Q188" s="53" t="str">
        <f t="shared" si="93"/>
        <v/>
      </c>
      <c r="R188" s="53" t="str">
        <f t="shared" si="94"/>
        <v/>
      </c>
      <c r="S188" s="51" t="str">
        <f t="shared" si="100"/>
        <v/>
      </c>
      <c r="T188" s="23"/>
      <c r="U188" s="25"/>
      <c r="V188" s="14" t="s">
        <v>34</v>
      </c>
      <c r="W188" s="14" t="s">
        <v>79</v>
      </c>
      <c r="X188" s="57"/>
    </row>
    <row r="189" ht="15.0" hidden="1" customHeight="1" outlineLevel="2">
      <c r="A189" s="22"/>
      <c r="B189" s="38"/>
      <c r="C189" s="48"/>
      <c r="D189" s="48"/>
      <c r="E189" s="48"/>
      <c r="F189" s="50"/>
      <c r="G189" s="50"/>
      <c r="H189" s="50"/>
      <c r="I189" s="48"/>
      <c r="J189" s="51" t="str">
        <f t="shared" si="90"/>
        <v/>
      </c>
      <c r="K189" s="52"/>
      <c r="L189" s="53" t="str">
        <f t="shared" si="140"/>
        <v/>
      </c>
      <c r="M189" s="53"/>
      <c r="N189" s="53"/>
      <c r="O189" s="48"/>
      <c r="P189" s="53" t="str">
        <f t="shared" si="141"/>
        <v/>
      </c>
      <c r="Q189" s="53" t="str">
        <f t="shared" si="93"/>
        <v/>
      </c>
      <c r="R189" s="53" t="str">
        <f t="shared" si="94"/>
        <v/>
      </c>
      <c r="S189" s="51" t="str">
        <f t="shared" si="100"/>
        <v/>
      </c>
      <c r="T189" s="23"/>
      <c r="U189" s="25"/>
      <c r="V189" s="14" t="s">
        <v>34</v>
      </c>
      <c r="W189" s="14" t="s">
        <v>79</v>
      </c>
      <c r="X189" s="57"/>
    </row>
    <row r="190" ht="15.0" hidden="1" customHeight="1" outlineLevel="2">
      <c r="A190" s="22"/>
      <c r="B190" s="38"/>
      <c r="C190" s="48"/>
      <c r="D190" s="48"/>
      <c r="E190" s="48"/>
      <c r="F190" s="50"/>
      <c r="G190" s="50"/>
      <c r="H190" s="50"/>
      <c r="I190" s="48"/>
      <c r="J190" s="51" t="str">
        <f t="shared" si="90"/>
        <v/>
      </c>
      <c r="K190" s="52"/>
      <c r="L190" s="53" t="str">
        <f t="shared" si="140"/>
        <v/>
      </c>
      <c r="M190" s="53"/>
      <c r="N190" s="53"/>
      <c r="O190" s="48"/>
      <c r="P190" s="53" t="str">
        <f t="shared" si="141"/>
        <v/>
      </c>
      <c r="Q190" s="53" t="str">
        <f t="shared" si="93"/>
        <v/>
      </c>
      <c r="R190" s="53" t="str">
        <f t="shared" si="94"/>
        <v/>
      </c>
      <c r="S190" s="51" t="str">
        <f t="shared" si="100"/>
        <v/>
      </c>
      <c r="T190" s="23"/>
      <c r="U190" s="25"/>
      <c r="V190" s="14" t="s">
        <v>34</v>
      </c>
      <c r="W190" s="14" t="s">
        <v>79</v>
      </c>
      <c r="X190" s="57"/>
    </row>
    <row r="191" ht="15.0" customHeight="1" collapsed="1">
      <c r="A191" s="42" t="s">
        <v>66</v>
      </c>
      <c r="B191" s="42"/>
      <c r="C191" s="43">
        <f t="shared" ref="C191:D191" si="142">C192+C198+C204+C210+C216</f>
        <v>0</v>
      </c>
      <c r="D191" s="43">
        <f t="shared" si="142"/>
        <v>0</v>
      </c>
      <c r="E191" s="43"/>
      <c r="F191" s="44"/>
      <c r="G191" s="44"/>
      <c r="H191" s="44"/>
      <c r="I191" s="43">
        <f>I192+I198+I204+I210+I216</f>
        <v>0</v>
      </c>
      <c r="J191" s="45" t="str">
        <f t="shared" si="90"/>
        <v/>
      </c>
      <c r="K191" s="45" t="str">
        <f t="shared" ref="K191:K192" si="144">IF(N(I191)=0,"",L191/I191)</f>
        <v/>
      </c>
      <c r="L191" s="43">
        <f>L192+L198+L204+L210+L216</f>
        <v>0</v>
      </c>
      <c r="M191" s="43"/>
      <c r="N191" s="43"/>
      <c r="O191" s="43" t="str">
        <f t="shared" ref="O191:O192" si="145">IF(N(L191)=0,"",P191/L191)</f>
        <v/>
      </c>
      <c r="P191" s="43">
        <f>P192+P198+P204+P210+P216</f>
        <v>0</v>
      </c>
      <c r="Q191" s="43" t="str">
        <f t="shared" si="93"/>
        <v/>
      </c>
      <c r="R191" s="43" t="str">
        <f t="shared" si="94"/>
        <v/>
      </c>
      <c r="S191" s="45" t="str">
        <f t="shared" si="100"/>
        <v/>
      </c>
      <c r="T191" s="43">
        <f>'Медиаплан'!$K$79</f>
        <v>0</v>
      </c>
      <c r="U191" s="45" t="str">
        <f t="shared" ref="U191:U192" si="146">IF(N(T191)=0,"",P191/T191)</f>
        <v/>
      </c>
      <c r="X191" s="57"/>
    </row>
    <row r="192" ht="15.0" hidden="1" customHeight="1" outlineLevel="1">
      <c r="A192" s="31" t="s">
        <v>103</v>
      </c>
      <c r="B192" s="31"/>
      <c r="C192" s="32">
        <f t="shared" ref="C192:D192" si="143">SUM(C193:C197)</f>
        <v>0</v>
      </c>
      <c r="D192" s="32">
        <f t="shared" si="143"/>
        <v>0</v>
      </c>
      <c r="E192" s="32"/>
      <c r="F192" s="40"/>
      <c r="G192" s="40"/>
      <c r="H192" s="40"/>
      <c r="I192" s="32">
        <f>SUM(I193:I197)</f>
        <v>0</v>
      </c>
      <c r="J192" s="33" t="str">
        <f t="shared" si="90"/>
        <v/>
      </c>
      <c r="K192" s="33" t="str">
        <f t="shared" si="144"/>
        <v/>
      </c>
      <c r="L192" s="32">
        <f>SUM(L193:L197)</f>
        <v>0</v>
      </c>
      <c r="M192" s="32"/>
      <c r="N192" s="32"/>
      <c r="O192" s="32" t="str">
        <f t="shared" si="145"/>
        <v/>
      </c>
      <c r="P192" s="32">
        <f>SUM(P193:P197)</f>
        <v>0</v>
      </c>
      <c r="Q192" s="32" t="str">
        <f t="shared" si="93"/>
        <v/>
      </c>
      <c r="R192" s="32" t="str">
        <f t="shared" si="94"/>
        <v/>
      </c>
      <c r="S192" s="33" t="str">
        <f t="shared" si="100"/>
        <v/>
      </c>
      <c r="T192" s="32">
        <f>ROUND('Медиаплан'!$K$79*7/31,0)</f>
        <v>0</v>
      </c>
      <c r="U192" s="33" t="str">
        <f t="shared" si="146"/>
        <v/>
      </c>
      <c r="X192" s="12"/>
    </row>
    <row r="193" ht="15.0" hidden="1" customHeight="1" outlineLevel="2">
      <c r="A193" s="22"/>
      <c r="B193" s="38"/>
      <c r="C193" s="48"/>
      <c r="D193" s="48"/>
      <c r="E193" s="48"/>
      <c r="F193" s="50"/>
      <c r="G193" s="50"/>
      <c r="H193" s="50"/>
      <c r="I193" s="48"/>
      <c r="J193" s="51" t="str">
        <f t="shared" si="90"/>
        <v/>
      </c>
      <c r="K193" s="52"/>
      <c r="L193" s="53" t="str">
        <f t="shared" ref="L193:L197" si="147">IF(OR(I193="",K193=""),"",ROUND(I193*K193,0))</f>
        <v/>
      </c>
      <c r="M193" s="53"/>
      <c r="N193" s="53"/>
      <c r="O193" s="48"/>
      <c r="P193" s="53" t="str">
        <f t="shared" ref="P193:P197" si="148">IF(N(L193)=0,"",L193*O193)</f>
        <v/>
      </c>
      <c r="Q193" s="53" t="str">
        <f t="shared" si="93"/>
        <v/>
      </c>
      <c r="R193" s="53" t="str">
        <f t="shared" si="94"/>
        <v/>
      </c>
      <c r="S193" s="51" t="str">
        <f t="shared" si="100"/>
        <v/>
      </c>
      <c r="T193" s="23"/>
      <c r="U193" s="25"/>
      <c r="V193" s="14" t="s">
        <v>36</v>
      </c>
      <c r="W193" s="14" t="s">
        <v>69</v>
      </c>
      <c r="X193" s="12"/>
    </row>
    <row r="194" ht="15.0" hidden="1" customHeight="1" outlineLevel="2">
      <c r="A194" s="22"/>
      <c r="B194" s="38"/>
      <c r="C194" s="48"/>
      <c r="D194" s="48"/>
      <c r="E194" s="48"/>
      <c r="F194" s="50"/>
      <c r="G194" s="50"/>
      <c r="H194" s="50"/>
      <c r="I194" s="48"/>
      <c r="J194" s="51" t="str">
        <f t="shared" si="90"/>
        <v/>
      </c>
      <c r="K194" s="52"/>
      <c r="L194" s="53" t="str">
        <f t="shared" si="147"/>
        <v/>
      </c>
      <c r="M194" s="53"/>
      <c r="N194" s="53"/>
      <c r="O194" s="48"/>
      <c r="P194" s="53" t="str">
        <f t="shared" si="148"/>
        <v/>
      </c>
      <c r="Q194" s="53" t="str">
        <f t="shared" si="93"/>
        <v/>
      </c>
      <c r="R194" s="53" t="str">
        <f t="shared" si="94"/>
        <v/>
      </c>
      <c r="S194" s="51" t="str">
        <f t="shared" si="100"/>
        <v/>
      </c>
      <c r="T194" s="23"/>
      <c r="U194" s="25"/>
      <c r="V194" s="14" t="s">
        <v>36</v>
      </c>
      <c r="W194" s="14" t="s">
        <v>69</v>
      </c>
      <c r="X194" s="12"/>
    </row>
    <row r="195" ht="15.0" hidden="1" customHeight="1" outlineLevel="2">
      <c r="A195" s="22"/>
      <c r="B195" s="38"/>
      <c r="C195" s="48"/>
      <c r="D195" s="48"/>
      <c r="E195" s="48"/>
      <c r="F195" s="50"/>
      <c r="G195" s="50"/>
      <c r="H195" s="50"/>
      <c r="I195" s="48"/>
      <c r="J195" s="51" t="str">
        <f t="shared" si="90"/>
        <v/>
      </c>
      <c r="K195" s="52"/>
      <c r="L195" s="53" t="str">
        <f t="shared" si="147"/>
        <v/>
      </c>
      <c r="M195" s="53"/>
      <c r="N195" s="53"/>
      <c r="O195" s="48"/>
      <c r="P195" s="53" t="str">
        <f t="shared" si="148"/>
        <v/>
      </c>
      <c r="Q195" s="53" t="str">
        <f t="shared" si="93"/>
        <v/>
      </c>
      <c r="R195" s="53" t="str">
        <f t="shared" si="94"/>
        <v/>
      </c>
      <c r="S195" s="51" t="str">
        <f t="shared" si="100"/>
        <v/>
      </c>
      <c r="T195" s="23"/>
      <c r="U195" s="25"/>
      <c r="V195" s="14" t="s">
        <v>36</v>
      </c>
      <c r="W195" s="14" t="s">
        <v>69</v>
      </c>
      <c r="X195" s="12"/>
    </row>
    <row r="196" ht="15.0" hidden="1" customHeight="1" outlineLevel="2">
      <c r="A196" s="22"/>
      <c r="B196" s="38"/>
      <c r="C196" s="48"/>
      <c r="D196" s="48"/>
      <c r="E196" s="48"/>
      <c r="F196" s="50"/>
      <c r="G196" s="50"/>
      <c r="H196" s="50"/>
      <c r="I196" s="48"/>
      <c r="J196" s="51" t="str">
        <f t="shared" si="90"/>
        <v/>
      </c>
      <c r="K196" s="52"/>
      <c r="L196" s="53" t="str">
        <f t="shared" si="147"/>
        <v/>
      </c>
      <c r="M196" s="53"/>
      <c r="N196" s="53"/>
      <c r="O196" s="48"/>
      <c r="P196" s="53" t="str">
        <f t="shared" si="148"/>
        <v/>
      </c>
      <c r="Q196" s="53" t="str">
        <f t="shared" si="93"/>
        <v/>
      </c>
      <c r="R196" s="53" t="str">
        <f t="shared" si="94"/>
        <v/>
      </c>
      <c r="S196" s="51" t="str">
        <f t="shared" si="100"/>
        <v/>
      </c>
      <c r="T196" s="23"/>
      <c r="U196" s="25"/>
      <c r="V196" s="14" t="s">
        <v>36</v>
      </c>
      <c r="W196" s="14" t="s">
        <v>69</v>
      </c>
      <c r="X196" s="12"/>
    </row>
    <row r="197" ht="15.0" hidden="1" customHeight="1" outlineLevel="2">
      <c r="A197" s="22"/>
      <c r="B197" s="38"/>
      <c r="C197" s="48"/>
      <c r="D197" s="48"/>
      <c r="E197" s="48"/>
      <c r="F197" s="50"/>
      <c r="G197" s="50"/>
      <c r="H197" s="50"/>
      <c r="I197" s="48"/>
      <c r="J197" s="51" t="str">
        <f t="shared" si="90"/>
        <v/>
      </c>
      <c r="K197" s="52"/>
      <c r="L197" s="53" t="str">
        <f t="shared" si="147"/>
        <v/>
      </c>
      <c r="M197" s="53"/>
      <c r="N197" s="53"/>
      <c r="O197" s="48"/>
      <c r="P197" s="53" t="str">
        <f t="shared" si="148"/>
        <v/>
      </c>
      <c r="Q197" s="53" t="str">
        <f t="shared" si="93"/>
        <v/>
      </c>
      <c r="R197" s="53" t="str">
        <f t="shared" si="94"/>
        <v/>
      </c>
      <c r="S197" s="51" t="str">
        <f t="shared" si="100"/>
        <v/>
      </c>
      <c r="T197" s="23"/>
      <c r="U197" s="25"/>
      <c r="V197" s="14" t="s">
        <v>36</v>
      </c>
      <c r="W197" s="14" t="s">
        <v>69</v>
      </c>
      <c r="X197" s="12"/>
    </row>
    <row r="198" ht="15.0" hidden="1" customHeight="1" outlineLevel="1">
      <c r="A198" s="31" t="s">
        <v>104</v>
      </c>
      <c r="B198" s="31"/>
      <c r="C198" s="32">
        <f t="shared" ref="C198:D198" si="149">SUM(C199:C203)</f>
        <v>0</v>
      </c>
      <c r="D198" s="32">
        <f t="shared" si="149"/>
        <v>0</v>
      </c>
      <c r="E198" s="32"/>
      <c r="F198" s="40"/>
      <c r="G198" s="40"/>
      <c r="H198" s="40"/>
      <c r="I198" s="32">
        <f>SUM(I199:I203)</f>
        <v>0</v>
      </c>
      <c r="J198" s="33" t="str">
        <f t="shared" si="90"/>
        <v/>
      </c>
      <c r="K198" s="33" t="str">
        <f>IF(N(I198)=0,"",L198/I198)</f>
        <v/>
      </c>
      <c r="L198" s="32">
        <f>SUM(L199:L203)</f>
        <v>0</v>
      </c>
      <c r="M198" s="32"/>
      <c r="N198" s="32"/>
      <c r="O198" s="32" t="str">
        <f>IF(N(L198)=0,"",P198/L198)</f>
        <v/>
      </c>
      <c r="P198" s="32">
        <f>SUM(P199:P203)</f>
        <v>0</v>
      </c>
      <c r="Q198" s="32" t="str">
        <f t="shared" si="93"/>
        <v/>
      </c>
      <c r="R198" s="32" t="str">
        <f t="shared" si="94"/>
        <v/>
      </c>
      <c r="S198" s="33" t="str">
        <f t="shared" si="100"/>
        <v/>
      </c>
      <c r="T198" s="32">
        <f>ROUND('Медиаплан'!$K$79*7/31,0)</f>
        <v>0</v>
      </c>
      <c r="U198" s="33" t="str">
        <f>IF(N(T198)=0,"",P198/T198)</f>
        <v/>
      </c>
      <c r="X198" s="12"/>
    </row>
    <row r="199" ht="15.0" hidden="1" customHeight="1" outlineLevel="2">
      <c r="A199" s="22"/>
      <c r="B199" s="38"/>
      <c r="C199" s="48"/>
      <c r="D199" s="48"/>
      <c r="E199" s="48"/>
      <c r="F199" s="50"/>
      <c r="G199" s="50"/>
      <c r="H199" s="50"/>
      <c r="I199" s="48"/>
      <c r="J199" s="51" t="str">
        <f t="shared" si="90"/>
        <v/>
      </c>
      <c r="K199" s="52"/>
      <c r="L199" s="53" t="str">
        <f t="shared" ref="L199:L203" si="150">IF(OR(I199="",K199=""),"",ROUND(I199*K199,0))</f>
        <v/>
      </c>
      <c r="M199" s="53"/>
      <c r="N199" s="53"/>
      <c r="O199" s="48"/>
      <c r="P199" s="53" t="str">
        <f t="shared" ref="P199:P203" si="151">IF(N(L199)=0,"",L199*O199)</f>
        <v/>
      </c>
      <c r="Q199" s="53" t="str">
        <f t="shared" si="93"/>
        <v/>
      </c>
      <c r="R199" s="53" t="str">
        <f t="shared" si="94"/>
        <v/>
      </c>
      <c r="S199" s="51" t="str">
        <f t="shared" si="100"/>
        <v/>
      </c>
      <c r="T199" s="23"/>
      <c r="U199" s="25"/>
      <c r="V199" s="14" t="s">
        <v>36</v>
      </c>
      <c r="W199" s="14" t="s">
        <v>73</v>
      </c>
      <c r="X199" s="12"/>
    </row>
    <row r="200" ht="15.0" hidden="1" customHeight="1" outlineLevel="2">
      <c r="A200" s="22"/>
      <c r="B200" s="38"/>
      <c r="C200" s="48"/>
      <c r="D200" s="48"/>
      <c r="E200" s="48"/>
      <c r="F200" s="50"/>
      <c r="G200" s="50"/>
      <c r="H200" s="50"/>
      <c r="I200" s="48"/>
      <c r="J200" s="51" t="str">
        <f t="shared" si="90"/>
        <v/>
      </c>
      <c r="K200" s="52"/>
      <c r="L200" s="53" t="str">
        <f t="shared" si="150"/>
        <v/>
      </c>
      <c r="M200" s="53"/>
      <c r="N200" s="53"/>
      <c r="O200" s="48"/>
      <c r="P200" s="53" t="str">
        <f t="shared" si="151"/>
        <v/>
      </c>
      <c r="Q200" s="53" t="str">
        <f t="shared" si="93"/>
        <v/>
      </c>
      <c r="R200" s="53" t="str">
        <f t="shared" si="94"/>
        <v/>
      </c>
      <c r="S200" s="51" t="str">
        <f t="shared" si="100"/>
        <v/>
      </c>
      <c r="T200" s="23"/>
      <c r="U200" s="25"/>
      <c r="V200" s="14" t="s">
        <v>36</v>
      </c>
      <c r="W200" s="14" t="s">
        <v>73</v>
      </c>
      <c r="X200" s="12"/>
    </row>
    <row r="201" ht="15.0" hidden="1" customHeight="1" outlineLevel="2">
      <c r="A201" s="22"/>
      <c r="B201" s="38"/>
      <c r="C201" s="48"/>
      <c r="D201" s="48"/>
      <c r="E201" s="48"/>
      <c r="F201" s="50"/>
      <c r="G201" s="50"/>
      <c r="H201" s="50"/>
      <c r="I201" s="48"/>
      <c r="J201" s="51" t="str">
        <f t="shared" si="90"/>
        <v/>
      </c>
      <c r="K201" s="52"/>
      <c r="L201" s="53" t="str">
        <f t="shared" si="150"/>
        <v/>
      </c>
      <c r="M201" s="53"/>
      <c r="N201" s="53"/>
      <c r="O201" s="48"/>
      <c r="P201" s="53" t="str">
        <f t="shared" si="151"/>
        <v/>
      </c>
      <c r="Q201" s="53" t="str">
        <f t="shared" si="93"/>
        <v/>
      </c>
      <c r="R201" s="53" t="str">
        <f t="shared" si="94"/>
        <v/>
      </c>
      <c r="S201" s="51" t="str">
        <f t="shared" si="100"/>
        <v/>
      </c>
      <c r="T201" s="23"/>
      <c r="U201" s="25"/>
      <c r="V201" s="14" t="s">
        <v>36</v>
      </c>
      <c r="W201" s="14" t="s">
        <v>73</v>
      </c>
      <c r="X201" s="12"/>
    </row>
    <row r="202" ht="15.0" hidden="1" customHeight="1" outlineLevel="2">
      <c r="A202" s="22"/>
      <c r="B202" s="38"/>
      <c r="C202" s="48"/>
      <c r="D202" s="48"/>
      <c r="E202" s="48"/>
      <c r="F202" s="50"/>
      <c r="G202" s="50"/>
      <c r="H202" s="50"/>
      <c r="I202" s="48"/>
      <c r="J202" s="51" t="str">
        <f t="shared" si="90"/>
        <v/>
      </c>
      <c r="K202" s="52"/>
      <c r="L202" s="53" t="str">
        <f t="shared" si="150"/>
        <v/>
      </c>
      <c r="M202" s="53"/>
      <c r="N202" s="53"/>
      <c r="O202" s="48"/>
      <c r="P202" s="53" t="str">
        <f t="shared" si="151"/>
        <v/>
      </c>
      <c r="Q202" s="53" t="str">
        <f t="shared" si="93"/>
        <v/>
      </c>
      <c r="R202" s="53" t="str">
        <f t="shared" si="94"/>
        <v/>
      </c>
      <c r="S202" s="51" t="str">
        <f t="shared" si="100"/>
        <v/>
      </c>
      <c r="T202" s="23"/>
      <c r="U202" s="25"/>
      <c r="V202" s="14" t="s">
        <v>36</v>
      </c>
      <c r="W202" s="14" t="s">
        <v>73</v>
      </c>
      <c r="X202" s="12"/>
    </row>
    <row r="203" ht="15.0" hidden="1" customHeight="1" outlineLevel="2">
      <c r="A203" s="22"/>
      <c r="B203" s="38"/>
      <c r="C203" s="48"/>
      <c r="D203" s="48"/>
      <c r="E203" s="48"/>
      <c r="F203" s="50"/>
      <c r="G203" s="50"/>
      <c r="H203" s="50"/>
      <c r="I203" s="48"/>
      <c r="J203" s="51" t="str">
        <f t="shared" si="90"/>
        <v/>
      </c>
      <c r="K203" s="52"/>
      <c r="L203" s="53" t="str">
        <f t="shared" si="150"/>
        <v/>
      </c>
      <c r="M203" s="53"/>
      <c r="N203" s="53"/>
      <c r="O203" s="48"/>
      <c r="P203" s="53" t="str">
        <f t="shared" si="151"/>
        <v/>
      </c>
      <c r="Q203" s="53" t="str">
        <f t="shared" si="93"/>
        <v/>
      </c>
      <c r="R203" s="53" t="str">
        <f t="shared" si="94"/>
        <v/>
      </c>
      <c r="S203" s="51" t="str">
        <f t="shared" si="100"/>
        <v/>
      </c>
      <c r="T203" s="23"/>
      <c r="U203" s="25"/>
      <c r="V203" s="14" t="s">
        <v>36</v>
      </c>
      <c r="W203" s="14" t="s">
        <v>73</v>
      </c>
      <c r="X203" s="12"/>
    </row>
    <row r="204" ht="15.0" hidden="1" customHeight="1" outlineLevel="1">
      <c r="A204" s="31" t="s">
        <v>105</v>
      </c>
      <c r="B204" s="31"/>
      <c r="C204" s="32">
        <f t="shared" ref="C204:D204" si="152">SUM(C205:C209)</f>
        <v>0</v>
      </c>
      <c r="D204" s="32">
        <f t="shared" si="152"/>
        <v>0</v>
      </c>
      <c r="E204" s="32"/>
      <c r="F204" s="40"/>
      <c r="G204" s="40"/>
      <c r="H204" s="40"/>
      <c r="I204" s="32">
        <f>SUM(I205:I209)</f>
        <v>0</v>
      </c>
      <c r="J204" s="33" t="str">
        <f t="shared" si="90"/>
        <v/>
      </c>
      <c r="K204" s="33" t="str">
        <f>IF(N(I204)=0,"",L204/I204)</f>
        <v/>
      </c>
      <c r="L204" s="32">
        <f>SUM(L205:L209)</f>
        <v>0</v>
      </c>
      <c r="M204" s="32"/>
      <c r="N204" s="32"/>
      <c r="O204" s="32" t="str">
        <f>IF(N(L204)=0,"",P204/L204)</f>
        <v/>
      </c>
      <c r="P204" s="32">
        <f>SUM(P205:P209)</f>
        <v>0</v>
      </c>
      <c r="Q204" s="32" t="str">
        <f t="shared" si="93"/>
        <v/>
      </c>
      <c r="R204" s="32" t="str">
        <f t="shared" si="94"/>
        <v/>
      </c>
      <c r="S204" s="33" t="str">
        <f t="shared" si="100"/>
        <v/>
      </c>
      <c r="T204" s="32">
        <f>ROUND('Медиаплан'!$K$79*7/31,0)</f>
        <v>0</v>
      </c>
      <c r="U204" s="33" t="str">
        <f>IF(N(T204)=0,"",P204/T204)</f>
        <v/>
      </c>
      <c r="X204" s="12"/>
    </row>
    <row r="205" ht="15.0" hidden="1" customHeight="1" outlineLevel="2">
      <c r="A205" s="22"/>
      <c r="B205" s="38"/>
      <c r="C205" s="48"/>
      <c r="D205" s="48"/>
      <c r="E205" s="48"/>
      <c r="F205" s="50"/>
      <c r="G205" s="50"/>
      <c r="H205" s="50"/>
      <c r="I205" s="48"/>
      <c r="J205" s="51" t="str">
        <f t="shared" si="90"/>
        <v/>
      </c>
      <c r="K205" s="52"/>
      <c r="L205" s="53" t="str">
        <f t="shared" ref="L205:L209" si="153">IF(OR(I205="",K205=""),"",ROUND(I205*K205,0))</f>
        <v/>
      </c>
      <c r="M205" s="53"/>
      <c r="N205" s="53"/>
      <c r="O205" s="48"/>
      <c r="P205" s="53" t="str">
        <f t="shared" ref="P205:P209" si="154">IF(N(L205)=0,"",L205*O205)</f>
        <v/>
      </c>
      <c r="Q205" s="53" t="str">
        <f t="shared" si="93"/>
        <v/>
      </c>
      <c r="R205" s="53" t="str">
        <f t="shared" si="94"/>
        <v/>
      </c>
      <c r="S205" s="51" t="str">
        <f t="shared" si="100"/>
        <v/>
      </c>
      <c r="T205" s="23"/>
      <c r="U205" s="25"/>
      <c r="V205" s="14" t="s">
        <v>36</v>
      </c>
      <c r="W205" s="14" t="s">
        <v>75</v>
      </c>
      <c r="X205" s="12"/>
    </row>
    <row r="206" ht="15.0" hidden="1" customHeight="1" outlineLevel="2">
      <c r="A206" s="22"/>
      <c r="B206" s="38"/>
      <c r="C206" s="48"/>
      <c r="D206" s="48"/>
      <c r="E206" s="48"/>
      <c r="F206" s="50"/>
      <c r="G206" s="50"/>
      <c r="H206" s="50"/>
      <c r="I206" s="48"/>
      <c r="J206" s="51" t="str">
        <f t="shared" si="90"/>
        <v/>
      </c>
      <c r="K206" s="52"/>
      <c r="L206" s="53" t="str">
        <f t="shared" si="153"/>
        <v/>
      </c>
      <c r="M206" s="53"/>
      <c r="N206" s="53"/>
      <c r="O206" s="48"/>
      <c r="P206" s="53" t="str">
        <f t="shared" si="154"/>
        <v/>
      </c>
      <c r="Q206" s="53" t="str">
        <f t="shared" si="93"/>
        <v/>
      </c>
      <c r="R206" s="53" t="str">
        <f t="shared" si="94"/>
        <v/>
      </c>
      <c r="S206" s="51" t="str">
        <f t="shared" si="100"/>
        <v/>
      </c>
      <c r="T206" s="23"/>
      <c r="U206" s="25"/>
      <c r="V206" s="14" t="s">
        <v>36</v>
      </c>
      <c r="W206" s="14" t="s">
        <v>75</v>
      </c>
      <c r="X206" s="12"/>
    </row>
    <row r="207" ht="15.0" hidden="1" customHeight="1" outlineLevel="2">
      <c r="A207" s="22"/>
      <c r="B207" s="38"/>
      <c r="C207" s="48"/>
      <c r="D207" s="48"/>
      <c r="E207" s="48"/>
      <c r="F207" s="50"/>
      <c r="G207" s="50"/>
      <c r="H207" s="50"/>
      <c r="I207" s="48"/>
      <c r="J207" s="51" t="str">
        <f t="shared" si="90"/>
        <v/>
      </c>
      <c r="K207" s="52"/>
      <c r="L207" s="53" t="str">
        <f t="shared" si="153"/>
        <v/>
      </c>
      <c r="M207" s="53"/>
      <c r="N207" s="53"/>
      <c r="O207" s="48"/>
      <c r="P207" s="53" t="str">
        <f t="shared" si="154"/>
        <v/>
      </c>
      <c r="Q207" s="53" t="str">
        <f t="shared" si="93"/>
        <v/>
      </c>
      <c r="R207" s="53" t="str">
        <f t="shared" si="94"/>
        <v/>
      </c>
      <c r="S207" s="51" t="str">
        <f t="shared" si="100"/>
        <v/>
      </c>
      <c r="T207" s="23"/>
      <c r="U207" s="25"/>
      <c r="V207" s="14" t="s">
        <v>36</v>
      </c>
      <c r="W207" s="14" t="s">
        <v>75</v>
      </c>
      <c r="X207" s="12"/>
    </row>
    <row r="208" ht="15.0" hidden="1" customHeight="1" outlineLevel="2">
      <c r="A208" s="22"/>
      <c r="B208" s="38"/>
      <c r="C208" s="48"/>
      <c r="D208" s="48"/>
      <c r="E208" s="48"/>
      <c r="F208" s="50"/>
      <c r="G208" s="50"/>
      <c r="H208" s="50"/>
      <c r="I208" s="48"/>
      <c r="J208" s="51" t="str">
        <f t="shared" si="90"/>
        <v/>
      </c>
      <c r="K208" s="52"/>
      <c r="L208" s="53" t="str">
        <f t="shared" si="153"/>
        <v/>
      </c>
      <c r="M208" s="53"/>
      <c r="N208" s="53"/>
      <c r="O208" s="48"/>
      <c r="P208" s="53" t="str">
        <f t="shared" si="154"/>
        <v/>
      </c>
      <c r="Q208" s="53" t="str">
        <f t="shared" si="93"/>
        <v/>
      </c>
      <c r="R208" s="53" t="str">
        <f t="shared" si="94"/>
        <v/>
      </c>
      <c r="S208" s="51" t="str">
        <f t="shared" si="100"/>
        <v/>
      </c>
      <c r="T208" s="23"/>
      <c r="U208" s="25"/>
      <c r="V208" s="14" t="s">
        <v>36</v>
      </c>
      <c r="W208" s="14" t="s">
        <v>75</v>
      </c>
      <c r="X208" s="12"/>
    </row>
    <row r="209" ht="15.0" hidden="1" customHeight="1" outlineLevel="2">
      <c r="A209" s="22"/>
      <c r="B209" s="38"/>
      <c r="C209" s="48"/>
      <c r="D209" s="48"/>
      <c r="E209" s="48"/>
      <c r="F209" s="50"/>
      <c r="G209" s="50"/>
      <c r="H209" s="50"/>
      <c r="I209" s="48"/>
      <c r="J209" s="51" t="str">
        <f t="shared" si="90"/>
        <v/>
      </c>
      <c r="K209" s="52"/>
      <c r="L209" s="53" t="str">
        <f t="shared" si="153"/>
        <v/>
      </c>
      <c r="M209" s="53"/>
      <c r="N209" s="53"/>
      <c r="O209" s="48"/>
      <c r="P209" s="53" t="str">
        <f t="shared" si="154"/>
        <v/>
      </c>
      <c r="Q209" s="53" t="str">
        <f t="shared" si="93"/>
        <v/>
      </c>
      <c r="R209" s="53" t="str">
        <f t="shared" si="94"/>
        <v/>
      </c>
      <c r="S209" s="51" t="str">
        <f t="shared" si="100"/>
        <v/>
      </c>
      <c r="T209" s="23"/>
      <c r="U209" s="25"/>
      <c r="V209" s="14" t="s">
        <v>36</v>
      </c>
      <c r="W209" s="14" t="s">
        <v>75</v>
      </c>
      <c r="X209" s="12"/>
    </row>
    <row r="210" ht="15.0" hidden="1" customHeight="1" outlineLevel="1">
      <c r="A210" s="31" t="s">
        <v>106</v>
      </c>
      <c r="B210" s="31"/>
      <c r="C210" s="32">
        <f t="shared" ref="C210:D210" si="155">SUM(C211:C215)</f>
        <v>0</v>
      </c>
      <c r="D210" s="32">
        <f t="shared" si="155"/>
        <v>0</v>
      </c>
      <c r="E210" s="32"/>
      <c r="F210" s="40"/>
      <c r="G210" s="40"/>
      <c r="H210" s="40"/>
      <c r="I210" s="32">
        <f>SUM(I211:I215)</f>
        <v>0</v>
      </c>
      <c r="J210" s="33" t="str">
        <f t="shared" si="90"/>
        <v/>
      </c>
      <c r="K210" s="33" t="str">
        <f>IF(N(I210)=0,"",L210/I210)</f>
        <v/>
      </c>
      <c r="L210" s="32">
        <f>SUM(L211:L215)</f>
        <v>0</v>
      </c>
      <c r="M210" s="32"/>
      <c r="N210" s="32"/>
      <c r="O210" s="32" t="str">
        <f>IF(N(L210)=0,"",P210/L210)</f>
        <v/>
      </c>
      <c r="P210" s="32">
        <f>SUM(P211:P215)</f>
        <v>0</v>
      </c>
      <c r="Q210" s="32" t="str">
        <f t="shared" si="93"/>
        <v/>
      </c>
      <c r="R210" s="32" t="str">
        <f t="shared" si="94"/>
        <v/>
      </c>
      <c r="S210" s="33" t="str">
        <f t="shared" si="100"/>
        <v/>
      </c>
      <c r="T210" s="32">
        <f>ROUND('Медиаплан'!$K$79*7/31,0)</f>
        <v>0</v>
      </c>
      <c r="U210" s="33" t="str">
        <f>IF(N(T210)=0,"",P210/T210)</f>
        <v/>
      </c>
      <c r="X210" s="12"/>
    </row>
    <row r="211" ht="15.0" hidden="1" customHeight="1" outlineLevel="2">
      <c r="A211" s="22"/>
      <c r="B211" s="38"/>
      <c r="C211" s="48"/>
      <c r="D211" s="48"/>
      <c r="E211" s="48"/>
      <c r="F211" s="50"/>
      <c r="G211" s="50"/>
      <c r="H211" s="50"/>
      <c r="I211" s="48"/>
      <c r="J211" s="51" t="str">
        <f t="shared" si="90"/>
        <v/>
      </c>
      <c r="K211" s="52"/>
      <c r="L211" s="53" t="str">
        <f t="shared" ref="L211:L215" si="156">IF(OR(I211="",K211=""),"",ROUND(I211*K211,0))</f>
        <v/>
      </c>
      <c r="M211" s="53"/>
      <c r="N211" s="53"/>
      <c r="O211" s="48"/>
      <c r="P211" s="53" t="str">
        <f t="shared" ref="P211:P215" si="157">IF(N(L211)=0,"",L211*O211)</f>
        <v/>
      </c>
      <c r="Q211" s="53" t="str">
        <f t="shared" si="93"/>
        <v/>
      </c>
      <c r="R211" s="53" t="str">
        <f t="shared" si="94"/>
        <v/>
      </c>
      <c r="S211" s="51" t="str">
        <f t="shared" si="100"/>
        <v/>
      </c>
      <c r="T211" s="23"/>
      <c r="U211" s="25"/>
      <c r="V211" s="14" t="s">
        <v>36</v>
      </c>
      <c r="W211" s="14" t="s">
        <v>77</v>
      </c>
      <c r="X211" s="12"/>
    </row>
    <row r="212" ht="15.0" hidden="1" customHeight="1" outlineLevel="2">
      <c r="A212" s="22"/>
      <c r="B212" s="38"/>
      <c r="C212" s="48"/>
      <c r="D212" s="48"/>
      <c r="E212" s="48"/>
      <c r="F212" s="50"/>
      <c r="G212" s="50"/>
      <c r="H212" s="50"/>
      <c r="I212" s="48"/>
      <c r="J212" s="51" t="str">
        <f t="shared" si="90"/>
        <v/>
      </c>
      <c r="K212" s="52"/>
      <c r="L212" s="53" t="str">
        <f t="shared" si="156"/>
        <v/>
      </c>
      <c r="M212" s="53"/>
      <c r="N212" s="53"/>
      <c r="O212" s="48"/>
      <c r="P212" s="53" t="str">
        <f t="shared" si="157"/>
        <v/>
      </c>
      <c r="Q212" s="53" t="str">
        <f t="shared" si="93"/>
        <v/>
      </c>
      <c r="R212" s="53" t="str">
        <f t="shared" si="94"/>
        <v/>
      </c>
      <c r="S212" s="51" t="str">
        <f t="shared" si="100"/>
        <v/>
      </c>
      <c r="T212" s="23"/>
      <c r="U212" s="25"/>
      <c r="V212" s="14" t="s">
        <v>36</v>
      </c>
      <c r="W212" s="14" t="s">
        <v>77</v>
      </c>
      <c r="X212" s="12"/>
    </row>
    <row r="213" ht="15.0" hidden="1" customHeight="1" outlineLevel="2">
      <c r="A213" s="22"/>
      <c r="B213" s="38"/>
      <c r="C213" s="48"/>
      <c r="D213" s="48"/>
      <c r="E213" s="48"/>
      <c r="F213" s="50"/>
      <c r="G213" s="50"/>
      <c r="H213" s="50"/>
      <c r="I213" s="48"/>
      <c r="J213" s="51" t="str">
        <f t="shared" si="90"/>
        <v/>
      </c>
      <c r="K213" s="52"/>
      <c r="L213" s="53" t="str">
        <f t="shared" si="156"/>
        <v/>
      </c>
      <c r="M213" s="53"/>
      <c r="N213" s="53"/>
      <c r="O213" s="48"/>
      <c r="P213" s="53" t="str">
        <f t="shared" si="157"/>
        <v/>
      </c>
      <c r="Q213" s="53" t="str">
        <f t="shared" si="93"/>
        <v/>
      </c>
      <c r="R213" s="53" t="str">
        <f t="shared" si="94"/>
        <v/>
      </c>
      <c r="S213" s="51" t="str">
        <f t="shared" si="100"/>
        <v/>
      </c>
      <c r="T213" s="23"/>
      <c r="U213" s="25"/>
      <c r="V213" s="14" t="s">
        <v>36</v>
      </c>
      <c r="W213" s="14" t="s">
        <v>77</v>
      </c>
      <c r="X213" s="12"/>
    </row>
    <row r="214" ht="15.0" hidden="1" customHeight="1" outlineLevel="2">
      <c r="A214" s="22"/>
      <c r="B214" s="38"/>
      <c r="C214" s="48"/>
      <c r="D214" s="48"/>
      <c r="E214" s="48"/>
      <c r="F214" s="50"/>
      <c r="G214" s="50"/>
      <c r="H214" s="50"/>
      <c r="I214" s="48"/>
      <c r="J214" s="51" t="str">
        <f t="shared" si="90"/>
        <v/>
      </c>
      <c r="K214" s="52"/>
      <c r="L214" s="53" t="str">
        <f t="shared" si="156"/>
        <v/>
      </c>
      <c r="M214" s="53"/>
      <c r="N214" s="53"/>
      <c r="O214" s="48"/>
      <c r="P214" s="53" t="str">
        <f t="shared" si="157"/>
        <v/>
      </c>
      <c r="Q214" s="53" t="str">
        <f t="shared" si="93"/>
        <v/>
      </c>
      <c r="R214" s="53" t="str">
        <f t="shared" si="94"/>
        <v/>
      </c>
      <c r="S214" s="51" t="str">
        <f t="shared" si="100"/>
        <v/>
      </c>
      <c r="T214" s="23"/>
      <c r="U214" s="25"/>
      <c r="V214" s="14" t="s">
        <v>36</v>
      </c>
      <c r="W214" s="14" t="s">
        <v>77</v>
      </c>
      <c r="X214" s="12"/>
    </row>
    <row r="215" ht="15.0" hidden="1" customHeight="1" outlineLevel="2">
      <c r="A215" s="22"/>
      <c r="B215" s="38"/>
      <c r="C215" s="48"/>
      <c r="D215" s="48"/>
      <c r="E215" s="48"/>
      <c r="F215" s="50"/>
      <c r="G215" s="50"/>
      <c r="H215" s="50"/>
      <c r="I215" s="48"/>
      <c r="J215" s="51" t="str">
        <f t="shared" si="90"/>
        <v/>
      </c>
      <c r="K215" s="52"/>
      <c r="L215" s="53" t="str">
        <f t="shared" si="156"/>
        <v/>
      </c>
      <c r="M215" s="53"/>
      <c r="N215" s="53"/>
      <c r="O215" s="48"/>
      <c r="P215" s="53" t="str">
        <f t="shared" si="157"/>
        <v/>
      </c>
      <c r="Q215" s="53" t="str">
        <f t="shared" si="93"/>
        <v/>
      </c>
      <c r="R215" s="53" t="str">
        <f t="shared" si="94"/>
        <v/>
      </c>
      <c r="S215" s="51" t="str">
        <f t="shared" si="100"/>
        <v/>
      </c>
      <c r="T215" s="23"/>
      <c r="U215" s="25"/>
      <c r="V215" s="14" t="s">
        <v>36</v>
      </c>
      <c r="W215" s="14" t="s">
        <v>77</v>
      </c>
      <c r="X215" s="12"/>
    </row>
    <row r="216" ht="15.0" hidden="1" customHeight="1" outlineLevel="1">
      <c r="A216" s="31" t="s">
        <v>107</v>
      </c>
      <c r="B216" s="31"/>
      <c r="C216" s="32">
        <f t="shared" ref="C216:D216" si="158">SUM(C217:C221)</f>
        <v>0</v>
      </c>
      <c r="D216" s="32">
        <f t="shared" si="158"/>
        <v>0</v>
      </c>
      <c r="E216" s="32"/>
      <c r="F216" s="40"/>
      <c r="G216" s="40"/>
      <c r="H216" s="40"/>
      <c r="I216" s="32">
        <f>SUM(I217:I221)</f>
        <v>0</v>
      </c>
      <c r="J216" s="33" t="str">
        <f t="shared" si="90"/>
        <v/>
      </c>
      <c r="K216" s="33" t="str">
        <f>IF(N(I216)=0,"",L216/I216)</f>
        <v/>
      </c>
      <c r="L216" s="32">
        <f>SUM(L217:L221)</f>
        <v>0</v>
      </c>
      <c r="M216" s="32"/>
      <c r="N216" s="32"/>
      <c r="O216" s="32" t="str">
        <f>IF(N(L216)=0,"",P216/L216)</f>
        <v/>
      </c>
      <c r="P216" s="32">
        <f>SUM(P217:P221)</f>
        <v>0</v>
      </c>
      <c r="Q216" s="32" t="str">
        <f t="shared" si="93"/>
        <v/>
      </c>
      <c r="R216" s="32" t="str">
        <f t="shared" si="94"/>
        <v/>
      </c>
      <c r="S216" s="33" t="str">
        <f t="shared" si="100"/>
        <v/>
      </c>
      <c r="T216" s="32">
        <f>'Медиаплан'!$K$79-(T192+T198+T204+T210)</f>
        <v>0</v>
      </c>
      <c r="U216" s="33" t="str">
        <f>IF(N(T216)=0,"",P216/T216)</f>
        <v/>
      </c>
      <c r="X216" s="12"/>
    </row>
    <row r="217" ht="15.0" hidden="1" customHeight="1" outlineLevel="2">
      <c r="A217" s="22"/>
      <c r="B217" s="38"/>
      <c r="C217" s="48"/>
      <c r="D217" s="48"/>
      <c r="E217" s="48"/>
      <c r="F217" s="50"/>
      <c r="G217" s="50"/>
      <c r="H217" s="50"/>
      <c r="I217" s="48"/>
      <c r="J217" s="51" t="str">
        <f t="shared" si="90"/>
        <v/>
      </c>
      <c r="K217" s="52"/>
      <c r="L217" s="53" t="str">
        <f t="shared" ref="L217:L221" si="159">IF(OR(I217="",K217=""),"",ROUND(I217*K217,0))</f>
        <v/>
      </c>
      <c r="M217" s="53"/>
      <c r="N217" s="53"/>
      <c r="O217" s="48"/>
      <c r="P217" s="53" t="str">
        <f t="shared" ref="P217:P221" si="160">IF(N(L217)=0,"",L217*O217)</f>
        <v/>
      </c>
      <c r="Q217" s="53" t="str">
        <f t="shared" si="93"/>
        <v/>
      </c>
      <c r="R217" s="53" t="str">
        <f t="shared" si="94"/>
        <v/>
      </c>
      <c r="S217" s="51" t="str">
        <f t="shared" si="100"/>
        <v/>
      </c>
      <c r="T217" s="23"/>
      <c r="U217" s="25"/>
      <c r="V217" s="14" t="s">
        <v>36</v>
      </c>
      <c r="W217" s="14" t="s">
        <v>79</v>
      </c>
      <c r="X217" s="12"/>
    </row>
    <row r="218" ht="15.0" hidden="1" customHeight="1" outlineLevel="2">
      <c r="A218" s="22"/>
      <c r="B218" s="38"/>
      <c r="C218" s="48"/>
      <c r="D218" s="48"/>
      <c r="E218" s="48"/>
      <c r="F218" s="50"/>
      <c r="G218" s="50"/>
      <c r="H218" s="50"/>
      <c r="I218" s="48"/>
      <c r="J218" s="51" t="str">
        <f t="shared" si="90"/>
        <v/>
      </c>
      <c r="K218" s="52"/>
      <c r="L218" s="53" t="str">
        <f t="shared" si="159"/>
        <v/>
      </c>
      <c r="M218" s="53"/>
      <c r="N218" s="53"/>
      <c r="O218" s="48"/>
      <c r="P218" s="53" t="str">
        <f t="shared" si="160"/>
        <v/>
      </c>
      <c r="Q218" s="53" t="str">
        <f t="shared" si="93"/>
        <v/>
      </c>
      <c r="R218" s="53" t="str">
        <f t="shared" si="94"/>
        <v/>
      </c>
      <c r="S218" s="51" t="str">
        <f t="shared" si="100"/>
        <v/>
      </c>
      <c r="T218" s="23"/>
      <c r="U218" s="25"/>
      <c r="V218" s="14" t="s">
        <v>36</v>
      </c>
      <c r="W218" s="14" t="s">
        <v>79</v>
      </c>
      <c r="X218" s="12"/>
    </row>
    <row r="219" ht="15.0" hidden="1" customHeight="1" outlineLevel="2">
      <c r="A219" s="22"/>
      <c r="B219" s="38"/>
      <c r="C219" s="48"/>
      <c r="D219" s="48"/>
      <c r="E219" s="48"/>
      <c r="F219" s="50"/>
      <c r="G219" s="50"/>
      <c r="H219" s="50"/>
      <c r="I219" s="48"/>
      <c r="J219" s="51" t="str">
        <f t="shared" si="90"/>
        <v/>
      </c>
      <c r="K219" s="52"/>
      <c r="L219" s="53" t="str">
        <f t="shared" si="159"/>
        <v/>
      </c>
      <c r="M219" s="53"/>
      <c r="N219" s="53"/>
      <c r="O219" s="48"/>
      <c r="P219" s="53" t="str">
        <f t="shared" si="160"/>
        <v/>
      </c>
      <c r="Q219" s="53" t="str">
        <f t="shared" si="93"/>
        <v/>
      </c>
      <c r="R219" s="53" t="str">
        <f t="shared" si="94"/>
        <v/>
      </c>
      <c r="S219" s="51" t="str">
        <f t="shared" si="100"/>
        <v/>
      </c>
      <c r="T219" s="23"/>
      <c r="U219" s="25"/>
      <c r="V219" s="14" t="s">
        <v>36</v>
      </c>
      <c r="W219" s="14" t="s">
        <v>79</v>
      </c>
      <c r="X219" s="12"/>
    </row>
    <row r="220" ht="15.0" hidden="1" customHeight="1" outlineLevel="2">
      <c r="A220" s="22"/>
      <c r="B220" s="38"/>
      <c r="C220" s="48"/>
      <c r="D220" s="48"/>
      <c r="E220" s="48"/>
      <c r="F220" s="50"/>
      <c r="G220" s="50"/>
      <c r="H220" s="50"/>
      <c r="I220" s="48"/>
      <c r="J220" s="51" t="str">
        <f t="shared" si="90"/>
        <v/>
      </c>
      <c r="K220" s="52"/>
      <c r="L220" s="53" t="str">
        <f t="shared" si="159"/>
        <v/>
      </c>
      <c r="M220" s="53"/>
      <c r="N220" s="53"/>
      <c r="O220" s="48"/>
      <c r="P220" s="53" t="str">
        <f t="shared" si="160"/>
        <v/>
      </c>
      <c r="Q220" s="53" t="str">
        <f t="shared" si="93"/>
        <v/>
      </c>
      <c r="R220" s="53" t="str">
        <f t="shared" si="94"/>
        <v/>
      </c>
      <c r="S220" s="51" t="str">
        <f t="shared" si="100"/>
        <v/>
      </c>
      <c r="T220" s="23"/>
      <c r="U220" s="25"/>
      <c r="V220" s="14" t="s">
        <v>36</v>
      </c>
      <c r="W220" s="14" t="s">
        <v>79</v>
      </c>
      <c r="X220" s="12"/>
    </row>
    <row r="221" ht="15.0" hidden="1" customHeight="1" outlineLevel="2">
      <c r="A221" s="22"/>
      <c r="B221" s="38"/>
      <c r="C221" s="48"/>
      <c r="D221" s="48"/>
      <c r="E221" s="48"/>
      <c r="F221" s="50"/>
      <c r="G221" s="50"/>
      <c r="H221" s="50"/>
      <c r="I221" s="48"/>
      <c r="J221" s="51" t="str">
        <f t="shared" si="90"/>
        <v/>
      </c>
      <c r="K221" s="52"/>
      <c r="L221" s="53" t="str">
        <f t="shared" si="159"/>
        <v/>
      </c>
      <c r="M221" s="53"/>
      <c r="N221" s="53"/>
      <c r="O221" s="48"/>
      <c r="P221" s="53" t="str">
        <f t="shared" si="160"/>
        <v/>
      </c>
      <c r="Q221" s="53" t="str">
        <f t="shared" si="93"/>
        <v/>
      </c>
      <c r="R221" s="53" t="str">
        <f t="shared" si="94"/>
        <v/>
      </c>
      <c r="S221" s="51" t="str">
        <f t="shared" si="100"/>
        <v/>
      </c>
      <c r="T221" s="23"/>
      <c r="U221" s="25"/>
      <c r="V221" s="14" t="s">
        <v>36</v>
      </c>
      <c r="W221" s="14" t="s">
        <v>79</v>
      </c>
      <c r="X221" s="12"/>
    </row>
    <row r="222" ht="15.75" customHeight="1">
      <c r="F222" s="10"/>
      <c r="G222" s="10"/>
      <c r="H222" s="10"/>
      <c r="X222" s="12"/>
    </row>
    <row r="223" ht="15.75" customHeight="1">
      <c r="F223" s="10"/>
      <c r="G223" s="10"/>
      <c r="H223" s="10"/>
      <c r="X223" s="12"/>
    </row>
    <row r="224" ht="15.75" customHeight="1">
      <c r="F224" s="10"/>
      <c r="G224" s="10"/>
      <c r="H224" s="10"/>
      <c r="X224" s="12"/>
    </row>
    <row r="225" ht="15.75" customHeight="1">
      <c r="F225" s="10"/>
      <c r="G225" s="10"/>
      <c r="H225" s="10"/>
      <c r="X225" s="12"/>
    </row>
    <row r="226" ht="15.75" customHeight="1">
      <c r="F226" s="10"/>
      <c r="G226" s="10"/>
      <c r="H226" s="10"/>
      <c r="X226" s="12"/>
    </row>
    <row r="227" ht="15.75" customHeight="1">
      <c r="F227" s="10"/>
      <c r="G227" s="10"/>
      <c r="H227" s="10"/>
      <c r="X227" s="12"/>
    </row>
    <row r="228" ht="15.75" customHeight="1">
      <c r="F228" s="10"/>
      <c r="G228" s="10"/>
      <c r="H228" s="10"/>
      <c r="X228" s="12"/>
    </row>
    <row r="229" ht="15.75" customHeight="1">
      <c r="F229" s="10"/>
      <c r="G229" s="10"/>
      <c r="H229" s="10"/>
      <c r="X229" s="12"/>
    </row>
    <row r="230" ht="15.75" customHeight="1">
      <c r="F230" s="10"/>
      <c r="G230" s="10"/>
      <c r="H230" s="10"/>
      <c r="X230" s="12"/>
    </row>
    <row r="231" ht="15.75" customHeight="1">
      <c r="F231" s="10"/>
      <c r="G231" s="10"/>
      <c r="H231" s="10"/>
      <c r="X231" s="12"/>
    </row>
    <row r="232" ht="15.75" customHeight="1">
      <c r="F232" s="10"/>
      <c r="G232" s="10"/>
      <c r="H232" s="10"/>
      <c r="X232" s="12"/>
    </row>
    <row r="233" ht="15.75" customHeight="1">
      <c r="F233" s="10"/>
      <c r="G233" s="10"/>
      <c r="H233" s="10"/>
      <c r="X233" s="12"/>
    </row>
    <row r="234" ht="15.75" customHeight="1">
      <c r="F234" s="10"/>
      <c r="G234" s="10"/>
      <c r="H234" s="10"/>
      <c r="X234" s="12"/>
    </row>
    <row r="235" ht="15.75" customHeight="1">
      <c r="F235" s="10"/>
      <c r="G235" s="10"/>
      <c r="H235" s="10"/>
      <c r="X235" s="12"/>
    </row>
    <row r="236" ht="15.75" customHeight="1">
      <c r="F236" s="10"/>
      <c r="G236" s="10"/>
      <c r="H236" s="10"/>
      <c r="X236" s="12"/>
    </row>
    <row r="237" ht="15.75" customHeight="1">
      <c r="F237" s="10"/>
      <c r="G237" s="10"/>
      <c r="H237" s="10"/>
      <c r="X237" s="12"/>
    </row>
    <row r="238" ht="15.75" customHeight="1">
      <c r="F238" s="10"/>
      <c r="G238" s="10"/>
      <c r="H238" s="10"/>
      <c r="X238" s="12"/>
    </row>
    <row r="239" ht="15.75" customHeight="1">
      <c r="F239" s="10"/>
      <c r="G239" s="10"/>
      <c r="H239" s="10"/>
      <c r="X239" s="12"/>
    </row>
    <row r="240" ht="15.75" customHeight="1">
      <c r="F240" s="10"/>
      <c r="G240" s="10"/>
      <c r="H240" s="10"/>
      <c r="X240" s="12"/>
    </row>
    <row r="241" ht="15.75" customHeight="1">
      <c r="F241" s="10"/>
      <c r="G241" s="10"/>
      <c r="H241" s="10"/>
      <c r="X241" s="12"/>
    </row>
    <row r="242" ht="15.75" customHeight="1">
      <c r="F242" s="10"/>
      <c r="G242" s="10"/>
      <c r="H242" s="10"/>
      <c r="X242" s="12"/>
    </row>
    <row r="243" ht="15.75" customHeight="1">
      <c r="F243" s="10"/>
      <c r="G243" s="10"/>
      <c r="H243" s="10"/>
      <c r="X243" s="12"/>
    </row>
    <row r="244" ht="15.75" customHeight="1">
      <c r="F244" s="10"/>
      <c r="G244" s="10"/>
      <c r="H244" s="10"/>
      <c r="X244" s="12"/>
    </row>
    <row r="245" ht="15.75" customHeight="1">
      <c r="F245" s="10"/>
      <c r="G245" s="10"/>
      <c r="H245" s="10"/>
      <c r="X245" s="12"/>
    </row>
    <row r="246" ht="15.75" customHeight="1">
      <c r="F246" s="10"/>
      <c r="G246" s="10"/>
      <c r="H246" s="10"/>
      <c r="X246" s="12"/>
    </row>
    <row r="247" ht="15.75" customHeight="1">
      <c r="F247" s="10"/>
      <c r="G247" s="10"/>
      <c r="H247" s="10"/>
      <c r="X247" s="12"/>
    </row>
    <row r="248" ht="15.75" customHeight="1">
      <c r="F248" s="10"/>
      <c r="G248" s="10"/>
      <c r="H248" s="10"/>
      <c r="X248" s="12"/>
    </row>
    <row r="249" ht="15.75" customHeight="1">
      <c r="F249" s="10"/>
      <c r="G249" s="10"/>
      <c r="H249" s="10"/>
      <c r="X249" s="12"/>
    </row>
    <row r="250" ht="15.75" customHeight="1">
      <c r="F250" s="10"/>
      <c r="G250" s="10"/>
      <c r="H250" s="10"/>
      <c r="X250" s="12"/>
    </row>
    <row r="251" ht="15.75" customHeight="1">
      <c r="F251" s="10"/>
      <c r="G251" s="10"/>
      <c r="H251" s="10"/>
      <c r="X251" s="12"/>
    </row>
    <row r="252" ht="15.75" customHeight="1">
      <c r="F252" s="10"/>
      <c r="G252" s="10"/>
      <c r="H252" s="10"/>
      <c r="X252" s="12"/>
    </row>
    <row r="253" ht="15.75" customHeight="1">
      <c r="F253" s="10"/>
      <c r="G253" s="10"/>
      <c r="H253" s="10"/>
      <c r="X253" s="12"/>
    </row>
    <row r="254" ht="15.75" customHeight="1">
      <c r="F254" s="10"/>
      <c r="G254" s="10"/>
      <c r="H254" s="10"/>
      <c r="X254" s="12"/>
    </row>
    <row r="255" ht="15.75" customHeight="1">
      <c r="F255" s="10"/>
      <c r="G255" s="10"/>
      <c r="H255" s="10"/>
      <c r="X255" s="12"/>
    </row>
    <row r="256" ht="15.75" customHeight="1">
      <c r="F256" s="10"/>
      <c r="G256" s="10"/>
      <c r="H256" s="10"/>
      <c r="X256" s="12"/>
    </row>
    <row r="257" ht="15.75" customHeight="1">
      <c r="F257" s="10"/>
      <c r="G257" s="10"/>
      <c r="H257" s="10"/>
      <c r="X257" s="12"/>
    </row>
    <row r="258" ht="15.75" customHeight="1">
      <c r="F258" s="10"/>
      <c r="G258" s="10"/>
      <c r="H258" s="10"/>
      <c r="X258" s="12"/>
    </row>
    <row r="259" ht="15.75" customHeight="1">
      <c r="F259" s="10"/>
      <c r="G259" s="10"/>
      <c r="H259" s="10"/>
      <c r="X259" s="12"/>
    </row>
    <row r="260" ht="15.75" customHeight="1">
      <c r="F260" s="10"/>
      <c r="G260" s="10"/>
      <c r="H260" s="10"/>
      <c r="X260" s="12"/>
    </row>
    <row r="261" ht="15.75" customHeight="1">
      <c r="F261" s="10"/>
      <c r="G261" s="10"/>
      <c r="H261" s="10"/>
      <c r="X261" s="12"/>
    </row>
    <row r="262" ht="15.75" customHeight="1">
      <c r="F262" s="10"/>
      <c r="G262" s="10"/>
      <c r="H262" s="10"/>
      <c r="X262" s="12"/>
    </row>
    <row r="263" ht="15.75" customHeight="1">
      <c r="F263" s="10"/>
      <c r="G263" s="10"/>
      <c r="H263" s="10"/>
      <c r="X263" s="12"/>
    </row>
    <row r="264" ht="15.75" customHeight="1">
      <c r="F264" s="10"/>
      <c r="G264" s="10"/>
      <c r="H264" s="10"/>
      <c r="X264" s="12"/>
    </row>
    <row r="265" ht="15.75" customHeight="1">
      <c r="F265" s="10"/>
      <c r="G265" s="10"/>
      <c r="H265" s="10"/>
      <c r="X265" s="12"/>
    </row>
    <row r="266" ht="15.75" customHeight="1">
      <c r="F266" s="10"/>
      <c r="G266" s="10"/>
      <c r="H266" s="10"/>
      <c r="X266" s="12"/>
    </row>
    <row r="267" ht="15.75" customHeight="1">
      <c r="F267" s="10"/>
      <c r="G267" s="10"/>
      <c r="H267" s="10"/>
      <c r="X267" s="12"/>
    </row>
    <row r="268" ht="15.75" customHeight="1">
      <c r="F268" s="10"/>
      <c r="G268" s="10"/>
      <c r="H268" s="10"/>
      <c r="X268" s="12"/>
    </row>
    <row r="269" ht="15.75" customHeight="1">
      <c r="F269" s="10"/>
      <c r="G269" s="10"/>
      <c r="H269" s="10"/>
      <c r="X269" s="12"/>
    </row>
    <row r="270" ht="15.75" customHeight="1">
      <c r="F270" s="10"/>
      <c r="G270" s="10"/>
      <c r="H270" s="10"/>
      <c r="X270" s="12"/>
    </row>
    <row r="271" ht="15.75" customHeight="1">
      <c r="F271" s="10"/>
      <c r="G271" s="10"/>
      <c r="H271" s="10"/>
      <c r="X271" s="12"/>
    </row>
    <row r="272" ht="15.75" customHeight="1">
      <c r="F272" s="10"/>
      <c r="G272" s="10"/>
      <c r="H272" s="10"/>
      <c r="X272" s="12"/>
    </row>
    <row r="273" ht="15.75" customHeight="1">
      <c r="F273" s="10"/>
      <c r="G273" s="10"/>
      <c r="H273" s="10"/>
      <c r="X273" s="12"/>
    </row>
    <row r="274" ht="15.75" customHeight="1">
      <c r="F274" s="10"/>
      <c r="G274" s="10"/>
      <c r="H274" s="10"/>
      <c r="X274" s="12"/>
    </row>
    <row r="275" ht="15.75" customHeight="1">
      <c r="F275" s="10"/>
      <c r="G275" s="10"/>
      <c r="H275" s="10"/>
      <c r="X275" s="12"/>
    </row>
    <row r="276" ht="15.75" customHeight="1">
      <c r="F276" s="10"/>
      <c r="G276" s="10"/>
      <c r="H276" s="10"/>
      <c r="X276" s="12"/>
    </row>
    <row r="277" ht="15.75" customHeight="1">
      <c r="F277" s="10"/>
      <c r="G277" s="10"/>
      <c r="H277" s="10"/>
      <c r="X277" s="12"/>
    </row>
    <row r="278" ht="15.75" customHeight="1">
      <c r="F278" s="10"/>
      <c r="G278" s="10"/>
      <c r="H278" s="10"/>
      <c r="X278" s="12"/>
    </row>
    <row r="279" ht="15.75" customHeight="1">
      <c r="F279" s="10"/>
      <c r="G279" s="10"/>
      <c r="H279" s="10"/>
      <c r="X279" s="12"/>
    </row>
    <row r="280" ht="15.75" customHeight="1">
      <c r="F280" s="10"/>
      <c r="G280" s="10"/>
      <c r="H280" s="10"/>
      <c r="X280" s="12"/>
    </row>
    <row r="281" ht="15.75" customHeight="1">
      <c r="F281" s="10"/>
      <c r="G281" s="10"/>
      <c r="H281" s="10"/>
      <c r="X281" s="12"/>
    </row>
    <row r="282" ht="15.75" customHeight="1">
      <c r="F282" s="10"/>
      <c r="G282" s="10"/>
      <c r="H282" s="10"/>
      <c r="X282" s="12"/>
    </row>
    <row r="283" ht="15.75" customHeight="1">
      <c r="F283" s="10"/>
      <c r="G283" s="10"/>
      <c r="H283" s="10"/>
      <c r="X283" s="12"/>
    </row>
    <row r="284" ht="15.75" customHeight="1">
      <c r="F284" s="10"/>
      <c r="G284" s="10"/>
      <c r="H284" s="10"/>
      <c r="X284" s="12"/>
    </row>
    <row r="285" ht="15.75" customHeight="1">
      <c r="F285" s="10"/>
      <c r="G285" s="10"/>
      <c r="H285" s="10"/>
      <c r="X285" s="12"/>
    </row>
    <row r="286" ht="15.75" customHeight="1">
      <c r="F286" s="10"/>
      <c r="G286" s="10"/>
      <c r="H286" s="10"/>
      <c r="X286" s="12"/>
    </row>
    <row r="287" ht="15.75" customHeight="1">
      <c r="F287" s="10"/>
      <c r="G287" s="10"/>
      <c r="H287" s="10"/>
      <c r="X287" s="12"/>
    </row>
    <row r="288" ht="15.75" customHeight="1">
      <c r="F288" s="10"/>
      <c r="G288" s="10"/>
      <c r="H288" s="10"/>
      <c r="X288" s="12"/>
    </row>
    <row r="289" ht="15.75" customHeight="1">
      <c r="F289" s="10"/>
      <c r="G289" s="10"/>
      <c r="H289" s="10"/>
      <c r="X289" s="12"/>
    </row>
    <row r="290" ht="15.75" customHeight="1">
      <c r="F290" s="10"/>
      <c r="G290" s="10"/>
      <c r="H290" s="10"/>
      <c r="X290" s="12"/>
    </row>
    <row r="291" ht="15.75" customHeight="1">
      <c r="F291" s="10"/>
      <c r="G291" s="10"/>
      <c r="H291" s="10"/>
      <c r="X291" s="12"/>
    </row>
    <row r="292" ht="15.75" customHeight="1">
      <c r="F292" s="10"/>
      <c r="G292" s="10"/>
      <c r="H292" s="10"/>
      <c r="X292" s="12"/>
    </row>
    <row r="293" ht="15.75" customHeight="1">
      <c r="F293" s="10"/>
      <c r="G293" s="10"/>
      <c r="H293" s="10"/>
      <c r="X293" s="12"/>
    </row>
    <row r="294" ht="15.75" customHeight="1">
      <c r="F294" s="10"/>
      <c r="G294" s="10"/>
      <c r="H294" s="10"/>
      <c r="X294" s="12"/>
    </row>
    <row r="295" ht="15.75" customHeight="1">
      <c r="F295" s="10"/>
      <c r="G295" s="10"/>
      <c r="H295" s="10"/>
      <c r="X295" s="12"/>
    </row>
    <row r="296" ht="15.75" customHeight="1">
      <c r="F296" s="10"/>
      <c r="G296" s="10"/>
      <c r="H296" s="10"/>
      <c r="X296" s="12"/>
    </row>
    <row r="297" ht="15.75" customHeight="1">
      <c r="F297" s="10"/>
      <c r="G297" s="10"/>
      <c r="H297" s="10"/>
      <c r="X297" s="12"/>
    </row>
    <row r="298" ht="15.75" customHeight="1">
      <c r="F298" s="10"/>
      <c r="G298" s="10"/>
      <c r="H298" s="10"/>
      <c r="X298" s="12"/>
    </row>
    <row r="299" ht="15.75" customHeight="1">
      <c r="F299" s="10"/>
      <c r="G299" s="10"/>
      <c r="H299" s="10"/>
      <c r="X299" s="12"/>
    </row>
    <row r="300" ht="15.75" customHeight="1">
      <c r="F300" s="10"/>
      <c r="G300" s="10"/>
      <c r="H300" s="10"/>
      <c r="X300" s="12"/>
    </row>
    <row r="301" ht="15.75" customHeight="1">
      <c r="F301" s="10"/>
      <c r="G301" s="10"/>
      <c r="H301" s="10"/>
      <c r="X301" s="12"/>
    </row>
    <row r="302" ht="15.75" customHeight="1">
      <c r="F302" s="10"/>
      <c r="G302" s="10"/>
      <c r="H302" s="10"/>
      <c r="X302" s="12"/>
    </row>
    <row r="303" ht="15.75" customHeight="1">
      <c r="F303" s="10"/>
      <c r="G303" s="10"/>
      <c r="H303" s="10"/>
      <c r="X303" s="12"/>
    </row>
    <row r="304" ht="15.75" customHeight="1">
      <c r="F304" s="10"/>
      <c r="G304" s="10"/>
      <c r="H304" s="10"/>
      <c r="X304" s="12"/>
    </row>
    <row r="305" ht="15.75" customHeight="1">
      <c r="F305" s="10"/>
      <c r="G305" s="10"/>
      <c r="H305" s="10"/>
      <c r="X305" s="12"/>
    </row>
    <row r="306" ht="15.75" customHeight="1">
      <c r="F306" s="10"/>
      <c r="G306" s="10"/>
      <c r="H306" s="10"/>
      <c r="X306" s="12"/>
    </row>
    <row r="307" ht="15.75" customHeight="1">
      <c r="F307" s="10"/>
      <c r="G307" s="10"/>
      <c r="H307" s="10"/>
      <c r="X307" s="12"/>
    </row>
    <row r="308" ht="15.75" customHeight="1">
      <c r="F308" s="10"/>
      <c r="G308" s="10"/>
      <c r="H308" s="10"/>
      <c r="X308" s="12"/>
    </row>
    <row r="309" ht="15.75" customHeight="1">
      <c r="F309" s="10"/>
      <c r="G309" s="10"/>
      <c r="H309" s="10"/>
      <c r="X309" s="12"/>
    </row>
    <row r="310" ht="15.75" customHeight="1">
      <c r="F310" s="10"/>
      <c r="G310" s="10"/>
      <c r="H310" s="10"/>
      <c r="X310" s="12"/>
    </row>
    <row r="311" ht="15.75" customHeight="1">
      <c r="F311" s="10"/>
      <c r="G311" s="10"/>
      <c r="H311" s="10"/>
      <c r="X311" s="12"/>
    </row>
    <row r="312" ht="15.75" customHeight="1">
      <c r="F312" s="10"/>
      <c r="G312" s="10"/>
      <c r="H312" s="10"/>
      <c r="X312" s="12"/>
    </row>
    <row r="313" ht="15.75" customHeight="1">
      <c r="F313" s="10"/>
      <c r="G313" s="10"/>
      <c r="H313" s="10"/>
      <c r="X313" s="12"/>
    </row>
    <row r="314" ht="15.75" customHeight="1">
      <c r="F314" s="10"/>
      <c r="G314" s="10"/>
      <c r="H314" s="10"/>
      <c r="X314" s="12"/>
    </row>
    <row r="315" ht="15.75" customHeight="1">
      <c r="F315" s="10"/>
      <c r="G315" s="10"/>
      <c r="H315" s="10"/>
      <c r="X315" s="12"/>
    </row>
    <row r="316" ht="15.75" customHeight="1">
      <c r="F316" s="10"/>
      <c r="G316" s="10"/>
      <c r="H316" s="10"/>
      <c r="X316" s="12"/>
    </row>
    <row r="317" ht="15.75" customHeight="1">
      <c r="F317" s="10"/>
      <c r="G317" s="10"/>
      <c r="H317" s="10"/>
      <c r="X317" s="12"/>
    </row>
    <row r="318" ht="15.75" customHeight="1">
      <c r="F318" s="10"/>
      <c r="G318" s="10"/>
      <c r="H318" s="10"/>
      <c r="X318" s="12"/>
    </row>
    <row r="319" ht="15.75" customHeight="1">
      <c r="F319" s="10"/>
      <c r="G319" s="10"/>
      <c r="H319" s="10"/>
      <c r="X319" s="12"/>
    </row>
    <row r="320" ht="15.75" customHeight="1">
      <c r="F320" s="10"/>
      <c r="G320" s="10"/>
      <c r="H320" s="10"/>
      <c r="X320" s="12"/>
    </row>
    <row r="321" ht="15.75" customHeight="1">
      <c r="F321" s="10"/>
      <c r="G321" s="10"/>
      <c r="H321" s="10"/>
      <c r="X321" s="12"/>
    </row>
    <row r="322" ht="15.75" customHeight="1">
      <c r="F322" s="10"/>
      <c r="G322" s="10"/>
      <c r="H322" s="10"/>
      <c r="X322" s="12"/>
    </row>
    <row r="323" ht="15.75" customHeight="1">
      <c r="F323" s="10"/>
      <c r="G323" s="10"/>
      <c r="H323" s="10"/>
      <c r="X323" s="12"/>
    </row>
    <row r="324" ht="15.75" customHeight="1">
      <c r="F324" s="10"/>
      <c r="G324" s="10"/>
      <c r="H324" s="10"/>
      <c r="X324" s="12"/>
    </row>
    <row r="325" ht="15.75" customHeight="1">
      <c r="F325" s="10"/>
      <c r="G325" s="10"/>
      <c r="H325" s="10"/>
      <c r="X325" s="12"/>
    </row>
    <row r="326" ht="15.75" customHeight="1">
      <c r="F326" s="10"/>
      <c r="G326" s="10"/>
      <c r="H326" s="10"/>
      <c r="X326" s="12"/>
    </row>
    <row r="327" ht="15.75" customHeight="1">
      <c r="F327" s="10"/>
      <c r="G327" s="10"/>
      <c r="H327" s="10"/>
      <c r="X327" s="12"/>
    </row>
    <row r="328" ht="15.75" customHeight="1">
      <c r="F328" s="10"/>
      <c r="G328" s="10"/>
      <c r="H328" s="10"/>
      <c r="X328" s="12"/>
    </row>
    <row r="329" ht="15.75" customHeight="1">
      <c r="F329" s="10"/>
      <c r="G329" s="10"/>
      <c r="H329" s="10"/>
      <c r="X329" s="12"/>
    </row>
    <row r="330" ht="15.75" customHeight="1">
      <c r="F330" s="10"/>
      <c r="G330" s="10"/>
      <c r="H330" s="10"/>
      <c r="X330" s="12"/>
    </row>
    <row r="331" ht="15.75" customHeight="1">
      <c r="F331" s="10"/>
      <c r="G331" s="10"/>
      <c r="H331" s="10"/>
      <c r="X331" s="12"/>
    </row>
    <row r="332" ht="15.75" customHeight="1">
      <c r="F332" s="10"/>
      <c r="G332" s="10"/>
      <c r="H332" s="10"/>
      <c r="X332" s="12"/>
    </row>
    <row r="333" ht="15.75" customHeight="1">
      <c r="F333" s="10"/>
      <c r="G333" s="10"/>
      <c r="H333" s="10"/>
      <c r="X333" s="12"/>
    </row>
    <row r="334" ht="15.75" customHeight="1">
      <c r="F334" s="10"/>
      <c r="G334" s="10"/>
      <c r="H334" s="10"/>
      <c r="X334" s="12"/>
    </row>
    <row r="335" ht="15.75" customHeight="1">
      <c r="F335" s="10"/>
      <c r="G335" s="10"/>
      <c r="H335" s="10"/>
      <c r="X335" s="12"/>
    </row>
    <row r="336" ht="15.75" customHeight="1">
      <c r="F336" s="10"/>
      <c r="G336" s="10"/>
      <c r="H336" s="10"/>
      <c r="X336" s="12"/>
    </row>
    <row r="337" ht="15.75" customHeight="1">
      <c r="F337" s="10"/>
      <c r="G337" s="10"/>
      <c r="H337" s="10"/>
      <c r="X337" s="12"/>
    </row>
    <row r="338" ht="15.75" customHeight="1">
      <c r="F338" s="10"/>
      <c r="G338" s="10"/>
      <c r="H338" s="10"/>
      <c r="X338" s="12"/>
    </row>
    <row r="339" ht="15.75" customHeight="1">
      <c r="F339" s="10"/>
      <c r="G339" s="10"/>
      <c r="H339" s="10"/>
      <c r="X339" s="12"/>
    </row>
    <row r="340" ht="15.75" customHeight="1">
      <c r="F340" s="10"/>
      <c r="G340" s="10"/>
      <c r="H340" s="10"/>
      <c r="X340" s="12"/>
    </row>
    <row r="341" ht="15.75" customHeight="1">
      <c r="F341" s="10"/>
      <c r="G341" s="10"/>
      <c r="H341" s="10"/>
      <c r="X341" s="12"/>
    </row>
    <row r="342" ht="15.75" customHeight="1">
      <c r="F342" s="10"/>
      <c r="G342" s="10"/>
      <c r="H342" s="10"/>
      <c r="X342" s="12"/>
    </row>
    <row r="343" ht="15.75" customHeight="1">
      <c r="F343" s="10"/>
      <c r="G343" s="10"/>
      <c r="H343" s="10"/>
      <c r="X343" s="12"/>
    </row>
    <row r="344" ht="15.75" customHeight="1">
      <c r="F344" s="10"/>
      <c r="G344" s="10"/>
      <c r="H344" s="10"/>
      <c r="X344" s="12"/>
    </row>
    <row r="345" ht="15.75" customHeight="1">
      <c r="F345" s="10"/>
      <c r="G345" s="10"/>
      <c r="H345" s="10"/>
      <c r="X345" s="12"/>
    </row>
    <row r="346" ht="15.75" customHeight="1">
      <c r="F346" s="10"/>
      <c r="G346" s="10"/>
      <c r="H346" s="10"/>
      <c r="X346" s="12"/>
    </row>
    <row r="347" ht="15.75" customHeight="1">
      <c r="F347" s="10"/>
      <c r="G347" s="10"/>
      <c r="H347" s="10"/>
      <c r="X347" s="12"/>
    </row>
    <row r="348" ht="15.75" customHeight="1">
      <c r="F348" s="10"/>
      <c r="G348" s="10"/>
      <c r="H348" s="10"/>
      <c r="X348" s="12"/>
    </row>
    <row r="349" ht="15.75" customHeight="1">
      <c r="F349" s="10"/>
      <c r="G349" s="10"/>
      <c r="H349" s="10"/>
      <c r="X349" s="12"/>
    </row>
    <row r="350" ht="15.75" customHeight="1">
      <c r="F350" s="10"/>
      <c r="G350" s="10"/>
      <c r="H350" s="10"/>
      <c r="X350" s="12"/>
    </row>
    <row r="351" ht="15.75" customHeight="1">
      <c r="F351" s="10"/>
      <c r="G351" s="10"/>
      <c r="H351" s="10"/>
      <c r="X351" s="12"/>
    </row>
    <row r="352" ht="15.75" customHeight="1">
      <c r="F352" s="10"/>
      <c r="G352" s="10"/>
      <c r="H352" s="10"/>
      <c r="X352" s="12"/>
    </row>
    <row r="353" ht="15.75" customHeight="1">
      <c r="F353" s="10"/>
      <c r="G353" s="10"/>
      <c r="H353" s="10"/>
      <c r="X353" s="12"/>
    </row>
    <row r="354" ht="15.75" customHeight="1">
      <c r="F354" s="10"/>
      <c r="G354" s="10"/>
      <c r="H354" s="10"/>
      <c r="X354" s="12"/>
    </row>
    <row r="355" ht="15.75" customHeight="1">
      <c r="F355" s="10"/>
      <c r="G355" s="10"/>
      <c r="H355" s="10"/>
      <c r="X355" s="12"/>
    </row>
    <row r="356" ht="15.75" customHeight="1">
      <c r="F356" s="10"/>
      <c r="G356" s="10"/>
      <c r="H356" s="10"/>
      <c r="X356" s="12"/>
    </row>
    <row r="357" ht="15.75" customHeight="1">
      <c r="F357" s="10"/>
      <c r="G357" s="10"/>
      <c r="H357" s="10"/>
      <c r="X357" s="12"/>
    </row>
    <row r="358" ht="15.75" customHeight="1">
      <c r="F358" s="10"/>
      <c r="G358" s="10"/>
      <c r="H358" s="10"/>
      <c r="X358" s="12"/>
    </row>
    <row r="359" ht="15.75" customHeight="1">
      <c r="F359" s="10"/>
      <c r="G359" s="10"/>
      <c r="H359" s="10"/>
      <c r="X359" s="12"/>
    </row>
    <row r="360" ht="15.75" customHeight="1">
      <c r="F360" s="10"/>
      <c r="G360" s="10"/>
      <c r="H360" s="10"/>
      <c r="X360" s="12"/>
    </row>
    <row r="361" ht="15.75" customHeight="1">
      <c r="F361" s="10"/>
      <c r="G361" s="10"/>
      <c r="H361" s="10"/>
      <c r="X361" s="12"/>
    </row>
    <row r="362" ht="15.75" customHeight="1">
      <c r="F362" s="10"/>
      <c r="G362" s="10"/>
      <c r="H362" s="10"/>
      <c r="X362" s="12"/>
    </row>
    <row r="363" ht="15.75" customHeight="1">
      <c r="F363" s="10"/>
      <c r="G363" s="10"/>
      <c r="H363" s="10"/>
      <c r="X363" s="12"/>
    </row>
    <row r="364" ht="15.75" customHeight="1">
      <c r="F364" s="10"/>
      <c r="G364" s="10"/>
      <c r="H364" s="10"/>
      <c r="X364" s="12"/>
    </row>
    <row r="365" ht="15.75" customHeight="1">
      <c r="F365" s="10"/>
      <c r="G365" s="10"/>
      <c r="H365" s="10"/>
      <c r="X365" s="12"/>
    </row>
    <row r="366" ht="15.75" customHeight="1">
      <c r="F366" s="10"/>
      <c r="G366" s="10"/>
      <c r="H366" s="10"/>
      <c r="X366" s="12"/>
    </row>
    <row r="367" ht="15.75" customHeight="1">
      <c r="F367" s="10"/>
      <c r="G367" s="10"/>
      <c r="H367" s="10"/>
      <c r="X367" s="12"/>
    </row>
    <row r="368" ht="15.75" customHeight="1">
      <c r="F368" s="10"/>
      <c r="G368" s="10"/>
      <c r="H368" s="10"/>
      <c r="X368" s="12"/>
    </row>
    <row r="369" ht="15.75" customHeight="1">
      <c r="F369" s="10"/>
      <c r="G369" s="10"/>
      <c r="H369" s="10"/>
      <c r="X369" s="12"/>
    </row>
    <row r="370" ht="15.75" customHeight="1">
      <c r="F370" s="10"/>
      <c r="G370" s="10"/>
      <c r="H370" s="10"/>
      <c r="X370" s="12"/>
    </row>
    <row r="371" ht="15.75" customHeight="1">
      <c r="F371" s="10"/>
      <c r="G371" s="10"/>
      <c r="H371" s="10"/>
      <c r="X371" s="12"/>
    </row>
    <row r="372" ht="15.75" customHeight="1">
      <c r="F372" s="10"/>
      <c r="G372" s="10"/>
      <c r="H372" s="10"/>
      <c r="X372" s="12"/>
    </row>
    <row r="373" ht="15.75" customHeight="1">
      <c r="F373" s="10"/>
      <c r="G373" s="10"/>
      <c r="H373" s="10"/>
      <c r="X373" s="12"/>
    </row>
    <row r="374" ht="15.75" customHeight="1">
      <c r="F374" s="10"/>
      <c r="G374" s="10"/>
      <c r="H374" s="10"/>
      <c r="X374" s="12"/>
    </row>
    <row r="375" ht="15.75" customHeight="1">
      <c r="F375" s="10"/>
      <c r="G375" s="10"/>
      <c r="H375" s="10"/>
      <c r="X375" s="12"/>
    </row>
    <row r="376" ht="15.75" customHeight="1">
      <c r="F376" s="10"/>
      <c r="G376" s="10"/>
      <c r="H376" s="10"/>
      <c r="X376" s="12"/>
    </row>
    <row r="377" ht="15.75" customHeight="1">
      <c r="F377" s="10"/>
      <c r="G377" s="10"/>
      <c r="H377" s="10"/>
      <c r="X377" s="12"/>
    </row>
    <row r="378" ht="15.75" customHeight="1">
      <c r="F378" s="10"/>
      <c r="G378" s="10"/>
      <c r="H378" s="10"/>
      <c r="X378" s="12"/>
    </row>
    <row r="379" ht="15.75" customHeight="1">
      <c r="F379" s="10"/>
      <c r="G379" s="10"/>
      <c r="H379" s="10"/>
      <c r="X379" s="12"/>
    </row>
    <row r="380" ht="15.75" customHeight="1">
      <c r="F380" s="10"/>
      <c r="G380" s="10"/>
      <c r="H380" s="10"/>
      <c r="X380" s="12"/>
    </row>
    <row r="381" ht="15.75" customHeight="1">
      <c r="F381" s="10"/>
      <c r="G381" s="10"/>
      <c r="H381" s="10"/>
      <c r="X381" s="12"/>
    </row>
    <row r="382" ht="15.75" customHeight="1">
      <c r="F382" s="10"/>
      <c r="G382" s="10"/>
      <c r="H382" s="10"/>
      <c r="X382" s="12"/>
    </row>
    <row r="383" ht="15.75" customHeight="1">
      <c r="F383" s="10"/>
      <c r="G383" s="10"/>
      <c r="H383" s="10"/>
      <c r="X383" s="12"/>
    </row>
    <row r="384" ht="15.75" customHeight="1">
      <c r="F384" s="10"/>
      <c r="G384" s="10"/>
      <c r="H384" s="10"/>
      <c r="X384" s="12"/>
    </row>
    <row r="385" ht="15.75" customHeight="1">
      <c r="F385" s="10"/>
      <c r="G385" s="10"/>
      <c r="H385" s="10"/>
      <c r="X385" s="12"/>
    </row>
    <row r="386" ht="15.75" customHeight="1">
      <c r="F386" s="10"/>
      <c r="G386" s="10"/>
      <c r="H386" s="10"/>
      <c r="X386" s="12"/>
    </row>
    <row r="387" ht="15.75" customHeight="1">
      <c r="F387" s="10"/>
      <c r="G387" s="10"/>
      <c r="H387" s="10"/>
      <c r="X387" s="12"/>
    </row>
    <row r="388" ht="15.75" customHeight="1">
      <c r="F388" s="10"/>
      <c r="G388" s="10"/>
      <c r="H388" s="10"/>
      <c r="X388" s="12"/>
    </row>
    <row r="389" ht="15.75" customHeight="1">
      <c r="F389" s="10"/>
      <c r="G389" s="10"/>
      <c r="H389" s="10"/>
      <c r="X389" s="12"/>
    </row>
    <row r="390" ht="15.75" customHeight="1">
      <c r="F390" s="10"/>
      <c r="G390" s="10"/>
      <c r="H390" s="10"/>
      <c r="X390" s="12"/>
    </row>
    <row r="391" ht="15.75" customHeight="1">
      <c r="F391" s="10"/>
      <c r="G391" s="10"/>
      <c r="H391" s="10"/>
      <c r="X391" s="12"/>
    </row>
    <row r="392" ht="15.75" customHeight="1">
      <c r="F392" s="10"/>
      <c r="G392" s="10"/>
      <c r="H392" s="10"/>
      <c r="X392" s="12"/>
    </row>
    <row r="393" ht="15.75" customHeight="1">
      <c r="F393" s="10"/>
      <c r="G393" s="10"/>
      <c r="H393" s="10"/>
      <c r="X393" s="12"/>
    </row>
    <row r="394" ht="15.75" customHeight="1">
      <c r="F394" s="10"/>
      <c r="G394" s="10"/>
      <c r="H394" s="10"/>
      <c r="X394" s="12"/>
    </row>
    <row r="395" ht="15.75" customHeight="1">
      <c r="F395" s="10"/>
      <c r="G395" s="10"/>
      <c r="H395" s="10"/>
      <c r="X395" s="12"/>
    </row>
    <row r="396" ht="15.75" customHeight="1">
      <c r="F396" s="10"/>
      <c r="G396" s="10"/>
      <c r="H396" s="10"/>
      <c r="X396" s="12"/>
    </row>
    <row r="397" ht="15.75" customHeight="1">
      <c r="F397" s="10"/>
      <c r="G397" s="10"/>
      <c r="H397" s="10"/>
      <c r="X397" s="12"/>
    </row>
    <row r="398" ht="15.75" customHeight="1">
      <c r="F398" s="10"/>
      <c r="G398" s="10"/>
      <c r="H398" s="10"/>
      <c r="X398" s="12"/>
    </row>
    <row r="399" ht="15.75" customHeight="1">
      <c r="F399" s="10"/>
      <c r="G399" s="10"/>
      <c r="H399" s="10"/>
      <c r="X399" s="12"/>
    </row>
    <row r="400" ht="15.75" customHeight="1">
      <c r="F400" s="10"/>
      <c r="G400" s="10"/>
      <c r="H400" s="10"/>
      <c r="X400" s="12"/>
    </row>
    <row r="401" ht="15.75" customHeight="1">
      <c r="F401" s="10"/>
      <c r="G401" s="10"/>
      <c r="H401" s="10"/>
      <c r="X401" s="12"/>
    </row>
    <row r="402" ht="15.75" customHeight="1">
      <c r="F402" s="10"/>
      <c r="G402" s="10"/>
      <c r="H402" s="10"/>
      <c r="X402" s="12"/>
    </row>
    <row r="403" ht="15.75" customHeight="1">
      <c r="F403" s="10"/>
      <c r="G403" s="10"/>
      <c r="H403" s="10"/>
      <c r="X403" s="12"/>
    </row>
    <row r="404" ht="15.75" customHeight="1">
      <c r="F404" s="10"/>
      <c r="G404" s="10"/>
      <c r="H404" s="10"/>
      <c r="X404" s="12"/>
    </row>
    <row r="405" ht="15.75" customHeight="1">
      <c r="F405" s="10"/>
      <c r="G405" s="10"/>
      <c r="H405" s="10"/>
      <c r="X405" s="12"/>
    </row>
    <row r="406" ht="15.75" customHeight="1">
      <c r="F406" s="10"/>
      <c r="G406" s="10"/>
      <c r="H406" s="10"/>
      <c r="X406" s="12"/>
    </row>
    <row r="407" ht="15.75" customHeight="1">
      <c r="F407" s="10"/>
      <c r="G407" s="10"/>
      <c r="H407" s="10"/>
      <c r="X407" s="12"/>
    </row>
    <row r="408" ht="15.75" customHeight="1">
      <c r="F408" s="10"/>
      <c r="G408" s="10"/>
      <c r="H408" s="10"/>
      <c r="X408" s="12"/>
    </row>
    <row r="409" ht="15.75" customHeight="1">
      <c r="F409" s="10"/>
      <c r="G409" s="10"/>
      <c r="H409" s="10"/>
      <c r="X409" s="12"/>
    </row>
    <row r="410" ht="15.75" customHeight="1">
      <c r="F410" s="10"/>
      <c r="G410" s="10"/>
      <c r="H410" s="10"/>
      <c r="X410" s="12"/>
    </row>
    <row r="411" ht="15.75" customHeight="1">
      <c r="F411" s="10"/>
      <c r="G411" s="10"/>
      <c r="H411" s="10"/>
      <c r="X411" s="12"/>
    </row>
    <row r="412" ht="15.75" customHeight="1">
      <c r="F412" s="10"/>
      <c r="G412" s="10"/>
      <c r="H412" s="10"/>
      <c r="X412" s="12"/>
    </row>
    <row r="413" ht="15.75" customHeight="1">
      <c r="F413" s="10"/>
      <c r="G413" s="10"/>
      <c r="H413" s="10"/>
      <c r="X413" s="12"/>
    </row>
    <row r="414" ht="15.75" customHeight="1">
      <c r="F414" s="10"/>
      <c r="G414" s="10"/>
      <c r="H414" s="10"/>
      <c r="X414" s="12"/>
    </row>
    <row r="415" ht="15.75" customHeight="1">
      <c r="F415" s="10"/>
      <c r="G415" s="10"/>
      <c r="H415" s="10"/>
      <c r="X415" s="12"/>
    </row>
    <row r="416" ht="15.75" customHeight="1">
      <c r="F416" s="10"/>
      <c r="G416" s="10"/>
      <c r="H416" s="10"/>
      <c r="X416" s="12"/>
    </row>
    <row r="417" ht="15.75" customHeight="1">
      <c r="F417" s="10"/>
      <c r="G417" s="10"/>
      <c r="H417" s="10"/>
      <c r="X417" s="12"/>
    </row>
    <row r="418" ht="15.75" customHeight="1">
      <c r="F418" s="10"/>
      <c r="G418" s="10"/>
      <c r="H418" s="10"/>
      <c r="X418" s="12"/>
    </row>
    <row r="419" ht="15.75" customHeight="1">
      <c r="F419" s="10"/>
      <c r="G419" s="10"/>
      <c r="H419" s="10"/>
      <c r="X419" s="12"/>
    </row>
    <row r="420" ht="15.75" customHeight="1">
      <c r="F420" s="10"/>
      <c r="G420" s="10"/>
      <c r="H420" s="10"/>
      <c r="X420" s="12"/>
    </row>
    <row r="421" ht="15.75" customHeight="1">
      <c r="F421" s="10"/>
      <c r="G421" s="10"/>
      <c r="H421" s="10"/>
      <c r="X421" s="12"/>
    </row>
    <row r="422" ht="15.75" customHeight="1">
      <c r="F422" s="10"/>
      <c r="G422" s="10"/>
      <c r="H422" s="10"/>
      <c r="X422" s="12"/>
    </row>
    <row r="423" ht="15.75" customHeight="1">
      <c r="F423" s="10"/>
      <c r="G423" s="10"/>
      <c r="H423" s="10"/>
      <c r="X423" s="12"/>
    </row>
    <row r="424" ht="15.75" customHeight="1">
      <c r="F424" s="10"/>
      <c r="G424" s="10"/>
      <c r="H424" s="10"/>
      <c r="X424" s="12"/>
    </row>
    <row r="425" ht="15.75" customHeight="1">
      <c r="F425" s="10"/>
      <c r="G425" s="10"/>
      <c r="H425" s="10"/>
      <c r="X425" s="12"/>
    </row>
    <row r="426" ht="15.75" customHeight="1">
      <c r="F426" s="10"/>
      <c r="G426" s="10"/>
      <c r="H426" s="10"/>
      <c r="X426" s="12"/>
    </row>
    <row r="427" ht="15.75" customHeight="1">
      <c r="F427" s="10"/>
      <c r="G427" s="10"/>
      <c r="H427" s="10"/>
      <c r="X427" s="12"/>
    </row>
    <row r="428" ht="15.75" customHeight="1">
      <c r="F428" s="10"/>
      <c r="G428" s="10"/>
      <c r="H428" s="10"/>
      <c r="X428" s="12"/>
    </row>
    <row r="429" ht="15.75" customHeight="1">
      <c r="F429" s="10"/>
      <c r="G429" s="10"/>
      <c r="H429" s="10"/>
      <c r="X429" s="12"/>
    </row>
    <row r="430" ht="15.75" customHeight="1">
      <c r="F430" s="10"/>
      <c r="G430" s="10"/>
      <c r="H430" s="10"/>
      <c r="X430" s="12"/>
    </row>
    <row r="431" ht="15.75" customHeight="1">
      <c r="F431" s="10"/>
      <c r="G431" s="10"/>
      <c r="H431" s="10"/>
      <c r="X431" s="12"/>
    </row>
    <row r="432" ht="15.75" customHeight="1">
      <c r="F432" s="10"/>
      <c r="G432" s="10"/>
      <c r="H432" s="10"/>
      <c r="X432" s="12"/>
    </row>
    <row r="433" ht="15.75" customHeight="1">
      <c r="F433" s="10"/>
      <c r="G433" s="10"/>
      <c r="H433" s="10"/>
      <c r="X433" s="12"/>
    </row>
    <row r="434" ht="15.75" customHeight="1">
      <c r="F434" s="10"/>
      <c r="G434" s="10"/>
      <c r="H434" s="10"/>
      <c r="X434" s="12"/>
    </row>
    <row r="435" ht="15.75" customHeight="1">
      <c r="F435" s="10"/>
      <c r="G435" s="10"/>
      <c r="H435" s="10"/>
      <c r="X435" s="12"/>
    </row>
    <row r="436" ht="15.75" customHeight="1">
      <c r="F436" s="10"/>
      <c r="G436" s="10"/>
      <c r="H436" s="10"/>
      <c r="X436" s="12"/>
    </row>
    <row r="437" ht="15.75" customHeight="1">
      <c r="F437" s="10"/>
      <c r="G437" s="10"/>
      <c r="H437" s="10"/>
      <c r="X437" s="12"/>
    </row>
    <row r="438" ht="15.75" customHeight="1">
      <c r="F438" s="10"/>
      <c r="G438" s="10"/>
      <c r="H438" s="10"/>
      <c r="X438" s="12"/>
    </row>
    <row r="439" ht="15.75" customHeight="1">
      <c r="F439" s="10"/>
      <c r="G439" s="10"/>
      <c r="H439" s="10"/>
      <c r="X439" s="12"/>
    </row>
    <row r="440" ht="15.75" customHeight="1">
      <c r="F440" s="10"/>
      <c r="G440" s="10"/>
      <c r="H440" s="10"/>
      <c r="X440" s="12"/>
    </row>
    <row r="441" ht="15.75" customHeight="1">
      <c r="F441" s="10"/>
      <c r="G441" s="10"/>
      <c r="H441" s="10"/>
      <c r="X441" s="12"/>
    </row>
    <row r="442" ht="15.75" customHeight="1">
      <c r="F442" s="10"/>
      <c r="G442" s="10"/>
      <c r="H442" s="10"/>
      <c r="X442" s="12"/>
    </row>
    <row r="443" ht="15.75" customHeight="1">
      <c r="F443" s="10"/>
      <c r="G443" s="10"/>
      <c r="H443" s="10"/>
      <c r="X443" s="12"/>
    </row>
    <row r="444" ht="15.75" customHeight="1">
      <c r="F444" s="10"/>
      <c r="G444" s="10"/>
      <c r="H444" s="10"/>
      <c r="X444" s="12"/>
    </row>
    <row r="445" ht="15.75" customHeight="1">
      <c r="F445" s="10"/>
      <c r="G445" s="10"/>
      <c r="H445" s="10"/>
      <c r="X445" s="12"/>
    </row>
    <row r="446" ht="15.75" customHeight="1">
      <c r="F446" s="10"/>
      <c r="G446" s="10"/>
      <c r="H446" s="10"/>
      <c r="X446" s="12"/>
    </row>
    <row r="447" ht="15.75" customHeight="1">
      <c r="F447" s="10"/>
      <c r="G447" s="10"/>
      <c r="H447" s="10"/>
      <c r="X447" s="12"/>
    </row>
    <row r="448" ht="15.75" customHeight="1">
      <c r="F448" s="10"/>
      <c r="G448" s="10"/>
      <c r="H448" s="10"/>
      <c r="X448" s="12"/>
    </row>
    <row r="449" ht="15.75" customHeight="1">
      <c r="F449" s="10"/>
      <c r="G449" s="10"/>
      <c r="H449" s="10"/>
      <c r="X449" s="12"/>
    </row>
    <row r="450" ht="15.75" customHeight="1">
      <c r="F450" s="10"/>
      <c r="G450" s="10"/>
      <c r="H450" s="10"/>
      <c r="X450" s="12"/>
    </row>
    <row r="451" ht="15.75" customHeight="1">
      <c r="F451" s="10"/>
      <c r="G451" s="10"/>
      <c r="H451" s="10"/>
      <c r="X451" s="12"/>
    </row>
    <row r="452" ht="15.75" customHeight="1">
      <c r="F452" s="10"/>
      <c r="G452" s="10"/>
      <c r="H452" s="10"/>
      <c r="X452" s="12"/>
    </row>
    <row r="453" ht="15.75" customHeight="1">
      <c r="F453" s="10"/>
      <c r="G453" s="10"/>
      <c r="H453" s="10"/>
      <c r="X453" s="12"/>
    </row>
    <row r="454" ht="15.75" customHeight="1">
      <c r="F454" s="10"/>
      <c r="G454" s="10"/>
      <c r="H454" s="10"/>
      <c r="X454" s="12"/>
    </row>
    <row r="455" ht="15.75" customHeight="1">
      <c r="F455" s="10"/>
      <c r="G455" s="10"/>
      <c r="H455" s="10"/>
      <c r="X455" s="12"/>
    </row>
    <row r="456" ht="15.75" customHeight="1">
      <c r="F456" s="10"/>
      <c r="G456" s="10"/>
      <c r="H456" s="10"/>
      <c r="X456" s="12"/>
    </row>
    <row r="457" ht="15.75" customHeight="1">
      <c r="F457" s="10"/>
      <c r="G457" s="10"/>
      <c r="H457" s="10"/>
      <c r="X457" s="12"/>
    </row>
    <row r="458" ht="15.75" customHeight="1">
      <c r="F458" s="10"/>
      <c r="G458" s="10"/>
      <c r="H458" s="10"/>
      <c r="X458" s="12"/>
    </row>
    <row r="459" ht="15.75" customHeight="1">
      <c r="F459" s="10"/>
      <c r="G459" s="10"/>
      <c r="H459" s="10"/>
      <c r="X459" s="12"/>
    </row>
    <row r="460" ht="15.75" customHeight="1">
      <c r="F460" s="10"/>
      <c r="G460" s="10"/>
      <c r="H460" s="10"/>
      <c r="X460" s="12"/>
    </row>
    <row r="461" ht="15.75" customHeight="1">
      <c r="F461" s="10"/>
      <c r="G461" s="10"/>
      <c r="H461" s="10"/>
      <c r="X461" s="12"/>
    </row>
    <row r="462" ht="15.75" customHeight="1">
      <c r="F462" s="10"/>
      <c r="G462" s="10"/>
      <c r="H462" s="10"/>
      <c r="X462" s="12"/>
    </row>
    <row r="463" ht="15.75" customHeight="1">
      <c r="F463" s="10"/>
      <c r="G463" s="10"/>
      <c r="H463" s="10"/>
      <c r="X463" s="12"/>
    </row>
    <row r="464" ht="15.75" customHeight="1">
      <c r="F464" s="10"/>
      <c r="G464" s="10"/>
      <c r="H464" s="10"/>
      <c r="X464" s="12"/>
    </row>
    <row r="465" ht="15.75" customHeight="1">
      <c r="F465" s="10"/>
      <c r="G465" s="10"/>
      <c r="H465" s="10"/>
      <c r="X465" s="12"/>
    </row>
    <row r="466" ht="15.75" customHeight="1">
      <c r="F466" s="10"/>
      <c r="G466" s="10"/>
      <c r="H466" s="10"/>
      <c r="X466" s="12"/>
    </row>
    <row r="467" ht="15.75" customHeight="1">
      <c r="F467" s="10"/>
      <c r="G467" s="10"/>
      <c r="H467" s="10"/>
      <c r="X467" s="12"/>
    </row>
    <row r="468" ht="15.75" customHeight="1">
      <c r="F468" s="10"/>
      <c r="G468" s="10"/>
      <c r="H468" s="10"/>
      <c r="X468" s="12"/>
    </row>
    <row r="469" ht="15.75" customHeight="1">
      <c r="F469" s="10"/>
      <c r="G469" s="10"/>
      <c r="H469" s="10"/>
      <c r="X469" s="12"/>
    </row>
    <row r="470" ht="15.75" customHeight="1">
      <c r="F470" s="10"/>
      <c r="G470" s="10"/>
      <c r="H470" s="10"/>
      <c r="X470" s="12"/>
    </row>
    <row r="471" ht="15.75" customHeight="1">
      <c r="F471" s="10"/>
      <c r="G471" s="10"/>
      <c r="H471" s="10"/>
      <c r="X471" s="12"/>
    </row>
    <row r="472" ht="15.75" customHeight="1">
      <c r="F472" s="10"/>
      <c r="G472" s="10"/>
      <c r="H472" s="10"/>
      <c r="X472" s="12"/>
    </row>
    <row r="473" ht="15.75" customHeight="1">
      <c r="F473" s="10"/>
      <c r="G473" s="10"/>
      <c r="H473" s="10"/>
      <c r="X473" s="12"/>
    </row>
    <row r="474" ht="15.75" customHeight="1">
      <c r="F474" s="10"/>
      <c r="G474" s="10"/>
      <c r="H474" s="10"/>
      <c r="X474" s="12"/>
    </row>
    <row r="475" ht="15.75" customHeight="1">
      <c r="F475" s="10"/>
      <c r="G475" s="10"/>
      <c r="H475" s="10"/>
      <c r="X475" s="12"/>
    </row>
    <row r="476" ht="15.75" customHeight="1">
      <c r="F476" s="10"/>
      <c r="G476" s="10"/>
      <c r="H476" s="10"/>
      <c r="X476" s="12"/>
    </row>
    <row r="477" ht="15.75" customHeight="1">
      <c r="F477" s="10"/>
      <c r="G477" s="10"/>
      <c r="H477" s="10"/>
      <c r="X477" s="12"/>
    </row>
    <row r="478" ht="15.75" customHeight="1">
      <c r="F478" s="10"/>
      <c r="G478" s="10"/>
      <c r="H478" s="10"/>
      <c r="X478" s="12"/>
    </row>
    <row r="479" ht="15.75" customHeight="1">
      <c r="F479" s="10"/>
      <c r="G479" s="10"/>
      <c r="H479" s="10"/>
      <c r="X479" s="12"/>
    </row>
    <row r="480" ht="15.75" customHeight="1">
      <c r="F480" s="10"/>
      <c r="G480" s="10"/>
      <c r="H480" s="10"/>
      <c r="X480" s="12"/>
    </row>
    <row r="481" ht="15.75" customHeight="1">
      <c r="F481" s="10"/>
      <c r="G481" s="10"/>
      <c r="H481" s="10"/>
      <c r="X481" s="12"/>
    </row>
    <row r="482" ht="15.75" customHeight="1">
      <c r="F482" s="10"/>
      <c r="G482" s="10"/>
      <c r="H482" s="10"/>
      <c r="X482" s="12"/>
    </row>
    <row r="483" ht="15.75" customHeight="1">
      <c r="F483" s="10"/>
      <c r="G483" s="10"/>
      <c r="H483" s="10"/>
      <c r="X483" s="12"/>
    </row>
    <row r="484" ht="15.75" customHeight="1">
      <c r="F484" s="10"/>
      <c r="G484" s="10"/>
      <c r="H484" s="10"/>
      <c r="X484" s="12"/>
    </row>
    <row r="485" ht="15.75" customHeight="1">
      <c r="F485" s="10"/>
      <c r="G485" s="10"/>
      <c r="H485" s="10"/>
      <c r="X485" s="12"/>
    </row>
    <row r="486" ht="15.75" customHeight="1">
      <c r="F486" s="10"/>
      <c r="G486" s="10"/>
      <c r="H486" s="10"/>
      <c r="X486" s="12"/>
    </row>
    <row r="487" ht="15.75" customHeight="1">
      <c r="F487" s="10"/>
      <c r="G487" s="10"/>
      <c r="H487" s="10"/>
      <c r="X487" s="12"/>
    </row>
    <row r="488" ht="15.75" customHeight="1">
      <c r="F488" s="10"/>
      <c r="G488" s="10"/>
      <c r="H488" s="10"/>
      <c r="X488" s="12"/>
    </row>
    <row r="489" ht="15.75" customHeight="1">
      <c r="F489" s="10"/>
      <c r="G489" s="10"/>
      <c r="H489" s="10"/>
      <c r="X489" s="12"/>
    </row>
    <row r="490" ht="15.75" customHeight="1">
      <c r="F490" s="10"/>
      <c r="G490" s="10"/>
      <c r="H490" s="10"/>
      <c r="X490" s="12"/>
    </row>
    <row r="491" ht="15.75" customHeight="1">
      <c r="F491" s="10"/>
      <c r="G491" s="10"/>
      <c r="H491" s="10"/>
      <c r="X491" s="12"/>
    </row>
    <row r="492" ht="15.75" customHeight="1">
      <c r="F492" s="10"/>
      <c r="G492" s="10"/>
      <c r="H492" s="10"/>
      <c r="X492" s="12"/>
    </row>
    <row r="493" ht="15.75" customHeight="1">
      <c r="F493" s="10"/>
      <c r="G493" s="10"/>
      <c r="H493" s="10"/>
      <c r="X493" s="12"/>
    </row>
    <row r="494" ht="15.75" customHeight="1">
      <c r="F494" s="10"/>
      <c r="G494" s="10"/>
      <c r="H494" s="10"/>
      <c r="X494" s="12"/>
    </row>
    <row r="495" ht="15.75" customHeight="1">
      <c r="F495" s="10"/>
      <c r="G495" s="10"/>
      <c r="H495" s="10"/>
      <c r="X495" s="12"/>
    </row>
    <row r="496" ht="15.75" customHeight="1">
      <c r="F496" s="10"/>
      <c r="G496" s="10"/>
      <c r="H496" s="10"/>
      <c r="X496" s="12"/>
    </row>
    <row r="497" ht="15.75" customHeight="1">
      <c r="F497" s="10"/>
      <c r="G497" s="10"/>
      <c r="H497" s="10"/>
      <c r="X497" s="12"/>
    </row>
    <row r="498" ht="15.75" customHeight="1">
      <c r="F498" s="10"/>
      <c r="G498" s="10"/>
      <c r="H498" s="10"/>
      <c r="X498" s="12"/>
    </row>
    <row r="499" ht="15.75" customHeight="1">
      <c r="F499" s="10"/>
      <c r="G499" s="10"/>
      <c r="H499" s="10"/>
      <c r="X499" s="12"/>
    </row>
    <row r="500" ht="15.75" customHeight="1">
      <c r="F500" s="10"/>
      <c r="G500" s="10"/>
      <c r="H500" s="10"/>
      <c r="X500" s="12"/>
    </row>
    <row r="501" ht="15.75" customHeight="1">
      <c r="F501" s="10"/>
      <c r="G501" s="10"/>
      <c r="H501" s="10"/>
      <c r="X501" s="12"/>
    </row>
    <row r="502" ht="15.75" customHeight="1">
      <c r="F502" s="10"/>
      <c r="G502" s="10"/>
      <c r="H502" s="10"/>
      <c r="X502" s="12"/>
    </row>
    <row r="503" ht="15.75" customHeight="1">
      <c r="F503" s="10"/>
      <c r="G503" s="10"/>
      <c r="H503" s="10"/>
      <c r="X503" s="12"/>
    </row>
    <row r="504" ht="15.75" customHeight="1">
      <c r="F504" s="10"/>
      <c r="G504" s="10"/>
      <c r="H504" s="10"/>
      <c r="X504" s="12"/>
    </row>
    <row r="505" ht="15.75" customHeight="1">
      <c r="F505" s="10"/>
      <c r="G505" s="10"/>
      <c r="H505" s="10"/>
      <c r="X505" s="12"/>
    </row>
    <row r="506" ht="15.75" customHeight="1">
      <c r="F506" s="10"/>
      <c r="G506" s="10"/>
      <c r="H506" s="10"/>
      <c r="X506" s="12"/>
    </row>
    <row r="507" ht="15.75" customHeight="1">
      <c r="F507" s="10"/>
      <c r="G507" s="10"/>
      <c r="H507" s="10"/>
      <c r="X507" s="12"/>
    </row>
    <row r="508" ht="15.75" customHeight="1">
      <c r="F508" s="10"/>
      <c r="G508" s="10"/>
      <c r="H508" s="10"/>
      <c r="X508" s="12"/>
    </row>
    <row r="509" ht="15.75" customHeight="1">
      <c r="F509" s="10"/>
      <c r="G509" s="10"/>
      <c r="H509" s="10"/>
      <c r="X509" s="12"/>
    </row>
    <row r="510" ht="15.75" customHeight="1">
      <c r="F510" s="10"/>
      <c r="G510" s="10"/>
      <c r="H510" s="10"/>
      <c r="X510" s="12"/>
    </row>
    <row r="511" ht="15.75" customHeight="1">
      <c r="F511" s="10"/>
      <c r="G511" s="10"/>
      <c r="H511" s="10"/>
      <c r="X511" s="12"/>
    </row>
    <row r="512" ht="15.75" customHeight="1">
      <c r="F512" s="10"/>
      <c r="G512" s="10"/>
      <c r="H512" s="10"/>
      <c r="X512" s="12"/>
    </row>
    <row r="513" ht="15.75" customHeight="1">
      <c r="F513" s="10"/>
      <c r="G513" s="10"/>
      <c r="H513" s="10"/>
      <c r="X513" s="12"/>
    </row>
    <row r="514" ht="15.75" customHeight="1">
      <c r="F514" s="10"/>
      <c r="G514" s="10"/>
      <c r="H514" s="10"/>
      <c r="X514" s="12"/>
    </row>
    <row r="515" ht="15.75" customHeight="1">
      <c r="F515" s="10"/>
      <c r="G515" s="10"/>
      <c r="H515" s="10"/>
      <c r="X515" s="12"/>
    </row>
    <row r="516" ht="15.75" customHeight="1">
      <c r="F516" s="10"/>
      <c r="G516" s="10"/>
      <c r="H516" s="10"/>
      <c r="X516" s="12"/>
    </row>
    <row r="517" ht="15.75" customHeight="1">
      <c r="F517" s="10"/>
      <c r="G517" s="10"/>
      <c r="H517" s="10"/>
      <c r="X517" s="12"/>
    </row>
    <row r="518" ht="15.75" customHeight="1">
      <c r="F518" s="10"/>
      <c r="G518" s="10"/>
      <c r="H518" s="10"/>
      <c r="X518" s="12"/>
    </row>
    <row r="519" ht="15.75" customHeight="1">
      <c r="F519" s="10"/>
      <c r="G519" s="10"/>
      <c r="H519" s="10"/>
      <c r="X519" s="12"/>
    </row>
    <row r="520" ht="15.75" customHeight="1">
      <c r="F520" s="10"/>
      <c r="G520" s="10"/>
      <c r="H520" s="10"/>
      <c r="X520" s="12"/>
    </row>
    <row r="521" ht="15.75" customHeight="1">
      <c r="F521" s="10"/>
      <c r="G521" s="10"/>
      <c r="H521" s="10"/>
      <c r="X521" s="12"/>
    </row>
    <row r="522" ht="15.75" customHeight="1">
      <c r="F522" s="10"/>
      <c r="G522" s="10"/>
      <c r="H522" s="10"/>
      <c r="X522" s="12"/>
    </row>
    <row r="523" ht="15.75" customHeight="1">
      <c r="F523" s="10"/>
      <c r="G523" s="10"/>
      <c r="H523" s="10"/>
      <c r="X523" s="12"/>
    </row>
    <row r="524" ht="15.75" customHeight="1">
      <c r="F524" s="10"/>
      <c r="G524" s="10"/>
      <c r="H524" s="10"/>
      <c r="X524" s="12"/>
    </row>
    <row r="525" ht="15.75" customHeight="1">
      <c r="F525" s="10"/>
      <c r="G525" s="10"/>
      <c r="H525" s="10"/>
      <c r="X525" s="12"/>
    </row>
    <row r="526" ht="15.75" customHeight="1">
      <c r="F526" s="10"/>
      <c r="G526" s="10"/>
      <c r="H526" s="10"/>
      <c r="X526" s="12"/>
    </row>
    <row r="527" ht="15.75" customHeight="1">
      <c r="F527" s="10"/>
      <c r="G527" s="10"/>
      <c r="H527" s="10"/>
      <c r="X527" s="12"/>
    </row>
    <row r="528" ht="15.75" customHeight="1">
      <c r="F528" s="10"/>
      <c r="G528" s="10"/>
      <c r="H528" s="10"/>
      <c r="X528" s="12"/>
    </row>
    <row r="529" ht="15.75" customHeight="1">
      <c r="F529" s="10"/>
      <c r="G529" s="10"/>
      <c r="H529" s="10"/>
      <c r="X529" s="12"/>
    </row>
    <row r="530" ht="15.75" customHeight="1">
      <c r="F530" s="10"/>
      <c r="G530" s="10"/>
      <c r="H530" s="10"/>
      <c r="X530" s="12"/>
    </row>
    <row r="531" ht="15.75" customHeight="1">
      <c r="F531" s="10"/>
      <c r="G531" s="10"/>
      <c r="H531" s="10"/>
      <c r="X531" s="12"/>
    </row>
    <row r="532" ht="15.75" customHeight="1">
      <c r="F532" s="10"/>
      <c r="G532" s="10"/>
      <c r="H532" s="10"/>
      <c r="X532" s="12"/>
    </row>
    <row r="533" ht="15.75" customHeight="1">
      <c r="F533" s="10"/>
      <c r="G533" s="10"/>
      <c r="H533" s="10"/>
      <c r="X533" s="12"/>
    </row>
    <row r="534" ht="15.75" customHeight="1">
      <c r="F534" s="10"/>
      <c r="G534" s="10"/>
      <c r="H534" s="10"/>
      <c r="X534" s="12"/>
    </row>
    <row r="535" ht="15.75" customHeight="1">
      <c r="F535" s="10"/>
      <c r="G535" s="10"/>
      <c r="H535" s="10"/>
      <c r="X535" s="12"/>
    </row>
    <row r="536" ht="15.75" customHeight="1">
      <c r="F536" s="10"/>
      <c r="G536" s="10"/>
      <c r="H536" s="10"/>
      <c r="X536" s="12"/>
    </row>
    <row r="537" ht="15.75" customHeight="1">
      <c r="F537" s="10"/>
      <c r="G537" s="10"/>
      <c r="H537" s="10"/>
      <c r="X537" s="12"/>
    </row>
    <row r="538" ht="15.75" customHeight="1">
      <c r="F538" s="10"/>
      <c r="G538" s="10"/>
      <c r="H538" s="10"/>
      <c r="X538" s="12"/>
    </row>
    <row r="539" ht="15.75" customHeight="1">
      <c r="F539" s="10"/>
      <c r="G539" s="10"/>
      <c r="H539" s="10"/>
      <c r="X539" s="12"/>
    </row>
    <row r="540" ht="15.75" customHeight="1">
      <c r="F540" s="10"/>
      <c r="G540" s="10"/>
      <c r="H540" s="10"/>
      <c r="X540" s="12"/>
    </row>
    <row r="541" ht="15.75" customHeight="1">
      <c r="F541" s="10"/>
      <c r="G541" s="10"/>
      <c r="H541" s="10"/>
      <c r="X541" s="12"/>
    </row>
    <row r="542" ht="15.75" customHeight="1">
      <c r="F542" s="10"/>
      <c r="G542" s="10"/>
      <c r="H542" s="10"/>
      <c r="X542" s="12"/>
    </row>
    <row r="543" ht="15.75" customHeight="1">
      <c r="F543" s="10"/>
      <c r="G543" s="10"/>
      <c r="H543" s="10"/>
      <c r="X543" s="12"/>
    </row>
    <row r="544" ht="15.75" customHeight="1">
      <c r="F544" s="10"/>
      <c r="G544" s="10"/>
      <c r="H544" s="10"/>
      <c r="X544" s="12"/>
    </row>
    <row r="545" ht="15.75" customHeight="1">
      <c r="F545" s="10"/>
      <c r="G545" s="10"/>
      <c r="H545" s="10"/>
      <c r="X545" s="12"/>
    </row>
    <row r="546" ht="15.75" customHeight="1">
      <c r="F546" s="10"/>
      <c r="G546" s="10"/>
      <c r="H546" s="10"/>
      <c r="X546" s="12"/>
    </row>
    <row r="547" ht="15.75" customHeight="1">
      <c r="F547" s="10"/>
      <c r="G547" s="10"/>
      <c r="H547" s="10"/>
      <c r="X547" s="12"/>
    </row>
    <row r="548" ht="15.75" customHeight="1">
      <c r="F548" s="10"/>
      <c r="G548" s="10"/>
      <c r="H548" s="10"/>
      <c r="X548" s="12"/>
    </row>
    <row r="549" ht="15.75" customHeight="1">
      <c r="F549" s="10"/>
      <c r="G549" s="10"/>
      <c r="H549" s="10"/>
      <c r="X549" s="12"/>
    </row>
    <row r="550" ht="15.75" customHeight="1">
      <c r="F550" s="10"/>
      <c r="G550" s="10"/>
      <c r="H550" s="10"/>
      <c r="X550" s="12"/>
    </row>
    <row r="551" ht="15.75" customHeight="1">
      <c r="F551" s="10"/>
      <c r="G551" s="10"/>
      <c r="H551" s="10"/>
      <c r="X551" s="12"/>
    </row>
    <row r="552" ht="15.75" customHeight="1">
      <c r="F552" s="10"/>
      <c r="G552" s="10"/>
      <c r="H552" s="10"/>
      <c r="X552" s="12"/>
    </row>
    <row r="553" ht="15.75" customHeight="1">
      <c r="F553" s="10"/>
      <c r="G553" s="10"/>
      <c r="H553" s="10"/>
      <c r="X553" s="12"/>
    </row>
    <row r="554" ht="15.75" customHeight="1">
      <c r="F554" s="10"/>
      <c r="G554" s="10"/>
      <c r="H554" s="10"/>
      <c r="X554" s="12"/>
    </row>
    <row r="555" ht="15.75" customHeight="1">
      <c r="F555" s="10"/>
      <c r="G555" s="10"/>
      <c r="H555" s="10"/>
      <c r="X555" s="12"/>
    </row>
    <row r="556" ht="15.75" customHeight="1">
      <c r="F556" s="10"/>
      <c r="G556" s="10"/>
      <c r="H556" s="10"/>
      <c r="X556" s="12"/>
    </row>
    <row r="557" ht="15.75" customHeight="1">
      <c r="F557" s="10"/>
      <c r="G557" s="10"/>
      <c r="H557" s="10"/>
      <c r="X557" s="12"/>
    </row>
    <row r="558" ht="15.75" customHeight="1">
      <c r="F558" s="10"/>
      <c r="G558" s="10"/>
      <c r="H558" s="10"/>
      <c r="X558" s="12"/>
    </row>
    <row r="559" ht="15.75" customHeight="1">
      <c r="F559" s="10"/>
      <c r="G559" s="10"/>
      <c r="H559" s="10"/>
      <c r="X559" s="12"/>
    </row>
    <row r="560" ht="15.75" customHeight="1">
      <c r="F560" s="10"/>
      <c r="G560" s="10"/>
      <c r="H560" s="10"/>
      <c r="X560" s="12"/>
    </row>
    <row r="561" ht="15.75" customHeight="1">
      <c r="F561" s="10"/>
      <c r="G561" s="10"/>
      <c r="H561" s="10"/>
      <c r="X561" s="12"/>
    </row>
    <row r="562" ht="15.75" customHeight="1">
      <c r="F562" s="10"/>
      <c r="G562" s="10"/>
      <c r="H562" s="10"/>
      <c r="X562" s="12"/>
    </row>
    <row r="563" ht="15.75" customHeight="1">
      <c r="F563" s="10"/>
      <c r="G563" s="10"/>
      <c r="H563" s="10"/>
      <c r="X563" s="12"/>
    </row>
    <row r="564" ht="15.75" customHeight="1">
      <c r="F564" s="10"/>
      <c r="G564" s="10"/>
      <c r="H564" s="10"/>
      <c r="X564" s="12"/>
    </row>
    <row r="565" ht="15.75" customHeight="1">
      <c r="F565" s="10"/>
      <c r="G565" s="10"/>
      <c r="H565" s="10"/>
      <c r="X565" s="12"/>
    </row>
    <row r="566" ht="15.75" customHeight="1">
      <c r="F566" s="10"/>
      <c r="G566" s="10"/>
      <c r="H566" s="10"/>
      <c r="X566" s="12"/>
    </row>
    <row r="567" ht="15.75" customHeight="1">
      <c r="F567" s="10"/>
      <c r="G567" s="10"/>
      <c r="H567" s="10"/>
      <c r="X567" s="12"/>
    </row>
    <row r="568" ht="15.75" customHeight="1">
      <c r="F568" s="10"/>
      <c r="G568" s="10"/>
      <c r="H568" s="10"/>
      <c r="X568" s="12"/>
    </row>
    <row r="569" ht="15.75" customHeight="1">
      <c r="F569" s="10"/>
      <c r="G569" s="10"/>
      <c r="H569" s="10"/>
      <c r="X569" s="12"/>
    </row>
    <row r="570" ht="15.75" customHeight="1">
      <c r="F570" s="10"/>
      <c r="G570" s="10"/>
      <c r="H570" s="10"/>
      <c r="X570" s="12"/>
    </row>
    <row r="571" ht="15.75" customHeight="1">
      <c r="F571" s="10"/>
      <c r="G571" s="10"/>
      <c r="H571" s="10"/>
      <c r="X571" s="12"/>
    </row>
    <row r="572" ht="15.75" customHeight="1">
      <c r="F572" s="10"/>
      <c r="G572" s="10"/>
      <c r="H572" s="10"/>
      <c r="X572" s="12"/>
    </row>
    <row r="573" ht="15.75" customHeight="1">
      <c r="F573" s="10"/>
      <c r="G573" s="10"/>
      <c r="H573" s="10"/>
      <c r="X573" s="12"/>
    </row>
    <row r="574" ht="15.75" customHeight="1">
      <c r="F574" s="10"/>
      <c r="G574" s="10"/>
      <c r="H574" s="10"/>
      <c r="X574" s="12"/>
    </row>
    <row r="575" ht="15.75" customHeight="1">
      <c r="F575" s="10"/>
      <c r="G575" s="10"/>
      <c r="H575" s="10"/>
      <c r="X575" s="12"/>
    </row>
    <row r="576" ht="15.75" customHeight="1">
      <c r="F576" s="10"/>
      <c r="G576" s="10"/>
      <c r="H576" s="10"/>
      <c r="X576" s="12"/>
    </row>
    <row r="577" ht="15.75" customHeight="1">
      <c r="F577" s="10"/>
      <c r="G577" s="10"/>
      <c r="H577" s="10"/>
      <c r="X577" s="12"/>
    </row>
    <row r="578" ht="15.75" customHeight="1">
      <c r="F578" s="10"/>
      <c r="G578" s="10"/>
      <c r="H578" s="10"/>
      <c r="X578" s="12"/>
    </row>
    <row r="579" ht="15.75" customHeight="1">
      <c r="F579" s="10"/>
      <c r="G579" s="10"/>
      <c r="H579" s="10"/>
      <c r="X579" s="12"/>
    </row>
    <row r="580" ht="15.75" customHeight="1">
      <c r="F580" s="10"/>
      <c r="G580" s="10"/>
      <c r="H580" s="10"/>
      <c r="X580" s="12"/>
    </row>
    <row r="581" ht="15.75" customHeight="1">
      <c r="F581" s="10"/>
      <c r="G581" s="10"/>
      <c r="H581" s="10"/>
      <c r="X581" s="12"/>
    </row>
    <row r="582" ht="15.75" customHeight="1">
      <c r="F582" s="10"/>
      <c r="G582" s="10"/>
      <c r="H582" s="10"/>
      <c r="X582" s="12"/>
    </row>
    <row r="583" ht="15.75" customHeight="1">
      <c r="F583" s="10"/>
      <c r="G583" s="10"/>
      <c r="H583" s="10"/>
      <c r="X583" s="12"/>
    </row>
    <row r="584" ht="15.75" customHeight="1">
      <c r="F584" s="10"/>
      <c r="G584" s="10"/>
      <c r="H584" s="10"/>
      <c r="X584" s="12"/>
    </row>
    <row r="585" ht="15.75" customHeight="1">
      <c r="F585" s="10"/>
      <c r="G585" s="10"/>
      <c r="H585" s="10"/>
      <c r="X585" s="12"/>
    </row>
    <row r="586" ht="15.75" customHeight="1">
      <c r="F586" s="10"/>
      <c r="G586" s="10"/>
      <c r="H586" s="10"/>
      <c r="X586" s="12"/>
    </row>
    <row r="587" ht="15.75" customHeight="1">
      <c r="F587" s="10"/>
      <c r="G587" s="10"/>
      <c r="H587" s="10"/>
      <c r="X587" s="12"/>
    </row>
    <row r="588" ht="15.75" customHeight="1">
      <c r="F588" s="10"/>
      <c r="G588" s="10"/>
      <c r="H588" s="10"/>
      <c r="X588" s="12"/>
    </row>
    <row r="589" ht="15.75" customHeight="1">
      <c r="F589" s="10"/>
      <c r="G589" s="10"/>
      <c r="H589" s="10"/>
      <c r="X589" s="12"/>
    </row>
    <row r="590" ht="15.75" customHeight="1">
      <c r="F590" s="10"/>
      <c r="G590" s="10"/>
      <c r="H590" s="10"/>
      <c r="X590" s="12"/>
    </row>
    <row r="591" ht="15.75" customHeight="1">
      <c r="F591" s="10"/>
      <c r="G591" s="10"/>
      <c r="H591" s="10"/>
      <c r="X591" s="12"/>
    </row>
    <row r="592" ht="15.75" customHeight="1">
      <c r="F592" s="10"/>
      <c r="G592" s="10"/>
      <c r="H592" s="10"/>
      <c r="X592" s="12"/>
    </row>
    <row r="593" ht="15.75" customHeight="1">
      <c r="F593" s="10"/>
      <c r="G593" s="10"/>
      <c r="H593" s="10"/>
      <c r="X593" s="12"/>
    </row>
    <row r="594" ht="15.75" customHeight="1">
      <c r="F594" s="10"/>
      <c r="G594" s="10"/>
      <c r="H594" s="10"/>
      <c r="X594" s="12"/>
    </row>
    <row r="595" ht="15.75" customHeight="1">
      <c r="F595" s="10"/>
      <c r="G595" s="10"/>
      <c r="H595" s="10"/>
      <c r="X595" s="12"/>
    </row>
    <row r="596" ht="15.75" customHeight="1">
      <c r="F596" s="10"/>
      <c r="G596" s="10"/>
      <c r="H596" s="10"/>
      <c r="X596" s="12"/>
    </row>
    <row r="597" ht="15.75" customHeight="1">
      <c r="F597" s="10"/>
      <c r="G597" s="10"/>
      <c r="H597" s="10"/>
      <c r="X597" s="12"/>
    </row>
    <row r="598" ht="15.75" customHeight="1">
      <c r="F598" s="10"/>
      <c r="G598" s="10"/>
      <c r="H598" s="10"/>
      <c r="X598" s="12"/>
    </row>
    <row r="599" ht="15.75" customHeight="1">
      <c r="F599" s="10"/>
      <c r="G599" s="10"/>
      <c r="H599" s="10"/>
      <c r="X599" s="12"/>
    </row>
    <row r="600" ht="15.75" customHeight="1">
      <c r="F600" s="10"/>
      <c r="G600" s="10"/>
      <c r="H600" s="10"/>
      <c r="X600" s="12"/>
    </row>
    <row r="601" ht="15.75" customHeight="1">
      <c r="F601" s="10"/>
      <c r="G601" s="10"/>
      <c r="H601" s="10"/>
      <c r="X601" s="12"/>
    </row>
    <row r="602" ht="15.75" customHeight="1">
      <c r="F602" s="10"/>
      <c r="G602" s="10"/>
      <c r="H602" s="10"/>
      <c r="X602" s="12"/>
    </row>
    <row r="603" ht="15.75" customHeight="1">
      <c r="F603" s="10"/>
      <c r="G603" s="10"/>
      <c r="H603" s="10"/>
      <c r="X603" s="12"/>
    </row>
    <row r="604" ht="15.75" customHeight="1">
      <c r="F604" s="10"/>
      <c r="G604" s="10"/>
      <c r="H604" s="10"/>
      <c r="X604" s="12"/>
    </row>
    <row r="605" ht="15.75" customHeight="1">
      <c r="F605" s="10"/>
      <c r="G605" s="10"/>
      <c r="H605" s="10"/>
      <c r="X605" s="12"/>
    </row>
    <row r="606" ht="15.75" customHeight="1">
      <c r="F606" s="10"/>
      <c r="G606" s="10"/>
      <c r="H606" s="10"/>
      <c r="X606" s="12"/>
    </row>
    <row r="607" ht="15.75" customHeight="1">
      <c r="F607" s="10"/>
      <c r="G607" s="10"/>
      <c r="H607" s="10"/>
      <c r="X607" s="12"/>
    </row>
    <row r="608" ht="15.75" customHeight="1">
      <c r="F608" s="10"/>
      <c r="G608" s="10"/>
      <c r="H608" s="10"/>
      <c r="X608" s="12"/>
    </row>
    <row r="609" ht="15.75" customHeight="1">
      <c r="F609" s="10"/>
      <c r="G609" s="10"/>
      <c r="H609" s="10"/>
      <c r="X609" s="12"/>
    </row>
    <row r="610" ht="15.75" customHeight="1">
      <c r="F610" s="10"/>
      <c r="G610" s="10"/>
      <c r="H610" s="10"/>
      <c r="X610" s="12"/>
    </row>
    <row r="611" ht="15.75" customHeight="1">
      <c r="F611" s="10"/>
      <c r="G611" s="10"/>
      <c r="H611" s="10"/>
      <c r="X611" s="12"/>
    </row>
    <row r="612" ht="15.75" customHeight="1">
      <c r="F612" s="10"/>
      <c r="G612" s="10"/>
      <c r="H612" s="10"/>
      <c r="X612" s="12"/>
    </row>
    <row r="613" ht="15.75" customHeight="1">
      <c r="F613" s="10"/>
      <c r="G613" s="10"/>
      <c r="H613" s="10"/>
      <c r="X613" s="12"/>
    </row>
    <row r="614" ht="15.75" customHeight="1">
      <c r="F614" s="10"/>
      <c r="G614" s="10"/>
      <c r="H614" s="10"/>
      <c r="X614" s="12"/>
    </row>
    <row r="615" ht="15.75" customHeight="1">
      <c r="F615" s="10"/>
      <c r="G615" s="10"/>
      <c r="H615" s="10"/>
      <c r="X615" s="12"/>
    </row>
    <row r="616" ht="15.75" customHeight="1">
      <c r="F616" s="10"/>
      <c r="G616" s="10"/>
      <c r="H616" s="10"/>
      <c r="X616" s="12"/>
    </row>
    <row r="617" ht="15.75" customHeight="1">
      <c r="F617" s="10"/>
      <c r="G617" s="10"/>
      <c r="H617" s="10"/>
      <c r="X617" s="12"/>
    </row>
    <row r="618" ht="15.75" customHeight="1">
      <c r="F618" s="10"/>
      <c r="G618" s="10"/>
      <c r="H618" s="10"/>
      <c r="X618" s="12"/>
    </row>
    <row r="619" ht="15.75" customHeight="1">
      <c r="F619" s="10"/>
      <c r="G619" s="10"/>
      <c r="H619" s="10"/>
      <c r="X619" s="12"/>
    </row>
    <row r="620" ht="15.75" customHeight="1">
      <c r="F620" s="10"/>
      <c r="G620" s="10"/>
      <c r="H620" s="10"/>
      <c r="X620" s="12"/>
    </row>
    <row r="621" ht="15.75" customHeight="1">
      <c r="F621" s="10"/>
      <c r="G621" s="10"/>
      <c r="H621" s="10"/>
      <c r="X621" s="12"/>
    </row>
    <row r="622" ht="15.75" customHeight="1">
      <c r="F622" s="10"/>
      <c r="G622" s="10"/>
      <c r="H622" s="10"/>
      <c r="X622" s="12"/>
    </row>
    <row r="623" ht="15.75" customHeight="1">
      <c r="F623" s="10"/>
      <c r="G623" s="10"/>
      <c r="H623" s="10"/>
      <c r="X623" s="12"/>
    </row>
    <row r="624" ht="15.75" customHeight="1">
      <c r="F624" s="10"/>
      <c r="G624" s="10"/>
      <c r="H624" s="10"/>
      <c r="X624" s="12"/>
    </row>
    <row r="625" ht="15.75" customHeight="1">
      <c r="F625" s="10"/>
      <c r="G625" s="10"/>
      <c r="H625" s="10"/>
      <c r="X625" s="12"/>
    </row>
    <row r="626" ht="15.75" customHeight="1">
      <c r="F626" s="10"/>
      <c r="G626" s="10"/>
      <c r="H626" s="10"/>
      <c r="X626" s="12"/>
    </row>
    <row r="627" ht="15.75" customHeight="1">
      <c r="F627" s="10"/>
      <c r="G627" s="10"/>
      <c r="H627" s="10"/>
      <c r="X627" s="12"/>
    </row>
    <row r="628" ht="15.75" customHeight="1">
      <c r="F628" s="10"/>
      <c r="G628" s="10"/>
      <c r="H628" s="10"/>
      <c r="X628" s="12"/>
    </row>
    <row r="629" ht="15.75" customHeight="1">
      <c r="F629" s="10"/>
      <c r="G629" s="10"/>
      <c r="H629" s="10"/>
      <c r="X629" s="12"/>
    </row>
    <row r="630" ht="15.75" customHeight="1">
      <c r="F630" s="10"/>
      <c r="G630" s="10"/>
      <c r="H630" s="10"/>
      <c r="X630" s="12"/>
    </row>
    <row r="631" ht="15.75" customHeight="1">
      <c r="F631" s="10"/>
      <c r="G631" s="10"/>
      <c r="H631" s="10"/>
      <c r="X631" s="12"/>
    </row>
    <row r="632" ht="15.75" customHeight="1">
      <c r="F632" s="10"/>
      <c r="G632" s="10"/>
      <c r="H632" s="10"/>
      <c r="X632" s="12"/>
    </row>
    <row r="633" ht="15.75" customHeight="1">
      <c r="F633" s="10"/>
      <c r="G633" s="10"/>
      <c r="H633" s="10"/>
      <c r="X633" s="12"/>
    </row>
    <row r="634" ht="15.75" customHeight="1">
      <c r="F634" s="10"/>
      <c r="G634" s="10"/>
      <c r="H634" s="10"/>
      <c r="X634" s="12"/>
    </row>
    <row r="635" ht="15.75" customHeight="1">
      <c r="F635" s="10"/>
      <c r="G635" s="10"/>
      <c r="H635" s="10"/>
      <c r="X635" s="12"/>
    </row>
    <row r="636" ht="15.75" customHeight="1">
      <c r="F636" s="10"/>
      <c r="G636" s="10"/>
      <c r="H636" s="10"/>
      <c r="X636" s="12"/>
    </row>
    <row r="637" ht="15.75" customHeight="1">
      <c r="F637" s="10"/>
      <c r="G637" s="10"/>
      <c r="H637" s="10"/>
      <c r="X637" s="12"/>
    </row>
    <row r="638" ht="15.75" customHeight="1">
      <c r="F638" s="10"/>
      <c r="G638" s="10"/>
      <c r="H638" s="10"/>
      <c r="X638" s="12"/>
    </row>
    <row r="639" ht="15.75" customHeight="1">
      <c r="F639" s="10"/>
      <c r="G639" s="10"/>
      <c r="H639" s="10"/>
      <c r="X639" s="12"/>
    </row>
    <row r="640" ht="15.75" customHeight="1">
      <c r="F640" s="10"/>
      <c r="G640" s="10"/>
      <c r="H640" s="10"/>
      <c r="X640" s="12"/>
    </row>
    <row r="641" ht="15.75" customHeight="1">
      <c r="F641" s="10"/>
      <c r="G641" s="10"/>
      <c r="H641" s="10"/>
      <c r="X641" s="12"/>
    </row>
    <row r="642" ht="15.75" customHeight="1">
      <c r="F642" s="10"/>
      <c r="G642" s="10"/>
      <c r="H642" s="10"/>
      <c r="X642" s="12"/>
    </row>
    <row r="643" ht="15.75" customHeight="1">
      <c r="F643" s="10"/>
      <c r="G643" s="10"/>
      <c r="H643" s="10"/>
      <c r="X643" s="12"/>
    </row>
    <row r="644" ht="15.75" customHeight="1">
      <c r="F644" s="10"/>
      <c r="G644" s="10"/>
      <c r="H644" s="10"/>
      <c r="X644" s="12"/>
    </row>
    <row r="645" ht="15.75" customHeight="1">
      <c r="F645" s="10"/>
      <c r="G645" s="10"/>
      <c r="H645" s="10"/>
      <c r="X645" s="12"/>
    </row>
    <row r="646" ht="15.75" customHeight="1">
      <c r="F646" s="10"/>
      <c r="G646" s="10"/>
      <c r="H646" s="10"/>
      <c r="X646" s="12"/>
    </row>
    <row r="647" ht="15.75" customHeight="1">
      <c r="F647" s="10"/>
      <c r="G647" s="10"/>
      <c r="H647" s="10"/>
      <c r="X647" s="12"/>
    </row>
    <row r="648" ht="15.75" customHeight="1">
      <c r="F648" s="10"/>
      <c r="G648" s="10"/>
      <c r="H648" s="10"/>
      <c r="X648" s="12"/>
    </row>
    <row r="649" ht="15.75" customHeight="1">
      <c r="F649" s="10"/>
      <c r="G649" s="10"/>
      <c r="H649" s="10"/>
      <c r="X649" s="12"/>
    </row>
    <row r="650" ht="15.75" customHeight="1">
      <c r="F650" s="10"/>
      <c r="G650" s="10"/>
      <c r="H650" s="10"/>
      <c r="X650" s="12"/>
    </row>
    <row r="651" ht="15.75" customHeight="1">
      <c r="F651" s="10"/>
      <c r="G651" s="10"/>
      <c r="H651" s="10"/>
      <c r="X651" s="12"/>
    </row>
    <row r="652" ht="15.75" customHeight="1">
      <c r="F652" s="10"/>
      <c r="G652" s="10"/>
      <c r="H652" s="10"/>
      <c r="X652" s="12"/>
    </row>
    <row r="653" ht="15.75" customHeight="1">
      <c r="F653" s="10"/>
      <c r="G653" s="10"/>
      <c r="H653" s="10"/>
      <c r="X653" s="12"/>
    </row>
    <row r="654" ht="15.75" customHeight="1">
      <c r="F654" s="10"/>
      <c r="G654" s="10"/>
      <c r="H654" s="10"/>
      <c r="X654" s="12"/>
    </row>
    <row r="655" ht="15.75" customHeight="1">
      <c r="F655" s="10"/>
      <c r="G655" s="10"/>
      <c r="H655" s="10"/>
      <c r="X655" s="12"/>
    </row>
    <row r="656" ht="15.75" customHeight="1">
      <c r="F656" s="10"/>
      <c r="G656" s="10"/>
      <c r="H656" s="10"/>
      <c r="X656" s="12"/>
    </row>
    <row r="657" ht="15.75" customHeight="1">
      <c r="F657" s="10"/>
      <c r="G657" s="10"/>
      <c r="H657" s="10"/>
      <c r="X657" s="12"/>
    </row>
    <row r="658" ht="15.75" customHeight="1">
      <c r="F658" s="10"/>
      <c r="G658" s="10"/>
      <c r="H658" s="10"/>
      <c r="X658" s="12"/>
    </row>
    <row r="659" ht="15.75" customHeight="1">
      <c r="F659" s="10"/>
      <c r="G659" s="10"/>
      <c r="H659" s="10"/>
      <c r="X659" s="12"/>
    </row>
    <row r="660" ht="15.75" customHeight="1">
      <c r="F660" s="10"/>
      <c r="G660" s="10"/>
      <c r="H660" s="10"/>
      <c r="X660" s="12"/>
    </row>
    <row r="661" ht="15.75" customHeight="1">
      <c r="F661" s="10"/>
      <c r="G661" s="10"/>
      <c r="H661" s="10"/>
      <c r="X661" s="12"/>
    </row>
    <row r="662" ht="15.75" customHeight="1">
      <c r="F662" s="10"/>
      <c r="G662" s="10"/>
      <c r="H662" s="10"/>
      <c r="X662" s="12"/>
    </row>
    <row r="663" ht="15.75" customHeight="1">
      <c r="F663" s="10"/>
      <c r="G663" s="10"/>
      <c r="H663" s="10"/>
      <c r="X663" s="12"/>
    </row>
    <row r="664" ht="15.75" customHeight="1">
      <c r="F664" s="10"/>
      <c r="G664" s="10"/>
      <c r="H664" s="10"/>
      <c r="X664" s="12"/>
    </row>
    <row r="665" ht="15.75" customHeight="1">
      <c r="F665" s="10"/>
      <c r="G665" s="10"/>
      <c r="H665" s="10"/>
      <c r="X665" s="12"/>
    </row>
    <row r="666" ht="15.75" customHeight="1">
      <c r="F666" s="10"/>
      <c r="G666" s="10"/>
      <c r="H666" s="10"/>
      <c r="X666" s="12"/>
    </row>
    <row r="667" ht="15.75" customHeight="1">
      <c r="F667" s="10"/>
      <c r="G667" s="10"/>
      <c r="H667" s="10"/>
      <c r="X667" s="12"/>
    </row>
    <row r="668" ht="15.75" customHeight="1">
      <c r="F668" s="10"/>
      <c r="G668" s="10"/>
      <c r="H668" s="10"/>
      <c r="X668" s="12"/>
    </row>
    <row r="669" ht="15.75" customHeight="1">
      <c r="F669" s="10"/>
      <c r="G669" s="10"/>
      <c r="H669" s="10"/>
      <c r="X669" s="12"/>
    </row>
    <row r="670" ht="15.75" customHeight="1">
      <c r="F670" s="10"/>
      <c r="G670" s="10"/>
      <c r="H670" s="10"/>
      <c r="X670" s="12"/>
    </row>
    <row r="671" ht="15.75" customHeight="1">
      <c r="F671" s="10"/>
      <c r="G671" s="10"/>
      <c r="H671" s="10"/>
      <c r="X671" s="12"/>
    </row>
    <row r="672" ht="15.75" customHeight="1">
      <c r="F672" s="10"/>
      <c r="G672" s="10"/>
      <c r="H672" s="10"/>
      <c r="X672" s="12"/>
    </row>
    <row r="673" ht="15.75" customHeight="1">
      <c r="F673" s="10"/>
      <c r="G673" s="10"/>
      <c r="H673" s="10"/>
      <c r="X673" s="12"/>
    </row>
    <row r="674" ht="15.75" customHeight="1">
      <c r="F674" s="10"/>
      <c r="G674" s="10"/>
      <c r="H674" s="10"/>
      <c r="X674" s="12"/>
    </row>
    <row r="675" ht="15.75" customHeight="1">
      <c r="F675" s="10"/>
      <c r="G675" s="10"/>
      <c r="H675" s="10"/>
      <c r="X675" s="12"/>
    </row>
    <row r="676" ht="15.75" customHeight="1">
      <c r="F676" s="10"/>
      <c r="G676" s="10"/>
      <c r="H676" s="10"/>
      <c r="X676" s="12"/>
    </row>
    <row r="677" ht="15.75" customHeight="1">
      <c r="F677" s="10"/>
      <c r="G677" s="10"/>
      <c r="H677" s="10"/>
      <c r="X677" s="12"/>
    </row>
    <row r="678" ht="15.75" customHeight="1">
      <c r="F678" s="10"/>
      <c r="G678" s="10"/>
      <c r="H678" s="10"/>
      <c r="X678" s="12"/>
    </row>
    <row r="679" ht="15.75" customHeight="1">
      <c r="F679" s="10"/>
      <c r="G679" s="10"/>
      <c r="H679" s="10"/>
      <c r="X679" s="12"/>
    </row>
    <row r="680" ht="15.75" customHeight="1">
      <c r="F680" s="10"/>
      <c r="G680" s="10"/>
      <c r="H680" s="10"/>
      <c r="X680" s="12"/>
    </row>
    <row r="681" ht="15.75" customHeight="1">
      <c r="F681" s="10"/>
      <c r="G681" s="10"/>
      <c r="H681" s="10"/>
      <c r="X681" s="12"/>
    </row>
    <row r="682" ht="15.75" customHeight="1">
      <c r="F682" s="10"/>
      <c r="G682" s="10"/>
      <c r="H682" s="10"/>
      <c r="X682" s="12"/>
    </row>
    <row r="683" ht="15.75" customHeight="1">
      <c r="F683" s="10"/>
      <c r="G683" s="10"/>
      <c r="H683" s="10"/>
      <c r="X683" s="12"/>
    </row>
    <row r="684" ht="15.75" customHeight="1">
      <c r="F684" s="10"/>
      <c r="G684" s="10"/>
      <c r="H684" s="10"/>
      <c r="X684" s="12"/>
    </row>
    <row r="685" ht="15.75" customHeight="1">
      <c r="F685" s="10"/>
      <c r="G685" s="10"/>
      <c r="H685" s="10"/>
      <c r="X685" s="12"/>
    </row>
    <row r="686" ht="15.75" customHeight="1">
      <c r="F686" s="10"/>
      <c r="G686" s="10"/>
      <c r="H686" s="10"/>
      <c r="X686" s="12"/>
    </row>
    <row r="687" ht="15.75" customHeight="1">
      <c r="F687" s="10"/>
      <c r="G687" s="10"/>
      <c r="H687" s="10"/>
      <c r="X687" s="12"/>
    </row>
    <row r="688" ht="15.75" customHeight="1">
      <c r="F688" s="10"/>
      <c r="G688" s="10"/>
      <c r="H688" s="10"/>
      <c r="X688" s="12"/>
    </row>
    <row r="689" ht="15.75" customHeight="1">
      <c r="F689" s="10"/>
      <c r="G689" s="10"/>
      <c r="H689" s="10"/>
      <c r="X689" s="12"/>
    </row>
    <row r="690" ht="15.75" customHeight="1">
      <c r="F690" s="10"/>
      <c r="G690" s="10"/>
      <c r="H690" s="10"/>
      <c r="X690" s="12"/>
    </row>
    <row r="691" ht="15.75" customHeight="1">
      <c r="F691" s="10"/>
      <c r="G691" s="10"/>
      <c r="H691" s="10"/>
      <c r="X691" s="12"/>
    </row>
    <row r="692" ht="15.75" customHeight="1">
      <c r="F692" s="10"/>
      <c r="G692" s="10"/>
      <c r="H692" s="10"/>
      <c r="X692" s="12"/>
    </row>
    <row r="693" ht="15.75" customHeight="1">
      <c r="F693" s="10"/>
      <c r="G693" s="10"/>
      <c r="H693" s="10"/>
      <c r="X693" s="12"/>
    </row>
    <row r="694" ht="15.75" customHeight="1">
      <c r="F694" s="10"/>
      <c r="G694" s="10"/>
      <c r="H694" s="10"/>
      <c r="X694" s="12"/>
    </row>
    <row r="695" ht="15.75" customHeight="1">
      <c r="F695" s="10"/>
      <c r="G695" s="10"/>
      <c r="H695" s="10"/>
      <c r="X695" s="12"/>
    </row>
    <row r="696" ht="15.75" customHeight="1">
      <c r="F696" s="10"/>
      <c r="G696" s="10"/>
      <c r="H696" s="10"/>
      <c r="X696" s="12"/>
    </row>
    <row r="697" ht="15.75" customHeight="1">
      <c r="F697" s="10"/>
      <c r="G697" s="10"/>
      <c r="H697" s="10"/>
      <c r="X697" s="12"/>
    </row>
    <row r="698" ht="15.75" customHeight="1">
      <c r="F698" s="10"/>
      <c r="G698" s="10"/>
      <c r="H698" s="10"/>
      <c r="X698" s="12"/>
    </row>
    <row r="699" ht="15.75" customHeight="1">
      <c r="F699" s="10"/>
      <c r="G699" s="10"/>
      <c r="H699" s="10"/>
      <c r="X699" s="12"/>
    </row>
    <row r="700" ht="15.75" customHeight="1">
      <c r="F700" s="10"/>
      <c r="G700" s="10"/>
      <c r="H700" s="10"/>
      <c r="X700" s="12"/>
    </row>
    <row r="701" ht="15.75" customHeight="1">
      <c r="F701" s="10"/>
      <c r="G701" s="10"/>
      <c r="H701" s="10"/>
      <c r="X701" s="12"/>
    </row>
    <row r="702" ht="15.75" customHeight="1">
      <c r="F702" s="10"/>
      <c r="G702" s="10"/>
      <c r="H702" s="10"/>
      <c r="X702" s="12"/>
    </row>
    <row r="703" ht="15.75" customHeight="1">
      <c r="F703" s="10"/>
      <c r="G703" s="10"/>
      <c r="H703" s="10"/>
      <c r="X703" s="12"/>
    </row>
    <row r="704" ht="15.75" customHeight="1">
      <c r="F704" s="10"/>
      <c r="G704" s="10"/>
      <c r="H704" s="10"/>
      <c r="X704" s="12"/>
    </row>
    <row r="705" ht="15.75" customHeight="1">
      <c r="F705" s="10"/>
      <c r="G705" s="10"/>
      <c r="H705" s="10"/>
      <c r="X705" s="12"/>
    </row>
    <row r="706" ht="15.75" customHeight="1">
      <c r="F706" s="10"/>
      <c r="G706" s="10"/>
      <c r="H706" s="10"/>
      <c r="X706" s="12"/>
    </row>
    <row r="707" ht="15.75" customHeight="1">
      <c r="F707" s="10"/>
      <c r="G707" s="10"/>
      <c r="H707" s="10"/>
      <c r="X707" s="12"/>
    </row>
    <row r="708" ht="15.75" customHeight="1">
      <c r="F708" s="10"/>
      <c r="G708" s="10"/>
      <c r="H708" s="10"/>
      <c r="X708" s="12"/>
    </row>
    <row r="709" ht="15.75" customHeight="1">
      <c r="F709" s="10"/>
      <c r="G709" s="10"/>
      <c r="H709" s="10"/>
      <c r="X709" s="12"/>
    </row>
    <row r="710" ht="15.75" customHeight="1">
      <c r="F710" s="10"/>
      <c r="G710" s="10"/>
      <c r="H710" s="10"/>
      <c r="X710" s="12"/>
    </row>
    <row r="711" ht="15.75" customHeight="1">
      <c r="F711" s="10"/>
      <c r="G711" s="10"/>
      <c r="H711" s="10"/>
      <c r="X711" s="12"/>
    </row>
    <row r="712" ht="15.75" customHeight="1">
      <c r="F712" s="10"/>
      <c r="G712" s="10"/>
      <c r="H712" s="10"/>
      <c r="X712" s="12"/>
    </row>
    <row r="713" ht="15.75" customHeight="1">
      <c r="F713" s="10"/>
      <c r="G713" s="10"/>
      <c r="H713" s="10"/>
      <c r="X713" s="12"/>
    </row>
    <row r="714" ht="15.75" customHeight="1">
      <c r="F714" s="10"/>
      <c r="G714" s="10"/>
      <c r="H714" s="10"/>
      <c r="X714" s="12"/>
    </row>
    <row r="715" ht="15.75" customHeight="1">
      <c r="F715" s="10"/>
      <c r="G715" s="10"/>
      <c r="H715" s="10"/>
      <c r="X715" s="12"/>
    </row>
    <row r="716" ht="15.75" customHeight="1">
      <c r="F716" s="10"/>
      <c r="G716" s="10"/>
      <c r="H716" s="10"/>
      <c r="X716" s="12"/>
    </row>
    <row r="717" ht="15.75" customHeight="1">
      <c r="F717" s="10"/>
      <c r="G717" s="10"/>
      <c r="H717" s="10"/>
      <c r="X717" s="12"/>
    </row>
    <row r="718" ht="15.75" customHeight="1">
      <c r="F718" s="10"/>
      <c r="G718" s="10"/>
      <c r="H718" s="10"/>
      <c r="X718" s="12"/>
    </row>
    <row r="719" ht="15.75" customHeight="1">
      <c r="F719" s="10"/>
      <c r="G719" s="10"/>
      <c r="H719" s="10"/>
      <c r="X719" s="12"/>
    </row>
    <row r="720" ht="15.75" customHeight="1">
      <c r="F720" s="10"/>
      <c r="G720" s="10"/>
      <c r="H720" s="10"/>
      <c r="X720" s="12"/>
    </row>
    <row r="721" ht="15.75" customHeight="1">
      <c r="F721" s="10"/>
      <c r="G721" s="10"/>
      <c r="H721" s="10"/>
      <c r="X721" s="12"/>
    </row>
    <row r="722" ht="15.75" customHeight="1">
      <c r="F722" s="10"/>
      <c r="G722" s="10"/>
      <c r="H722" s="10"/>
      <c r="X722" s="12"/>
    </row>
    <row r="723" ht="15.75" customHeight="1">
      <c r="F723" s="10"/>
      <c r="G723" s="10"/>
      <c r="H723" s="10"/>
      <c r="X723" s="12"/>
    </row>
    <row r="724" ht="15.75" customHeight="1">
      <c r="F724" s="10"/>
      <c r="G724" s="10"/>
      <c r="H724" s="10"/>
      <c r="X724" s="12"/>
    </row>
    <row r="725" ht="15.75" customHeight="1">
      <c r="F725" s="10"/>
      <c r="G725" s="10"/>
      <c r="H725" s="10"/>
      <c r="X725" s="12"/>
    </row>
    <row r="726" ht="15.75" customHeight="1">
      <c r="F726" s="10"/>
      <c r="G726" s="10"/>
      <c r="H726" s="10"/>
      <c r="X726" s="12"/>
    </row>
    <row r="727" ht="15.75" customHeight="1">
      <c r="F727" s="10"/>
      <c r="G727" s="10"/>
      <c r="H727" s="10"/>
      <c r="X727" s="12"/>
    </row>
    <row r="728" ht="15.75" customHeight="1">
      <c r="F728" s="10"/>
      <c r="G728" s="10"/>
      <c r="H728" s="10"/>
      <c r="X728" s="12"/>
    </row>
    <row r="729" ht="15.75" customHeight="1">
      <c r="F729" s="10"/>
      <c r="G729" s="10"/>
      <c r="H729" s="10"/>
      <c r="X729" s="12"/>
    </row>
    <row r="730" ht="15.75" customHeight="1">
      <c r="F730" s="10"/>
      <c r="G730" s="10"/>
      <c r="H730" s="10"/>
      <c r="X730" s="12"/>
    </row>
    <row r="731" ht="15.75" customHeight="1">
      <c r="F731" s="10"/>
      <c r="G731" s="10"/>
      <c r="H731" s="10"/>
      <c r="X731" s="12"/>
    </row>
    <row r="732" ht="15.75" customHeight="1">
      <c r="F732" s="10"/>
      <c r="G732" s="10"/>
      <c r="H732" s="10"/>
      <c r="X732" s="12"/>
    </row>
    <row r="733" ht="15.75" customHeight="1">
      <c r="F733" s="10"/>
      <c r="G733" s="10"/>
      <c r="H733" s="10"/>
      <c r="X733" s="12"/>
    </row>
    <row r="734" ht="15.75" customHeight="1">
      <c r="F734" s="10"/>
      <c r="G734" s="10"/>
      <c r="H734" s="10"/>
      <c r="X734" s="12"/>
    </row>
    <row r="735" ht="15.75" customHeight="1">
      <c r="F735" s="10"/>
      <c r="G735" s="10"/>
      <c r="H735" s="10"/>
      <c r="X735" s="12"/>
    </row>
    <row r="736" ht="15.75" customHeight="1">
      <c r="F736" s="10"/>
      <c r="G736" s="10"/>
      <c r="H736" s="10"/>
      <c r="X736" s="12"/>
    </row>
    <row r="737" ht="15.75" customHeight="1">
      <c r="F737" s="10"/>
      <c r="G737" s="10"/>
      <c r="H737" s="10"/>
      <c r="X737" s="12"/>
    </row>
    <row r="738" ht="15.75" customHeight="1">
      <c r="F738" s="10"/>
      <c r="G738" s="10"/>
      <c r="H738" s="10"/>
      <c r="X738" s="12"/>
    </row>
    <row r="739" ht="15.75" customHeight="1">
      <c r="F739" s="10"/>
      <c r="G739" s="10"/>
      <c r="H739" s="10"/>
      <c r="X739" s="12"/>
    </row>
    <row r="740" ht="15.75" customHeight="1">
      <c r="F740" s="10"/>
      <c r="G740" s="10"/>
      <c r="H740" s="10"/>
      <c r="X740" s="12"/>
    </row>
    <row r="741" ht="15.75" customHeight="1">
      <c r="F741" s="10"/>
      <c r="G741" s="10"/>
      <c r="H741" s="10"/>
      <c r="X741" s="12"/>
    </row>
    <row r="742" ht="15.75" customHeight="1">
      <c r="F742" s="10"/>
      <c r="G742" s="10"/>
      <c r="H742" s="10"/>
      <c r="X742" s="12"/>
    </row>
    <row r="743" ht="15.75" customHeight="1">
      <c r="F743" s="10"/>
      <c r="G743" s="10"/>
      <c r="H743" s="10"/>
      <c r="X743" s="12"/>
    </row>
    <row r="744" ht="15.75" customHeight="1">
      <c r="F744" s="10"/>
      <c r="G744" s="10"/>
      <c r="H744" s="10"/>
      <c r="X744" s="12"/>
    </row>
    <row r="745" ht="15.75" customHeight="1">
      <c r="F745" s="10"/>
      <c r="G745" s="10"/>
      <c r="H745" s="10"/>
      <c r="X745" s="12"/>
    </row>
    <row r="746" ht="15.75" customHeight="1">
      <c r="F746" s="10"/>
      <c r="G746" s="10"/>
      <c r="H746" s="10"/>
      <c r="X746" s="12"/>
    </row>
    <row r="747" ht="15.75" customHeight="1">
      <c r="F747" s="10"/>
      <c r="G747" s="10"/>
      <c r="H747" s="10"/>
      <c r="X747" s="12"/>
    </row>
    <row r="748" ht="15.75" customHeight="1">
      <c r="F748" s="10"/>
      <c r="G748" s="10"/>
      <c r="H748" s="10"/>
      <c r="X748" s="12"/>
    </row>
    <row r="749" ht="15.75" customHeight="1">
      <c r="F749" s="10"/>
      <c r="G749" s="10"/>
      <c r="H749" s="10"/>
      <c r="X749" s="12"/>
    </row>
    <row r="750" ht="15.75" customHeight="1">
      <c r="F750" s="10"/>
      <c r="G750" s="10"/>
      <c r="H750" s="10"/>
      <c r="X750" s="12"/>
    </row>
    <row r="751" ht="15.75" customHeight="1">
      <c r="F751" s="10"/>
      <c r="G751" s="10"/>
      <c r="H751" s="10"/>
      <c r="X751" s="12"/>
    </row>
    <row r="752" ht="15.75" customHeight="1">
      <c r="F752" s="10"/>
      <c r="G752" s="10"/>
      <c r="H752" s="10"/>
      <c r="X752" s="12"/>
    </row>
    <row r="753" ht="15.75" customHeight="1">
      <c r="F753" s="10"/>
      <c r="G753" s="10"/>
      <c r="H753" s="10"/>
      <c r="X753" s="12"/>
    </row>
    <row r="754" ht="15.75" customHeight="1">
      <c r="F754" s="10"/>
      <c r="G754" s="10"/>
      <c r="H754" s="10"/>
      <c r="X754" s="12"/>
    </row>
    <row r="755" ht="15.75" customHeight="1">
      <c r="F755" s="10"/>
      <c r="G755" s="10"/>
      <c r="H755" s="10"/>
      <c r="X755" s="12"/>
    </row>
    <row r="756" ht="15.75" customHeight="1">
      <c r="F756" s="10"/>
      <c r="G756" s="10"/>
      <c r="H756" s="10"/>
      <c r="X756" s="12"/>
    </row>
    <row r="757" ht="15.75" customHeight="1">
      <c r="F757" s="10"/>
      <c r="G757" s="10"/>
      <c r="H757" s="10"/>
      <c r="X757" s="12"/>
    </row>
    <row r="758" ht="15.75" customHeight="1">
      <c r="F758" s="10"/>
      <c r="G758" s="10"/>
      <c r="H758" s="10"/>
      <c r="X758" s="12"/>
    </row>
    <row r="759" ht="15.75" customHeight="1">
      <c r="F759" s="10"/>
      <c r="G759" s="10"/>
      <c r="H759" s="10"/>
      <c r="X759" s="12"/>
    </row>
    <row r="760" ht="15.75" customHeight="1">
      <c r="F760" s="10"/>
      <c r="G760" s="10"/>
      <c r="H760" s="10"/>
      <c r="X760" s="12"/>
    </row>
    <row r="761" ht="15.75" customHeight="1">
      <c r="F761" s="10"/>
      <c r="G761" s="10"/>
      <c r="H761" s="10"/>
      <c r="X761" s="12"/>
    </row>
    <row r="762" ht="15.75" customHeight="1">
      <c r="F762" s="10"/>
      <c r="G762" s="10"/>
      <c r="H762" s="10"/>
      <c r="X762" s="12"/>
    </row>
    <row r="763" ht="15.75" customHeight="1">
      <c r="F763" s="10"/>
      <c r="G763" s="10"/>
      <c r="H763" s="10"/>
      <c r="X763" s="12"/>
    </row>
    <row r="764" ht="15.75" customHeight="1">
      <c r="F764" s="10"/>
      <c r="G764" s="10"/>
      <c r="H764" s="10"/>
      <c r="X764" s="12"/>
    </row>
    <row r="765" ht="15.75" customHeight="1">
      <c r="F765" s="10"/>
      <c r="G765" s="10"/>
      <c r="H765" s="10"/>
      <c r="X765" s="12"/>
    </row>
    <row r="766" ht="15.75" customHeight="1">
      <c r="F766" s="10"/>
      <c r="G766" s="10"/>
      <c r="H766" s="10"/>
      <c r="X766" s="12"/>
    </row>
    <row r="767" ht="15.75" customHeight="1">
      <c r="F767" s="10"/>
      <c r="G767" s="10"/>
      <c r="H767" s="10"/>
      <c r="X767" s="12"/>
    </row>
    <row r="768" ht="15.75" customHeight="1">
      <c r="F768" s="10"/>
      <c r="G768" s="10"/>
      <c r="H768" s="10"/>
      <c r="X768" s="12"/>
    </row>
    <row r="769" ht="15.75" customHeight="1">
      <c r="F769" s="10"/>
      <c r="G769" s="10"/>
      <c r="H769" s="10"/>
      <c r="X769" s="12"/>
    </row>
    <row r="770" ht="15.75" customHeight="1">
      <c r="F770" s="10"/>
      <c r="G770" s="10"/>
      <c r="H770" s="10"/>
      <c r="X770" s="12"/>
    </row>
    <row r="771" ht="15.75" customHeight="1">
      <c r="F771" s="10"/>
      <c r="G771" s="10"/>
      <c r="H771" s="10"/>
      <c r="X771" s="12"/>
    </row>
    <row r="772" ht="15.75" customHeight="1">
      <c r="F772" s="10"/>
      <c r="G772" s="10"/>
      <c r="H772" s="10"/>
      <c r="X772" s="12"/>
    </row>
    <row r="773" ht="15.75" customHeight="1">
      <c r="F773" s="10"/>
      <c r="G773" s="10"/>
      <c r="H773" s="10"/>
      <c r="X773" s="12"/>
    </row>
    <row r="774" ht="15.75" customHeight="1">
      <c r="F774" s="10"/>
      <c r="G774" s="10"/>
      <c r="H774" s="10"/>
      <c r="X774" s="12"/>
    </row>
    <row r="775" ht="15.75" customHeight="1">
      <c r="F775" s="10"/>
      <c r="G775" s="10"/>
      <c r="H775" s="10"/>
      <c r="X775" s="12"/>
    </row>
    <row r="776" ht="15.75" customHeight="1">
      <c r="F776" s="10"/>
      <c r="G776" s="10"/>
      <c r="H776" s="10"/>
      <c r="X776" s="12"/>
    </row>
    <row r="777" ht="15.75" customHeight="1">
      <c r="F777" s="10"/>
      <c r="G777" s="10"/>
      <c r="H777" s="10"/>
      <c r="X777" s="12"/>
    </row>
    <row r="778" ht="15.75" customHeight="1">
      <c r="F778" s="10"/>
      <c r="G778" s="10"/>
      <c r="H778" s="10"/>
      <c r="X778" s="12"/>
    </row>
    <row r="779" ht="15.75" customHeight="1">
      <c r="F779" s="10"/>
      <c r="G779" s="10"/>
      <c r="H779" s="10"/>
      <c r="X779" s="12"/>
    </row>
    <row r="780" ht="15.75" customHeight="1">
      <c r="F780" s="10"/>
      <c r="G780" s="10"/>
      <c r="H780" s="10"/>
      <c r="X780" s="12"/>
    </row>
    <row r="781" ht="15.75" customHeight="1">
      <c r="F781" s="10"/>
      <c r="G781" s="10"/>
      <c r="H781" s="10"/>
      <c r="X781" s="12"/>
    </row>
    <row r="782" ht="15.75" customHeight="1">
      <c r="F782" s="10"/>
      <c r="G782" s="10"/>
      <c r="H782" s="10"/>
      <c r="X782" s="12"/>
    </row>
    <row r="783" ht="15.75" customHeight="1">
      <c r="F783" s="10"/>
      <c r="G783" s="10"/>
      <c r="H783" s="10"/>
      <c r="X783" s="12"/>
    </row>
    <row r="784" ht="15.75" customHeight="1">
      <c r="F784" s="10"/>
      <c r="G784" s="10"/>
      <c r="H784" s="10"/>
      <c r="X784" s="12"/>
    </row>
    <row r="785" ht="15.75" customHeight="1">
      <c r="F785" s="10"/>
      <c r="G785" s="10"/>
      <c r="H785" s="10"/>
      <c r="X785" s="12"/>
    </row>
    <row r="786" ht="15.75" customHeight="1">
      <c r="F786" s="10"/>
      <c r="G786" s="10"/>
      <c r="H786" s="10"/>
      <c r="X786" s="12"/>
    </row>
    <row r="787" ht="15.75" customHeight="1">
      <c r="F787" s="10"/>
      <c r="G787" s="10"/>
      <c r="H787" s="10"/>
      <c r="X787" s="12"/>
    </row>
    <row r="788" ht="15.75" customHeight="1">
      <c r="F788" s="10"/>
      <c r="G788" s="10"/>
      <c r="H788" s="10"/>
      <c r="X788" s="12"/>
    </row>
    <row r="789" ht="15.75" customHeight="1">
      <c r="F789" s="10"/>
      <c r="G789" s="10"/>
      <c r="H789" s="10"/>
      <c r="X789" s="12"/>
    </row>
    <row r="790" ht="15.75" customHeight="1">
      <c r="F790" s="10"/>
      <c r="G790" s="10"/>
      <c r="H790" s="10"/>
      <c r="X790" s="12"/>
    </row>
    <row r="791" ht="15.75" customHeight="1">
      <c r="F791" s="10"/>
      <c r="G791" s="10"/>
      <c r="H791" s="10"/>
      <c r="X791" s="12"/>
    </row>
    <row r="792" ht="15.75" customHeight="1">
      <c r="F792" s="10"/>
      <c r="G792" s="10"/>
      <c r="H792" s="10"/>
      <c r="X792" s="12"/>
    </row>
    <row r="793" ht="15.75" customHeight="1">
      <c r="F793" s="10"/>
      <c r="G793" s="10"/>
      <c r="H793" s="10"/>
      <c r="X793" s="12"/>
    </row>
    <row r="794" ht="15.75" customHeight="1">
      <c r="F794" s="10"/>
      <c r="G794" s="10"/>
      <c r="H794" s="10"/>
      <c r="X794" s="12"/>
    </row>
    <row r="795" ht="15.75" customHeight="1">
      <c r="F795" s="10"/>
      <c r="G795" s="10"/>
      <c r="H795" s="10"/>
      <c r="X795" s="12"/>
    </row>
    <row r="796" ht="15.75" customHeight="1">
      <c r="F796" s="10"/>
      <c r="G796" s="10"/>
      <c r="H796" s="10"/>
      <c r="X796" s="12"/>
    </row>
    <row r="797" ht="15.75" customHeight="1">
      <c r="F797" s="10"/>
      <c r="G797" s="10"/>
      <c r="H797" s="10"/>
      <c r="X797" s="12"/>
    </row>
    <row r="798" ht="15.75" customHeight="1">
      <c r="F798" s="10"/>
      <c r="G798" s="10"/>
      <c r="H798" s="10"/>
      <c r="X798" s="12"/>
    </row>
    <row r="799" ht="15.75" customHeight="1">
      <c r="F799" s="10"/>
      <c r="G799" s="10"/>
      <c r="H799" s="10"/>
      <c r="X799" s="12"/>
    </row>
    <row r="800" ht="15.75" customHeight="1">
      <c r="F800" s="10"/>
      <c r="G800" s="10"/>
      <c r="H800" s="10"/>
      <c r="X800" s="12"/>
    </row>
    <row r="801" ht="15.75" customHeight="1">
      <c r="F801" s="10"/>
      <c r="G801" s="10"/>
      <c r="H801" s="10"/>
      <c r="X801" s="12"/>
    </row>
    <row r="802" ht="15.75" customHeight="1">
      <c r="F802" s="10"/>
      <c r="G802" s="10"/>
      <c r="H802" s="10"/>
      <c r="X802" s="12"/>
    </row>
    <row r="803" ht="15.75" customHeight="1">
      <c r="F803" s="10"/>
      <c r="G803" s="10"/>
      <c r="H803" s="10"/>
      <c r="X803" s="12"/>
    </row>
    <row r="804" ht="15.75" customHeight="1">
      <c r="F804" s="10"/>
      <c r="G804" s="10"/>
      <c r="H804" s="10"/>
      <c r="X804" s="12"/>
    </row>
    <row r="805" ht="15.75" customHeight="1">
      <c r="F805" s="10"/>
      <c r="G805" s="10"/>
      <c r="H805" s="10"/>
      <c r="X805" s="12"/>
    </row>
    <row r="806" ht="15.75" customHeight="1">
      <c r="F806" s="10"/>
      <c r="G806" s="10"/>
      <c r="H806" s="10"/>
      <c r="X806" s="12"/>
    </row>
    <row r="807" ht="15.75" customHeight="1">
      <c r="F807" s="10"/>
      <c r="G807" s="10"/>
      <c r="H807" s="10"/>
      <c r="X807" s="12"/>
    </row>
    <row r="808" ht="15.75" customHeight="1">
      <c r="F808" s="10"/>
      <c r="G808" s="10"/>
      <c r="H808" s="10"/>
      <c r="X808" s="12"/>
    </row>
    <row r="809" ht="15.75" customHeight="1">
      <c r="F809" s="10"/>
      <c r="G809" s="10"/>
      <c r="H809" s="10"/>
      <c r="X809" s="12"/>
    </row>
    <row r="810" ht="15.75" customHeight="1">
      <c r="F810" s="10"/>
      <c r="G810" s="10"/>
      <c r="H810" s="10"/>
      <c r="X810" s="12"/>
    </row>
    <row r="811" ht="15.75" customHeight="1">
      <c r="F811" s="10"/>
      <c r="G811" s="10"/>
      <c r="H811" s="10"/>
      <c r="X811" s="12"/>
    </row>
    <row r="812" ht="15.75" customHeight="1">
      <c r="F812" s="10"/>
      <c r="G812" s="10"/>
      <c r="H812" s="10"/>
      <c r="X812" s="12"/>
    </row>
    <row r="813" ht="15.75" customHeight="1">
      <c r="F813" s="10"/>
      <c r="G813" s="10"/>
      <c r="H813" s="10"/>
      <c r="X813" s="12"/>
    </row>
    <row r="814" ht="15.75" customHeight="1">
      <c r="F814" s="10"/>
      <c r="G814" s="10"/>
      <c r="H814" s="10"/>
      <c r="X814" s="12"/>
    </row>
    <row r="815" ht="15.75" customHeight="1">
      <c r="F815" s="10"/>
      <c r="G815" s="10"/>
      <c r="H815" s="10"/>
      <c r="X815" s="12"/>
    </row>
    <row r="816" ht="15.75" customHeight="1">
      <c r="F816" s="10"/>
      <c r="G816" s="10"/>
      <c r="H816" s="10"/>
      <c r="X816" s="12"/>
    </row>
    <row r="817" ht="15.75" customHeight="1">
      <c r="F817" s="10"/>
      <c r="G817" s="10"/>
      <c r="H817" s="10"/>
      <c r="X817" s="12"/>
    </row>
    <row r="818" ht="15.75" customHeight="1">
      <c r="F818" s="10"/>
      <c r="G818" s="10"/>
      <c r="H818" s="10"/>
      <c r="X818" s="12"/>
    </row>
    <row r="819" ht="15.75" customHeight="1">
      <c r="F819" s="10"/>
      <c r="G819" s="10"/>
      <c r="H819" s="10"/>
      <c r="X819" s="12"/>
    </row>
    <row r="820" ht="15.75" customHeight="1">
      <c r="F820" s="10"/>
      <c r="G820" s="10"/>
      <c r="H820" s="10"/>
      <c r="X820" s="12"/>
    </row>
    <row r="821" ht="15.75" customHeight="1">
      <c r="F821" s="10"/>
      <c r="G821" s="10"/>
      <c r="H821" s="10"/>
      <c r="X821" s="12"/>
    </row>
    <row r="822" ht="15.75" customHeight="1">
      <c r="F822" s="10"/>
      <c r="G822" s="10"/>
      <c r="H822" s="10"/>
      <c r="X822" s="12"/>
    </row>
    <row r="823" ht="15.75" customHeight="1">
      <c r="F823" s="10"/>
      <c r="G823" s="10"/>
      <c r="H823" s="10"/>
      <c r="X823" s="12"/>
    </row>
    <row r="824" ht="15.75" customHeight="1">
      <c r="F824" s="10"/>
      <c r="G824" s="10"/>
      <c r="H824" s="10"/>
      <c r="X824" s="12"/>
    </row>
    <row r="825" ht="15.75" customHeight="1">
      <c r="F825" s="10"/>
      <c r="G825" s="10"/>
      <c r="H825" s="10"/>
      <c r="X825" s="12"/>
    </row>
    <row r="826" ht="15.75" customHeight="1">
      <c r="F826" s="10"/>
      <c r="G826" s="10"/>
      <c r="H826" s="10"/>
      <c r="X826" s="12"/>
    </row>
    <row r="827" ht="15.75" customHeight="1">
      <c r="F827" s="10"/>
      <c r="G827" s="10"/>
      <c r="H827" s="10"/>
      <c r="X827" s="12"/>
    </row>
    <row r="828" ht="15.75" customHeight="1">
      <c r="F828" s="10"/>
      <c r="G828" s="10"/>
      <c r="H828" s="10"/>
      <c r="X828" s="12"/>
    </row>
    <row r="829" ht="15.75" customHeight="1">
      <c r="F829" s="10"/>
      <c r="G829" s="10"/>
      <c r="H829" s="10"/>
      <c r="X829" s="12"/>
    </row>
    <row r="830" ht="15.75" customHeight="1">
      <c r="F830" s="10"/>
      <c r="G830" s="10"/>
      <c r="H830" s="10"/>
      <c r="X830" s="12"/>
    </row>
    <row r="831" ht="15.75" customHeight="1">
      <c r="F831" s="10"/>
      <c r="G831" s="10"/>
      <c r="H831" s="10"/>
      <c r="X831" s="12"/>
    </row>
    <row r="832" ht="15.75" customHeight="1">
      <c r="F832" s="10"/>
      <c r="G832" s="10"/>
      <c r="H832" s="10"/>
      <c r="X832" s="12"/>
    </row>
    <row r="833" ht="15.75" customHeight="1">
      <c r="F833" s="10"/>
      <c r="G833" s="10"/>
      <c r="H833" s="10"/>
      <c r="X833" s="12"/>
    </row>
    <row r="834" ht="15.75" customHeight="1">
      <c r="F834" s="10"/>
      <c r="G834" s="10"/>
      <c r="H834" s="10"/>
      <c r="X834" s="12"/>
    </row>
    <row r="835" ht="15.75" customHeight="1">
      <c r="F835" s="10"/>
      <c r="G835" s="10"/>
      <c r="H835" s="10"/>
      <c r="X835" s="12"/>
    </row>
    <row r="836" ht="15.75" customHeight="1">
      <c r="F836" s="10"/>
      <c r="G836" s="10"/>
      <c r="H836" s="10"/>
      <c r="X836" s="12"/>
    </row>
    <row r="837" ht="15.75" customHeight="1">
      <c r="F837" s="10"/>
      <c r="G837" s="10"/>
      <c r="H837" s="10"/>
      <c r="X837" s="12"/>
    </row>
    <row r="838" ht="15.75" customHeight="1">
      <c r="F838" s="10"/>
      <c r="G838" s="10"/>
      <c r="H838" s="10"/>
      <c r="X838" s="12"/>
    </row>
    <row r="839" ht="15.75" customHeight="1">
      <c r="F839" s="10"/>
      <c r="G839" s="10"/>
      <c r="H839" s="10"/>
      <c r="X839" s="12"/>
    </row>
    <row r="840" ht="15.75" customHeight="1">
      <c r="F840" s="10"/>
      <c r="G840" s="10"/>
      <c r="H840" s="10"/>
      <c r="X840" s="12"/>
    </row>
    <row r="841" ht="15.75" customHeight="1">
      <c r="F841" s="10"/>
      <c r="G841" s="10"/>
      <c r="H841" s="10"/>
      <c r="X841" s="12"/>
    </row>
    <row r="842" ht="15.75" customHeight="1">
      <c r="F842" s="10"/>
      <c r="G842" s="10"/>
      <c r="H842" s="10"/>
      <c r="X842" s="12"/>
    </row>
    <row r="843" ht="15.75" customHeight="1">
      <c r="F843" s="10"/>
      <c r="G843" s="10"/>
      <c r="H843" s="10"/>
      <c r="X843" s="12"/>
    </row>
    <row r="844" ht="15.75" customHeight="1">
      <c r="F844" s="10"/>
      <c r="G844" s="10"/>
      <c r="H844" s="10"/>
      <c r="X844" s="12"/>
    </row>
    <row r="845" ht="15.75" customHeight="1">
      <c r="F845" s="10"/>
      <c r="G845" s="10"/>
      <c r="H845" s="10"/>
      <c r="X845" s="12"/>
    </row>
    <row r="846" ht="15.75" customHeight="1">
      <c r="F846" s="10"/>
      <c r="G846" s="10"/>
      <c r="H846" s="10"/>
      <c r="X846" s="12"/>
    </row>
    <row r="847" ht="15.75" customHeight="1">
      <c r="F847" s="10"/>
      <c r="G847" s="10"/>
      <c r="H847" s="10"/>
      <c r="X847" s="12"/>
    </row>
    <row r="848" ht="15.75" customHeight="1">
      <c r="F848" s="10"/>
      <c r="G848" s="10"/>
      <c r="H848" s="10"/>
      <c r="X848" s="12"/>
    </row>
    <row r="849" ht="15.75" customHeight="1">
      <c r="F849" s="10"/>
      <c r="G849" s="10"/>
      <c r="H849" s="10"/>
      <c r="X849" s="12"/>
    </row>
    <row r="850" ht="15.75" customHeight="1">
      <c r="F850" s="10"/>
      <c r="G850" s="10"/>
      <c r="H850" s="10"/>
      <c r="X850" s="12"/>
    </row>
    <row r="851" ht="15.75" customHeight="1">
      <c r="F851" s="10"/>
      <c r="G851" s="10"/>
      <c r="H851" s="10"/>
      <c r="X851" s="12"/>
    </row>
    <row r="852" ht="15.75" customHeight="1">
      <c r="F852" s="10"/>
      <c r="G852" s="10"/>
      <c r="H852" s="10"/>
      <c r="X852" s="12"/>
    </row>
    <row r="853" ht="15.75" customHeight="1">
      <c r="F853" s="10"/>
      <c r="G853" s="10"/>
      <c r="H853" s="10"/>
      <c r="X853" s="12"/>
    </row>
    <row r="854" ht="15.75" customHeight="1">
      <c r="F854" s="10"/>
      <c r="G854" s="10"/>
      <c r="H854" s="10"/>
      <c r="X854" s="12"/>
    </row>
    <row r="855" ht="15.75" customHeight="1">
      <c r="F855" s="10"/>
      <c r="G855" s="10"/>
      <c r="H855" s="10"/>
      <c r="X855" s="12"/>
    </row>
    <row r="856" ht="15.75" customHeight="1">
      <c r="F856" s="10"/>
      <c r="G856" s="10"/>
      <c r="H856" s="10"/>
      <c r="X856" s="12"/>
    </row>
    <row r="857" ht="15.75" customHeight="1">
      <c r="F857" s="10"/>
      <c r="G857" s="10"/>
      <c r="H857" s="10"/>
      <c r="X857" s="12"/>
    </row>
    <row r="858" ht="15.75" customHeight="1">
      <c r="F858" s="10"/>
      <c r="G858" s="10"/>
      <c r="H858" s="10"/>
      <c r="X858" s="12"/>
    </row>
    <row r="859" ht="15.75" customHeight="1">
      <c r="F859" s="10"/>
      <c r="G859" s="10"/>
      <c r="H859" s="10"/>
      <c r="X859" s="12"/>
    </row>
    <row r="860" ht="15.75" customHeight="1">
      <c r="F860" s="10"/>
      <c r="G860" s="10"/>
      <c r="H860" s="10"/>
      <c r="X860" s="12"/>
    </row>
    <row r="861" ht="15.75" customHeight="1">
      <c r="F861" s="10"/>
      <c r="G861" s="10"/>
      <c r="H861" s="10"/>
      <c r="X861" s="12"/>
    </row>
    <row r="862" ht="15.75" customHeight="1">
      <c r="F862" s="10"/>
      <c r="G862" s="10"/>
      <c r="H862" s="10"/>
      <c r="X862" s="12"/>
    </row>
    <row r="863" ht="15.75" customHeight="1">
      <c r="F863" s="10"/>
      <c r="G863" s="10"/>
      <c r="H863" s="10"/>
      <c r="X863" s="12"/>
    </row>
    <row r="864" ht="15.75" customHeight="1">
      <c r="F864" s="10"/>
      <c r="G864" s="10"/>
      <c r="H864" s="10"/>
      <c r="X864" s="12"/>
    </row>
    <row r="865" ht="15.75" customHeight="1">
      <c r="F865" s="10"/>
      <c r="G865" s="10"/>
      <c r="H865" s="10"/>
      <c r="X865" s="12"/>
    </row>
    <row r="866" ht="15.75" customHeight="1">
      <c r="F866" s="10"/>
      <c r="G866" s="10"/>
      <c r="H866" s="10"/>
      <c r="X866" s="12"/>
    </row>
    <row r="867" ht="15.75" customHeight="1">
      <c r="F867" s="10"/>
      <c r="G867" s="10"/>
      <c r="H867" s="10"/>
      <c r="X867" s="12"/>
    </row>
    <row r="868" ht="15.75" customHeight="1">
      <c r="F868" s="10"/>
      <c r="G868" s="10"/>
      <c r="H868" s="10"/>
      <c r="X868" s="12"/>
    </row>
    <row r="869" ht="15.75" customHeight="1">
      <c r="F869" s="10"/>
      <c r="G869" s="10"/>
      <c r="H869" s="10"/>
      <c r="X869" s="12"/>
    </row>
    <row r="870" ht="15.75" customHeight="1">
      <c r="F870" s="10"/>
      <c r="G870" s="10"/>
      <c r="H870" s="10"/>
      <c r="X870" s="12"/>
    </row>
    <row r="871" ht="15.75" customHeight="1">
      <c r="F871" s="10"/>
      <c r="G871" s="10"/>
      <c r="H871" s="10"/>
      <c r="X871" s="12"/>
    </row>
    <row r="872" ht="15.75" customHeight="1">
      <c r="F872" s="10"/>
      <c r="G872" s="10"/>
      <c r="H872" s="10"/>
      <c r="X872" s="12"/>
    </row>
    <row r="873" ht="15.75" customHeight="1">
      <c r="F873" s="10"/>
      <c r="G873" s="10"/>
      <c r="H873" s="10"/>
      <c r="X873" s="12"/>
    </row>
    <row r="874" ht="15.75" customHeight="1">
      <c r="F874" s="10"/>
      <c r="G874" s="10"/>
      <c r="H874" s="10"/>
      <c r="X874" s="12"/>
    </row>
    <row r="875" ht="15.75" customHeight="1">
      <c r="F875" s="10"/>
      <c r="G875" s="10"/>
      <c r="H875" s="10"/>
      <c r="X875" s="12"/>
    </row>
    <row r="876" ht="15.75" customHeight="1">
      <c r="F876" s="10"/>
      <c r="G876" s="10"/>
      <c r="H876" s="10"/>
      <c r="X876" s="12"/>
    </row>
    <row r="877" ht="15.75" customHeight="1">
      <c r="F877" s="10"/>
      <c r="G877" s="10"/>
      <c r="H877" s="10"/>
      <c r="X877" s="12"/>
    </row>
    <row r="878" ht="15.75" customHeight="1">
      <c r="F878" s="10"/>
      <c r="G878" s="10"/>
      <c r="H878" s="10"/>
      <c r="X878" s="12"/>
    </row>
    <row r="879" ht="15.75" customHeight="1">
      <c r="F879" s="10"/>
      <c r="G879" s="10"/>
      <c r="H879" s="10"/>
      <c r="X879" s="12"/>
    </row>
    <row r="880" ht="15.75" customHeight="1">
      <c r="F880" s="10"/>
      <c r="G880" s="10"/>
      <c r="H880" s="10"/>
      <c r="X880" s="12"/>
    </row>
    <row r="881" ht="15.75" customHeight="1">
      <c r="F881" s="10"/>
      <c r="G881" s="10"/>
      <c r="H881" s="10"/>
      <c r="X881" s="12"/>
    </row>
    <row r="882" ht="15.75" customHeight="1">
      <c r="F882" s="10"/>
      <c r="G882" s="10"/>
      <c r="H882" s="10"/>
      <c r="X882" s="12"/>
    </row>
    <row r="883" ht="15.75" customHeight="1">
      <c r="F883" s="10"/>
      <c r="G883" s="10"/>
      <c r="H883" s="10"/>
      <c r="X883" s="12"/>
    </row>
    <row r="884" ht="15.75" customHeight="1">
      <c r="F884" s="10"/>
      <c r="G884" s="10"/>
      <c r="H884" s="10"/>
      <c r="X884" s="12"/>
    </row>
    <row r="885" ht="15.75" customHeight="1">
      <c r="F885" s="10"/>
      <c r="G885" s="10"/>
      <c r="H885" s="10"/>
      <c r="X885" s="12"/>
    </row>
    <row r="886" ht="15.75" customHeight="1">
      <c r="F886" s="10"/>
      <c r="G886" s="10"/>
      <c r="H886" s="10"/>
      <c r="X886" s="12"/>
    </row>
    <row r="887" ht="15.75" customHeight="1">
      <c r="F887" s="10"/>
      <c r="G887" s="10"/>
      <c r="H887" s="10"/>
      <c r="X887" s="12"/>
    </row>
    <row r="888" ht="15.75" customHeight="1">
      <c r="F888" s="10"/>
      <c r="G888" s="10"/>
      <c r="H888" s="10"/>
      <c r="X888" s="12"/>
    </row>
    <row r="889" ht="15.75" customHeight="1">
      <c r="F889" s="10"/>
      <c r="G889" s="10"/>
      <c r="H889" s="10"/>
      <c r="X889" s="12"/>
    </row>
    <row r="890" ht="15.75" customHeight="1">
      <c r="F890" s="10"/>
      <c r="G890" s="10"/>
      <c r="H890" s="10"/>
      <c r="X890" s="12"/>
    </row>
    <row r="891" ht="15.75" customHeight="1">
      <c r="F891" s="10"/>
      <c r="G891" s="10"/>
      <c r="H891" s="10"/>
      <c r="X891" s="12"/>
    </row>
    <row r="892" ht="15.75" customHeight="1">
      <c r="F892" s="10"/>
      <c r="G892" s="10"/>
      <c r="H892" s="10"/>
      <c r="X892" s="12"/>
    </row>
    <row r="893" ht="15.75" customHeight="1">
      <c r="F893" s="10"/>
      <c r="G893" s="10"/>
      <c r="H893" s="10"/>
      <c r="X893" s="12"/>
    </row>
    <row r="894" ht="15.75" customHeight="1">
      <c r="F894" s="10"/>
      <c r="G894" s="10"/>
      <c r="H894" s="10"/>
      <c r="X894" s="12"/>
    </row>
    <row r="895" ht="15.75" customHeight="1">
      <c r="F895" s="10"/>
      <c r="G895" s="10"/>
      <c r="H895" s="10"/>
      <c r="X895" s="12"/>
    </row>
    <row r="896" ht="15.75" customHeight="1">
      <c r="F896" s="10"/>
      <c r="G896" s="10"/>
      <c r="H896" s="10"/>
      <c r="X896" s="12"/>
    </row>
    <row r="897" ht="15.75" customHeight="1">
      <c r="F897" s="10"/>
      <c r="G897" s="10"/>
      <c r="H897" s="10"/>
      <c r="X897" s="12"/>
    </row>
    <row r="898" ht="15.75" customHeight="1">
      <c r="F898" s="10"/>
      <c r="G898" s="10"/>
      <c r="H898" s="10"/>
      <c r="X898" s="12"/>
    </row>
    <row r="899" ht="15.75" customHeight="1">
      <c r="F899" s="10"/>
      <c r="G899" s="10"/>
      <c r="H899" s="10"/>
      <c r="X899" s="12"/>
    </row>
    <row r="900" ht="15.75" customHeight="1">
      <c r="F900" s="10"/>
      <c r="G900" s="10"/>
      <c r="H900" s="10"/>
      <c r="X900" s="12"/>
    </row>
    <row r="901" ht="15.75" customHeight="1">
      <c r="F901" s="10"/>
      <c r="G901" s="10"/>
      <c r="H901" s="10"/>
      <c r="X901" s="12"/>
    </row>
    <row r="902" ht="15.75" customHeight="1">
      <c r="F902" s="10"/>
      <c r="G902" s="10"/>
      <c r="H902" s="10"/>
      <c r="X902" s="12"/>
    </row>
    <row r="903" ht="15.75" customHeight="1">
      <c r="F903" s="10"/>
      <c r="G903" s="10"/>
      <c r="H903" s="10"/>
      <c r="X903" s="12"/>
    </row>
    <row r="904" ht="15.75" customHeight="1">
      <c r="F904" s="10"/>
      <c r="G904" s="10"/>
      <c r="H904" s="10"/>
      <c r="X904" s="12"/>
    </row>
    <row r="905" ht="15.75" customHeight="1">
      <c r="F905" s="10"/>
      <c r="G905" s="10"/>
      <c r="H905" s="10"/>
      <c r="X905" s="12"/>
    </row>
    <row r="906" ht="15.75" customHeight="1">
      <c r="F906" s="10"/>
      <c r="G906" s="10"/>
      <c r="H906" s="10"/>
      <c r="X906" s="12"/>
    </row>
    <row r="907" ht="15.75" customHeight="1">
      <c r="F907" s="10"/>
      <c r="G907" s="10"/>
      <c r="H907" s="10"/>
      <c r="X907" s="12"/>
    </row>
    <row r="908" ht="15.75" customHeight="1">
      <c r="F908" s="10"/>
      <c r="G908" s="10"/>
      <c r="H908" s="10"/>
      <c r="X908" s="12"/>
    </row>
    <row r="909" ht="15.75" customHeight="1">
      <c r="F909" s="10"/>
      <c r="G909" s="10"/>
      <c r="H909" s="10"/>
      <c r="X909" s="12"/>
    </row>
    <row r="910" ht="15.75" customHeight="1">
      <c r="F910" s="10"/>
      <c r="G910" s="10"/>
      <c r="H910" s="10"/>
      <c r="X910" s="12"/>
    </row>
    <row r="911" ht="15.75" customHeight="1">
      <c r="F911" s="10"/>
      <c r="G911" s="10"/>
      <c r="H911" s="10"/>
      <c r="X911" s="12"/>
    </row>
    <row r="912" ht="15.75" customHeight="1">
      <c r="F912" s="10"/>
      <c r="G912" s="10"/>
      <c r="H912" s="10"/>
      <c r="X912" s="12"/>
    </row>
    <row r="913" ht="15.75" customHeight="1">
      <c r="F913" s="10"/>
      <c r="G913" s="10"/>
      <c r="H913" s="10"/>
      <c r="X913" s="12"/>
    </row>
    <row r="914" ht="15.75" customHeight="1">
      <c r="F914" s="10"/>
      <c r="G914" s="10"/>
      <c r="H914" s="10"/>
      <c r="X914" s="12"/>
    </row>
    <row r="915" ht="15.75" customHeight="1">
      <c r="F915" s="10"/>
      <c r="G915" s="10"/>
      <c r="H915" s="10"/>
      <c r="X915" s="12"/>
    </row>
    <row r="916" ht="15.75" customHeight="1">
      <c r="F916" s="10"/>
      <c r="G916" s="10"/>
      <c r="H916" s="10"/>
      <c r="X916" s="12"/>
    </row>
    <row r="917" ht="15.75" customHeight="1">
      <c r="F917" s="10"/>
      <c r="G917" s="10"/>
      <c r="H917" s="10"/>
      <c r="X917" s="12"/>
    </row>
    <row r="918" ht="15.75" customHeight="1">
      <c r="F918" s="10"/>
      <c r="G918" s="10"/>
      <c r="H918" s="10"/>
      <c r="X918" s="12"/>
    </row>
    <row r="919" ht="15.75" customHeight="1">
      <c r="F919" s="10"/>
      <c r="G919" s="10"/>
      <c r="H919" s="10"/>
      <c r="X919" s="12"/>
    </row>
    <row r="920" ht="15.75" customHeight="1">
      <c r="F920" s="10"/>
      <c r="G920" s="10"/>
      <c r="H920" s="10"/>
      <c r="X920" s="12"/>
    </row>
    <row r="921" ht="15.75" customHeight="1">
      <c r="F921" s="10"/>
      <c r="G921" s="10"/>
      <c r="H921" s="10"/>
      <c r="X921" s="12"/>
    </row>
    <row r="922" ht="15.75" customHeight="1">
      <c r="F922" s="10"/>
      <c r="G922" s="10"/>
      <c r="H922" s="10"/>
      <c r="X922" s="12"/>
    </row>
    <row r="923" ht="15.75" customHeight="1">
      <c r="F923" s="10"/>
      <c r="G923" s="10"/>
      <c r="H923" s="10"/>
      <c r="X923" s="12"/>
    </row>
    <row r="924" ht="15.75" customHeight="1">
      <c r="F924" s="10"/>
      <c r="G924" s="10"/>
      <c r="H924" s="10"/>
      <c r="X924" s="12"/>
    </row>
    <row r="925" ht="15.75" customHeight="1">
      <c r="F925" s="10"/>
      <c r="G925" s="10"/>
      <c r="H925" s="10"/>
      <c r="X925" s="12"/>
    </row>
    <row r="926" ht="15.75" customHeight="1">
      <c r="F926" s="10"/>
      <c r="G926" s="10"/>
      <c r="H926" s="10"/>
      <c r="X926" s="12"/>
    </row>
    <row r="927" ht="15.75" customHeight="1">
      <c r="F927" s="10"/>
      <c r="G927" s="10"/>
      <c r="H927" s="10"/>
      <c r="X927" s="12"/>
    </row>
    <row r="928" ht="15.75" customHeight="1">
      <c r="F928" s="10"/>
      <c r="G928" s="10"/>
      <c r="H928" s="10"/>
      <c r="X928" s="12"/>
    </row>
    <row r="929" ht="15.75" customHeight="1">
      <c r="F929" s="10"/>
      <c r="G929" s="10"/>
      <c r="H929" s="10"/>
      <c r="X929" s="12"/>
    </row>
    <row r="930" ht="15.75" customHeight="1">
      <c r="F930" s="10"/>
      <c r="G930" s="10"/>
      <c r="H930" s="10"/>
      <c r="X930" s="12"/>
    </row>
    <row r="931" ht="15.75" customHeight="1">
      <c r="F931" s="10"/>
      <c r="G931" s="10"/>
      <c r="H931" s="10"/>
      <c r="X931" s="12"/>
    </row>
    <row r="932" ht="15.75" customHeight="1">
      <c r="F932" s="10"/>
      <c r="G932" s="10"/>
      <c r="H932" s="10"/>
      <c r="X932" s="12"/>
    </row>
    <row r="933" ht="15.75" customHeight="1">
      <c r="F933" s="10"/>
      <c r="G933" s="10"/>
      <c r="H933" s="10"/>
      <c r="X933" s="12"/>
    </row>
    <row r="934" ht="15.75" customHeight="1">
      <c r="F934" s="10"/>
      <c r="G934" s="10"/>
      <c r="H934" s="10"/>
      <c r="X934" s="12"/>
    </row>
    <row r="935" ht="15.75" customHeight="1">
      <c r="F935" s="10"/>
      <c r="G935" s="10"/>
      <c r="H935" s="10"/>
      <c r="X935" s="12"/>
    </row>
    <row r="936" ht="15.75" customHeight="1">
      <c r="F936" s="10"/>
      <c r="G936" s="10"/>
      <c r="H936" s="10"/>
      <c r="X936" s="12"/>
    </row>
    <row r="937" ht="15.75" customHeight="1">
      <c r="F937" s="10"/>
      <c r="G937" s="10"/>
      <c r="H937" s="10"/>
      <c r="X937" s="12"/>
    </row>
    <row r="938" ht="15.75" customHeight="1">
      <c r="F938" s="10"/>
      <c r="G938" s="10"/>
      <c r="H938" s="10"/>
      <c r="X938" s="12"/>
    </row>
    <row r="939" ht="15.75" customHeight="1">
      <c r="F939" s="10"/>
      <c r="G939" s="10"/>
      <c r="H939" s="10"/>
      <c r="X939" s="12"/>
    </row>
    <row r="940" ht="15.75" customHeight="1">
      <c r="F940" s="10"/>
      <c r="G940" s="10"/>
      <c r="H940" s="10"/>
      <c r="X940" s="12"/>
    </row>
    <row r="941" ht="15.75" customHeight="1">
      <c r="F941" s="10"/>
      <c r="G941" s="10"/>
      <c r="H941" s="10"/>
      <c r="X941" s="12"/>
    </row>
    <row r="942" ht="15.75" customHeight="1">
      <c r="F942" s="10"/>
      <c r="G942" s="10"/>
      <c r="H942" s="10"/>
      <c r="X942" s="12"/>
    </row>
    <row r="943" ht="15.75" customHeight="1">
      <c r="F943" s="10"/>
      <c r="G943" s="10"/>
      <c r="H943" s="10"/>
      <c r="X943" s="12"/>
    </row>
    <row r="944" ht="15.75" customHeight="1">
      <c r="F944" s="10"/>
      <c r="G944" s="10"/>
      <c r="H944" s="10"/>
      <c r="X944" s="12"/>
    </row>
    <row r="945" ht="15.75" customHeight="1">
      <c r="F945" s="10"/>
      <c r="G945" s="10"/>
      <c r="H945" s="10"/>
      <c r="X945" s="12"/>
    </row>
    <row r="946" ht="15.75" customHeight="1">
      <c r="F946" s="10"/>
      <c r="G946" s="10"/>
      <c r="H946" s="10"/>
      <c r="X946" s="12"/>
    </row>
    <row r="947" ht="15.75" customHeight="1">
      <c r="F947" s="10"/>
      <c r="G947" s="10"/>
      <c r="H947" s="10"/>
      <c r="X947" s="12"/>
    </row>
    <row r="948" ht="15.75" customHeight="1">
      <c r="F948" s="10"/>
      <c r="G948" s="10"/>
      <c r="H948" s="10"/>
      <c r="X948" s="12"/>
    </row>
    <row r="949" ht="15.75" customHeight="1">
      <c r="F949" s="10"/>
      <c r="G949" s="10"/>
      <c r="H949" s="10"/>
      <c r="X949" s="12"/>
    </row>
    <row r="950" ht="15.75" customHeight="1">
      <c r="F950" s="10"/>
      <c r="G950" s="10"/>
      <c r="H950" s="10"/>
      <c r="X950" s="12"/>
    </row>
    <row r="951" ht="15.75" customHeight="1">
      <c r="F951" s="10"/>
      <c r="G951" s="10"/>
      <c r="H951" s="10"/>
      <c r="X951" s="12"/>
    </row>
    <row r="952" ht="15.75" customHeight="1">
      <c r="F952" s="10"/>
      <c r="G952" s="10"/>
      <c r="H952" s="10"/>
      <c r="X952" s="12"/>
    </row>
    <row r="953" ht="15.75" customHeight="1">
      <c r="F953" s="10"/>
      <c r="G953" s="10"/>
      <c r="H953" s="10"/>
      <c r="X953" s="12"/>
    </row>
    <row r="954" ht="15.75" customHeight="1">
      <c r="F954" s="10"/>
      <c r="G954" s="10"/>
      <c r="H954" s="10"/>
      <c r="X954" s="12"/>
    </row>
    <row r="955" ht="15.75" customHeight="1">
      <c r="F955" s="10"/>
      <c r="G955" s="10"/>
      <c r="H955" s="10"/>
      <c r="X955" s="12"/>
    </row>
    <row r="956" ht="15.75" customHeight="1">
      <c r="F956" s="10"/>
      <c r="G956" s="10"/>
      <c r="H956" s="10"/>
      <c r="X956" s="12"/>
    </row>
    <row r="957" ht="15.75" customHeight="1">
      <c r="F957" s="10"/>
      <c r="G957" s="10"/>
      <c r="H957" s="10"/>
      <c r="X957" s="12"/>
    </row>
    <row r="958" ht="15.75" customHeight="1">
      <c r="F958" s="10"/>
      <c r="G958" s="10"/>
      <c r="H958" s="10"/>
      <c r="X958" s="12"/>
    </row>
    <row r="959" ht="15.75" customHeight="1">
      <c r="F959" s="10"/>
      <c r="G959" s="10"/>
      <c r="H959" s="10"/>
      <c r="X959" s="12"/>
    </row>
    <row r="960" ht="15.75" customHeight="1">
      <c r="F960" s="10"/>
      <c r="G960" s="10"/>
      <c r="H960" s="10"/>
      <c r="X960" s="12"/>
    </row>
    <row r="961" ht="15.75" customHeight="1">
      <c r="F961" s="10"/>
      <c r="G961" s="10"/>
      <c r="H961" s="10"/>
      <c r="X961" s="12"/>
    </row>
    <row r="962" ht="15.75" customHeight="1">
      <c r="F962" s="10"/>
      <c r="G962" s="10"/>
      <c r="H962" s="10"/>
      <c r="X962" s="12"/>
    </row>
    <row r="963" ht="15.75" customHeight="1">
      <c r="F963" s="10"/>
      <c r="G963" s="10"/>
      <c r="H963" s="10"/>
      <c r="X963" s="12"/>
    </row>
    <row r="964" ht="15.75" customHeight="1">
      <c r="F964" s="10"/>
      <c r="G964" s="10"/>
      <c r="H964" s="10"/>
      <c r="X964" s="12"/>
    </row>
    <row r="965" ht="15.75" customHeight="1">
      <c r="F965" s="10"/>
      <c r="G965" s="10"/>
      <c r="H965" s="10"/>
      <c r="X965" s="12"/>
    </row>
    <row r="966" ht="15.75" customHeight="1">
      <c r="F966" s="10"/>
      <c r="G966" s="10"/>
      <c r="H966" s="10"/>
      <c r="X966" s="12"/>
    </row>
    <row r="967" ht="15.75" customHeight="1">
      <c r="F967" s="10"/>
      <c r="G967" s="10"/>
      <c r="H967" s="10"/>
      <c r="X967" s="12"/>
    </row>
    <row r="968" ht="15.75" customHeight="1">
      <c r="F968" s="10"/>
      <c r="G968" s="10"/>
      <c r="H968" s="10"/>
      <c r="X968" s="12"/>
    </row>
    <row r="969" ht="15.75" customHeight="1">
      <c r="F969" s="10"/>
      <c r="G969" s="10"/>
      <c r="H969" s="10"/>
      <c r="X969" s="12"/>
    </row>
    <row r="970" ht="15.75" customHeight="1">
      <c r="F970" s="10"/>
      <c r="G970" s="10"/>
      <c r="H970" s="10"/>
      <c r="X970" s="12"/>
    </row>
    <row r="971" ht="15.75" customHeight="1">
      <c r="F971" s="10"/>
      <c r="G971" s="10"/>
      <c r="H971" s="10"/>
      <c r="X971" s="12"/>
    </row>
    <row r="972" ht="15.75" customHeight="1">
      <c r="F972" s="10"/>
      <c r="G972" s="10"/>
      <c r="H972" s="10"/>
      <c r="X972" s="12"/>
    </row>
    <row r="973" ht="15.75" customHeight="1">
      <c r="F973" s="10"/>
      <c r="G973" s="10"/>
      <c r="H973" s="10"/>
      <c r="X973" s="12"/>
    </row>
    <row r="974" ht="15.75" customHeight="1">
      <c r="F974" s="10"/>
      <c r="G974" s="10"/>
      <c r="H974" s="10"/>
      <c r="X974" s="12"/>
    </row>
    <row r="975" ht="15.75" customHeight="1">
      <c r="F975" s="10"/>
      <c r="G975" s="10"/>
      <c r="H975" s="10"/>
      <c r="X975" s="12"/>
    </row>
    <row r="976" ht="15.75" customHeight="1">
      <c r="F976" s="10"/>
      <c r="G976" s="10"/>
      <c r="H976" s="10"/>
      <c r="X976" s="12"/>
    </row>
    <row r="977" ht="15.75" customHeight="1">
      <c r="F977" s="10"/>
      <c r="G977" s="10"/>
      <c r="H977" s="10"/>
      <c r="X977" s="12"/>
    </row>
    <row r="978" ht="15.75" customHeight="1">
      <c r="F978" s="10"/>
      <c r="G978" s="10"/>
      <c r="H978" s="10"/>
      <c r="X978" s="12"/>
    </row>
    <row r="979" ht="15.75" customHeight="1">
      <c r="F979" s="10"/>
      <c r="G979" s="10"/>
      <c r="H979" s="10"/>
      <c r="X979" s="12"/>
    </row>
    <row r="980" ht="15.75" customHeight="1">
      <c r="F980" s="10"/>
      <c r="G980" s="10"/>
      <c r="H980" s="10"/>
      <c r="X980" s="12"/>
    </row>
    <row r="981" ht="15.75" customHeight="1">
      <c r="F981" s="10"/>
      <c r="G981" s="10"/>
      <c r="H981" s="10"/>
      <c r="X981" s="12"/>
    </row>
    <row r="982" ht="15.75" customHeight="1">
      <c r="F982" s="10"/>
      <c r="G982" s="10"/>
      <c r="H982" s="10"/>
      <c r="X982" s="12"/>
    </row>
    <row r="983" ht="15.75" customHeight="1">
      <c r="F983" s="10"/>
      <c r="G983" s="10"/>
      <c r="H983" s="10"/>
      <c r="X983" s="12"/>
    </row>
    <row r="984" ht="15.75" customHeight="1">
      <c r="F984" s="10"/>
      <c r="G984" s="10"/>
      <c r="H984" s="10"/>
      <c r="X984" s="12"/>
    </row>
    <row r="985" ht="15.75" customHeight="1">
      <c r="F985" s="10"/>
      <c r="G985" s="10"/>
      <c r="H985" s="10"/>
      <c r="X985" s="12"/>
    </row>
    <row r="986" ht="15.75" customHeight="1">
      <c r="F986" s="10"/>
      <c r="G986" s="10"/>
      <c r="H986" s="10"/>
      <c r="X986" s="12"/>
    </row>
    <row r="987" ht="15.75" customHeight="1">
      <c r="F987" s="10"/>
      <c r="G987" s="10"/>
      <c r="H987" s="10"/>
      <c r="X987" s="12"/>
    </row>
    <row r="988" ht="15.75" customHeight="1">
      <c r="F988" s="10"/>
      <c r="G988" s="10"/>
      <c r="H988" s="10"/>
      <c r="X988" s="12"/>
    </row>
    <row r="989" ht="15.75" customHeight="1">
      <c r="F989" s="10"/>
      <c r="G989" s="10"/>
      <c r="H989" s="10"/>
      <c r="X989" s="12"/>
    </row>
    <row r="990" ht="15.75" customHeight="1">
      <c r="F990" s="10"/>
      <c r="G990" s="10"/>
      <c r="H990" s="10"/>
      <c r="X990" s="12"/>
    </row>
    <row r="991" ht="15.75" customHeight="1">
      <c r="F991" s="10"/>
      <c r="G991" s="10"/>
      <c r="H991" s="10"/>
      <c r="X991" s="12"/>
    </row>
    <row r="992" ht="15.75" customHeight="1">
      <c r="F992" s="10"/>
      <c r="G992" s="10"/>
      <c r="H992" s="10"/>
      <c r="X992" s="12"/>
    </row>
    <row r="993" ht="15.75" customHeight="1">
      <c r="F993" s="10"/>
      <c r="G993" s="10"/>
      <c r="H993" s="10"/>
      <c r="X993" s="12"/>
    </row>
    <row r="994" ht="15.75" customHeight="1">
      <c r="F994" s="10"/>
      <c r="G994" s="10"/>
      <c r="H994" s="10"/>
      <c r="X994" s="12"/>
    </row>
    <row r="995" ht="15.75" customHeight="1">
      <c r="F995" s="10"/>
      <c r="G995" s="10"/>
      <c r="H995" s="10"/>
      <c r="X995" s="12"/>
    </row>
    <row r="996" ht="15.75" customHeight="1">
      <c r="F996" s="10"/>
      <c r="G996" s="10"/>
      <c r="H996" s="10"/>
      <c r="X996" s="12"/>
    </row>
    <row r="997" ht="15.75" customHeight="1">
      <c r="F997" s="10"/>
      <c r="G997" s="10"/>
      <c r="H997" s="10"/>
      <c r="X997" s="12"/>
    </row>
    <row r="998" ht="15.75" customHeight="1">
      <c r="F998" s="10"/>
      <c r="G998" s="10"/>
      <c r="H998" s="10"/>
      <c r="X998" s="12"/>
    </row>
    <row r="999" ht="15.75" customHeight="1">
      <c r="F999" s="10"/>
      <c r="G999" s="10"/>
      <c r="H999" s="10"/>
      <c r="X999" s="12"/>
    </row>
    <row r="1000" ht="15.75" customHeight="1">
      <c r="F1000" s="10"/>
      <c r="G1000" s="10"/>
      <c r="H1000" s="10"/>
      <c r="X1000" s="12"/>
    </row>
  </sheetData>
  <mergeCells count="52">
    <mergeCell ref="F78:F79"/>
    <mergeCell ref="F82:F83"/>
    <mergeCell ref="G82:G83"/>
    <mergeCell ref="F84:F85"/>
    <mergeCell ref="F89:F90"/>
    <mergeCell ref="G89:G90"/>
    <mergeCell ref="G92:G93"/>
    <mergeCell ref="F76:F77"/>
    <mergeCell ref="G76:G77"/>
    <mergeCell ref="X76:X77"/>
    <mergeCell ref="X78:X79"/>
    <mergeCell ref="X89:X90"/>
    <mergeCell ref="X92:X93"/>
    <mergeCell ref="X97:X98"/>
    <mergeCell ref="F47:F48"/>
    <mergeCell ref="F51:F52"/>
    <mergeCell ref="X51:X52"/>
    <mergeCell ref="F53:F54"/>
    <mergeCell ref="F58:F59"/>
    <mergeCell ref="G58:G59"/>
    <mergeCell ref="X58:X59"/>
    <mergeCell ref="F60:F61"/>
    <mergeCell ref="F64:F65"/>
    <mergeCell ref="G64:G65"/>
    <mergeCell ref="X64:X65"/>
    <mergeCell ref="F66:F67"/>
    <mergeCell ref="F70:F71"/>
    <mergeCell ref="G70:G71"/>
    <mergeCell ref="X70:X71"/>
    <mergeCell ref="F27:F28"/>
    <mergeCell ref="F29:F30"/>
    <mergeCell ref="F33:F34"/>
    <mergeCell ref="F35:F36"/>
    <mergeCell ref="F39:F40"/>
    <mergeCell ref="F41:F42"/>
    <mergeCell ref="F45:F46"/>
    <mergeCell ref="X100:X101"/>
    <mergeCell ref="X106:X107"/>
    <mergeCell ref="X109:X110"/>
    <mergeCell ref="X115:X116"/>
    <mergeCell ref="X118:X119"/>
    <mergeCell ref="F109:F110"/>
    <mergeCell ref="G109:G110"/>
    <mergeCell ref="F115:F116"/>
    <mergeCell ref="G115:G116"/>
    <mergeCell ref="F92:F93"/>
    <mergeCell ref="F97:F98"/>
    <mergeCell ref="G97:G98"/>
    <mergeCell ref="F100:F101"/>
    <mergeCell ref="G100:G101"/>
    <mergeCell ref="F106:F107"/>
    <mergeCell ref="G106:G107"/>
  </mergeCells>
  <conditionalFormatting sqref="D6:E12">
    <cfRule type="expression" dxfId="2" priority="1">
      <formula>AND(ISNUMBER(D6),D6&gt;=1)</formula>
    </cfRule>
  </conditionalFormatting>
  <conditionalFormatting sqref="D6:E12">
    <cfRule type="expression" dxfId="3" priority="2">
      <formula>AND(ISNUMBER(D6),D6&lt;1)</formula>
    </cfRule>
  </conditionalFormatting>
  <conditionalFormatting sqref="U25:U221 X25:X26 X32 X38 X51 X58 X64">
    <cfRule type="expression" dxfId="2" priority="3">
      <formula>AND(ISNUMBER(U25),U25&gt;=1)</formula>
    </cfRule>
  </conditionalFormatting>
  <conditionalFormatting sqref="U25:U221 X25:X26 X32 X38 X51 X58 X64">
    <cfRule type="expression" dxfId="3" priority="4">
      <formula>AND(ISNUMBER(U25),U25&lt;1)</formula>
    </cfRule>
  </conditionalFormatting>
  <conditionalFormatting sqref="X68">
    <cfRule type="expression" dxfId="2" priority="5">
      <formula>AND(ISNUMBER(X68),X68&gt;=1)</formula>
    </cfRule>
  </conditionalFormatting>
  <conditionalFormatting sqref="X68">
    <cfRule type="expression" dxfId="3" priority="6">
      <formula>AND(ISNUMBER(X68),X68&lt;1)</formula>
    </cfRule>
  </conditionalFormatting>
  <conditionalFormatting sqref="X70">
    <cfRule type="expression" dxfId="2" priority="7">
      <formula>AND(ISNUMBER(X70),X70&gt;=1)</formula>
    </cfRule>
  </conditionalFormatting>
  <conditionalFormatting sqref="X70">
    <cfRule type="expression" dxfId="3" priority="8">
      <formula>AND(ISNUMBER(X70),X70&lt;1)</formula>
    </cfRule>
  </conditionalFormatting>
  <conditionalFormatting sqref="X74">
    <cfRule type="expression" dxfId="2" priority="9">
      <formula>AND(ISNUMBER(X74),X74&gt;=1)</formula>
    </cfRule>
  </conditionalFormatting>
  <conditionalFormatting sqref="X74">
    <cfRule type="expression" dxfId="3" priority="10">
      <formula>AND(ISNUMBER(X74),X74&lt;1)</formula>
    </cfRule>
  </conditionalFormatting>
  <conditionalFormatting sqref="X76">
    <cfRule type="expression" dxfId="2" priority="11">
      <formula>AND(ISNUMBER(X76),X76&gt;=1)</formula>
    </cfRule>
  </conditionalFormatting>
  <conditionalFormatting sqref="X76">
    <cfRule type="expression" dxfId="3" priority="12">
      <formula>AND(ISNUMBER(X76),X76&lt;1)</formula>
    </cfRule>
  </conditionalFormatting>
  <conditionalFormatting sqref="X80">
    <cfRule type="expression" dxfId="2" priority="13">
      <formula>AND(ISNUMBER(X80),X80&gt;=1)</formula>
    </cfRule>
  </conditionalFormatting>
  <conditionalFormatting sqref="X80">
    <cfRule type="expression" dxfId="3" priority="14">
      <formula>AND(ISNUMBER(X80),X80&lt;1)</formula>
    </cfRule>
  </conditionalFormatting>
  <dataValidations>
    <dataValidation type="list" allowBlank="1" sqref="B27:B31 B33:B37 B39:B43 B45:B49 B51:B55 B62 B68 B74 B80 B86 B91 B94:B95 B102:B104 B111:B113 B120:B122 B124:B128 B131:B135 B137:B141 B143:B147 B149:B153 B155:B159 B162:B166 B168:B172 B174:B178 B180:B184 B186:B190 B193:B197 B199:B203 B205:B209 B211:B215 B217:B221">
      <formula1>$A$17:$A$21</formula1>
    </dataValidation>
    <dataValidation type="list" allowBlank="1" sqref="B15">
      <formula1>"Весь период,Июль,Август,Сентябрь,Октябрь,Ноябрь,Декабрь"</formula1>
    </dataValidation>
    <dataValidation type="list" allowBlank="1" sqref="D15:H15">
      <formula1>"Все недели,Нед.1,Нед.2,Нед.3,Нед.4,Нед.5"</formula1>
    </dataValidation>
  </dataValidations>
  <printOptions/>
  <pageMargins bottom="1.0" footer="0.0" header="0.0" left="0.75" right="0.75" top="1.0"/>
  <pageSetup paperSize="9" orientation="portrait"/>
  <drawing r:id="rId1"/>
</worksheet>
</file>